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xl/comments12.xml" ContentType="application/vnd.openxmlformats-officedocument.spreadsheetml.comments+xml"/>
  <Override PartName="/xl/comments13.xml" ContentType="application/vnd.openxmlformats-officedocument.spreadsheetml.comments+xml"/>
  <Override PartName="/xl/comments14.xml" ContentType="application/vnd.openxmlformats-officedocument.spreadsheetml.comments+xml"/>
  <Override PartName="/xl/comments15.xml" ContentType="application/vnd.openxmlformats-officedocument.spreadsheetml.comments+xml"/>
  <Override PartName="/xl/drawings/drawing1.xml" ContentType="application/vnd.openxmlformats-officedocument.drawing+xml"/>
  <Override PartName="/xl/comments16.xml" ContentType="application/vnd.openxmlformats-officedocument.spreadsheetml.comments+xml"/>
  <Override PartName="/xl/charts/chart1.xml" ContentType="application/vnd.openxmlformats-officedocument.drawingml.chart+xml"/>
  <Override PartName="/xl/comments17.xml" ContentType="application/vnd.openxmlformats-officedocument.spreadsheetml.comments+xml"/>
  <Override PartName="/xl/drawings/drawing2.xml" ContentType="application/vnd.openxmlformats-officedocument.drawing+xml"/>
  <Override PartName="/xl/comments18.xml" ContentType="application/vnd.openxmlformats-officedocument.spreadsheetml.comments+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drawings/drawing3.xml" ContentType="application/vnd.openxmlformats-officedocument.drawing+xml"/>
  <Override PartName="/xl/comments19.xml" ContentType="application/vnd.openxmlformats-officedocument.spreadsheetml.comments+xml"/>
  <Override PartName="/xl/charts/chart5.xml" ContentType="application/vnd.openxmlformats-officedocument.drawingml.chart+xml"/>
  <Override PartName="/xl/charts/chart6.xml" ContentType="application/vnd.openxmlformats-officedocument.drawingml.chart+xml"/>
  <Override PartName="/xl/comments20.xml" ContentType="application/vnd.openxmlformats-officedocument.spreadsheetml.comments+xml"/>
  <Override PartName="/xl/comments21.xml" ContentType="application/vnd.openxmlformats-officedocument.spreadsheetml.comments+xml"/>
  <Override PartName="/xl/comments22.xml" ContentType="application/vnd.openxmlformats-officedocument.spreadsheetml.comments+xml"/>
  <Override PartName="/xl/comments23.xml" ContentType="application/vnd.openxmlformats-officedocument.spreadsheetml.comments+xml"/>
  <Override PartName="/xl/comments24.xml" ContentType="application/vnd.openxmlformats-officedocument.spreadsheetml.comments+xml"/>
  <Override PartName="/xl/comments25.xml" ContentType="application/vnd.openxmlformats-officedocument.spreadsheetml.comments+xml"/>
  <Override PartName="/xl/comments26.xml" ContentType="application/vnd.openxmlformats-officedocument.spreadsheetml.comments+xml"/>
  <Override PartName="/xl/comments27.xml" ContentType="application/vnd.openxmlformats-officedocument.spreadsheetml.comments+xml"/>
  <Override PartName="/xl/comments28.xml" ContentType="application/vnd.openxmlformats-officedocument.spreadsheetml.comments+xml"/>
  <Override PartName="/xl/comments29.xml" ContentType="application/vnd.openxmlformats-officedocument.spreadsheetml.comments+xml"/>
  <Override PartName="/xl/comments30.xml" ContentType="application/vnd.openxmlformats-officedocument.spreadsheetml.comments+xml"/>
  <Override PartName="/xl/comments31.xml" ContentType="application/vnd.openxmlformats-officedocument.spreadsheetml.comments+xml"/>
  <Override PartName="/xl/comments32.xml" ContentType="application/vnd.openxmlformats-officedocument.spreadsheetml.comments+xml"/>
  <Override PartName="/xl/comments33.xml" ContentType="application/vnd.openxmlformats-officedocument.spreadsheetml.comments+xml"/>
  <Override PartName="/xl/comments34.xml" ContentType="application/vnd.openxmlformats-officedocument.spreadsheetml.comments+xml"/>
  <Override PartName="/xl/comments35.xml" ContentType="application/vnd.openxmlformats-officedocument.spreadsheetml.comments+xml"/>
  <Override PartName="/xl/comments36.xml" ContentType="application/vnd.openxmlformats-officedocument.spreadsheetml.comments+xml"/>
  <Override PartName="/xl/comments37.xml" ContentType="application/vnd.openxmlformats-officedocument.spreadsheetml.comments+xml"/>
  <Override PartName="/xl/comments38.xml" ContentType="application/vnd.openxmlformats-officedocument.spreadsheetml.comments+xml"/>
  <Override PartName="/xl/comments39.xml" ContentType="application/vnd.openxmlformats-officedocument.spreadsheetml.comments+xml"/>
  <Override PartName="/xl/comments40.xml" ContentType="application/vnd.openxmlformats-officedocument.spreadsheetml.comments+xml"/>
  <Override PartName="/xl/comments41.xml" ContentType="application/vnd.openxmlformats-officedocument.spreadsheetml.comments+xml"/>
  <Override PartName="/xl/comments42.xml" ContentType="application/vnd.openxmlformats-officedocument.spreadsheetml.comments+xml"/>
  <Override PartName="/xl/comments43.xml" ContentType="application/vnd.openxmlformats-officedocument.spreadsheetml.comments+xml"/>
  <Override PartName="/xl/comments44.xml" ContentType="application/vnd.openxmlformats-officedocument.spreadsheetml.comments+xml"/>
  <Override PartName="/xl/comments45.xml" ContentType="application/vnd.openxmlformats-officedocument.spreadsheetml.comments+xml"/>
  <Override PartName="/xl/comments46.xml" ContentType="application/vnd.openxmlformats-officedocument.spreadsheetml.comments+xml"/>
  <Override PartName="/xl/comments47.xml" ContentType="application/vnd.openxmlformats-officedocument.spreadsheetml.comments+xml"/>
  <Override PartName="/xl/comments48.xml" ContentType="application/vnd.openxmlformats-officedocument.spreadsheetml.comments+xml"/>
  <Override PartName="/xl/comments49.xml" ContentType="application/vnd.openxmlformats-officedocument.spreadsheetml.comments+xml"/>
  <Override PartName="/xl/comments50.xml" ContentType="application/vnd.openxmlformats-officedocument.spreadsheetml.comments+xml"/>
  <Override PartName="/xl/comments51.xml" ContentType="application/vnd.openxmlformats-officedocument.spreadsheetml.comments+xml"/>
  <Override PartName="/xl/comments52.xml" ContentType="application/vnd.openxmlformats-officedocument.spreadsheetml.comments+xml"/>
  <Override PartName="/xl/comments53.xml" ContentType="application/vnd.openxmlformats-officedocument.spreadsheetml.comments+xml"/>
  <Override PartName="/xl/comments54.xml" ContentType="application/vnd.openxmlformats-officedocument.spreadsheetml.comments+xml"/>
  <Override PartName="/xl/comments55.xml" ContentType="application/vnd.openxmlformats-officedocument.spreadsheetml.comments+xml"/>
  <Override PartName="/xl/comments56.xml" ContentType="application/vnd.openxmlformats-officedocument.spreadsheetml.comments+xml"/>
  <Override PartName="/xl/comments57.xml" ContentType="application/vnd.openxmlformats-officedocument.spreadsheetml.comments+xml"/>
  <Override PartName="/xl/comments58.xml" ContentType="application/vnd.openxmlformats-officedocument.spreadsheetml.comments+xml"/>
  <Override PartName="/xl/comments59.xml" ContentType="application/vnd.openxmlformats-officedocument.spreadsheetml.comments+xml"/>
  <Override PartName="/xl/comments60.xml" ContentType="application/vnd.openxmlformats-officedocument.spreadsheetml.comments+xml"/>
  <Override PartName="/xl/comments61.xml" ContentType="application/vnd.openxmlformats-officedocument.spreadsheetml.comments+xml"/>
  <Override PartName="/xl/comments62.xml" ContentType="application/vnd.openxmlformats-officedocument.spreadsheetml.comments+xml"/>
  <Override PartName="/xl/comments63.xml" ContentType="application/vnd.openxmlformats-officedocument.spreadsheetml.comments+xml"/>
  <Override PartName="/xl/comments64.xml" ContentType="application/vnd.openxmlformats-officedocument.spreadsheetml.comments+xml"/>
  <Override PartName="/xl/comments65.xml" ContentType="application/vnd.openxmlformats-officedocument.spreadsheetml.comments+xml"/>
  <Override PartName="/xl/comments66.xml" ContentType="application/vnd.openxmlformats-officedocument.spreadsheetml.comments+xml"/>
  <Override PartName="/xl/comments67.xml" ContentType="application/vnd.openxmlformats-officedocument.spreadsheetml.comments+xml"/>
  <Override PartName="/xl/comments68.xml" ContentType="application/vnd.openxmlformats-officedocument.spreadsheetml.comments+xml"/>
  <Override PartName="/xl/comments69.xml" ContentType="application/vnd.openxmlformats-officedocument.spreadsheetml.comments+xml"/>
  <Override PartName="/xl/comments70.xml" ContentType="application/vnd.openxmlformats-officedocument.spreadsheetml.comments+xml"/>
  <Override PartName="/xl/comments71.xml" ContentType="application/vnd.openxmlformats-officedocument.spreadsheetml.comments+xml"/>
  <Override PartName="/xl/comments72.xml" ContentType="application/vnd.openxmlformats-officedocument.spreadsheetml.comments+xml"/>
  <Override PartName="/xl/comments73.xml" ContentType="application/vnd.openxmlformats-officedocument.spreadsheetml.comments+xml"/>
  <Override PartName="/xl/comments74.xml" ContentType="application/vnd.openxmlformats-officedocument.spreadsheetml.comments+xml"/>
  <Override PartName="/xl/comments75.xml" ContentType="application/vnd.openxmlformats-officedocument.spreadsheetml.comments+xml"/>
  <Override PartName="/xl/comments76.xml" ContentType="application/vnd.openxmlformats-officedocument.spreadsheetml.comments+xml"/>
  <Override PartName="/xl/comments77.xml" ContentType="application/vnd.openxmlformats-officedocument.spreadsheetml.comments+xml"/>
  <Override PartName="/xl/comments78.xml" ContentType="application/vnd.openxmlformats-officedocument.spreadsheetml.comments+xml"/>
  <Override PartName="/xl/comments79.xml" ContentType="application/vnd.openxmlformats-officedocument.spreadsheetml.comments+xml"/>
  <Override PartName="/xl/comments80.xml" ContentType="application/vnd.openxmlformats-officedocument.spreadsheetml.comments+xml"/>
  <Override PartName="/xl/comments81.xml" ContentType="application/vnd.openxmlformats-officedocument.spreadsheetml.comments+xml"/>
  <Override PartName="/xl/comments82.xml" ContentType="application/vnd.openxmlformats-officedocument.spreadsheetml.comments+xml"/>
  <Override PartName="/xl/comments83.xml" ContentType="application/vnd.openxmlformats-officedocument.spreadsheetml.comments+xml"/>
  <Override PartName="/xl/comments84.xml" ContentType="application/vnd.openxmlformats-officedocument.spreadsheetml.comments+xml"/>
  <Override PartName="/xl/comments85.xml" ContentType="application/vnd.openxmlformats-officedocument.spreadsheetml.comments+xml"/>
  <Override PartName="/xl/comments86.xml" ContentType="application/vnd.openxmlformats-officedocument.spreadsheetml.comments+xml"/>
  <Override PartName="/xl/comments87.xml" ContentType="application/vnd.openxmlformats-officedocument.spreadsheetml.comments+xml"/>
  <Override PartName="/xl/comments88.xml" ContentType="application/vnd.openxmlformats-officedocument.spreadsheetml.comments+xml"/>
  <Override PartName="/xl/comments89.xml" ContentType="application/vnd.openxmlformats-officedocument.spreadsheetml.comments+xml"/>
  <Override PartName="/xl/comments90.xml" ContentType="application/vnd.openxmlformats-officedocument.spreadsheetml.comments+xml"/>
  <Override PartName="/xl/comments91.xml" ContentType="application/vnd.openxmlformats-officedocument.spreadsheetml.comments+xml"/>
  <Override PartName="/xl/comments92.xml" ContentType="application/vnd.openxmlformats-officedocument.spreadsheetml.comments+xml"/>
  <Override PartName="/xl/comments93.xml" ContentType="application/vnd.openxmlformats-officedocument.spreadsheetml.comments+xml"/>
  <Override PartName="/xl/comments94.xml" ContentType="application/vnd.openxmlformats-officedocument.spreadsheetml.comments+xml"/>
  <Override PartName="/xl/comments95.xml" ContentType="application/vnd.openxmlformats-officedocument.spreadsheetml.comments+xml"/>
  <Override PartName="/xl/comments96.xml" ContentType="application/vnd.openxmlformats-officedocument.spreadsheetml.comments+xml"/>
  <Override PartName="/xl/comments97.xml" ContentType="application/vnd.openxmlformats-officedocument.spreadsheetml.comments+xml"/>
  <Override PartName="/xl/comments98.xml" ContentType="application/vnd.openxmlformats-officedocument.spreadsheetml.comments+xml"/>
  <Override PartName="/xl/comments99.xml" ContentType="application/vnd.openxmlformats-officedocument.spreadsheetml.comments+xml"/>
  <Override PartName="/xl/comments100.xml" ContentType="application/vnd.openxmlformats-officedocument.spreadsheetml.comments+xml"/>
  <Override PartName="/xl/comments101.xml" ContentType="application/vnd.openxmlformats-officedocument.spreadsheetml.comments+xml"/>
  <Override PartName="/xl/comments102.xml" ContentType="application/vnd.openxmlformats-officedocument.spreadsheetml.comments+xml"/>
  <Override PartName="/xl/comments103.xml" ContentType="application/vnd.openxmlformats-officedocument.spreadsheetml.comments+xml"/>
  <Override PartName="/xl/comments104.xml" ContentType="application/vnd.openxmlformats-officedocument.spreadsheetml.comments+xml"/>
  <Override PartName="/xl/comments105.xml" ContentType="application/vnd.openxmlformats-officedocument.spreadsheetml.comments+xml"/>
  <Override PartName="/xl/comments106.xml" ContentType="application/vnd.openxmlformats-officedocument.spreadsheetml.comments+xml"/>
  <Override PartName="/xl/comments107.xml" ContentType="application/vnd.openxmlformats-officedocument.spreadsheetml.comments+xml"/>
  <Override PartName="/xl/comments108.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0"/>
  <workbookPr codeName="ThisWorkbook" defaultThemeVersion="202300"/>
  <mc:AlternateContent xmlns:mc="http://schemas.openxmlformats.org/markup-compatibility/2006">
    <mc:Choice Requires="x15">
      <x15ac:absPath xmlns:x15ac="http://schemas.microsoft.com/office/spreadsheetml/2010/11/ac" url="/Users/vutrungnghia/Downloads/Price Check/outputs/"/>
    </mc:Choice>
  </mc:AlternateContent>
  <xr:revisionPtr revIDLastSave="0" documentId="13_ncr:1_{CE9607E6-1A11-EB40-8044-EF1DAEE88394}" xr6:coauthVersionLast="47" xr6:coauthVersionMax="47" xr10:uidLastSave="{00000000-0000-0000-0000-000000000000}"/>
  <bookViews>
    <workbookView xWindow="1060" yWindow="600" windowWidth="24540" windowHeight="15400" firstSheet="98" activeTab="107" xr2:uid="{00000000-000D-0000-FFFF-FFFF00000000}"/>
  </bookViews>
  <sheets>
    <sheet name="W4Q3FY24" sheetId="1" state="hidden" r:id="rId1"/>
    <sheet name="W5Q3FY24" sheetId="2" state="hidden" r:id="rId2"/>
    <sheet name="W6Q3FY24" sheetId="3" state="hidden" r:id="rId3"/>
    <sheet name="W7Q3FY24" sheetId="4" state="hidden" r:id="rId4"/>
    <sheet name="W8Q3FY24" sheetId="5" state="hidden" r:id="rId5"/>
    <sheet name="W9Q3FY24" sheetId="6" state="hidden" r:id="rId6"/>
    <sheet name="W10Q3FY24" sheetId="7" state="hidden" r:id="rId7"/>
    <sheet name="W11Q3FY24" sheetId="8" state="hidden" r:id="rId8"/>
    <sheet name="W9Q1FY26 (2)" sheetId="9" r:id="rId9"/>
    <sheet name="W12Q3FY24" sheetId="10" r:id="rId10"/>
    <sheet name="W13Q3FY24" sheetId="11" r:id="rId11"/>
    <sheet name="W1Q4FY24" sheetId="12" r:id="rId12"/>
    <sheet name="W2Q4FY24" sheetId="13" r:id="rId13"/>
    <sheet name="W3Q4FY24" sheetId="14" r:id="rId14"/>
    <sheet name="W4Q4FY24" sheetId="15" r:id="rId15"/>
    <sheet name="W5Q4FY24" sheetId="16" r:id="rId16"/>
    <sheet name="W6Q4FY24" sheetId="17" r:id="rId17"/>
    <sheet name="W7Q4FY24" sheetId="18" r:id="rId18"/>
    <sheet name="W8Q4FY24" sheetId="19" r:id="rId19"/>
    <sheet name="W9Q4FY24" sheetId="20" r:id="rId20"/>
    <sheet name="W10Q4FY24" sheetId="21" r:id="rId21"/>
    <sheet name="W11Q4FY24-" sheetId="22" r:id="rId22"/>
    <sheet name="W12Q4FY24" sheetId="23" r:id="rId23"/>
    <sheet name="W13Q4FY24" sheetId="24" r:id="rId24"/>
    <sheet name="W1Q1FY25" sheetId="25" r:id="rId25"/>
    <sheet name="W2Q1FY25 " sheetId="26" r:id="rId26"/>
    <sheet name="W3Q1FY25" sheetId="27" r:id="rId27"/>
    <sheet name="W4Q1FY25" sheetId="28" r:id="rId28"/>
    <sheet name="W5Q1FY25" sheetId="29" r:id="rId29"/>
    <sheet name="W6Q1FY25 " sheetId="30" r:id="rId30"/>
    <sheet name="W7Q1FY25" sheetId="31" r:id="rId31"/>
    <sheet name="W8Q1FY25" sheetId="32" r:id="rId32"/>
    <sheet name="W9Q1FY25 " sheetId="33" r:id="rId33"/>
    <sheet name="W10Q1FY25" sheetId="34" r:id="rId34"/>
    <sheet name="W11Q1FY25 " sheetId="35" r:id="rId35"/>
    <sheet name="W12Q1FY25 " sheetId="36" r:id="rId36"/>
    <sheet name="W13Q1FY25" sheetId="37" r:id="rId37"/>
    <sheet name="W1Q2FY25" sheetId="38" r:id="rId38"/>
    <sheet name="W2Q2FY25" sheetId="39" r:id="rId39"/>
    <sheet name="W3Q2FY25" sheetId="40" r:id="rId40"/>
    <sheet name="W4Q2FY25" sheetId="41" r:id="rId41"/>
    <sheet name="W6Q2FY25" sheetId="42" r:id="rId42"/>
    <sheet name="W7Q2FY25" sheetId="43" r:id="rId43"/>
    <sheet name="W8Q2FY25" sheetId="44" r:id="rId44"/>
    <sheet name="W9Q2FY25" sheetId="45" r:id="rId45"/>
    <sheet name="W10Q2FY25 " sheetId="46" r:id="rId46"/>
    <sheet name="W11Q2FY25" sheetId="47" r:id="rId47"/>
    <sheet name="W12Q2FY25" sheetId="48" r:id="rId48"/>
    <sheet name="W13Q2FY25" sheetId="49" r:id="rId49"/>
    <sheet name="W1Q3FY25" sheetId="50" r:id="rId50"/>
    <sheet name="W2Q3FY25 " sheetId="51" r:id="rId51"/>
    <sheet name="W3Q3FY25 " sheetId="52" r:id="rId52"/>
    <sheet name="W4Q3FY25 " sheetId="53" r:id="rId53"/>
    <sheet name="W5Q3FY25 " sheetId="54" r:id="rId54"/>
    <sheet name="W6Q3FY25" sheetId="55" r:id="rId55"/>
    <sheet name="W7Q3FY25 " sheetId="56" r:id="rId56"/>
    <sheet name="W8Q3FY25  " sheetId="57" r:id="rId57"/>
    <sheet name="W9Q3FY25 " sheetId="58" r:id="rId58"/>
    <sheet name="W10Q3FY25" sheetId="59" r:id="rId59"/>
    <sheet name="W11Q3FY25 " sheetId="60" r:id="rId60"/>
    <sheet name="W12Q3FY25 " sheetId="61" r:id="rId61"/>
    <sheet name="W13Q3FY25" sheetId="62" r:id="rId62"/>
    <sheet name="W1Q4FY25" sheetId="63" r:id="rId63"/>
    <sheet name="W2Q4FY25" sheetId="64" r:id="rId64"/>
    <sheet name="W3Q4FY25" sheetId="65" r:id="rId65"/>
    <sheet name="W4Q4FY25 " sheetId="66" r:id="rId66"/>
    <sheet name="W5Q4FY25 " sheetId="67" r:id="rId67"/>
    <sheet name="W6Q4FY25 " sheetId="68" r:id="rId68"/>
    <sheet name="W7Q4FY25 " sheetId="69" r:id="rId69"/>
    <sheet name="W8Q4FY25" sheetId="70" r:id="rId70"/>
    <sheet name="W9Q4FY25 " sheetId="71" r:id="rId71"/>
    <sheet name="W10Q4FY25 " sheetId="72" r:id="rId72"/>
    <sheet name="W11Q4FY25" sheetId="73" r:id="rId73"/>
    <sheet name="W12Q4FY25" sheetId="74" r:id="rId74"/>
    <sheet name="W13Q4FY25" sheetId="75" r:id="rId75"/>
    <sheet name="W1Q1FY26" sheetId="76" r:id="rId76"/>
    <sheet name="W2Q1FY26 " sheetId="77" r:id="rId77"/>
    <sheet name="W3Q1FY26 " sheetId="78" r:id="rId78"/>
    <sheet name="W4Q1FY26" sheetId="79" r:id="rId79"/>
    <sheet name="W5Q1FY26 " sheetId="80" r:id="rId80"/>
    <sheet name="W6Q1FY26" sheetId="81" r:id="rId81"/>
    <sheet name="W7Q1FY26 " sheetId="82" r:id="rId82"/>
    <sheet name="W8Q1FY26" sheetId="83" r:id="rId83"/>
    <sheet name="W9Q1FY26" sheetId="84" r:id="rId84"/>
    <sheet name="W10Q1FY26" sheetId="85" r:id="rId85"/>
    <sheet name="W11Q1FY26" sheetId="86" r:id="rId86"/>
    <sheet name="W12Q1FY26" sheetId="87" r:id="rId87"/>
    <sheet name="W13Q1FY26" sheetId="88" r:id="rId88"/>
    <sheet name="W1Q2FY26" sheetId="89" r:id="rId89"/>
    <sheet name="W2Q2FY26" sheetId="90" r:id="rId90"/>
    <sheet name="W3Q2FY26" sheetId="91" r:id="rId91"/>
    <sheet name="W4Q2FY26" sheetId="92" r:id="rId92"/>
    <sheet name="W5Q2FY26" sheetId="93" r:id="rId93"/>
    <sheet name="W6Q2FY26" sheetId="94" r:id="rId94"/>
    <sheet name="W7Q2FY26" sheetId="95" r:id="rId95"/>
    <sheet name="W9Q2FY26" sheetId="96" r:id="rId96"/>
    <sheet name="W10Q2FY26" sheetId="97" r:id="rId97"/>
    <sheet name="W11Q2FY26" sheetId="98" r:id="rId98"/>
    <sheet name="W12Q2FY26" sheetId="99" r:id="rId99"/>
    <sheet name="W13Q2FY26" sheetId="100" r:id="rId100"/>
    <sheet name="W1Q3FY26" sheetId="101" r:id="rId101"/>
    <sheet name="W2Q3FY26" sheetId="102" r:id="rId102"/>
    <sheet name="W3Q3FY26" sheetId="103" r:id="rId103"/>
    <sheet name="W4Q3FY26" sheetId="104" r:id="rId104"/>
    <sheet name="W5Q3FY26" sheetId="105" r:id="rId105"/>
    <sheet name="W6Q3FY26" sheetId="106" r:id="rId106"/>
    <sheet name="W7Q3FY26" sheetId="107" r:id="rId107"/>
    <sheet name="W8Q3FY26" sheetId="108" r:id="rId108"/>
  </sheets>
  <definedNames>
    <definedName name="__bookmark_1">#REF!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V41" i="108" l="1"/>
  <c r="U40" i="108"/>
  <c r="V40" i="108" s="1"/>
  <c r="S40" i="108"/>
  <c r="T40" i="108" s="1"/>
  <c r="Q40" i="108"/>
  <c r="R40" i="108" s="1"/>
  <c r="O40" i="108"/>
  <c r="P40" i="108" s="1"/>
  <c r="M40" i="108"/>
  <c r="N40" i="108" s="1"/>
  <c r="U39" i="108"/>
  <c r="V39" i="108" s="1"/>
  <c r="S39" i="108"/>
  <c r="T39" i="108" s="1"/>
  <c r="Q39" i="108"/>
  <c r="R39" i="108" s="1"/>
  <c r="O39" i="108"/>
  <c r="P39" i="108" s="1"/>
  <c r="M39" i="108"/>
  <c r="N39" i="108" s="1"/>
  <c r="U38" i="108"/>
  <c r="V38" i="108" s="1"/>
  <c r="S38" i="108"/>
  <c r="T38" i="108" s="1"/>
  <c r="Q38" i="108"/>
  <c r="R38" i="108" s="1"/>
  <c r="O38" i="108"/>
  <c r="P38" i="108" s="1"/>
  <c r="M38" i="108"/>
  <c r="N38" i="108" s="1"/>
  <c r="U37" i="108"/>
  <c r="V37" i="108" s="1"/>
  <c r="S37" i="108"/>
  <c r="T37" i="108" s="1"/>
  <c r="Q37" i="108"/>
  <c r="R37" i="108" s="1"/>
  <c r="O37" i="108"/>
  <c r="P37" i="108" s="1"/>
  <c r="M37" i="108"/>
  <c r="N37" i="108" s="1"/>
  <c r="U36" i="108"/>
  <c r="V36" i="108" s="1"/>
  <c r="S36" i="108"/>
  <c r="T36" i="108" s="1"/>
  <c r="Q36" i="108"/>
  <c r="R36" i="108" s="1"/>
  <c r="O36" i="108"/>
  <c r="P36" i="108" s="1"/>
  <c r="M36" i="108"/>
  <c r="N36" i="108" s="1"/>
  <c r="U35" i="108"/>
  <c r="V35" i="108" s="1"/>
  <c r="S35" i="108"/>
  <c r="T35" i="108" s="1"/>
  <c r="Q35" i="108"/>
  <c r="R35" i="108" s="1"/>
  <c r="O35" i="108"/>
  <c r="P35" i="108" s="1"/>
  <c r="M35" i="108"/>
  <c r="N35" i="108" s="1"/>
  <c r="U34" i="108"/>
  <c r="V34" i="108" s="1"/>
  <c r="S34" i="108"/>
  <c r="T34" i="108" s="1"/>
  <c r="Q34" i="108"/>
  <c r="R34" i="108" s="1"/>
  <c r="O34" i="108"/>
  <c r="P34" i="108" s="1"/>
  <c r="M34" i="108"/>
  <c r="N34" i="108" s="1"/>
  <c r="U33" i="108"/>
  <c r="V33" i="108" s="1"/>
  <c r="S33" i="108"/>
  <c r="T33" i="108" s="1"/>
  <c r="Q33" i="108"/>
  <c r="R33" i="108" s="1"/>
  <c r="O33" i="108"/>
  <c r="P33" i="108" s="1"/>
  <c r="M33" i="108"/>
  <c r="N33" i="108" s="1"/>
  <c r="U32" i="108"/>
  <c r="V32" i="108" s="1"/>
  <c r="S32" i="108"/>
  <c r="T32" i="108" s="1"/>
  <c r="Q32" i="108"/>
  <c r="R32" i="108" s="1"/>
  <c r="O32" i="108"/>
  <c r="P32" i="108" s="1"/>
  <c r="M32" i="108"/>
  <c r="N32" i="108" s="1"/>
  <c r="U31" i="108"/>
  <c r="V31" i="108" s="1"/>
  <c r="S31" i="108"/>
  <c r="T31" i="108" s="1"/>
  <c r="Q31" i="108"/>
  <c r="R31" i="108" s="1"/>
  <c r="O31" i="108"/>
  <c r="P31" i="108" s="1"/>
  <c r="M31" i="108"/>
  <c r="N31" i="108" s="1"/>
  <c r="U30" i="108"/>
  <c r="V30" i="108" s="1"/>
  <c r="S30" i="108"/>
  <c r="T30" i="108" s="1"/>
  <c r="Q30" i="108"/>
  <c r="R30" i="108" s="1"/>
  <c r="O30" i="108"/>
  <c r="P30" i="108" s="1"/>
  <c r="M30" i="108"/>
  <c r="N30" i="108" s="1"/>
  <c r="U29" i="108"/>
  <c r="V29" i="108" s="1"/>
  <c r="S29" i="108"/>
  <c r="T29" i="108" s="1"/>
  <c r="Q29" i="108"/>
  <c r="R29" i="108" s="1"/>
  <c r="O29" i="108"/>
  <c r="P29" i="108" s="1"/>
  <c r="M29" i="108"/>
  <c r="N29" i="108" s="1"/>
  <c r="U28" i="108"/>
  <c r="V28" i="108" s="1"/>
  <c r="S28" i="108"/>
  <c r="T28" i="108" s="1"/>
  <c r="Q28" i="108"/>
  <c r="R28" i="108" s="1"/>
  <c r="O28" i="108"/>
  <c r="P28" i="108" s="1"/>
  <c r="M28" i="108"/>
  <c r="N28" i="108" s="1"/>
  <c r="U27" i="108"/>
  <c r="V27" i="108" s="1"/>
  <c r="S27" i="108"/>
  <c r="T27" i="108" s="1"/>
  <c r="Q27" i="108"/>
  <c r="R27" i="108" s="1"/>
  <c r="O27" i="108"/>
  <c r="P27" i="108" s="1"/>
  <c r="M27" i="108"/>
  <c r="N27" i="108" s="1"/>
  <c r="U26" i="108"/>
  <c r="V26" i="108" s="1"/>
  <c r="S26" i="108"/>
  <c r="T26" i="108" s="1"/>
  <c r="Q26" i="108"/>
  <c r="R26" i="108" s="1"/>
  <c r="O26" i="108"/>
  <c r="P26" i="108" s="1"/>
  <c r="M26" i="108"/>
  <c r="N26" i="108" s="1"/>
  <c r="U25" i="108"/>
  <c r="V25" i="108" s="1"/>
  <c r="S25" i="108"/>
  <c r="T25" i="108" s="1"/>
  <c r="Q25" i="108"/>
  <c r="R25" i="108" s="1"/>
  <c r="O25" i="108"/>
  <c r="P25" i="108" s="1"/>
  <c r="M25" i="108"/>
  <c r="N25" i="108" s="1"/>
  <c r="U24" i="108"/>
  <c r="V24" i="108" s="1"/>
  <c r="S24" i="108"/>
  <c r="T24" i="108" s="1"/>
  <c r="Q24" i="108"/>
  <c r="R24" i="108" s="1"/>
  <c r="O24" i="108"/>
  <c r="P24" i="108" s="1"/>
  <c r="M24" i="108"/>
  <c r="N24" i="108" s="1"/>
  <c r="U23" i="108"/>
  <c r="V23" i="108" s="1"/>
  <c r="S23" i="108"/>
  <c r="T23" i="108" s="1"/>
  <c r="Q23" i="108"/>
  <c r="R23" i="108" s="1"/>
  <c r="O23" i="108"/>
  <c r="P23" i="108" s="1"/>
  <c r="M23" i="108"/>
  <c r="N23" i="108" s="1"/>
  <c r="U22" i="108"/>
  <c r="V22" i="108" s="1"/>
  <c r="S22" i="108"/>
  <c r="T22" i="108" s="1"/>
  <c r="Q22" i="108"/>
  <c r="R22" i="108" s="1"/>
  <c r="O22" i="108"/>
  <c r="P22" i="108" s="1"/>
  <c r="M22" i="108"/>
  <c r="N22" i="108" s="1"/>
  <c r="U21" i="108"/>
  <c r="V21" i="108" s="1"/>
  <c r="S21" i="108"/>
  <c r="T21" i="108" s="1"/>
  <c r="Q21" i="108"/>
  <c r="R21" i="108" s="1"/>
  <c r="O21" i="108"/>
  <c r="P21" i="108" s="1"/>
  <c r="M21" i="108"/>
  <c r="N21" i="108" s="1"/>
  <c r="U20" i="108"/>
  <c r="V20" i="108" s="1"/>
  <c r="S20" i="108"/>
  <c r="T20" i="108" s="1"/>
  <c r="Q20" i="108"/>
  <c r="R20" i="108" s="1"/>
  <c r="O20" i="108"/>
  <c r="P20" i="108" s="1"/>
  <c r="M20" i="108"/>
  <c r="N20" i="108" s="1"/>
  <c r="U19" i="108"/>
  <c r="S19" i="108"/>
  <c r="Q19" i="108"/>
  <c r="R19" i="108" s="1"/>
  <c r="O19" i="108"/>
  <c r="P19" i="108" s="1"/>
  <c r="M19" i="108"/>
  <c r="V18" i="108"/>
  <c r="U18" i="108"/>
  <c r="T18" i="108"/>
  <c r="S18" i="108"/>
  <c r="R18" i="108"/>
  <c r="Q18" i="108"/>
  <c r="P18" i="108"/>
  <c r="O18" i="108"/>
  <c r="N18" i="108"/>
  <c r="M18" i="108"/>
  <c r="V17" i="108"/>
  <c r="U17" i="108"/>
  <c r="S17" i="108"/>
  <c r="Q17" i="108"/>
  <c r="R17" i="108" s="1"/>
  <c r="O17" i="108"/>
  <c r="P17" i="108" s="1"/>
  <c r="M17" i="108"/>
  <c r="V16" i="108"/>
  <c r="U16" i="108"/>
  <c r="T16" i="108"/>
  <c r="S16" i="108"/>
  <c r="R16" i="108"/>
  <c r="Q16" i="108"/>
  <c r="P16" i="108"/>
  <c r="O16" i="108"/>
  <c r="N16" i="108"/>
  <c r="M16" i="108"/>
  <c r="V15" i="108"/>
  <c r="U15" i="108"/>
  <c r="S15" i="108"/>
  <c r="T15" i="108" s="1"/>
  <c r="R15" i="108"/>
  <c r="Q15" i="108"/>
  <c r="P15" i="108"/>
  <c r="O15" i="108"/>
  <c r="N15" i="108"/>
  <c r="M15" i="108"/>
  <c r="U14" i="108"/>
  <c r="V14" i="108" s="1"/>
  <c r="T14" i="108"/>
  <c r="S14" i="108"/>
  <c r="R14" i="108"/>
  <c r="Q14" i="108"/>
  <c r="P14" i="108"/>
  <c r="O14" i="108"/>
  <c r="M14" i="108"/>
  <c r="N14" i="108" s="1"/>
  <c r="V13" i="108"/>
  <c r="U13" i="108"/>
  <c r="T13" i="108"/>
  <c r="S13" i="108"/>
  <c r="R13" i="108"/>
  <c r="Q13" i="108"/>
  <c r="O13" i="108"/>
  <c r="P13" i="108" s="1"/>
  <c r="N13" i="108"/>
  <c r="M13" i="108"/>
  <c r="V12" i="108"/>
  <c r="U12" i="108"/>
  <c r="T12" i="108"/>
  <c r="S12" i="108"/>
  <c r="Q12" i="108"/>
  <c r="R12" i="108" s="1"/>
  <c r="P12" i="108"/>
  <c r="O12" i="108"/>
  <c r="N12" i="108"/>
  <c r="M12" i="108"/>
  <c r="V11" i="108"/>
  <c r="U11" i="108"/>
  <c r="S11" i="108"/>
  <c r="T11" i="108" s="1"/>
  <c r="R11" i="108"/>
  <c r="Q11" i="108"/>
  <c r="P11" i="108"/>
  <c r="O11" i="108"/>
  <c r="N11" i="108"/>
  <c r="M11" i="108"/>
  <c r="U10" i="108"/>
  <c r="V10" i="108" s="1"/>
  <c r="T10" i="108"/>
  <c r="S10" i="108"/>
  <c r="R10" i="108"/>
  <c r="Q10" i="108"/>
  <c r="P10" i="108"/>
  <c r="O10" i="108"/>
  <c r="M10" i="108"/>
  <c r="N10" i="108" s="1"/>
  <c r="V9" i="108"/>
  <c r="U9" i="108"/>
  <c r="T9" i="108"/>
  <c r="S9" i="108"/>
  <c r="R9" i="108"/>
  <c r="Q9" i="108"/>
  <c r="O9" i="108"/>
  <c r="P9" i="108" s="1"/>
  <c r="N9" i="108"/>
  <c r="M9" i="108"/>
  <c r="V8" i="108"/>
  <c r="U8" i="108"/>
  <c r="T8" i="108"/>
  <c r="S8" i="108"/>
  <c r="Q8" i="108"/>
  <c r="R8" i="108" s="1"/>
  <c r="P8" i="108"/>
  <c r="O8" i="108"/>
  <c r="N8" i="108"/>
  <c r="M8" i="108"/>
  <c r="V7" i="108"/>
  <c r="U7" i="108"/>
  <c r="S7" i="108"/>
  <c r="T7" i="108" s="1"/>
  <c r="R7" i="108"/>
  <c r="Q7" i="108"/>
  <c r="P7" i="108"/>
  <c r="O7" i="108"/>
  <c r="N7" i="108"/>
  <c r="M7" i="108"/>
  <c r="U6" i="108"/>
  <c r="V6" i="108" s="1"/>
  <c r="T6" i="108"/>
  <c r="S6" i="108"/>
  <c r="R6" i="108"/>
  <c r="Q6" i="108"/>
  <c r="P6" i="108"/>
  <c r="O6" i="108"/>
  <c r="M6" i="108"/>
  <c r="N6" i="108" s="1"/>
  <c r="V5" i="108"/>
  <c r="U5" i="108"/>
  <c r="T5" i="108"/>
  <c r="S5" i="108"/>
  <c r="R5" i="108"/>
  <c r="Q5" i="108"/>
  <c r="O5" i="108"/>
  <c r="P5" i="108" s="1"/>
  <c r="N5" i="108"/>
  <c r="M5" i="108"/>
  <c r="V4" i="108"/>
  <c r="U4" i="108"/>
  <c r="T4" i="108"/>
  <c r="S4" i="108"/>
  <c r="Q4" i="108"/>
  <c r="R4" i="108" s="1"/>
  <c r="P4" i="108"/>
  <c r="O4" i="108"/>
  <c r="N4" i="108"/>
  <c r="M4" i="108"/>
  <c r="V3" i="108"/>
  <c r="U3" i="108"/>
  <c r="S3" i="108"/>
  <c r="T3" i="108" s="1"/>
  <c r="R3" i="108"/>
  <c r="Q3" i="108"/>
  <c r="P3" i="108"/>
  <c r="O3" i="108"/>
  <c r="N3" i="108"/>
  <c r="M3" i="108"/>
  <c r="U2" i="108"/>
  <c r="V2" i="108" s="1"/>
  <c r="T2" i="108"/>
  <c r="S2" i="108"/>
  <c r="R2" i="108"/>
  <c r="Q2" i="108"/>
  <c r="P2" i="108"/>
  <c r="O2" i="108"/>
  <c r="M2" i="108"/>
  <c r="N2" i="108" s="1"/>
  <c r="V41" i="106"/>
  <c r="U40" i="106"/>
  <c r="V40" i="106" s="1"/>
  <c r="T40" i="106"/>
  <c r="S40" i="106"/>
  <c r="Q40" i="106"/>
  <c r="R40" i="106" s="1"/>
  <c r="O40" i="106"/>
  <c r="P40" i="106" s="1"/>
  <c r="M40" i="106"/>
  <c r="N40" i="106" s="1"/>
  <c r="V39" i="106"/>
  <c r="U39" i="106"/>
  <c r="S39" i="106"/>
  <c r="T39" i="106" s="1"/>
  <c r="Q39" i="106"/>
  <c r="R39" i="106" s="1"/>
  <c r="O39" i="106"/>
  <c r="P39" i="106" s="1"/>
  <c r="N39" i="106"/>
  <c r="M39" i="106"/>
  <c r="U38" i="106"/>
  <c r="V38" i="106" s="1"/>
  <c r="T38" i="106"/>
  <c r="S38" i="106"/>
  <c r="Q38" i="106"/>
  <c r="R38" i="106" s="1"/>
  <c r="P38" i="106"/>
  <c r="O38" i="106"/>
  <c r="M38" i="106"/>
  <c r="N38" i="106" s="1"/>
  <c r="U37" i="106"/>
  <c r="V37" i="106" s="1"/>
  <c r="S37" i="106"/>
  <c r="T37" i="106" s="1"/>
  <c r="R37" i="106"/>
  <c r="Q37" i="106"/>
  <c r="O37" i="106"/>
  <c r="P37" i="106" s="1"/>
  <c r="N37" i="106"/>
  <c r="M37" i="106"/>
  <c r="U36" i="106"/>
  <c r="V36" i="106" s="1"/>
  <c r="T36" i="106"/>
  <c r="S36" i="106"/>
  <c r="Q36" i="106"/>
  <c r="R36" i="106" s="1"/>
  <c r="O36" i="106"/>
  <c r="P36" i="106" s="1"/>
  <c r="M36" i="106"/>
  <c r="N36" i="106" s="1"/>
  <c r="V35" i="106"/>
  <c r="U35" i="106"/>
  <c r="S35" i="106"/>
  <c r="T35" i="106" s="1"/>
  <c r="R35" i="106"/>
  <c r="Q35" i="106"/>
  <c r="O35" i="106"/>
  <c r="P35" i="106" s="1"/>
  <c r="N35" i="106"/>
  <c r="M35" i="106"/>
  <c r="U34" i="106"/>
  <c r="V34" i="106" s="1"/>
  <c r="S34" i="106"/>
  <c r="T34" i="106" s="1"/>
  <c r="Q34" i="106"/>
  <c r="R34" i="106" s="1"/>
  <c r="P34" i="106"/>
  <c r="O34" i="106"/>
  <c r="M34" i="106"/>
  <c r="N34" i="106" s="1"/>
  <c r="V33" i="106"/>
  <c r="U33" i="106"/>
  <c r="S33" i="106"/>
  <c r="T33" i="106" s="1"/>
  <c r="R33" i="106"/>
  <c r="Q33" i="106"/>
  <c r="O33" i="106"/>
  <c r="P33" i="106" s="1"/>
  <c r="M33" i="106"/>
  <c r="N33" i="106" s="1"/>
  <c r="U32" i="106"/>
  <c r="V32" i="106" s="1"/>
  <c r="T32" i="106"/>
  <c r="S32" i="106"/>
  <c r="Q32" i="106"/>
  <c r="R32" i="106" s="1"/>
  <c r="O32" i="106"/>
  <c r="P32" i="106" s="1"/>
  <c r="M32" i="106"/>
  <c r="N32" i="106" s="1"/>
  <c r="V31" i="106"/>
  <c r="U31" i="106"/>
  <c r="S31" i="106"/>
  <c r="T31" i="106" s="1"/>
  <c r="Q31" i="106"/>
  <c r="R31" i="106" s="1"/>
  <c r="O31" i="106"/>
  <c r="P31" i="106" s="1"/>
  <c r="N31" i="106"/>
  <c r="M31" i="106"/>
  <c r="U30" i="106"/>
  <c r="V30" i="106" s="1"/>
  <c r="T30" i="106"/>
  <c r="S30" i="106"/>
  <c r="Q30" i="106"/>
  <c r="R30" i="106" s="1"/>
  <c r="P30" i="106"/>
  <c r="O30" i="106"/>
  <c r="M30" i="106"/>
  <c r="N30" i="106" s="1"/>
  <c r="U29" i="106"/>
  <c r="V29" i="106" s="1"/>
  <c r="S29" i="106"/>
  <c r="T29" i="106" s="1"/>
  <c r="R29" i="106"/>
  <c r="Q29" i="106"/>
  <c r="O29" i="106"/>
  <c r="P29" i="106" s="1"/>
  <c r="N29" i="106"/>
  <c r="M29" i="106"/>
  <c r="U28" i="106"/>
  <c r="V28" i="106" s="1"/>
  <c r="T28" i="106"/>
  <c r="S28" i="106"/>
  <c r="Q28" i="106"/>
  <c r="R28" i="106" s="1"/>
  <c r="O28" i="106"/>
  <c r="P28" i="106" s="1"/>
  <c r="M28" i="106"/>
  <c r="N28" i="106" s="1"/>
  <c r="V27" i="106"/>
  <c r="U27" i="106"/>
  <c r="S27" i="106"/>
  <c r="T27" i="106" s="1"/>
  <c r="R27" i="106"/>
  <c r="Q27" i="106"/>
  <c r="O27" i="106"/>
  <c r="P27" i="106" s="1"/>
  <c r="N27" i="106"/>
  <c r="M27" i="106"/>
  <c r="U26" i="106"/>
  <c r="V26" i="106" s="1"/>
  <c r="S26" i="106"/>
  <c r="T26" i="106" s="1"/>
  <c r="Q26" i="106"/>
  <c r="R26" i="106" s="1"/>
  <c r="P26" i="106"/>
  <c r="O26" i="106"/>
  <c r="M26" i="106"/>
  <c r="N26" i="106" s="1"/>
  <c r="V25" i="106"/>
  <c r="U25" i="106"/>
  <c r="S25" i="106"/>
  <c r="T25" i="106" s="1"/>
  <c r="R25" i="106"/>
  <c r="Q25" i="106"/>
  <c r="O25" i="106"/>
  <c r="P25" i="106" s="1"/>
  <c r="M25" i="106"/>
  <c r="N25" i="106" s="1"/>
  <c r="U24" i="106"/>
  <c r="V24" i="106" s="1"/>
  <c r="T24" i="106"/>
  <c r="S24" i="106"/>
  <c r="Q24" i="106"/>
  <c r="R24" i="106" s="1"/>
  <c r="P24" i="106"/>
  <c r="O24" i="106"/>
  <c r="M24" i="106"/>
  <c r="N24" i="106" s="1"/>
  <c r="V23" i="106"/>
  <c r="U23" i="106"/>
  <c r="S23" i="106"/>
  <c r="T23" i="106" s="1"/>
  <c r="R23" i="106"/>
  <c r="Q23" i="106"/>
  <c r="O23" i="106"/>
  <c r="P23" i="106" s="1"/>
  <c r="N23" i="106"/>
  <c r="M23" i="106"/>
  <c r="U22" i="106"/>
  <c r="V22" i="106" s="1"/>
  <c r="T22" i="106"/>
  <c r="S22" i="106"/>
  <c r="Q22" i="106"/>
  <c r="R22" i="106" s="1"/>
  <c r="P22" i="106"/>
  <c r="O22" i="106"/>
  <c r="M22" i="106"/>
  <c r="N22" i="106" s="1"/>
  <c r="U21" i="106"/>
  <c r="V21" i="106" s="1"/>
  <c r="S21" i="106"/>
  <c r="T21" i="106" s="1"/>
  <c r="R21" i="106"/>
  <c r="Q21" i="106"/>
  <c r="O21" i="106"/>
  <c r="P21" i="106" s="1"/>
  <c r="N21" i="106"/>
  <c r="M21" i="106"/>
  <c r="U20" i="106"/>
  <c r="V20" i="106" s="1"/>
  <c r="T20" i="106"/>
  <c r="S20" i="106"/>
  <c r="Q20" i="106"/>
  <c r="R20" i="106" s="1"/>
  <c r="P20" i="106"/>
  <c r="O20" i="106"/>
  <c r="M20" i="106"/>
  <c r="N20" i="106" s="1"/>
  <c r="U19" i="106"/>
  <c r="S19" i="106"/>
  <c r="Q19" i="106"/>
  <c r="R19" i="106" s="1"/>
  <c r="P19" i="106"/>
  <c r="O19" i="106"/>
  <c r="M19" i="106"/>
  <c r="V18" i="106"/>
  <c r="U18" i="106"/>
  <c r="T18" i="106"/>
  <c r="S18" i="106"/>
  <c r="Q18" i="106"/>
  <c r="R18" i="106" s="1"/>
  <c r="P18" i="106"/>
  <c r="O18" i="106"/>
  <c r="N18" i="106"/>
  <c r="M18" i="106"/>
  <c r="V17" i="106"/>
  <c r="U17" i="106"/>
  <c r="S17" i="106"/>
  <c r="Q17" i="106"/>
  <c r="R17" i="106" s="1"/>
  <c r="O17" i="106"/>
  <c r="P17" i="106" s="1"/>
  <c r="M17" i="106"/>
  <c r="V16" i="106"/>
  <c r="U16" i="106"/>
  <c r="S16" i="106"/>
  <c r="T16" i="106" s="1"/>
  <c r="R16" i="106"/>
  <c r="Q16" i="106"/>
  <c r="O16" i="106"/>
  <c r="P16" i="106" s="1"/>
  <c r="N16" i="106"/>
  <c r="M16" i="106"/>
  <c r="U15" i="106"/>
  <c r="V15" i="106" s="1"/>
  <c r="T15" i="106"/>
  <c r="S15" i="106"/>
  <c r="Q15" i="106"/>
  <c r="R15" i="106" s="1"/>
  <c r="P15" i="106"/>
  <c r="O15" i="106"/>
  <c r="M15" i="106"/>
  <c r="N15" i="106" s="1"/>
  <c r="V14" i="106"/>
  <c r="U14" i="106"/>
  <c r="S14" i="106"/>
  <c r="T14" i="106" s="1"/>
  <c r="R14" i="106"/>
  <c r="Q14" i="106"/>
  <c r="O14" i="106"/>
  <c r="P14" i="106" s="1"/>
  <c r="N14" i="106"/>
  <c r="M14" i="106"/>
  <c r="U13" i="106"/>
  <c r="V13" i="106" s="1"/>
  <c r="T13" i="106"/>
  <c r="S13" i="106"/>
  <c r="Q13" i="106"/>
  <c r="R13" i="106" s="1"/>
  <c r="P13" i="106"/>
  <c r="O13" i="106"/>
  <c r="N13" i="106"/>
  <c r="M13" i="106"/>
  <c r="V12" i="106"/>
  <c r="U12" i="106"/>
  <c r="S12" i="106"/>
  <c r="T12" i="106" s="1"/>
  <c r="R12" i="106"/>
  <c r="Q12" i="106"/>
  <c r="P12" i="106"/>
  <c r="O12" i="106"/>
  <c r="N12" i="106"/>
  <c r="M12" i="106"/>
  <c r="U11" i="106"/>
  <c r="V11" i="106" s="1"/>
  <c r="T11" i="106"/>
  <c r="S11" i="106"/>
  <c r="Q11" i="106"/>
  <c r="R11" i="106" s="1"/>
  <c r="P11" i="106"/>
  <c r="O11" i="106"/>
  <c r="M11" i="106"/>
  <c r="N11" i="106" s="1"/>
  <c r="V10" i="106"/>
  <c r="U10" i="106"/>
  <c r="S10" i="106"/>
  <c r="T10" i="106" s="1"/>
  <c r="R10" i="106"/>
  <c r="Q10" i="106"/>
  <c r="O10" i="106"/>
  <c r="P10" i="106" s="1"/>
  <c r="N10" i="106"/>
  <c r="M10" i="106"/>
  <c r="U9" i="106"/>
  <c r="V9" i="106" s="1"/>
  <c r="T9" i="106"/>
  <c r="S9" i="106"/>
  <c r="Q9" i="106"/>
  <c r="R9" i="106" s="1"/>
  <c r="P9" i="106"/>
  <c r="O9" i="106"/>
  <c r="M9" i="106"/>
  <c r="N9" i="106" s="1"/>
  <c r="V8" i="106"/>
  <c r="U8" i="106"/>
  <c r="S8" i="106"/>
  <c r="T8" i="106" s="1"/>
  <c r="R8" i="106"/>
  <c r="Q8" i="106"/>
  <c r="O8" i="106"/>
  <c r="P8" i="106" s="1"/>
  <c r="N8" i="106"/>
  <c r="M8" i="106"/>
  <c r="U7" i="106"/>
  <c r="V7" i="106" s="1"/>
  <c r="T7" i="106"/>
  <c r="S7" i="106"/>
  <c r="Q7" i="106"/>
  <c r="R7" i="106" s="1"/>
  <c r="P7" i="106"/>
  <c r="O7" i="106"/>
  <c r="M7" i="106"/>
  <c r="N7" i="106" s="1"/>
  <c r="V6" i="106"/>
  <c r="U6" i="106"/>
  <c r="T6" i="106"/>
  <c r="S6" i="106"/>
  <c r="R6" i="106"/>
  <c r="Q6" i="106"/>
  <c r="O6" i="106"/>
  <c r="P6" i="106" s="1"/>
  <c r="N6" i="106"/>
  <c r="M6" i="106"/>
  <c r="V5" i="106"/>
  <c r="U5" i="106"/>
  <c r="T5" i="106"/>
  <c r="S5" i="106"/>
  <c r="Q5" i="106"/>
  <c r="R5" i="106" s="1"/>
  <c r="P5" i="106"/>
  <c r="O5" i="106"/>
  <c r="N5" i="106"/>
  <c r="M5" i="106"/>
  <c r="V4" i="106"/>
  <c r="U4" i="106"/>
  <c r="S4" i="106"/>
  <c r="T4" i="106" s="1"/>
  <c r="R4" i="106"/>
  <c r="Q4" i="106"/>
  <c r="P4" i="106"/>
  <c r="O4" i="106"/>
  <c r="N4" i="106"/>
  <c r="M4" i="106"/>
  <c r="U3" i="106"/>
  <c r="V3" i="106" s="1"/>
  <c r="T3" i="106"/>
  <c r="S3" i="106"/>
  <c r="R3" i="106"/>
  <c r="Q3" i="106"/>
  <c r="P3" i="106"/>
  <c r="O3" i="106"/>
  <c r="M3" i="106"/>
  <c r="N3" i="106" s="1"/>
  <c r="V2" i="106"/>
  <c r="U2" i="106"/>
  <c r="S2" i="106"/>
  <c r="T2" i="106" s="1"/>
  <c r="R2" i="106"/>
  <c r="Q2" i="106"/>
  <c r="O2" i="106"/>
  <c r="P2" i="106" s="1"/>
  <c r="N2" i="106"/>
  <c r="M2" i="106"/>
  <c r="V43" i="105"/>
  <c r="U42" i="105"/>
  <c r="V42" i="105" s="1"/>
  <c r="S42" i="105"/>
  <c r="T42" i="105" s="1"/>
  <c r="R42" i="105"/>
  <c r="Q42" i="105"/>
  <c r="O42" i="105"/>
  <c r="P42" i="105" s="1"/>
  <c r="M42" i="105"/>
  <c r="N42" i="105" s="1"/>
  <c r="U41" i="105"/>
  <c r="V41" i="105" s="1"/>
  <c r="T41" i="105"/>
  <c r="S41" i="105"/>
  <c r="Q41" i="105"/>
  <c r="R41" i="105" s="1"/>
  <c r="P41" i="105"/>
  <c r="O41" i="105"/>
  <c r="M41" i="105"/>
  <c r="N41" i="105" s="1"/>
  <c r="U40" i="105"/>
  <c r="V40" i="105" s="1"/>
  <c r="S40" i="105"/>
  <c r="T40" i="105" s="1"/>
  <c r="R40" i="105"/>
  <c r="Q40" i="105"/>
  <c r="O40" i="105"/>
  <c r="P40" i="105" s="1"/>
  <c r="N40" i="105"/>
  <c r="M40" i="105"/>
  <c r="U39" i="105"/>
  <c r="V39" i="105" s="1"/>
  <c r="S39" i="105"/>
  <c r="T39" i="105" s="1"/>
  <c r="Q39" i="105"/>
  <c r="R39" i="105" s="1"/>
  <c r="O39" i="105"/>
  <c r="P39" i="105" s="1"/>
  <c r="M39" i="105"/>
  <c r="N39" i="105" s="1"/>
  <c r="U38" i="105"/>
  <c r="V38" i="105" s="1"/>
  <c r="S38" i="105"/>
  <c r="T38" i="105" s="1"/>
  <c r="R38" i="105"/>
  <c r="Q38" i="105"/>
  <c r="O38" i="105"/>
  <c r="P38" i="105" s="1"/>
  <c r="N38" i="105"/>
  <c r="M38" i="105"/>
  <c r="U37" i="105"/>
  <c r="V37" i="105" s="1"/>
  <c r="S37" i="105"/>
  <c r="T37" i="105" s="1"/>
  <c r="Q37" i="105"/>
  <c r="R37" i="105" s="1"/>
  <c r="P37" i="105"/>
  <c r="O37" i="105"/>
  <c r="M37" i="105"/>
  <c r="N37" i="105" s="1"/>
  <c r="V36" i="105"/>
  <c r="U36" i="105"/>
  <c r="S36" i="105"/>
  <c r="T36" i="105" s="1"/>
  <c r="Q36" i="105"/>
  <c r="R36" i="105" s="1"/>
  <c r="O36" i="105"/>
  <c r="P36" i="105" s="1"/>
  <c r="N36" i="105"/>
  <c r="M36" i="105"/>
  <c r="U35" i="105"/>
  <c r="V35" i="105" s="1"/>
  <c r="S35" i="105"/>
  <c r="T35" i="105" s="1"/>
  <c r="Q35" i="105"/>
  <c r="R35" i="105" s="1"/>
  <c r="O35" i="105"/>
  <c r="P35" i="105" s="1"/>
  <c r="M35" i="105"/>
  <c r="N35" i="105" s="1"/>
  <c r="V34" i="105"/>
  <c r="U34" i="105"/>
  <c r="S34" i="105"/>
  <c r="T34" i="105" s="1"/>
  <c r="Q34" i="105"/>
  <c r="R34" i="105" s="1"/>
  <c r="O34" i="105"/>
  <c r="P34" i="105" s="1"/>
  <c r="M34" i="105"/>
  <c r="N34" i="105" s="1"/>
  <c r="U33" i="105"/>
  <c r="V33" i="105" s="1"/>
  <c r="T33" i="105"/>
  <c r="S33" i="105"/>
  <c r="Q33" i="105"/>
  <c r="R33" i="105" s="1"/>
  <c r="O33" i="105"/>
  <c r="P33" i="105" s="1"/>
  <c r="M33" i="105"/>
  <c r="N33" i="105" s="1"/>
  <c r="U32" i="105"/>
  <c r="V32" i="105" s="1"/>
  <c r="S32" i="105"/>
  <c r="T32" i="105" s="1"/>
  <c r="Q32" i="105"/>
  <c r="R32" i="105" s="1"/>
  <c r="O32" i="105"/>
  <c r="P32" i="105" s="1"/>
  <c r="M32" i="105"/>
  <c r="N32" i="105" s="1"/>
  <c r="U31" i="105"/>
  <c r="V31" i="105" s="1"/>
  <c r="T31" i="105"/>
  <c r="S31" i="105"/>
  <c r="Q31" i="105"/>
  <c r="R31" i="105" s="1"/>
  <c r="O31" i="105"/>
  <c r="P31" i="105" s="1"/>
  <c r="M31" i="105"/>
  <c r="N31" i="105" s="1"/>
  <c r="U30" i="105"/>
  <c r="V30" i="105" s="1"/>
  <c r="S30" i="105"/>
  <c r="T30" i="105" s="1"/>
  <c r="R30" i="105"/>
  <c r="Q30" i="105"/>
  <c r="O30" i="105"/>
  <c r="P30" i="105" s="1"/>
  <c r="M30" i="105"/>
  <c r="N30" i="105" s="1"/>
  <c r="U29" i="105"/>
  <c r="V29" i="105" s="1"/>
  <c r="S29" i="105"/>
  <c r="T29" i="105" s="1"/>
  <c r="Q29" i="105"/>
  <c r="R29" i="105" s="1"/>
  <c r="O29" i="105"/>
  <c r="P29" i="105" s="1"/>
  <c r="M29" i="105"/>
  <c r="N29" i="105" s="1"/>
  <c r="V28" i="105"/>
  <c r="U28" i="105"/>
  <c r="S28" i="105"/>
  <c r="T28" i="105" s="1"/>
  <c r="R28" i="105"/>
  <c r="Q28" i="105"/>
  <c r="O28" i="105"/>
  <c r="P28" i="105" s="1"/>
  <c r="M28" i="105"/>
  <c r="N28" i="105" s="1"/>
  <c r="U27" i="105"/>
  <c r="V27" i="105" s="1"/>
  <c r="T27" i="105"/>
  <c r="S27" i="105"/>
  <c r="Q27" i="105"/>
  <c r="R27" i="105" s="1"/>
  <c r="P27" i="105"/>
  <c r="O27" i="105"/>
  <c r="M27" i="105"/>
  <c r="N27" i="105" s="1"/>
  <c r="U26" i="105"/>
  <c r="V26" i="105" s="1"/>
  <c r="S26" i="105"/>
  <c r="T26" i="105" s="1"/>
  <c r="R26" i="105"/>
  <c r="Q26" i="105"/>
  <c r="O26" i="105"/>
  <c r="P26" i="105" s="1"/>
  <c r="M26" i="105"/>
  <c r="N26" i="105" s="1"/>
  <c r="U25" i="105"/>
  <c r="V25" i="105" s="1"/>
  <c r="T25" i="105"/>
  <c r="S25" i="105"/>
  <c r="Q25" i="105"/>
  <c r="R25" i="105" s="1"/>
  <c r="P25" i="105"/>
  <c r="O25" i="105"/>
  <c r="M25" i="105"/>
  <c r="N25" i="105" s="1"/>
  <c r="U24" i="105"/>
  <c r="V24" i="105" s="1"/>
  <c r="S24" i="105"/>
  <c r="T24" i="105" s="1"/>
  <c r="R24" i="105"/>
  <c r="Q24" i="105"/>
  <c r="O24" i="105"/>
  <c r="P24" i="105" s="1"/>
  <c r="N24" i="105"/>
  <c r="M24" i="105"/>
  <c r="U23" i="105"/>
  <c r="V23" i="105" s="1"/>
  <c r="S23" i="105"/>
  <c r="T23" i="105" s="1"/>
  <c r="Q23" i="105"/>
  <c r="R23" i="105" s="1"/>
  <c r="P23" i="105"/>
  <c r="O23" i="105"/>
  <c r="M23" i="105"/>
  <c r="N23" i="105" s="1"/>
  <c r="U22" i="105"/>
  <c r="V22" i="105" s="1"/>
  <c r="S22" i="105"/>
  <c r="T22" i="105" s="1"/>
  <c r="Q22" i="105"/>
  <c r="R22" i="105" s="1"/>
  <c r="O22" i="105"/>
  <c r="P22" i="105" s="1"/>
  <c r="N22" i="105"/>
  <c r="M22" i="105"/>
  <c r="U21" i="105"/>
  <c r="S21" i="105"/>
  <c r="Q21" i="105"/>
  <c r="R21" i="105" s="1"/>
  <c r="O21" i="105"/>
  <c r="P21" i="105" s="1"/>
  <c r="M21" i="105"/>
  <c r="V20" i="105"/>
  <c r="U20" i="105"/>
  <c r="S20" i="105"/>
  <c r="T20" i="105" s="1"/>
  <c r="R20" i="105"/>
  <c r="Q20" i="105"/>
  <c r="P20" i="105"/>
  <c r="O20" i="105"/>
  <c r="N20" i="105"/>
  <c r="M20" i="105"/>
  <c r="U19" i="105"/>
  <c r="V19" i="105" s="1"/>
  <c r="S19" i="105"/>
  <c r="Q19" i="105"/>
  <c r="R19" i="105" s="1"/>
  <c r="O19" i="105"/>
  <c r="P19" i="105" s="1"/>
  <c r="M19" i="105"/>
  <c r="U18" i="105"/>
  <c r="V18" i="105" s="1"/>
  <c r="T18" i="105"/>
  <c r="S18" i="105"/>
  <c r="Q18" i="105"/>
  <c r="R18" i="105" s="1"/>
  <c r="P18" i="105"/>
  <c r="O18" i="105"/>
  <c r="M18" i="105"/>
  <c r="N18" i="105" s="1"/>
  <c r="V17" i="105"/>
  <c r="U17" i="105"/>
  <c r="T17" i="105"/>
  <c r="S17" i="105"/>
  <c r="R17" i="105"/>
  <c r="Q17" i="105"/>
  <c r="O17" i="105"/>
  <c r="P17" i="105" s="1"/>
  <c r="N17" i="105"/>
  <c r="M17" i="105"/>
  <c r="V16" i="105"/>
  <c r="U16" i="105"/>
  <c r="T16" i="105"/>
  <c r="S16" i="105"/>
  <c r="Q16" i="105"/>
  <c r="R16" i="105" s="1"/>
  <c r="P16" i="105"/>
  <c r="O16" i="105"/>
  <c r="N16" i="105"/>
  <c r="M16" i="105"/>
  <c r="V15" i="105"/>
  <c r="U15" i="105"/>
  <c r="S15" i="105"/>
  <c r="T15" i="105" s="1"/>
  <c r="R15" i="105"/>
  <c r="Q15" i="105"/>
  <c r="P15" i="105"/>
  <c r="O15" i="105"/>
  <c r="N15" i="105"/>
  <c r="M15" i="105"/>
  <c r="U14" i="105"/>
  <c r="V14" i="105" s="1"/>
  <c r="T14" i="105"/>
  <c r="S14" i="105"/>
  <c r="R14" i="105"/>
  <c r="Q14" i="105"/>
  <c r="P14" i="105"/>
  <c r="O14" i="105"/>
  <c r="M14" i="105"/>
  <c r="N14" i="105" s="1"/>
  <c r="V13" i="105"/>
  <c r="U13" i="105"/>
  <c r="S13" i="105"/>
  <c r="T13" i="105" s="1"/>
  <c r="R13" i="105"/>
  <c r="Q13" i="105"/>
  <c r="O13" i="105"/>
  <c r="P13" i="105" s="1"/>
  <c r="N13" i="105"/>
  <c r="M13" i="105"/>
  <c r="U12" i="105"/>
  <c r="V12" i="105" s="1"/>
  <c r="T12" i="105"/>
  <c r="S12" i="105"/>
  <c r="Q12" i="105"/>
  <c r="R12" i="105" s="1"/>
  <c r="P12" i="105"/>
  <c r="O12" i="105"/>
  <c r="M12" i="105"/>
  <c r="N12" i="105" s="1"/>
  <c r="V11" i="105"/>
  <c r="U11" i="105"/>
  <c r="S11" i="105"/>
  <c r="T11" i="105" s="1"/>
  <c r="R11" i="105"/>
  <c r="Q11" i="105"/>
  <c r="P11" i="105"/>
  <c r="O11" i="105"/>
  <c r="N11" i="105"/>
  <c r="M11" i="105"/>
  <c r="U10" i="105"/>
  <c r="V10" i="105" s="1"/>
  <c r="T10" i="105"/>
  <c r="S10" i="105"/>
  <c r="R10" i="105"/>
  <c r="Q10" i="105"/>
  <c r="P10" i="105"/>
  <c r="O10" i="105"/>
  <c r="M10" i="105"/>
  <c r="N10" i="105" s="1"/>
  <c r="V9" i="105"/>
  <c r="U9" i="105"/>
  <c r="T9" i="105"/>
  <c r="S9" i="105"/>
  <c r="R9" i="105"/>
  <c r="Q9" i="105"/>
  <c r="O9" i="105"/>
  <c r="P9" i="105" s="1"/>
  <c r="N9" i="105"/>
  <c r="M9" i="105"/>
  <c r="V8" i="105"/>
  <c r="U8" i="105"/>
  <c r="T8" i="105"/>
  <c r="S8" i="105"/>
  <c r="Q8" i="105"/>
  <c r="R8" i="105" s="1"/>
  <c r="P8" i="105"/>
  <c r="O8" i="105"/>
  <c r="N8" i="105"/>
  <c r="M8" i="105"/>
  <c r="V7" i="105"/>
  <c r="U7" i="105"/>
  <c r="S7" i="105"/>
  <c r="T7" i="105" s="1"/>
  <c r="R7" i="105"/>
  <c r="Q7" i="105"/>
  <c r="O7" i="105"/>
  <c r="P7" i="105" s="1"/>
  <c r="N7" i="105"/>
  <c r="M7" i="105"/>
  <c r="U6" i="105"/>
  <c r="V6" i="105" s="1"/>
  <c r="T6" i="105"/>
  <c r="S6" i="105"/>
  <c r="Q6" i="105"/>
  <c r="R6" i="105" s="1"/>
  <c r="P6" i="105"/>
  <c r="O6" i="105"/>
  <c r="M6" i="105"/>
  <c r="N6" i="105" s="1"/>
  <c r="V5" i="105"/>
  <c r="U5" i="105"/>
  <c r="S5" i="105"/>
  <c r="T5" i="105" s="1"/>
  <c r="R5" i="105"/>
  <c r="Q5" i="105"/>
  <c r="O5" i="105"/>
  <c r="P5" i="105" s="1"/>
  <c r="N5" i="105"/>
  <c r="M5" i="105"/>
  <c r="V4" i="105"/>
  <c r="U4" i="105"/>
  <c r="T4" i="105"/>
  <c r="S4" i="105"/>
  <c r="Q4" i="105"/>
  <c r="R4" i="105" s="1"/>
  <c r="P4" i="105"/>
  <c r="O4" i="105"/>
  <c r="N4" i="105"/>
  <c r="M4" i="105"/>
  <c r="V3" i="105"/>
  <c r="U3" i="105"/>
  <c r="S3" i="105"/>
  <c r="T3" i="105" s="1"/>
  <c r="R3" i="105"/>
  <c r="Q3" i="105"/>
  <c r="O3" i="105"/>
  <c r="P3" i="105" s="1"/>
  <c r="N3" i="105"/>
  <c r="M3" i="105"/>
  <c r="U2" i="105"/>
  <c r="V2" i="105" s="1"/>
  <c r="T2" i="105"/>
  <c r="S2" i="105"/>
  <c r="Q2" i="105"/>
  <c r="R2" i="105" s="1"/>
  <c r="P2" i="105"/>
  <c r="O2" i="105"/>
  <c r="M2" i="105"/>
  <c r="N2" i="105" s="1"/>
  <c r="V44" i="104"/>
  <c r="V43" i="104"/>
  <c r="V42" i="104"/>
  <c r="U42" i="104"/>
  <c r="T42" i="104"/>
  <c r="S42" i="104"/>
  <c r="Q42" i="104"/>
  <c r="R42" i="104" s="1"/>
  <c r="P42" i="104"/>
  <c r="O42" i="104"/>
  <c r="M42" i="104"/>
  <c r="N42" i="104" s="1"/>
  <c r="V41" i="104"/>
  <c r="U41" i="104"/>
  <c r="S41" i="104"/>
  <c r="T41" i="104" s="1"/>
  <c r="R41" i="104"/>
  <c r="Q41" i="104"/>
  <c r="O41" i="104"/>
  <c r="P41" i="104" s="1"/>
  <c r="N41" i="104"/>
  <c r="M41" i="104"/>
  <c r="U40" i="104"/>
  <c r="V40" i="104" s="1"/>
  <c r="T40" i="104"/>
  <c r="S40" i="104"/>
  <c r="Q40" i="104"/>
  <c r="R40" i="104" s="1"/>
  <c r="P40" i="104"/>
  <c r="O40" i="104"/>
  <c r="M40" i="104"/>
  <c r="N40" i="104" s="1"/>
  <c r="V39" i="104"/>
  <c r="U39" i="104"/>
  <c r="T39" i="104"/>
  <c r="S39" i="104"/>
  <c r="R39" i="104"/>
  <c r="Q39" i="104"/>
  <c r="O39" i="104"/>
  <c r="P39" i="104" s="1"/>
  <c r="N39" i="104"/>
  <c r="M39" i="104"/>
  <c r="V38" i="104"/>
  <c r="U38" i="104"/>
  <c r="T38" i="104"/>
  <c r="S38" i="104"/>
  <c r="Q38" i="104"/>
  <c r="R38" i="104" s="1"/>
  <c r="P38" i="104"/>
  <c r="O38" i="104"/>
  <c r="M38" i="104"/>
  <c r="N38" i="104" s="1"/>
  <c r="V37" i="104"/>
  <c r="U37" i="104"/>
  <c r="S37" i="104"/>
  <c r="T37" i="104" s="1"/>
  <c r="R37" i="104"/>
  <c r="Q37" i="104"/>
  <c r="P37" i="104"/>
  <c r="O37" i="104"/>
  <c r="N37" i="104"/>
  <c r="M37" i="104"/>
  <c r="U36" i="104"/>
  <c r="V36" i="104" s="1"/>
  <c r="T36" i="104"/>
  <c r="S36" i="104"/>
  <c r="Q36" i="104"/>
  <c r="R36" i="104" s="1"/>
  <c r="P36" i="104"/>
  <c r="O36" i="104"/>
  <c r="M36" i="104"/>
  <c r="N36" i="104" s="1"/>
  <c r="V35" i="104"/>
  <c r="U35" i="104"/>
  <c r="S35" i="104"/>
  <c r="T35" i="104" s="1"/>
  <c r="R35" i="104"/>
  <c r="Q35" i="104"/>
  <c r="O35" i="104"/>
  <c r="P35" i="104" s="1"/>
  <c r="N35" i="104"/>
  <c r="M35" i="104"/>
  <c r="U34" i="104"/>
  <c r="V34" i="104" s="1"/>
  <c r="T34" i="104"/>
  <c r="S34" i="104"/>
  <c r="Q34" i="104"/>
  <c r="R34" i="104" s="1"/>
  <c r="P34" i="104"/>
  <c r="O34" i="104"/>
  <c r="M34" i="104"/>
  <c r="N34" i="104" s="1"/>
  <c r="V33" i="104"/>
  <c r="U33" i="104"/>
  <c r="S33" i="104"/>
  <c r="T33" i="104" s="1"/>
  <c r="R33" i="104"/>
  <c r="Q33" i="104"/>
  <c r="P33" i="104"/>
  <c r="O33" i="104"/>
  <c r="N33" i="104"/>
  <c r="M33" i="104"/>
  <c r="U32" i="104"/>
  <c r="V32" i="104" s="1"/>
  <c r="T32" i="104"/>
  <c r="S32" i="104"/>
  <c r="R32" i="104"/>
  <c r="Q32" i="104"/>
  <c r="P32" i="104"/>
  <c r="O32" i="104"/>
  <c r="M32" i="104"/>
  <c r="N32" i="104" s="1"/>
  <c r="V31" i="104"/>
  <c r="U31" i="104"/>
  <c r="S31" i="104"/>
  <c r="T31" i="104" s="1"/>
  <c r="R31" i="104"/>
  <c r="Q31" i="104"/>
  <c r="O31" i="104"/>
  <c r="P31" i="104" s="1"/>
  <c r="N31" i="104"/>
  <c r="M31" i="104"/>
  <c r="U30" i="104"/>
  <c r="V30" i="104" s="1"/>
  <c r="T30" i="104"/>
  <c r="S30" i="104"/>
  <c r="Q30" i="104"/>
  <c r="R30" i="104" s="1"/>
  <c r="P30" i="104"/>
  <c r="O30" i="104"/>
  <c r="M30" i="104"/>
  <c r="N30" i="104" s="1"/>
  <c r="V29" i="104"/>
  <c r="U29" i="104"/>
  <c r="S29" i="104"/>
  <c r="T29" i="104" s="1"/>
  <c r="R29" i="104"/>
  <c r="Q29" i="104"/>
  <c r="O29" i="104"/>
  <c r="P29" i="104" s="1"/>
  <c r="N29" i="104"/>
  <c r="M29" i="104"/>
  <c r="U28" i="104"/>
  <c r="V28" i="104" s="1"/>
  <c r="T28" i="104"/>
  <c r="S28" i="104"/>
  <c r="Q28" i="104"/>
  <c r="R28" i="104" s="1"/>
  <c r="P28" i="104"/>
  <c r="O28" i="104"/>
  <c r="M28" i="104"/>
  <c r="N28" i="104" s="1"/>
  <c r="V27" i="104"/>
  <c r="U27" i="104"/>
  <c r="S27" i="104"/>
  <c r="T27" i="104" s="1"/>
  <c r="R27" i="104"/>
  <c r="Q27" i="104"/>
  <c r="O27" i="104"/>
  <c r="P27" i="104" s="1"/>
  <c r="N27" i="104"/>
  <c r="M27" i="104"/>
  <c r="V26" i="104"/>
  <c r="U26" i="104"/>
  <c r="T26" i="104"/>
  <c r="S26" i="104"/>
  <c r="Q26" i="104"/>
  <c r="R26" i="104" s="1"/>
  <c r="P26" i="104"/>
  <c r="O26" i="104"/>
  <c r="M26" i="104"/>
  <c r="N26" i="104" s="1"/>
  <c r="V25" i="104"/>
  <c r="U25" i="104"/>
  <c r="S25" i="104"/>
  <c r="T25" i="104" s="1"/>
  <c r="R25" i="104"/>
  <c r="Q25" i="104"/>
  <c r="O25" i="104"/>
  <c r="P25" i="104" s="1"/>
  <c r="N25" i="104"/>
  <c r="M25" i="104"/>
  <c r="U24" i="104"/>
  <c r="V24" i="104" s="1"/>
  <c r="S24" i="104"/>
  <c r="T24" i="104" s="1"/>
  <c r="R24" i="104"/>
  <c r="Q24" i="104"/>
  <c r="O24" i="104"/>
  <c r="P24" i="104" s="1"/>
  <c r="M24" i="104"/>
  <c r="N24" i="104" s="1"/>
  <c r="U23" i="104"/>
  <c r="V23" i="104" s="1"/>
  <c r="S23" i="104"/>
  <c r="T23" i="104" s="1"/>
  <c r="R23" i="104"/>
  <c r="Q23" i="104"/>
  <c r="O23" i="104"/>
  <c r="P23" i="104" s="1"/>
  <c r="M23" i="104"/>
  <c r="N23" i="104" s="1"/>
  <c r="V22" i="104"/>
  <c r="U22" i="104"/>
  <c r="S22" i="104"/>
  <c r="T22" i="104" s="1"/>
  <c r="Q22" i="104"/>
  <c r="R22" i="104" s="1"/>
  <c r="O22" i="104"/>
  <c r="P22" i="104" s="1"/>
  <c r="M22" i="104"/>
  <c r="N22" i="104" s="1"/>
  <c r="R21" i="104"/>
  <c r="P21" i="104"/>
  <c r="U20" i="104"/>
  <c r="V20" i="104" s="1"/>
  <c r="S20" i="104"/>
  <c r="T20" i="104" s="1"/>
  <c r="R20" i="104"/>
  <c r="Q20" i="104"/>
  <c r="O20" i="104"/>
  <c r="P20" i="104" s="1"/>
  <c r="M20" i="104"/>
  <c r="N20" i="104" s="1"/>
  <c r="U19" i="104"/>
  <c r="V19" i="104" s="1"/>
  <c r="S19" i="104"/>
  <c r="R19" i="104"/>
  <c r="Q19" i="104"/>
  <c r="P19" i="104"/>
  <c r="O19" i="104"/>
  <c r="M19" i="104"/>
  <c r="U18" i="104"/>
  <c r="V18" i="104" s="1"/>
  <c r="T18" i="104"/>
  <c r="S18" i="104"/>
  <c r="R18" i="104"/>
  <c r="Q18" i="104"/>
  <c r="O18" i="104"/>
  <c r="P18" i="104" s="1"/>
  <c r="M18" i="104"/>
  <c r="N18" i="104" s="1"/>
  <c r="U17" i="104"/>
  <c r="V17" i="104" s="1"/>
  <c r="S17" i="104"/>
  <c r="T17" i="104" s="1"/>
  <c r="Q17" i="104"/>
  <c r="R17" i="104" s="1"/>
  <c r="O17" i="104"/>
  <c r="P17" i="104" s="1"/>
  <c r="N17" i="104"/>
  <c r="M17" i="104"/>
  <c r="U16" i="104"/>
  <c r="V16" i="104" s="1"/>
  <c r="S16" i="104"/>
  <c r="T16" i="104" s="1"/>
  <c r="Q16" i="104"/>
  <c r="R16" i="104" s="1"/>
  <c r="P16" i="104"/>
  <c r="O16" i="104"/>
  <c r="N16" i="104"/>
  <c r="M16" i="104"/>
  <c r="U15" i="104"/>
  <c r="V15" i="104" s="1"/>
  <c r="S15" i="104"/>
  <c r="T15" i="104" s="1"/>
  <c r="Q15" i="104"/>
  <c r="R15" i="104" s="1"/>
  <c r="P15" i="104"/>
  <c r="O15" i="104"/>
  <c r="M15" i="104"/>
  <c r="N15" i="104" s="1"/>
  <c r="U14" i="104"/>
  <c r="V14" i="104" s="1"/>
  <c r="S14" i="104"/>
  <c r="T14" i="104" s="1"/>
  <c r="Q14" i="104"/>
  <c r="R14" i="104" s="1"/>
  <c r="O14" i="104"/>
  <c r="P14" i="104" s="1"/>
  <c r="M14" i="104"/>
  <c r="N14" i="104" s="1"/>
  <c r="V13" i="104"/>
  <c r="U13" i="104"/>
  <c r="S13" i="104"/>
  <c r="T13" i="104" s="1"/>
  <c r="Q13" i="104"/>
  <c r="R13" i="104" s="1"/>
  <c r="O13" i="104"/>
  <c r="P13" i="104" s="1"/>
  <c r="N13" i="104"/>
  <c r="M13" i="104"/>
  <c r="V12" i="104"/>
  <c r="U12" i="104"/>
  <c r="S12" i="104"/>
  <c r="T12" i="104" s="1"/>
  <c r="Q12" i="104"/>
  <c r="R12" i="104" s="1"/>
  <c r="P12" i="104"/>
  <c r="O12" i="104"/>
  <c r="N12" i="104"/>
  <c r="M12" i="104"/>
  <c r="U11" i="104"/>
  <c r="V11" i="104" s="1"/>
  <c r="S11" i="104"/>
  <c r="T11" i="104" s="1"/>
  <c r="Q11" i="104"/>
  <c r="R11" i="104" s="1"/>
  <c r="O11" i="104"/>
  <c r="P11" i="104" s="1"/>
  <c r="M11" i="104"/>
  <c r="N11" i="104" s="1"/>
  <c r="U10" i="104"/>
  <c r="V10" i="104" s="1"/>
  <c r="T10" i="104"/>
  <c r="S10" i="104"/>
  <c r="Q10" i="104"/>
  <c r="R10" i="104" s="1"/>
  <c r="O10" i="104"/>
  <c r="P10" i="104" s="1"/>
  <c r="M10" i="104"/>
  <c r="N10" i="104" s="1"/>
  <c r="V9" i="104"/>
  <c r="U9" i="104"/>
  <c r="T9" i="104"/>
  <c r="S9" i="104"/>
  <c r="Q9" i="104"/>
  <c r="R9" i="104" s="1"/>
  <c r="O9" i="104"/>
  <c r="P9" i="104" s="1"/>
  <c r="N9" i="104"/>
  <c r="M9" i="104"/>
  <c r="V8" i="104"/>
  <c r="U8" i="104"/>
  <c r="S8" i="104"/>
  <c r="T8" i="104" s="1"/>
  <c r="Q8" i="104"/>
  <c r="R8" i="104" s="1"/>
  <c r="O8" i="104"/>
  <c r="P8" i="104" s="1"/>
  <c r="N8" i="104"/>
  <c r="M8" i="104"/>
  <c r="U7" i="104"/>
  <c r="V7" i="104" s="1"/>
  <c r="S7" i="104"/>
  <c r="T7" i="104" s="1"/>
  <c r="R7" i="104"/>
  <c r="Q7" i="104"/>
  <c r="O7" i="104"/>
  <c r="P7" i="104" s="1"/>
  <c r="M7" i="104"/>
  <c r="N7" i="104" s="1"/>
  <c r="U6" i="104"/>
  <c r="V6" i="104" s="1"/>
  <c r="T6" i="104"/>
  <c r="S6" i="104"/>
  <c r="R6" i="104"/>
  <c r="Q6" i="104"/>
  <c r="O6" i="104"/>
  <c r="P6" i="104" s="1"/>
  <c r="M6" i="104"/>
  <c r="N6" i="104" s="1"/>
  <c r="U5" i="104"/>
  <c r="V5" i="104" s="1"/>
  <c r="T5" i="104"/>
  <c r="S5" i="104"/>
  <c r="Q5" i="104"/>
  <c r="R5" i="104" s="1"/>
  <c r="O5" i="104"/>
  <c r="P5" i="104" s="1"/>
  <c r="M5" i="104"/>
  <c r="N5" i="104" s="1"/>
  <c r="U4" i="104"/>
  <c r="V4" i="104" s="1"/>
  <c r="S4" i="104"/>
  <c r="T4" i="104" s="1"/>
  <c r="Q4" i="104"/>
  <c r="R4" i="104" s="1"/>
  <c r="P4" i="104"/>
  <c r="O4" i="104"/>
  <c r="M4" i="104"/>
  <c r="N4" i="104" s="1"/>
  <c r="U3" i="104"/>
  <c r="V3" i="104" s="1"/>
  <c r="S3" i="104"/>
  <c r="T3" i="104" s="1"/>
  <c r="Q3" i="104"/>
  <c r="R3" i="104" s="1"/>
  <c r="O3" i="104"/>
  <c r="P3" i="104" s="1"/>
  <c r="M3" i="104"/>
  <c r="N3" i="104" s="1"/>
  <c r="V2" i="104"/>
  <c r="U2" i="104"/>
  <c r="T2" i="104"/>
  <c r="S2" i="104"/>
  <c r="R2" i="104"/>
  <c r="Q2" i="104"/>
  <c r="O2" i="104"/>
  <c r="P2" i="104" s="1"/>
  <c r="M2" i="104"/>
  <c r="N2" i="104" s="1"/>
  <c r="V44" i="103"/>
  <c r="V43" i="103"/>
  <c r="U42" i="103"/>
  <c r="V42" i="103" s="1"/>
  <c r="S42" i="103"/>
  <c r="T42" i="103" s="1"/>
  <c r="Q42" i="103"/>
  <c r="R42" i="103" s="1"/>
  <c r="P42" i="103"/>
  <c r="O42" i="103"/>
  <c r="N42" i="103"/>
  <c r="M42" i="103"/>
  <c r="U41" i="103"/>
  <c r="V41" i="103" s="1"/>
  <c r="S41" i="103"/>
  <c r="T41" i="103" s="1"/>
  <c r="Q41" i="103"/>
  <c r="R41" i="103" s="1"/>
  <c r="P41" i="103"/>
  <c r="O41" i="103"/>
  <c r="M41" i="103"/>
  <c r="N41" i="103" s="1"/>
  <c r="V40" i="103"/>
  <c r="U40" i="103"/>
  <c r="S40" i="103"/>
  <c r="T40" i="103" s="1"/>
  <c r="Q40" i="103"/>
  <c r="R40" i="103" s="1"/>
  <c r="O40" i="103"/>
  <c r="P40" i="103" s="1"/>
  <c r="M40" i="103"/>
  <c r="N40" i="103" s="1"/>
  <c r="U39" i="103"/>
  <c r="V39" i="103" s="1"/>
  <c r="S39" i="103"/>
  <c r="T39" i="103" s="1"/>
  <c r="Q39" i="103"/>
  <c r="R39" i="103" s="1"/>
  <c r="P39" i="103"/>
  <c r="O39" i="103"/>
  <c r="N39" i="103"/>
  <c r="M39" i="103"/>
  <c r="U38" i="103"/>
  <c r="V38" i="103" s="1"/>
  <c r="S38" i="103"/>
  <c r="T38" i="103" s="1"/>
  <c r="R38" i="103"/>
  <c r="Q38" i="103"/>
  <c r="O38" i="103"/>
  <c r="P38" i="103" s="1"/>
  <c r="N38" i="103"/>
  <c r="M38" i="103"/>
  <c r="U37" i="103"/>
  <c r="V37" i="103" s="1"/>
  <c r="T37" i="103"/>
  <c r="S37" i="103"/>
  <c r="R37" i="103"/>
  <c r="Q37" i="103"/>
  <c r="P37" i="103"/>
  <c r="O37" i="103"/>
  <c r="M37" i="103"/>
  <c r="N37" i="103" s="1"/>
  <c r="U36" i="103"/>
  <c r="V36" i="103" s="1"/>
  <c r="S36" i="103"/>
  <c r="T36" i="103" s="1"/>
  <c r="Q36" i="103"/>
  <c r="R36" i="103" s="1"/>
  <c r="O36" i="103"/>
  <c r="P36" i="103" s="1"/>
  <c r="M36" i="103"/>
  <c r="N36" i="103" s="1"/>
  <c r="V35" i="103"/>
  <c r="U35" i="103"/>
  <c r="T35" i="103"/>
  <c r="S35" i="103"/>
  <c r="Q35" i="103"/>
  <c r="R35" i="103" s="1"/>
  <c r="P35" i="103"/>
  <c r="O35" i="103"/>
  <c r="N35" i="103"/>
  <c r="M35" i="103"/>
  <c r="U34" i="103"/>
  <c r="V34" i="103" s="1"/>
  <c r="S34" i="103"/>
  <c r="T34" i="103" s="1"/>
  <c r="R34" i="103"/>
  <c r="Q34" i="103"/>
  <c r="O34" i="103"/>
  <c r="P34" i="103" s="1"/>
  <c r="N34" i="103"/>
  <c r="M34" i="103"/>
  <c r="U33" i="103"/>
  <c r="V33" i="103" s="1"/>
  <c r="S33" i="103"/>
  <c r="T33" i="103" s="1"/>
  <c r="R33" i="103"/>
  <c r="Q33" i="103"/>
  <c r="P33" i="103"/>
  <c r="O33" i="103"/>
  <c r="M33" i="103"/>
  <c r="N33" i="103" s="1"/>
  <c r="V32" i="103"/>
  <c r="U32" i="103"/>
  <c r="T32" i="103"/>
  <c r="S32" i="103"/>
  <c r="Q32" i="103"/>
  <c r="R32" i="103" s="1"/>
  <c r="O32" i="103"/>
  <c r="P32" i="103" s="1"/>
  <c r="M32" i="103"/>
  <c r="N32" i="103" s="1"/>
  <c r="U31" i="103"/>
  <c r="V31" i="103" s="1"/>
  <c r="T31" i="103"/>
  <c r="S31" i="103"/>
  <c r="Q31" i="103"/>
  <c r="R31" i="103" s="1"/>
  <c r="O31" i="103"/>
  <c r="P31" i="103" s="1"/>
  <c r="N31" i="103"/>
  <c r="M31" i="103"/>
  <c r="V30" i="103"/>
  <c r="U30" i="103"/>
  <c r="S30" i="103"/>
  <c r="T30" i="103" s="1"/>
  <c r="Q30" i="103"/>
  <c r="R30" i="103" s="1"/>
  <c r="O30" i="103"/>
  <c r="P30" i="103" s="1"/>
  <c r="M30" i="103"/>
  <c r="N30" i="103" s="1"/>
  <c r="U29" i="103"/>
  <c r="V29" i="103" s="1"/>
  <c r="S29" i="103"/>
  <c r="T29" i="103" s="1"/>
  <c r="R29" i="103"/>
  <c r="Q29" i="103"/>
  <c r="P29" i="103"/>
  <c r="O29" i="103"/>
  <c r="M29" i="103"/>
  <c r="N29" i="103" s="1"/>
  <c r="V28" i="103"/>
  <c r="U28" i="103"/>
  <c r="S28" i="103"/>
  <c r="T28" i="103" s="1"/>
  <c r="Q28" i="103"/>
  <c r="R28" i="103" s="1"/>
  <c r="O28" i="103"/>
  <c r="P28" i="103" s="1"/>
  <c r="N28" i="103"/>
  <c r="M28" i="103"/>
  <c r="U27" i="103"/>
  <c r="V27" i="103" s="1"/>
  <c r="S27" i="103"/>
  <c r="T27" i="103" s="1"/>
  <c r="Q27" i="103"/>
  <c r="R27" i="103" s="1"/>
  <c r="O27" i="103"/>
  <c r="P27" i="103" s="1"/>
  <c r="N27" i="103"/>
  <c r="M27" i="103"/>
  <c r="V26" i="103"/>
  <c r="U26" i="103"/>
  <c r="S26" i="103"/>
  <c r="T26" i="103" s="1"/>
  <c r="R26" i="103"/>
  <c r="Q26" i="103"/>
  <c r="P26" i="103"/>
  <c r="O26" i="103"/>
  <c r="M26" i="103"/>
  <c r="N26" i="103" s="1"/>
  <c r="U25" i="103"/>
  <c r="V25" i="103" s="1"/>
  <c r="T25" i="103"/>
  <c r="S25" i="103"/>
  <c r="Q25" i="103"/>
  <c r="R25" i="103" s="1"/>
  <c r="P25" i="103"/>
  <c r="O25" i="103"/>
  <c r="M25" i="103"/>
  <c r="N25" i="103" s="1"/>
  <c r="U24" i="103"/>
  <c r="V24" i="103" s="1"/>
  <c r="T24" i="103"/>
  <c r="S24" i="103"/>
  <c r="R24" i="103"/>
  <c r="Q24" i="103"/>
  <c r="O24" i="103"/>
  <c r="P24" i="103" s="1"/>
  <c r="M24" i="103"/>
  <c r="N24" i="103" s="1"/>
  <c r="V23" i="103"/>
  <c r="U23" i="103"/>
  <c r="S23" i="103"/>
  <c r="T23" i="103" s="1"/>
  <c r="Q23" i="103"/>
  <c r="R23" i="103" s="1"/>
  <c r="O23" i="103"/>
  <c r="P23" i="103" s="1"/>
  <c r="N23" i="103"/>
  <c r="M23" i="103"/>
  <c r="V22" i="103"/>
  <c r="U22" i="103"/>
  <c r="S22" i="103"/>
  <c r="T22" i="103" s="1"/>
  <c r="R22" i="103"/>
  <c r="Q22" i="103"/>
  <c r="O22" i="103"/>
  <c r="P22" i="103" s="1"/>
  <c r="N22" i="103"/>
  <c r="M22" i="103"/>
  <c r="U21" i="103"/>
  <c r="V21" i="103" s="1"/>
  <c r="T21" i="103"/>
  <c r="S21" i="103"/>
  <c r="Q21" i="103"/>
  <c r="R21" i="103" s="1"/>
  <c r="O21" i="103"/>
  <c r="P21" i="103" s="1"/>
  <c r="M21" i="103"/>
  <c r="N21" i="103" s="1"/>
  <c r="U20" i="103"/>
  <c r="V20" i="103" s="1"/>
  <c r="T20" i="103"/>
  <c r="S20" i="103"/>
  <c r="Q20" i="103"/>
  <c r="R20" i="103" s="1"/>
  <c r="O20" i="103"/>
  <c r="P20" i="103" s="1"/>
  <c r="N20" i="103"/>
  <c r="M20" i="103"/>
  <c r="V19" i="103"/>
  <c r="U19" i="103"/>
  <c r="S19" i="103"/>
  <c r="R19" i="103"/>
  <c r="Q19" i="103"/>
  <c r="O19" i="103"/>
  <c r="M19" i="103"/>
  <c r="U18" i="103"/>
  <c r="V18" i="103" s="1"/>
  <c r="T18" i="103"/>
  <c r="S18" i="103"/>
  <c r="R18" i="103"/>
  <c r="Q18" i="103"/>
  <c r="O18" i="103"/>
  <c r="P18" i="103" s="1"/>
  <c r="N18" i="103"/>
  <c r="M18" i="103"/>
  <c r="V17" i="103"/>
  <c r="U17" i="103"/>
  <c r="T17" i="103"/>
  <c r="S17" i="103"/>
  <c r="Q17" i="103"/>
  <c r="R17" i="103" s="1"/>
  <c r="P17" i="103"/>
  <c r="O17" i="103"/>
  <c r="M17" i="103"/>
  <c r="N17" i="103" s="1"/>
  <c r="V16" i="103"/>
  <c r="U16" i="103"/>
  <c r="S16" i="103"/>
  <c r="T16" i="103" s="1"/>
  <c r="R16" i="103"/>
  <c r="Q16" i="103"/>
  <c r="P16" i="103"/>
  <c r="O16" i="103"/>
  <c r="N16" i="103"/>
  <c r="M16" i="103"/>
  <c r="U15" i="103"/>
  <c r="V15" i="103" s="1"/>
  <c r="T15" i="103"/>
  <c r="S15" i="103"/>
  <c r="Q15" i="103"/>
  <c r="R15" i="103" s="1"/>
  <c r="P15" i="103"/>
  <c r="O15" i="103"/>
  <c r="M15" i="103"/>
  <c r="N15" i="103" s="1"/>
  <c r="U14" i="103"/>
  <c r="V14" i="103" s="1"/>
  <c r="T14" i="103"/>
  <c r="S14" i="103"/>
  <c r="R14" i="103"/>
  <c r="Q14" i="103"/>
  <c r="O14" i="103"/>
  <c r="P14" i="103" s="1"/>
  <c r="N14" i="103"/>
  <c r="M14" i="103"/>
  <c r="U13" i="103"/>
  <c r="V13" i="103" s="1"/>
  <c r="T13" i="103"/>
  <c r="S13" i="103"/>
  <c r="Q13" i="103"/>
  <c r="R13" i="103" s="1"/>
  <c r="P13" i="103"/>
  <c r="O13" i="103"/>
  <c r="M13" i="103"/>
  <c r="N13" i="103" s="1"/>
  <c r="V12" i="103"/>
  <c r="U12" i="103"/>
  <c r="S12" i="103"/>
  <c r="T12" i="103" s="1"/>
  <c r="Q12" i="103"/>
  <c r="R12" i="103" s="1"/>
  <c r="P12" i="103"/>
  <c r="O12" i="103"/>
  <c r="N12" i="103"/>
  <c r="M12" i="103"/>
  <c r="U11" i="103"/>
  <c r="V11" i="103" s="1"/>
  <c r="T11" i="103"/>
  <c r="S11" i="103"/>
  <c r="R11" i="103"/>
  <c r="Q11" i="103"/>
  <c r="P11" i="103"/>
  <c r="O11" i="103"/>
  <c r="M11" i="103"/>
  <c r="N11" i="103" s="1"/>
  <c r="U10" i="103"/>
  <c r="V10" i="103" s="1"/>
  <c r="S10" i="103"/>
  <c r="T10" i="103" s="1"/>
  <c r="R10" i="103"/>
  <c r="Q10" i="103"/>
  <c r="O10" i="103"/>
  <c r="P10" i="103" s="1"/>
  <c r="N10" i="103"/>
  <c r="M10" i="103"/>
  <c r="V9" i="103"/>
  <c r="U9" i="103"/>
  <c r="T9" i="103"/>
  <c r="S9" i="103"/>
  <c r="Q9" i="103"/>
  <c r="R9" i="103" s="1"/>
  <c r="O9" i="103"/>
  <c r="P9" i="103" s="1"/>
  <c r="N9" i="103"/>
  <c r="M9" i="103"/>
  <c r="V8" i="103"/>
  <c r="U8" i="103"/>
  <c r="S8" i="103"/>
  <c r="T8" i="103" s="1"/>
  <c r="Q8" i="103"/>
  <c r="R8" i="103" s="1"/>
  <c r="O8" i="103"/>
  <c r="P8" i="103" s="1"/>
  <c r="N8" i="103"/>
  <c r="M8" i="103"/>
  <c r="U7" i="103"/>
  <c r="V7" i="103" s="1"/>
  <c r="T7" i="103"/>
  <c r="S7" i="103"/>
  <c r="R7" i="103"/>
  <c r="Q7" i="103"/>
  <c r="P7" i="103"/>
  <c r="O7" i="103"/>
  <c r="M7" i="103"/>
  <c r="N7" i="103" s="1"/>
  <c r="V6" i="103"/>
  <c r="U6" i="103"/>
  <c r="S6" i="103"/>
  <c r="T6" i="103" s="1"/>
  <c r="R6" i="103"/>
  <c r="Q6" i="103"/>
  <c r="O6" i="103"/>
  <c r="P6" i="103" s="1"/>
  <c r="M6" i="103"/>
  <c r="N6" i="103" s="1"/>
  <c r="V5" i="103"/>
  <c r="U5" i="103"/>
  <c r="T5" i="103"/>
  <c r="S5" i="103"/>
  <c r="Q5" i="103"/>
  <c r="R5" i="103" s="1"/>
  <c r="P5" i="103"/>
  <c r="O5" i="103"/>
  <c r="N5" i="103"/>
  <c r="M5" i="103"/>
  <c r="V4" i="103"/>
  <c r="U4" i="103"/>
  <c r="S4" i="103"/>
  <c r="T4" i="103" s="1"/>
  <c r="R4" i="103"/>
  <c r="Q4" i="103"/>
  <c r="O4" i="103"/>
  <c r="P4" i="103" s="1"/>
  <c r="N4" i="103"/>
  <c r="M4" i="103"/>
  <c r="U3" i="103"/>
  <c r="V3" i="103" s="1"/>
  <c r="T3" i="103"/>
  <c r="S3" i="103"/>
  <c r="R3" i="103"/>
  <c r="Q3" i="103"/>
  <c r="P3" i="103"/>
  <c r="O3" i="103"/>
  <c r="M3" i="103"/>
  <c r="N3" i="103" s="1"/>
  <c r="V2" i="103"/>
  <c r="U2" i="103"/>
  <c r="S2" i="103"/>
  <c r="T2" i="103" s="1"/>
  <c r="R2" i="103"/>
  <c r="Q2" i="103"/>
  <c r="O2" i="103"/>
  <c r="P2" i="103" s="1"/>
  <c r="M2" i="103"/>
  <c r="N2" i="103" s="1"/>
  <c r="V43" i="102"/>
  <c r="U43" i="102"/>
  <c r="T43" i="102"/>
  <c r="S43" i="102"/>
  <c r="Q43" i="102"/>
  <c r="R43" i="102" s="1"/>
  <c r="P43" i="102"/>
  <c r="O43" i="102"/>
  <c r="M43" i="102"/>
  <c r="N43" i="102" s="1"/>
  <c r="V42" i="102"/>
  <c r="U42" i="102"/>
  <c r="S42" i="102"/>
  <c r="T42" i="102" s="1"/>
  <c r="R42" i="102"/>
  <c r="Q42" i="102"/>
  <c r="O42" i="102"/>
  <c r="P42" i="102" s="1"/>
  <c r="N42" i="102"/>
  <c r="M42" i="102"/>
  <c r="U41" i="102"/>
  <c r="V41" i="102" s="1"/>
  <c r="S41" i="102"/>
  <c r="T41" i="102" s="1"/>
  <c r="R41" i="102"/>
  <c r="Q41" i="102"/>
  <c r="P41" i="102"/>
  <c r="O41" i="102"/>
  <c r="M41" i="102"/>
  <c r="N41" i="102" s="1"/>
  <c r="V40" i="102"/>
  <c r="U40" i="102"/>
  <c r="T40" i="102"/>
  <c r="S40" i="102"/>
  <c r="R40" i="102"/>
  <c r="Q40" i="102"/>
  <c r="O40" i="102"/>
  <c r="P40" i="102" s="1"/>
  <c r="M40" i="102"/>
  <c r="N40" i="102" s="1"/>
  <c r="U39" i="102"/>
  <c r="V39" i="102" s="1"/>
  <c r="T39" i="102"/>
  <c r="S39" i="102"/>
  <c r="Q39" i="102"/>
  <c r="R39" i="102" s="1"/>
  <c r="O39" i="102"/>
  <c r="P39" i="102" s="1"/>
  <c r="N39" i="102"/>
  <c r="M39" i="102"/>
  <c r="V38" i="102"/>
  <c r="U38" i="102"/>
  <c r="S38" i="102"/>
  <c r="T38" i="102" s="1"/>
  <c r="Q38" i="102"/>
  <c r="R38" i="102" s="1"/>
  <c r="O38" i="102"/>
  <c r="P38" i="102" s="1"/>
  <c r="N38" i="102"/>
  <c r="M38" i="102"/>
  <c r="U37" i="102"/>
  <c r="V37" i="102" s="1"/>
  <c r="S37" i="102"/>
  <c r="T37" i="102" s="1"/>
  <c r="Q37" i="102"/>
  <c r="R37" i="102" s="1"/>
  <c r="P37" i="102"/>
  <c r="O37" i="102"/>
  <c r="M37" i="102"/>
  <c r="N37" i="102" s="1"/>
  <c r="V36" i="102"/>
  <c r="U36" i="102"/>
  <c r="T36" i="102"/>
  <c r="S36" i="102"/>
  <c r="R36" i="102"/>
  <c r="Q36" i="102"/>
  <c r="O36" i="102"/>
  <c r="P36" i="102" s="1"/>
  <c r="N36" i="102"/>
  <c r="M36" i="102"/>
  <c r="U35" i="102"/>
  <c r="V35" i="102" s="1"/>
  <c r="T35" i="102"/>
  <c r="S35" i="102"/>
  <c r="Q35" i="102"/>
  <c r="R35" i="102" s="1"/>
  <c r="O35" i="102"/>
  <c r="P35" i="102" s="1"/>
  <c r="N35" i="102"/>
  <c r="M35" i="102"/>
  <c r="V34" i="102"/>
  <c r="U34" i="102"/>
  <c r="S34" i="102"/>
  <c r="T34" i="102" s="1"/>
  <c r="R34" i="102"/>
  <c r="Q34" i="102"/>
  <c r="P34" i="102"/>
  <c r="O34" i="102"/>
  <c r="N34" i="102"/>
  <c r="M34" i="102"/>
  <c r="U33" i="102"/>
  <c r="V33" i="102" s="1"/>
  <c r="T33" i="102"/>
  <c r="S33" i="102"/>
  <c r="Q33" i="102"/>
  <c r="R33" i="102" s="1"/>
  <c r="P33" i="102"/>
  <c r="O33" i="102"/>
  <c r="M33" i="102"/>
  <c r="N33" i="102" s="1"/>
  <c r="V32" i="102"/>
  <c r="U32" i="102"/>
  <c r="T32" i="102"/>
  <c r="S32" i="102"/>
  <c r="R32" i="102"/>
  <c r="Q32" i="102"/>
  <c r="O32" i="102"/>
  <c r="P32" i="102" s="1"/>
  <c r="N32" i="102"/>
  <c r="M32" i="102"/>
  <c r="U31" i="102"/>
  <c r="V31" i="102" s="1"/>
  <c r="T31" i="102"/>
  <c r="S31" i="102"/>
  <c r="Q31" i="102"/>
  <c r="R31" i="102" s="1"/>
  <c r="O31" i="102"/>
  <c r="P31" i="102" s="1"/>
  <c r="N31" i="102"/>
  <c r="M31" i="102"/>
  <c r="V30" i="102"/>
  <c r="U30" i="102"/>
  <c r="S30" i="102"/>
  <c r="T30" i="102" s="1"/>
  <c r="R30" i="102"/>
  <c r="Q30" i="102"/>
  <c r="P30" i="102"/>
  <c r="O30" i="102"/>
  <c r="N30" i="102"/>
  <c r="M30" i="102"/>
  <c r="U29" i="102"/>
  <c r="V29" i="102" s="1"/>
  <c r="T29" i="102"/>
  <c r="S29" i="102"/>
  <c r="Q29" i="102"/>
  <c r="R29" i="102" s="1"/>
  <c r="P29" i="102"/>
  <c r="O29" i="102"/>
  <c r="M29" i="102"/>
  <c r="N29" i="102" s="1"/>
  <c r="U28" i="102"/>
  <c r="V28" i="102" s="1"/>
  <c r="T28" i="102"/>
  <c r="S28" i="102"/>
  <c r="R28" i="102"/>
  <c r="Q28" i="102"/>
  <c r="O28" i="102"/>
  <c r="P28" i="102" s="1"/>
  <c r="N28" i="102"/>
  <c r="M28" i="102"/>
  <c r="V27" i="102"/>
  <c r="U27" i="102"/>
  <c r="T27" i="102"/>
  <c r="S27" i="102"/>
  <c r="Q27" i="102"/>
  <c r="R27" i="102" s="1"/>
  <c r="P27" i="102"/>
  <c r="O27" i="102"/>
  <c r="M27" i="102"/>
  <c r="N27" i="102" s="1"/>
  <c r="V26" i="102"/>
  <c r="U26" i="102"/>
  <c r="S26" i="102"/>
  <c r="T26" i="102" s="1"/>
  <c r="Q26" i="102"/>
  <c r="R26" i="102" s="1"/>
  <c r="P26" i="102"/>
  <c r="O26" i="102"/>
  <c r="N26" i="102"/>
  <c r="M26" i="102"/>
  <c r="U25" i="102"/>
  <c r="V25" i="102" s="1"/>
  <c r="S25" i="102"/>
  <c r="T25" i="102" s="1"/>
  <c r="Q25" i="102"/>
  <c r="R25" i="102" s="1"/>
  <c r="P25" i="102"/>
  <c r="O25" i="102"/>
  <c r="M25" i="102"/>
  <c r="N25" i="102" s="1"/>
  <c r="U24" i="102"/>
  <c r="V24" i="102" s="1"/>
  <c r="S24" i="102"/>
  <c r="T24" i="102" s="1"/>
  <c r="R24" i="102"/>
  <c r="Q24" i="102"/>
  <c r="O24" i="102"/>
  <c r="P24" i="102" s="1"/>
  <c r="N24" i="102"/>
  <c r="M24" i="102"/>
  <c r="V23" i="102"/>
  <c r="U23" i="102"/>
  <c r="T23" i="102"/>
  <c r="S23" i="102"/>
  <c r="Q23" i="102"/>
  <c r="R23" i="102" s="1"/>
  <c r="P23" i="102"/>
  <c r="O23" i="102"/>
  <c r="M23" i="102"/>
  <c r="N23" i="102" s="1"/>
  <c r="V22" i="102"/>
  <c r="U22" i="102"/>
  <c r="S22" i="102"/>
  <c r="T22" i="102" s="1"/>
  <c r="Q22" i="102"/>
  <c r="R22" i="102" s="1"/>
  <c r="P22" i="102"/>
  <c r="O22" i="102"/>
  <c r="N22" i="102"/>
  <c r="M22" i="102"/>
  <c r="U21" i="102"/>
  <c r="V21" i="102" s="1"/>
  <c r="T21" i="102"/>
  <c r="S21" i="102"/>
  <c r="R21" i="102"/>
  <c r="Q21" i="102"/>
  <c r="P21" i="102"/>
  <c r="O21" i="102"/>
  <c r="M21" i="102"/>
  <c r="N21" i="102" s="1"/>
  <c r="V20" i="102"/>
  <c r="U20" i="102"/>
  <c r="S20" i="102"/>
  <c r="T20" i="102" s="1"/>
  <c r="R20" i="102"/>
  <c r="Q20" i="102"/>
  <c r="O20" i="102"/>
  <c r="P20" i="102" s="1"/>
  <c r="N20" i="102"/>
  <c r="M20" i="102"/>
  <c r="V18" i="102"/>
  <c r="U18" i="102"/>
  <c r="T18" i="102"/>
  <c r="S18" i="102"/>
  <c r="Q18" i="102"/>
  <c r="R18" i="102" s="1"/>
  <c r="P18" i="102"/>
  <c r="O18" i="102"/>
  <c r="M18" i="102"/>
  <c r="N18" i="102" s="1"/>
  <c r="V17" i="102"/>
  <c r="U17" i="102"/>
  <c r="S17" i="102"/>
  <c r="T17" i="102" s="1"/>
  <c r="Q17" i="102"/>
  <c r="R17" i="102" s="1"/>
  <c r="P17" i="102"/>
  <c r="O17" i="102"/>
  <c r="N17" i="102"/>
  <c r="M17" i="102"/>
  <c r="U16" i="102"/>
  <c r="V16" i="102" s="1"/>
  <c r="T16" i="102"/>
  <c r="S16" i="102"/>
  <c r="R16" i="102"/>
  <c r="Q16" i="102"/>
  <c r="P16" i="102"/>
  <c r="O16" i="102"/>
  <c r="M16" i="102"/>
  <c r="N16" i="102" s="1"/>
  <c r="V15" i="102"/>
  <c r="U15" i="102"/>
  <c r="S15" i="102"/>
  <c r="T15" i="102" s="1"/>
  <c r="R15" i="102"/>
  <c r="Q15" i="102"/>
  <c r="O15" i="102"/>
  <c r="P15" i="102" s="1"/>
  <c r="M15" i="102"/>
  <c r="N15" i="102" s="1"/>
  <c r="V14" i="102"/>
  <c r="U14" i="102"/>
  <c r="T14" i="102"/>
  <c r="S14" i="102"/>
  <c r="Q14" i="102"/>
  <c r="R14" i="102" s="1"/>
  <c r="P14" i="102"/>
  <c r="O14" i="102"/>
  <c r="N14" i="102"/>
  <c r="M14" i="102"/>
  <c r="V13" i="102"/>
  <c r="U13" i="102"/>
  <c r="S13" i="102"/>
  <c r="T13" i="102" s="1"/>
  <c r="R13" i="102"/>
  <c r="Q13" i="102"/>
  <c r="O13" i="102"/>
  <c r="P13" i="102" s="1"/>
  <c r="N13" i="102"/>
  <c r="M13" i="102"/>
  <c r="U12" i="102"/>
  <c r="V12" i="102" s="1"/>
  <c r="S12" i="102"/>
  <c r="T12" i="102" s="1"/>
  <c r="R12" i="102"/>
  <c r="Q12" i="102"/>
  <c r="P12" i="102"/>
  <c r="O12" i="102"/>
  <c r="M12" i="102"/>
  <c r="N12" i="102" s="1"/>
  <c r="U11" i="102"/>
  <c r="V11" i="102" s="1"/>
  <c r="S11" i="102"/>
  <c r="T11" i="102" s="1"/>
  <c r="R11" i="102"/>
  <c r="Q11" i="102"/>
  <c r="O11" i="102"/>
  <c r="P11" i="102" s="1"/>
  <c r="M11" i="102"/>
  <c r="N11" i="102" s="1"/>
  <c r="U10" i="102"/>
  <c r="V10" i="102" s="1"/>
  <c r="T10" i="102"/>
  <c r="S10" i="102"/>
  <c r="Q10" i="102"/>
  <c r="R10" i="102" s="1"/>
  <c r="P10" i="102"/>
  <c r="O10" i="102"/>
  <c r="N10" i="102"/>
  <c r="M10" i="102"/>
  <c r="V9" i="102"/>
  <c r="U9" i="102"/>
  <c r="S9" i="102"/>
  <c r="T9" i="102" s="1"/>
  <c r="R9" i="102"/>
  <c r="Q9" i="102"/>
  <c r="O9" i="102"/>
  <c r="P9" i="102" s="1"/>
  <c r="N9" i="102"/>
  <c r="M9" i="102"/>
  <c r="U8" i="102"/>
  <c r="V8" i="102" s="1"/>
  <c r="S8" i="102"/>
  <c r="T8" i="102" s="1"/>
  <c r="R8" i="102"/>
  <c r="Q8" i="102"/>
  <c r="P8" i="102"/>
  <c r="O8" i="102"/>
  <c r="M8" i="102"/>
  <c r="N8" i="102" s="1"/>
  <c r="V7" i="102"/>
  <c r="U7" i="102"/>
  <c r="T7" i="102"/>
  <c r="S7" i="102"/>
  <c r="R7" i="102"/>
  <c r="Q7" i="102"/>
  <c r="O7" i="102"/>
  <c r="P7" i="102" s="1"/>
  <c r="N7" i="102"/>
  <c r="M7" i="102"/>
  <c r="U6" i="102"/>
  <c r="V6" i="102" s="1"/>
  <c r="T6" i="102"/>
  <c r="S6" i="102"/>
  <c r="Q6" i="102"/>
  <c r="R6" i="102" s="1"/>
  <c r="O6" i="102"/>
  <c r="P6" i="102" s="1"/>
  <c r="M6" i="102"/>
  <c r="N6" i="102" s="1"/>
  <c r="V5" i="102"/>
  <c r="U5" i="102"/>
  <c r="T5" i="102"/>
  <c r="S5" i="102"/>
  <c r="R5" i="102"/>
  <c r="Q5" i="102"/>
  <c r="O5" i="102"/>
  <c r="P5" i="102" s="1"/>
  <c r="N5" i="102"/>
  <c r="M5" i="102"/>
  <c r="U4" i="102"/>
  <c r="V4" i="102" s="1"/>
  <c r="T4" i="102"/>
  <c r="S4" i="102"/>
  <c r="Q4" i="102"/>
  <c r="R4" i="102" s="1"/>
  <c r="P4" i="102"/>
  <c r="O4" i="102"/>
  <c r="N4" i="102"/>
  <c r="M4" i="102"/>
  <c r="U3" i="102"/>
  <c r="V3" i="102" s="1"/>
  <c r="S3" i="102"/>
  <c r="T3" i="102" s="1"/>
  <c r="R3" i="102"/>
  <c r="Q3" i="102"/>
  <c r="O3" i="102"/>
  <c r="P3" i="102" s="1"/>
  <c r="N3" i="102"/>
  <c r="M3" i="102"/>
  <c r="U2" i="102"/>
  <c r="V2" i="102" s="1"/>
  <c r="T2" i="102"/>
  <c r="S2" i="102"/>
  <c r="R2" i="102"/>
  <c r="Q2" i="102"/>
  <c r="P2" i="102"/>
  <c r="O2" i="102"/>
  <c r="M2" i="102"/>
  <c r="N2" i="102" s="1"/>
  <c r="V42" i="101"/>
  <c r="U42" i="101"/>
  <c r="S42" i="101"/>
  <c r="T42" i="101" s="1"/>
  <c r="Q42" i="101"/>
  <c r="R42" i="101" s="1"/>
  <c r="O42" i="101"/>
  <c r="P42" i="101" s="1"/>
  <c r="N42" i="101"/>
  <c r="M42" i="101"/>
  <c r="V41" i="101"/>
  <c r="U41" i="101"/>
  <c r="T41" i="101"/>
  <c r="S41" i="101"/>
  <c r="Q41" i="101"/>
  <c r="R41" i="101" s="1"/>
  <c r="P41" i="101"/>
  <c r="O41" i="101"/>
  <c r="N41" i="101"/>
  <c r="M41" i="101"/>
  <c r="U40" i="101"/>
  <c r="V40" i="101" s="1"/>
  <c r="S40" i="101"/>
  <c r="T40" i="101" s="1"/>
  <c r="R40" i="101"/>
  <c r="Q40" i="101"/>
  <c r="O40" i="101"/>
  <c r="P40" i="101" s="1"/>
  <c r="N40" i="101"/>
  <c r="M40" i="101"/>
  <c r="U39" i="101"/>
  <c r="V39" i="101" s="1"/>
  <c r="T39" i="101"/>
  <c r="S39" i="101"/>
  <c r="R39" i="101"/>
  <c r="Q39" i="101"/>
  <c r="P39" i="101"/>
  <c r="O39" i="101"/>
  <c r="M39" i="101"/>
  <c r="N39" i="101" s="1"/>
  <c r="V38" i="101"/>
  <c r="U38" i="101"/>
  <c r="T38" i="101"/>
  <c r="S38" i="101"/>
  <c r="Q38" i="101"/>
  <c r="R38" i="101" s="1"/>
  <c r="O38" i="101"/>
  <c r="P38" i="101" s="1"/>
  <c r="N38" i="101"/>
  <c r="M38" i="101"/>
  <c r="U37" i="101"/>
  <c r="V37" i="101" s="1"/>
  <c r="S37" i="101"/>
  <c r="T37" i="101" s="1"/>
  <c r="Q37" i="101"/>
  <c r="R37" i="101" s="1"/>
  <c r="P37" i="101"/>
  <c r="O37" i="101"/>
  <c r="N37" i="101"/>
  <c r="M37" i="101"/>
  <c r="V36" i="101"/>
  <c r="U36" i="101"/>
  <c r="S36" i="101"/>
  <c r="T36" i="101" s="1"/>
  <c r="R36" i="101"/>
  <c r="Q36" i="101"/>
  <c r="O36" i="101"/>
  <c r="P36" i="101" s="1"/>
  <c r="M36" i="101"/>
  <c r="N36" i="101" s="1"/>
  <c r="U35" i="101"/>
  <c r="V35" i="101" s="1"/>
  <c r="T35" i="101"/>
  <c r="S35" i="101"/>
  <c r="R35" i="101"/>
  <c r="Q35" i="101"/>
  <c r="P35" i="101"/>
  <c r="O35" i="101"/>
  <c r="M35" i="101"/>
  <c r="N35" i="101" s="1"/>
  <c r="V34" i="101"/>
  <c r="U34" i="101"/>
  <c r="S34" i="101"/>
  <c r="T34" i="101" s="1"/>
  <c r="Q34" i="101"/>
  <c r="R34" i="101" s="1"/>
  <c r="O34" i="101"/>
  <c r="P34" i="101" s="1"/>
  <c r="N34" i="101"/>
  <c r="M34" i="101"/>
  <c r="U33" i="101"/>
  <c r="V33" i="101" s="1"/>
  <c r="T33" i="101"/>
  <c r="S33" i="101"/>
  <c r="Q33" i="101"/>
  <c r="R33" i="101" s="1"/>
  <c r="P33" i="101"/>
  <c r="O33" i="101"/>
  <c r="M33" i="101"/>
  <c r="N33" i="101" s="1"/>
  <c r="U32" i="101"/>
  <c r="V32" i="101" s="1"/>
  <c r="S32" i="101"/>
  <c r="T32" i="101" s="1"/>
  <c r="R32" i="101"/>
  <c r="Q32" i="101"/>
  <c r="P32" i="101"/>
  <c r="O32" i="101"/>
  <c r="N32" i="101"/>
  <c r="M32" i="101"/>
  <c r="U31" i="101"/>
  <c r="V31" i="101" s="1"/>
  <c r="T31" i="101"/>
  <c r="S31" i="101"/>
  <c r="Q31" i="101"/>
  <c r="R31" i="101" s="1"/>
  <c r="P31" i="101"/>
  <c r="O31" i="101"/>
  <c r="M31" i="101"/>
  <c r="N31" i="101" s="1"/>
  <c r="V30" i="101"/>
  <c r="U30" i="101"/>
  <c r="T30" i="101"/>
  <c r="S30" i="101"/>
  <c r="R30" i="101"/>
  <c r="Q30" i="101"/>
  <c r="O30" i="101"/>
  <c r="P30" i="101" s="1"/>
  <c r="N30" i="101"/>
  <c r="M30" i="101"/>
  <c r="U29" i="101"/>
  <c r="V29" i="101" s="1"/>
  <c r="S29" i="101"/>
  <c r="T29" i="101" s="1"/>
  <c r="Q29" i="101"/>
  <c r="R29" i="101" s="1"/>
  <c r="P29" i="101"/>
  <c r="O29" i="101"/>
  <c r="N29" i="101"/>
  <c r="M29" i="101"/>
  <c r="V28" i="101"/>
  <c r="U28" i="101"/>
  <c r="S28" i="101"/>
  <c r="T28" i="101" s="1"/>
  <c r="R28" i="101"/>
  <c r="Q28" i="101"/>
  <c r="P28" i="101"/>
  <c r="O28" i="101"/>
  <c r="M28" i="101"/>
  <c r="N28" i="101" s="1"/>
  <c r="U27" i="101"/>
  <c r="V27" i="101" s="1"/>
  <c r="T27" i="101"/>
  <c r="S27" i="101"/>
  <c r="Q27" i="101"/>
  <c r="R27" i="101" s="1"/>
  <c r="P27" i="101"/>
  <c r="O27" i="101"/>
  <c r="M27" i="101"/>
  <c r="N27" i="101" s="1"/>
  <c r="V26" i="101"/>
  <c r="U26" i="101"/>
  <c r="T26" i="101"/>
  <c r="S26" i="101"/>
  <c r="R26" i="101"/>
  <c r="Q26" i="101"/>
  <c r="O26" i="101"/>
  <c r="P26" i="101" s="1"/>
  <c r="N26" i="101"/>
  <c r="M26" i="101"/>
  <c r="U25" i="101"/>
  <c r="V25" i="101" s="1"/>
  <c r="S25" i="101"/>
  <c r="T25" i="101" s="1"/>
  <c r="Q25" i="101"/>
  <c r="R25" i="101" s="1"/>
  <c r="P25" i="101"/>
  <c r="O25" i="101"/>
  <c r="M25" i="101"/>
  <c r="N25" i="101" s="1"/>
  <c r="V24" i="101"/>
  <c r="U24" i="101"/>
  <c r="S24" i="101"/>
  <c r="T24" i="101" s="1"/>
  <c r="R24" i="101"/>
  <c r="Q24" i="101"/>
  <c r="P24" i="101"/>
  <c r="O24" i="101"/>
  <c r="M24" i="101"/>
  <c r="N24" i="101" s="1"/>
  <c r="U23" i="101"/>
  <c r="V23" i="101" s="1"/>
  <c r="T23" i="101"/>
  <c r="S23" i="101"/>
  <c r="Q23" i="101"/>
  <c r="R23" i="101" s="1"/>
  <c r="O23" i="101"/>
  <c r="P23" i="101" s="1"/>
  <c r="M23" i="101"/>
  <c r="N23" i="101" s="1"/>
  <c r="V22" i="101"/>
  <c r="U22" i="101"/>
  <c r="T22" i="101"/>
  <c r="S22" i="101"/>
  <c r="R22" i="101"/>
  <c r="Q22" i="101"/>
  <c r="O22" i="101"/>
  <c r="P22" i="101" s="1"/>
  <c r="N22" i="101"/>
  <c r="M22" i="101"/>
  <c r="V21" i="101"/>
  <c r="U21" i="101"/>
  <c r="S21" i="101"/>
  <c r="T21" i="101" s="1"/>
  <c r="Q21" i="101"/>
  <c r="R21" i="101" s="1"/>
  <c r="P21" i="101"/>
  <c r="O21" i="101"/>
  <c r="M21" i="101"/>
  <c r="N21" i="101" s="1"/>
  <c r="V20" i="101"/>
  <c r="U20" i="101"/>
  <c r="S20" i="101"/>
  <c r="T20" i="101" s="1"/>
  <c r="R20" i="101"/>
  <c r="Q20" i="101"/>
  <c r="O20" i="101"/>
  <c r="P20" i="101" s="1"/>
  <c r="M20" i="101"/>
  <c r="N20" i="101" s="1"/>
  <c r="U19" i="101"/>
  <c r="V19" i="101" s="1"/>
  <c r="T19" i="101"/>
  <c r="S19" i="101"/>
  <c r="R19" i="101"/>
  <c r="Q19" i="101"/>
  <c r="O19" i="101"/>
  <c r="P19" i="101" s="1"/>
  <c r="M19" i="101"/>
  <c r="N19" i="101" s="1"/>
  <c r="V18" i="101"/>
  <c r="U18" i="101"/>
  <c r="S18" i="101"/>
  <c r="T18" i="101" s="1"/>
  <c r="R18" i="101"/>
  <c r="Q18" i="101"/>
  <c r="O18" i="101"/>
  <c r="P18" i="101" s="1"/>
  <c r="N18" i="101"/>
  <c r="M18" i="101"/>
  <c r="V17" i="101"/>
  <c r="U17" i="101"/>
  <c r="S17" i="101"/>
  <c r="T17" i="101" s="1"/>
  <c r="Q17" i="101"/>
  <c r="R17" i="101" s="1"/>
  <c r="P17" i="101"/>
  <c r="O17" i="101"/>
  <c r="M17" i="101"/>
  <c r="N17" i="101" s="1"/>
  <c r="U16" i="101"/>
  <c r="V16" i="101" s="1"/>
  <c r="S16" i="101"/>
  <c r="T16" i="101" s="1"/>
  <c r="R16" i="101"/>
  <c r="Q16" i="101"/>
  <c r="P16" i="101"/>
  <c r="O16" i="101"/>
  <c r="N16" i="101"/>
  <c r="M16" i="101"/>
  <c r="U15" i="101"/>
  <c r="V15" i="101" s="1"/>
  <c r="T15" i="101"/>
  <c r="S15" i="101"/>
  <c r="R15" i="101"/>
  <c r="Q15" i="101"/>
  <c r="O15" i="101"/>
  <c r="P15" i="101" s="1"/>
  <c r="M15" i="101"/>
  <c r="N15" i="101" s="1"/>
  <c r="V14" i="101"/>
  <c r="U14" i="101"/>
  <c r="S14" i="101"/>
  <c r="T14" i="101" s="1"/>
  <c r="R14" i="101"/>
  <c r="Q14" i="101"/>
  <c r="O14" i="101"/>
  <c r="P14" i="101" s="1"/>
  <c r="N14" i="101"/>
  <c r="M14" i="101"/>
  <c r="V13" i="101"/>
  <c r="U13" i="101"/>
  <c r="S13" i="101"/>
  <c r="T13" i="101" s="1"/>
  <c r="Q13" i="101"/>
  <c r="R13" i="101" s="1"/>
  <c r="P13" i="101"/>
  <c r="O13" i="101"/>
  <c r="N13" i="101"/>
  <c r="M13" i="101"/>
  <c r="U12" i="101"/>
  <c r="V12" i="101" s="1"/>
  <c r="S12" i="101"/>
  <c r="T12" i="101" s="1"/>
  <c r="R12" i="101"/>
  <c r="Q12" i="101"/>
  <c r="O12" i="101"/>
  <c r="P12" i="101" s="1"/>
  <c r="M12" i="101"/>
  <c r="N12" i="101" s="1"/>
  <c r="U11" i="101"/>
  <c r="V11" i="101" s="1"/>
  <c r="T11" i="101"/>
  <c r="S11" i="101"/>
  <c r="R11" i="101"/>
  <c r="Q11" i="101"/>
  <c r="P11" i="101"/>
  <c r="O11" i="101"/>
  <c r="M11" i="101"/>
  <c r="N11" i="101" s="1"/>
  <c r="V10" i="101"/>
  <c r="U10" i="101"/>
  <c r="S10" i="101"/>
  <c r="T10" i="101" s="1"/>
  <c r="Q10" i="101"/>
  <c r="R10" i="101" s="1"/>
  <c r="O10" i="101"/>
  <c r="P10" i="101" s="1"/>
  <c r="N10" i="101"/>
  <c r="M10" i="101"/>
  <c r="V9" i="101"/>
  <c r="U9" i="101"/>
  <c r="T9" i="101"/>
  <c r="S9" i="101"/>
  <c r="Q9" i="101"/>
  <c r="R9" i="101" s="1"/>
  <c r="P9" i="101"/>
  <c r="O9" i="101"/>
  <c r="M9" i="101"/>
  <c r="N9" i="101" s="1"/>
  <c r="U8" i="101"/>
  <c r="V8" i="101" s="1"/>
  <c r="S8" i="101"/>
  <c r="T8" i="101" s="1"/>
  <c r="R8" i="101"/>
  <c r="Q8" i="101"/>
  <c r="O8" i="101"/>
  <c r="P8" i="101" s="1"/>
  <c r="N8" i="101"/>
  <c r="M8" i="101"/>
  <c r="U7" i="101"/>
  <c r="V7" i="101" s="1"/>
  <c r="T7" i="101"/>
  <c r="S7" i="101"/>
  <c r="R7" i="101"/>
  <c r="Q7" i="101"/>
  <c r="P7" i="101"/>
  <c r="O7" i="101"/>
  <c r="M7" i="101"/>
  <c r="N7" i="101" s="1"/>
  <c r="V6" i="101"/>
  <c r="U6" i="101"/>
  <c r="S6" i="101"/>
  <c r="T6" i="101" s="1"/>
  <c r="R6" i="101"/>
  <c r="Q6" i="101"/>
  <c r="O6" i="101"/>
  <c r="P6" i="101" s="1"/>
  <c r="N6" i="101"/>
  <c r="M6" i="101"/>
  <c r="U5" i="101"/>
  <c r="V5" i="101" s="1"/>
  <c r="S5" i="101"/>
  <c r="T5" i="101" s="1"/>
  <c r="Q5" i="101"/>
  <c r="R5" i="101" s="1"/>
  <c r="P5" i="101"/>
  <c r="O5" i="101"/>
  <c r="N5" i="101"/>
  <c r="M5" i="101"/>
  <c r="V4" i="101"/>
  <c r="U4" i="101"/>
  <c r="S4" i="101"/>
  <c r="T4" i="101" s="1"/>
  <c r="R4" i="101"/>
  <c r="Q4" i="101"/>
  <c r="P4" i="101"/>
  <c r="O4" i="101"/>
  <c r="M4" i="101"/>
  <c r="N4" i="101" s="1"/>
  <c r="V3" i="101"/>
  <c r="U3" i="101"/>
  <c r="T3" i="101"/>
  <c r="S3" i="101"/>
  <c r="R3" i="101"/>
  <c r="Q3" i="101"/>
  <c r="O3" i="101"/>
  <c r="P3" i="101" s="1"/>
  <c r="M3" i="101"/>
  <c r="N3" i="101" s="1"/>
  <c r="V2" i="101"/>
  <c r="U2" i="101"/>
  <c r="S2" i="101"/>
  <c r="T2" i="101" s="1"/>
  <c r="Q2" i="101"/>
  <c r="R2" i="101" s="1"/>
  <c r="O2" i="101"/>
  <c r="P2" i="101" s="1"/>
  <c r="N2" i="101"/>
  <c r="M2" i="101"/>
  <c r="V42" i="100"/>
  <c r="U42" i="100"/>
  <c r="S42" i="100"/>
  <c r="T42" i="100" s="1"/>
  <c r="R42" i="100"/>
  <c r="Q42" i="100"/>
  <c r="P42" i="100"/>
  <c r="O42" i="100"/>
  <c r="M42" i="100"/>
  <c r="N42" i="100" s="1"/>
  <c r="U41" i="100"/>
  <c r="V41" i="100" s="1"/>
  <c r="S41" i="100"/>
  <c r="T41" i="100" s="1"/>
  <c r="R41" i="100"/>
  <c r="Q41" i="100"/>
  <c r="P41" i="100"/>
  <c r="O41" i="100"/>
  <c r="M41" i="100"/>
  <c r="N41" i="100" s="1"/>
  <c r="V40" i="100"/>
  <c r="U40" i="100"/>
  <c r="T40" i="100"/>
  <c r="S40" i="100"/>
  <c r="Q40" i="100"/>
  <c r="R40" i="100" s="1"/>
  <c r="O40" i="100"/>
  <c r="P40" i="100" s="1"/>
  <c r="N40" i="100"/>
  <c r="M40" i="100"/>
  <c r="V39" i="100"/>
  <c r="U39" i="100"/>
  <c r="S39" i="100"/>
  <c r="T39" i="100" s="1"/>
  <c r="Q39" i="100"/>
  <c r="R39" i="100" s="1"/>
  <c r="O39" i="100"/>
  <c r="P39" i="100" s="1"/>
  <c r="N39" i="100"/>
  <c r="M39" i="100"/>
  <c r="V38" i="100"/>
  <c r="U38" i="100"/>
  <c r="S38" i="100"/>
  <c r="T38" i="100" s="1"/>
  <c r="R38" i="100"/>
  <c r="Q38" i="100"/>
  <c r="P38" i="100"/>
  <c r="O38" i="100"/>
  <c r="N38" i="100"/>
  <c r="M38" i="100"/>
  <c r="U37" i="100"/>
  <c r="V37" i="100" s="1"/>
  <c r="S37" i="100"/>
  <c r="T37" i="100" s="1"/>
  <c r="R37" i="100"/>
  <c r="Q37" i="100"/>
  <c r="P37" i="100"/>
  <c r="O37" i="100"/>
  <c r="M37" i="100"/>
  <c r="N37" i="100" s="1"/>
  <c r="U36" i="100"/>
  <c r="V36" i="100" s="1"/>
  <c r="T36" i="100"/>
  <c r="S36" i="100"/>
  <c r="Q36" i="100"/>
  <c r="R36" i="100" s="1"/>
  <c r="O36" i="100"/>
  <c r="P36" i="100" s="1"/>
  <c r="N36" i="100"/>
  <c r="M36" i="100"/>
  <c r="V35" i="100"/>
  <c r="U35" i="100"/>
  <c r="S35" i="100"/>
  <c r="T35" i="100" s="1"/>
  <c r="Q35" i="100"/>
  <c r="R35" i="100" s="1"/>
  <c r="O35" i="100"/>
  <c r="P35" i="100" s="1"/>
  <c r="N35" i="100"/>
  <c r="M35" i="100"/>
  <c r="V34" i="100"/>
  <c r="U34" i="100"/>
  <c r="S34" i="100"/>
  <c r="T34" i="100" s="1"/>
  <c r="Q34" i="100"/>
  <c r="R34" i="100" s="1"/>
  <c r="P34" i="100"/>
  <c r="O34" i="100"/>
  <c r="M34" i="100"/>
  <c r="N34" i="100" s="1"/>
  <c r="U33" i="100"/>
  <c r="V33" i="100" s="1"/>
  <c r="T33" i="100"/>
  <c r="S33" i="100"/>
  <c r="R33" i="100"/>
  <c r="Q33" i="100"/>
  <c r="O33" i="100"/>
  <c r="P33" i="100" s="1"/>
  <c r="M33" i="100"/>
  <c r="N33" i="100" s="1"/>
  <c r="U32" i="100"/>
  <c r="V32" i="100" s="1"/>
  <c r="T32" i="100"/>
  <c r="S32" i="100"/>
  <c r="R32" i="100"/>
  <c r="Q32" i="100"/>
  <c r="O32" i="100"/>
  <c r="P32" i="100" s="1"/>
  <c r="N32" i="100"/>
  <c r="M32" i="100"/>
  <c r="V31" i="100"/>
  <c r="U31" i="100"/>
  <c r="T31" i="100"/>
  <c r="S31" i="100"/>
  <c r="Q31" i="100"/>
  <c r="R31" i="100" s="1"/>
  <c r="O31" i="100"/>
  <c r="P31" i="100" s="1"/>
  <c r="N31" i="100"/>
  <c r="M31" i="100"/>
  <c r="V30" i="100"/>
  <c r="U30" i="100"/>
  <c r="S30" i="100"/>
  <c r="T30" i="100" s="1"/>
  <c r="Q30" i="100"/>
  <c r="R30" i="100" s="1"/>
  <c r="P30" i="100"/>
  <c r="O30" i="100"/>
  <c r="N30" i="100"/>
  <c r="M30" i="100"/>
  <c r="U29" i="100"/>
  <c r="V29" i="100" s="1"/>
  <c r="T29" i="100"/>
  <c r="S29" i="100"/>
  <c r="R29" i="100"/>
  <c r="Q29" i="100"/>
  <c r="O29" i="100"/>
  <c r="P29" i="100" s="1"/>
  <c r="M29" i="100"/>
  <c r="N29" i="100" s="1"/>
  <c r="U28" i="100"/>
  <c r="V28" i="100" s="1"/>
  <c r="T28" i="100"/>
  <c r="S28" i="100"/>
  <c r="R28" i="100"/>
  <c r="Q28" i="100"/>
  <c r="O28" i="100"/>
  <c r="P28" i="100" s="1"/>
  <c r="N28" i="100"/>
  <c r="M28" i="100"/>
  <c r="V27" i="100"/>
  <c r="U27" i="100"/>
  <c r="S27" i="100"/>
  <c r="T27" i="100" s="1"/>
  <c r="Q27" i="100"/>
  <c r="R27" i="100" s="1"/>
  <c r="O27" i="100"/>
  <c r="P27" i="100" s="1"/>
  <c r="N27" i="100"/>
  <c r="M27" i="100"/>
  <c r="U26" i="100"/>
  <c r="V26" i="100" s="1"/>
  <c r="S26" i="100"/>
  <c r="T26" i="100" s="1"/>
  <c r="Q26" i="100"/>
  <c r="R26" i="100" s="1"/>
  <c r="P26" i="100"/>
  <c r="O26" i="100"/>
  <c r="N26" i="100"/>
  <c r="M26" i="100"/>
  <c r="U25" i="100"/>
  <c r="V25" i="100" s="1"/>
  <c r="T25" i="100"/>
  <c r="S25" i="100"/>
  <c r="R25" i="100"/>
  <c r="Q25" i="100"/>
  <c r="O25" i="100"/>
  <c r="P25" i="100" s="1"/>
  <c r="M25" i="100"/>
  <c r="N25" i="100" s="1"/>
  <c r="U24" i="100"/>
  <c r="V24" i="100" s="1"/>
  <c r="T24" i="100"/>
  <c r="S24" i="100"/>
  <c r="R24" i="100"/>
  <c r="Q24" i="100"/>
  <c r="O24" i="100"/>
  <c r="P24" i="100" s="1"/>
  <c r="M24" i="100"/>
  <c r="N24" i="100" s="1"/>
  <c r="V23" i="100"/>
  <c r="U23" i="100"/>
  <c r="T23" i="100"/>
  <c r="S23" i="100"/>
  <c r="Q23" i="100"/>
  <c r="R23" i="100" s="1"/>
  <c r="P23" i="100"/>
  <c r="O23" i="100"/>
  <c r="N23" i="100"/>
  <c r="M23" i="100"/>
  <c r="U22" i="100"/>
  <c r="V22" i="100" s="1"/>
  <c r="S22" i="100"/>
  <c r="T22" i="100" s="1"/>
  <c r="Q22" i="100"/>
  <c r="R22" i="100" s="1"/>
  <c r="P22" i="100"/>
  <c r="O22" i="100"/>
  <c r="N22" i="100"/>
  <c r="M22" i="100"/>
  <c r="U21" i="100"/>
  <c r="V21" i="100" s="1"/>
  <c r="T21" i="100"/>
  <c r="S21" i="100"/>
  <c r="R21" i="100"/>
  <c r="Q21" i="100"/>
  <c r="O21" i="100"/>
  <c r="P21" i="100" s="1"/>
  <c r="M21" i="100"/>
  <c r="N21" i="100" s="1"/>
  <c r="V20" i="100"/>
  <c r="U20" i="100"/>
  <c r="T20" i="100"/>
  <c r="S20" i="100"/>
  <c r="Q20" i="100"/>
  <c r="R20" i="100" s="1"/>
  <c r="O20" i="100"/>
  <c r="P20" i="100" s="1"/>
  <c r="M20" i="100"/>
  <c r="N20" i="100" s="1"/>
  <c r="V19" i="100"/>
  <c r="U19" i="100"/>
  <c r="T19" i="100"/>
  <c r="S19" i="100"/>
  <c r="Q19" i="100"/>
  <c r="R19" i="100" s="1"/>
  <c r="P19" i="100"/>
  <c r="O19" i="100"/>
  <c r="N19" i="100"/>
  <c r="M19" i="100"/>
  <c r="V18" i="100"/>
  <c r="U18" i="100"/>
  <c r="S18" i="100"/>
  <c r="T18" i="100" s="1"/>
  <c r="Q18" i="100"/>
  <c r="R18" i="100" s="1"/>
  <c r="P18" i="100"/>
  <c r="O18" i="100"/>
  <c r="M18" i="100"/>
  <c r="N18" i="100" s="1"/>
  <c r="U17" i="100"/>
  <c r="V17" i="100" s="1"/>
  <c r="S17" i="100"/>
  <c r="T17" i="100" s="1"/>
  <c r="R17" i="100"/>
  <c r="Q17" i="100"/>
  <c r="P17" i="100"/>
  <c r="O17" i="100"/>
  <c r="M17" i="100"/>
  <c r="N17" i="100" s="1"/>
  <c r="V16" i="100"/>
  <c r="U16" i="100"/>
  <c r="T16" i="100"/>
  <c r="S16" i="100"/>
  <c r="Q16" i="100"/>
  <c r="R16" i="100" s="1"/>
  <c r="O16" i="100"/>
  <c r="P16" i="100" s="1"/>
  <c r="M16" i="100"/>
  <c r="N16" i="100" s="1"/>
  <c r="V15" i="100"/>
  <c r="U15" i="100"/>
  <c r="T15" i="100"/>
  <c r="S15" i="100"/>
  <c r="Q15" i="100"/>
  <c r="R15" i="100" s="1"/>
  <c r="P15" i="100"/>
  <c r="O15" i="100"/>
  <c r="N15" i="100"/>
  <c r="M15" i="100"/>
  <c r="V14" i="100"/>
  <c r="U14" i="100"/>
  <c r="S14" i="100"/>
  <c r="T14" i="100" s="1"/>
  <c r="Q14" i="100"/>
  <c r="R14" i="100" s="1"/>
  <c r="P14" i="100"/>
  <c r="O14" i="100"/>
  <c r="M14" i="100"/>
  <c r="N14" i="100" s="1"/>
  <c r="U13" i="100"/>
  <c r="V13" i="100" s="1"/>
  <c r="S13" i="100"/>
  <c r="T13" i="100" s="1"/>
  <c r="R13" i="100"/>
  <c r="Q13" i="100"/>
  <c r="P13" i="100"/>
  <c r="O13" i="100"/>
  <c r="M13" i="100"/>
  <c r="N13" i="100" s="1"/>
  <c r="V12" i="100"/>
  <c r="U12" i="100"/>
  <c r="T12" i="100"/>
  <c r="S12" i="100"/>
  <c r="Q12" i="100"/>
  <c r="R12" i="100" s="1"/>
  <c r="O12" i="100"/>
  <c r="P12" i="100" s="1"/>
  <c r="M12" i="100"/>
  <c r="N12" i="100" s="1"/>
  <c r="V11" i="100"/>
  <c r="U11" i="100"/>
  <c r="T11" i="100"/>
  <c r="S11" i="100"/>
  <c r="Q11" i="100"/>
  <c r="R11" i="100" s="1"/>
  <c r="O11" i="100"/>
  <c r="P11" i="100" s="1"/>
  <c r="N11" i="100"/>
  <c r="M11" i="100"/>
  <c r="V10" i="100"/>
  <c r="U10" i="100"/>
  <c r="S10" i="100"/>
  <c r="T10" i="100" s="1"/>
  <c r="R10" i="100"/>
  <c r="Q10" i="100"/>
  <c r="P10" i="100"/>
  <c r="O10" i="100"/>
  <c r="M10" i="100"/>
  <c r="N10" i="100" s="1"/>
  <c r="U9" i="100"/>
  <c r="V9" i="100" s="1"/>
  <c r="S9" i="100"/>
  <c r="T9" i="100" s="1"/>
  <c r="R9" i="100"/>
  <c r="Q9" i="100"/>
  <c r="P9" i="100"/>
  <c r="O9" i="100"/>
  <c r="M9" i="100"/>
  <c r="N9" i="100" s="1"/>
  <c r="V8" i="100"/>
  <c r="U8" i="100"/>
  <c r="T8" i="100"/>
  <c r="S8" i="100"/>
  <c r="R8" i="100"/>
  <c r="Q8" i="100"/>
  <c r="O8" i="100"/>
  <c r="P8" i="100" s="1"/>
  <c r="M8" i="100"/>
  <c r="N8" i="100" s="1"/>
  <c r="V7" i="100"/>
  <c r="U7" i="100"/>
  <c r="S7" i="100"/>
  <c r="T7" i="100" s="1"/>
  <c r="Q7" i="100"/>
  <c r="R7" i="100" s="1"/>
  <c r="O7" i="100"/>
  <c r="P7" i="100" s="1"/>
  <c r="N7" i="100"/>
  <c r="M7" i="100"/>
  <c r="V6" i="100"/>
  <c r="U6" i="100"/>
  <c r="S6" i="100"/>
  <c r="T6" i="100" s="1"/>
  <c r="R6" i="100"/>
  <c r="Q6" i="100"/>
  <c r="P6" i="100"/>
  <c r="O6" i="100"/>
  <c r="M6" i="100"/>
  <c r="N6" i="100" s="1"/>
  <c r="U5" i="100"/>
  <c r="V5" i="100" s="1"/>
  <c r="T5" i="100"/>
  <c r="S5" i="100"/>
  <c r="R5" i="100"/>
  <c r="Q5" i="100"/>
  <c r="O5" i="100"/>
  <c r="P5" i="100" s="1"/>
  <c r="M5" i="100"/>
  <c r="N5" i="100" s="1"/>
  <c r="U4" i="100"/>
  <c r="V4" i="100" s="1"/>
  <c r="T4" i="100"/>
  <c r="S4" i="100"/>
  <c r="R4" i="100"/>
  <c r="Q4" i="100"/>
  <c r="O4" i="100"/>
  <c r="P4" i="100" s="1"/>
  <c r="N4" i="100"/>
  <c r="M4" i="100"/>
  <c r="V3" i="100"/>
  <c r="U3" i="100"/>
  <c r="S3" i="100"/>
  <c r="T3" i="100" s="1"/>
  <c r="Q3" i="100"/>
  <c r="R3" i="100" s="1"/>
  <c r="O3" i="100"/>
  <c r="P3" i="100" s="1"/>
  <c r="N3" i="100"/>
  <c r="M3" i="100"/>
  <c r="V2" i="100"/>
  <c r="U2" i="100"/>
  <c r="S2" i="100"/>
  <c r="T2" i="100" s="1"/>
  <c r="R2" i="100"/>
  <c r="Q2" i="100"/>
  <c r="P2" i="100"/>
  <c r="O2" i="100"/>
  <c r="N2" i="100"/>
  <c r="M2" i="100"/>
  <c r="U44" i="99"/>
  <c r="V44" i="99" s="1"/>
  <c r="S44" i="99"/>
  <c r="T44" i="99" s="1"/>
  <c r="R44" i="99"/>
  <c r="Q44" i="99"/>
  <c r="O44" i="99"/>
  <c r="P44" i="99" s="1"/>
  <c r="M44" i="99"/>
  <c r="N44" i="99" s="1"/>
  <c r="U43" i="99"/>
  <c r="V43" i="99" s="1"/>
  <c r="T43" i="99"/>
  <c r="S43" i="99"/>
  <c r="R43" i="99"/>
  <c r="Q43" i="99"/>
  <c r="O43" i="99"/>
  <c r="P43" i="99" s="1"/>
  <c r="M43" i="99"/>
  <c r="N43" i="99" s="1"/>
  <c r="U42" i="99"/>
  <c r="V42" i="99" s="1"/>
  <c r="T42" i="99"/>
  <c r="S42" i="99"/>
  <c r="Q42" i="99"/>
  <c r="R42" i="99" s="1"/>
  <c r="O42" i="99"/>
  <c r="P42" i="99" s="1"/>
  <c r="N42" i="99"/>
  <c r="M42" i="99"/>
  <c r="V41" i="99"/>
  <c r="U41" i="99"/>
  <c r="T41" i="99"/>
  <c r="S41" i="99"/>
  <c r="Q41" i="99"/>
  <c r="R41" i="99" s="1"/>
  <c r="O41" i="99"/>
  <c r="P41" i="99" s="1"/>
  <c r="N41" i="99"/>
  <c r="M41" i="99"/>
  <c r="U40" i="99"/>
  <c r="V40" i="99" s="1"/>
  <c r="S40" i="99"/>
  <c r="T40" i="99" s="1"/>
  <c r="Q40" i="99"/>
  <c r="R40" i="99" s="1"/>
  <c r="P40" i="99"/>
  <c r="O40" i="99"/>
  <c r="N40" i="99"/>
  <c r="M40" i="99"/>
  <c r="U39" i="99"/>
  <c r="V39" i="99" s="1"/>
  <c r="S39" i="99"/>
  <c r="T39" i="99" s="1"/>
  <c r="R39" i="99"/>
  <c r="Q39" i="99"/>
  <c r="O39" i="99"/>
  <c r="P39" i="99" s="1"/>
  <c r="M39" i="99"/>
  <c r="N39" i="99" s="1"/>
  <c r="V38" i="99"/>
  <c r="U38" i="99"/>
  <c r="T38" i="99"/>
  <c r="S38" i="99"/>
  <c r="R38" i="99"/>
  <c r="Q38" i="99"/>
  <c r="O38" i="99"/>
  <c r="P38" i="99" s="1"/>
  <c r="M38" i="99"/>
  <c r="N38" i="99" s="1"/>
  <c r="V37" i="99"/>
  <c r="U37" i="99"/>
  <c r="S37" i="99"/>
  <c r="T37" i="99" s="1"/>
  <c r="Q37" i="99"/>
  <c r="R37" i="99" s="1"/>
  <c r="P37" i="99"/>
  <c r="O37" i="99"/>
  <c r="N37" i="99"/>
  <c r="M37" i="99"/>
  <c r="U36" i="99"/>
  <c r="V36" i="99" s="1"/>
  <c r="S36" i="99"/>
  <c r="T36" i="99" s="1"/>
  <c r="Q36" i="99"/>
  <c r="R36" i="99" s="1"/>
  <c r="P36" i="99"/>
  <c r="O36" i="99"/>
  <c r="M36" i="99"/>
  <c r="N36" i="99" s="1"/>
  <c r="U35" i="99"/>
  <c r="V35" i="99" s="1"/>
  <c r="T35" i="99"/>
  <c r="S35" i="99"/>
  <c r="R35" i="99"/>
  <c r="Q35" i="99"/>
  <c r="P35" i="99"/>
  <c r="O35" i="99"/>
  <c r="M35" i="99"/>
  <c r="N35" i="99" s="1"/>
  <c r="U34" i="99"/>
  <c r="V34" i="99" s="1"/>
  <c r="T34" i="99"/>
  <c r="S34" i="99"/>
  <c r="Q34" i="99"/>
  <c r="R34" i="99" s="1"/>
  <c r="O34" i="99"/>
  <c r="P34" i="99" s="1"/>
  <c r="M34" i="99"/>
  <c r="N34" i="99" s="1"/>
  <c r="V33" i="99"/>
  <c r="U33" i="99"/>
  <c r="T33" i="99"/>
  <c r="S33" i="99"/>
  <c r="Q33" i="99"/>
  <c r="R33" i="99" s="1"/>
  <c r="O33" i="99"/>
  <c r="P33" i="99" s="1"/>
  <c r="N33" i="99"/>
  <c r="M33" i="99"/>
  <c r="U32" i="99"/>
  <c r="V32" i="99" s="1"/>
  <c r="S32" i="99"/>
  <c r="T32" i="99" s="1"/>
  <c r="R32" i="99"/>
  <c r="Q32" i="99"/>
  <c r="P32" i="99"/>
  <c r="O32" i="99"/>
  <c r="N32" i="99"/>
  <c r="M32" i="99"/>
  <c r="U31" i="99"/>
  <c r="V31" i="99" s="1"/>
  <c r="S31" i="99"/>
  <c r="T31" i="99" s="1"/>
  <c r="R31" i="99"/>
  <c r="Q31" i="99"/>
  <c r="O31" i="99"/>
  <c r="P31" i="99" s="1"/>
  <c r="M31" i="99"/>
  <c r="N31" i="99" s="1"/>
  <c r="V30" i="99"/>
  <c r="U30" i="99"/>
  <c r="T30" i="99"/>
  <c r="S30" i="99"/>
  <c r="Q30" i="99"/>
  <c r="R30" i="99" s="1"/>
  <c r="O30" i="99"/>
  <c r="P30" i="99" s="1"/>
  <c r="M30" i="99"/>
  <c r="N30" i="99" s="1"/>
  <c r="V29" i="99"/>
  <c r="U29" i="99"/>
  <c r="S29" i="99"/>
  <c r="T29" i="99" s="1"/>
  <c r="Q29" i="99"/>
  <c r="R29" i="99" s="1"/>
  <c r="O29" i="99"/>
  <c r="P29" i="99" s="1"/>
  <c r="N29" i="99"/>
  <c r="M29" i="99"/>
  <c r="V28" i="99"/>
  <c r="U28" i="99"/>
  <c r="S28" i="99"/>
  <c r="T28" i="99" s="1"/>
  <c r="Q28" i="99"/>
  <c r="R28" i="99" s="1"/>
  <c r="P28" i="99"/>
  <c r="O28" i="99"/>
  <c r="M28" i="99"/>
  <c r="N28" i="99" s="1"/>
  <c r="U27" i="99"/>
  <c r="V27" i="99" s="1"/>
  <c r="S27" i="99"/>
  <c r="T27" i="99" s="1"/>
  <c r="R27" i="99"/>
  <c r="Q27" i="99"/>
  <c r="P27" i="99"/>
  <c r="O27" i="99"/>
  <c r="M27" i="99"/>
  <c r="N27" i="99" s="1"/>
  <c r="U26" i="99"/>
  <c r="V26" i="99" s="1"/>
  <c r="T26" i="99"/>
  <c r="S26" i="99"/>
  <c r="Q26" i="99"/>
  <c r="R26" i="99" s="1"/>
  <c r="O26" i="99"/>
  <c r="P26" i="99" s="1"/>
  <c r="N26" i="99"/>
  <c r="M26" i="99"/>
  <c r="U25" i="99"/>
  <c r="V25" i="99" s="1"/>
  <c r="S25" i="99"/>
  <c r="T25" i="99" s="1"/>
  <c r="Q25" i="99"/>
  <c r="R25" i="99" s="1"/>
  <c r="O25" i="99"/>
  <c r="P25" i="99" s="1"/>
  <c r="M25" i="99"/>
  <c r="N25" i="99" s="1"/>
  <c r="U24" i="99"/>
  <c r="V24" i="99" s="1"/>
  <c r="S24" i="99"/>
  <c r="T24" i="99" s="1"/>
  <c r="R24" i="99"/>
  <c r="Q24" i="99"/>
  <c r="P24" i="99"/>
  <c r="O24" i="99"/>
  <c r="M24" i="99"/>
  <c r="N24" i="99" s="1"/>
  <c r="U23" i="99"/>
  <c r="V23" i="99" s="1"/>
  <c r="S23" i="99"/>
  <c r="T23" i="99" s="1"/>
  <c r="Q23" i="99"/>
  <c r="R23" i="99" s="1"/>
  <c r="O23" i="99"/>
  <c r="P23" i="99" s="1"/>
  <c r="M23" i="99"/>
  <c r="N23" i="99" s="1"/>
  <c r="U22" i="99"/>
  <c r="V22" i="99" s="1"/>
  <c r="T22" i="99"/>
  <c r="S22" i="99"/>
  <c r="R22" i="99"/>
  <c r="Q22" i="99"/>
  <c r="O22" i="99"/>
  <c r="P22" i="99" s="1"/>
  <c r="M22" i="99"/>
  <c r="N22" i="99" s="1"/>
  <c r="U21" i="99"/>
  <c r="V21" i="99" s="1"/>
  <c r="S21" i="99"/>
  <c r="T21" i="99" s="1"/>
  <c r="Q21" i="99"/>
  <c r="R21" i="99" s="1"/>
  <c r="O21" i="99"/>
  <c r="P21" i="99" s="1"/>
  <c r="M21" i="99"/>
  <c r="N21" i="99" s="1"/>
  <c r="V20" i="99"/>
  <c r="U20" i="99"/>
  <c r="S20" i="99"/>
  <c r="T20" i="99" s="1"/>
  <c r="Q20" i="99"/>
  <c r="R20" i="99" s="1"/>
  <c r="O20" i="99"/>
  <c r="P20" i="99" s="1"/>
  <c r="M20" i="99"/>
  <c r="N20" i="99" s="1"/>
  <c r="U19" i="99"/>
  <c r="V19" i="99" s="1"/>
  <c r="T19" i="99"/>
  <c r="S19" i="99"/>
  <c r="Q19" i="99"/>
  <c r="R19" i="99" s="1"/>
  <c r="O19" i="99"/>
  <c r="P19" i="99" s="1"/>
  <c r="M19" i="99"/>
  <c r="N19" i="99" s="1"/>
  <c r="U18" i="99"/>
  <c r="V18" i="99" s="1"/>
  <c r="S18" i="99"/>
  <c r="T18" i="99" s="1"/>
  <c r="Q18" i="99"/>
  <c r="R18" i="99" s="1"/>
  <c r="O18" i="99"/>
  <c r="P18" i="99" s="1"/>
  <c r="N18" i="99"/>
  <c r="M18" i="99"/>
  <c r="V17" i="99"/>
  <c r="U17" i="99"/>
  <c r="S17" i="99"/>
  <c r="T17" i="99" s="1"/>
  <c r="Q17" i="99"/>
  <c r="R17" i="99" s="1"/>
  <c r="P17" i="99"/>
  <c r="O17" i="99"/>
  <c r="M17" i="99"/>
  <c r="N17" i="99" s="1"/>
  <c r="U16" i="99"/>
  <c r="V16" i="99" s="1"/>
  <c r="S16" i="99"/>
  <c r="T16" i="99" s="1"/>
  <c r="Q16" i="99"/>
  <c r="R16" i="99" s="1"/>
  <c r="P16" i="99"/>
  <c r="O16" i="99"/>
  <c r="N16" i="99"/>
  <c r="M16" i="99"/>
  <c r="U15" i="99"/>
  <c r="V15" i="99" s="1"/>
  <c r="S15" i="99"/>
  <c r="T15" i="99" s="1"/>
  <c r="R15" i="99"/>
  <c r="Q15" i="99"/>
  <c r="O15" i="99"/>
  <c r="P15" i="99" s="1"/>
  <c r="M15" i="99"/>
  <c r="N15" i="99" s="1"/>
  <c r="U14" i="99"/>
  <c r="V14" i="99" s="1"/>
  <c r="S14" i="99"/>
  <c r="T14" i="99" s="1"/>
  <c r="R14" i="99"/>
  <c r="Q14" i="99"/>
  <c r="O14" i="99"/>
  <c r="P14" i="99" s="1"/>
  <c r="M14" i="99"/>
  <c r="N14" i="99" s="1"/>
  <c r="U13" i="99"/>
  <c r="V13" i="99" s="1"/>
  <c r="S13" i="99"/>
  <c r="T13" i="99" s="1"/>
  <c r="Q13" i="99"/>
  <c r="R13" i="99" s="1"/>
  <c r="P13" i="99"/>
  <c r="O13" i="99"/>
  <c r="M13" i="99"/>
  <c r="N13" i="99" s="1"/>
  <c r="U12" i="99"/>
  <c r="V12" i="99" s="1"/>
  <c r="S12" i="99"/>
  <c r="T12" i="99" s="1"/>
  <c r="Q12" i="99"/>
  <c r="R12" i="99" s="1"/>
  <c r="O12" i="99"/>
  <c r="P12" i="99" s="1"/>
  <c r="M12" i="99"/>
  <c r="N12" i="99" s="1"/>
  <c r="U11" i="99"/>
  <c r="V11" i="99" s="1"/>
  <c r="T11" i="99"/>
  <c r="S11" i="99"/>
  <c r="R11" i="99"/>
  <c r="Q11" i="99"/>
  <c r="O11" i="99"/>
  <c r="P11" i="99" s="1"/>
  <c r="M11" i="99"/>
  <c r="N11" i="99" s="1"/>
  <c r="U10" i="99"/>
  <c r="V10" i="99" s="1"/>
  <c r="S10" i="99"/>
  <c r="T10" i="99" s="1"/>
  <c r="Q10" i="99"/>
  <c r="R10" i="99" s="1"/>
  <c r="O10" i="99"/>
  <c r="P10" i="99" s="1"/>
  <c r="M10" i="99"/>
  <c r="N10" i="99" s="1"/>
  <c r="V9" i="99"/>
  <c r="U9" i="99"/>
  <c r="T9" i="99"/>
  <c r="S9" i="99"/>
  <c r="Q9" i="99"/>
  <c r="R9" i="99" s="1"/>
  <c r="O9" i="99"/>
  <c r="P9" i="99" s="1"/>
  <c r="N9" i="99"/>
  <c r="M9" i="99"/>
  <c r="U8" i="99"/>
  <c r="V8" i="99" s="1"/>
  <c r="S8" i="99"/>
  <c r="T8" i="99" s="1"/>
  <c r="Q8" i="99"/>
  <c r="R8" i="99" s="1"/>
  <c r="O8" i="99"/>
  <c r="P8" i="99" s="1"/>
  <c r="N8" i="99"/>
  <c r="M8" i="99"/>
  <c r="U7" i="99"/>
  <c r="V7" i="99" s="1"/>
  <c r="S7" i="99"/>
  <c r="T7" i="99" s="1"/>
  <c r="Q7" i="99"/>
  <c r="R7" i="99" s="1"/>
  <c r="P7" i="99"/>
  <c r="O7" i="99"/>
  <c r="M7" i="99"/>
  <c r="N7" i="99" s="1"/>
  <c r="V6" i="99"/>
  <c r="U6" i="99"/>
  <c r="S6" i="99"/>
  <c r="T6" i="99" s="1"/>
  <c r="Q6" i="99"/>
  <c r="R6" i="99" s="1"/>
  <c r="O6" i="99"/>
  <c r="P6" i="99" s="1"/>
  <c r="M6" i="99"/>
  <c r="N6" i="99" s="1"/>
  <c r="U5" i="99"/>
  <c r="V5" i="99" s="1"/>
  <c r="S5" i="99"/>
  <c r="T5" i="99" s="1"/>
  <c r="Q5" i="99"/>
  <c r="R5" i="99" s="1"/>
  <c r="P5" i="99"/>
  <c r="O5" i="99"/>
  <c r="N5" i="99"/>
  <c r="M5" i="99"/>
  <c r="U4" i="99"/>
  <c r="V4" i="99" s="1"/>
  <c r="S4" i="99"/>
  <c r="T4" i="99" s="1"/>
  <c r="R4" i="99"/>
  <c r="Q4" i="99"/>
  <c r="O4" i="99"/>
  <c r="P4" i="99" s="1"/>
  <c r="M4" i="99"/>
  <c r="N4" i="99" s="1"/>
  <c r="U3" i="99"/>
  <c r="V3" i="99" s="1"/>
  <c r="S3" i="99"/>
  <c r="T3" i="99" s="1"/>
  <c r="R3" i="99"/>
  <c r="Q3" i="99"/>
  <c r="P3" i="99"/>
  <c r="O3" i="99"/>
  <c r="M3" i="99"/>
  <c r="N3" i="99" s="1"/>
  <c r="U2" i="99"/>
  <c r="V2" i="99" s="1"/>
  <c r="S2" i="99"/>
  <c r="T2" i="99" s="1"/>
  <c r="Q2" i="99"/>
  <c r="R2" i="99" s="1"/>
  <c r="O2" i="99"/>
  <c r="P2" i="99" s="1"/>
  <c r="M2" i="99"/>
  <c r="N2" i="99" s="1"/>
  <c r="U44" i="98"/>
  <c r="V44" i="98" s="1"/>
  <c r="T44" i="98"/>
  <c r="S44" i="98"/>
  <c r="Q44" i="98"/>
  <c r="R44" i="98" s="1"/>
  <c r="O44" i="98"/>
  <c r="P44" i="98" s="1"/>
  <c r="M44" i="98"/>
  <c r="N44" i="98" s="1"/>
  <c r="U43" i="98"/>
  <c r="V43" i="98" s="1"/>
  <c r="S43" i="98"/>
  <c r="T43" i="98" s="1"/>
  <c r="R43" i="98"/>
  <c r="Q43" i="98"/>
  <c r="O43" i="98"/>
  <c r="P43" i="98" s="1"/>
  <c r="M43" i="98"/>
  <c r="N43" i="98" s="1"/>
  <c r="U42" i="98"/>
  <c r="V42" i="98" s="1"/>
  <c r="S42" i="98"/>
  <c r="T42" i="98" s="1"/>
  <c r="Q42" i="98"/>
  <c r="R42" i="98" s="1"/>
  <c r="O42" i="98"/>
  <c r="P42" i="98" s="1"/>
  <c r="M42" i="98"/>
  <c r="N42" i="98" s="1"/>
  <c r="V41" i="98"/>
  <c r="U41" i="98"/>
  <c r="T41" i="98"/>
  <c r="S41" i="98"/>
  <c r="Q41" i="98"/>
  <c r="R41" i="98" s="1"/>
  <c r="O41" i="98"/>
  <c r="P41" i="98" s="1"/>
  <c r="M41" i="98"/>
  <c r="N41" i="98" s="1"/>
  <c r="U40" i="98"/>
  <c r="V40" i="98" s="1"/>
  <c r="S40" i="98"/>
  <c r="T40" i="98" s="1"/>
  <c r="Q40" i="98"/>
  <c r="R40" i="98" s="1"/>
  <c r="O40" i="98"/>
  <c r="P40" i="98" s="1"/>
  <c r="N40" i="98"/>
  <c r="M40" i="98"/>
  <c r="V39" i="98"/>
  <c r="U39" i="98"/>
  <c r="S39" i="98"/>
  <c r="T39" i="98" s="1"/>
  <c r="Q39" i="98"/>
  <c r="R39" i="98" s="1"/>
  <c r="O39" i="98"/>
  <c r="P39" i="98" s="1"/>
  <c r="M39" i="98"/>
  <c r="N39" i="98" s="1"/>
  <c r="U38" i="98"/>
  <c r="V38" i="98" s="1"/>
  <c r="S38" i="98"/>
  <c r="T38" i="98" s="1"/>
  <c r="Q38" i="98"/>
  <c r="R38" i="98" s="1"/>
  <c r="P38" i="98"/>
  <c r="O38" i="98"/>
  <c r="M38" i="98"/>
  <c r="N38" i="98" s="1"/>
  <c r="U37" i="98"/>
  <c r="V37" i="98" s="1"/>
  <c r="S37" i="98"/>
  <c r="T37" i="98" s="1"/>
  <c r="R37" i="98"/>
  <c r="Q37" i="98"/>
  <c r="O37" i="98"/>
  <c r="P37" i="98" s="1"/>
  <c r="N37" i="98"/>
  <c r="M37" i="98"/>
  <c r="U36" i="98"/>
  <c r="V36" i="98" s="1"/>
  <c r="S36" i="98"/>
  <c r="T36" i="98" s="1"/>
  <c r="Q36" i="98"/>
  <c r="R36" i="98" s="1"/>
  <c r="O36" i="98"/>
  <c r="P36" i="98" s="1"/>
  <c r="M36" i="98"/>
  <c r="N36" i="98" s="1"/>
  <c r="U35" i="98"/>
  <c r="V35" i="98" s="1"/>
  <c r="S35" i="98"/>
  <c r="T35" i="98" s="1"/>
  <c r="R35" i="98"/>
  <c r="Q35" i="98"/>
  <c r="P35" i="98"/>
  <c r="O35" i="98"/>
  <c r="M35" i="98"/>
  <c r="N35" i="98" s="1"/>
  <c r="U34" i="98"/>
  <c r="V34" i="98" s="1"/>
  <c r="T34" i="98"/>
  <c r="S34" i="98"/>
  <c r="Q34" i="98"/>
  <c r="R34" i="98" s="1"/>
  <c r="O34" i="98"/>
  <c r="P34" i="98" s="1"/>
  <c r="M34" i="98"/>
  <c r="N34" i="98" s="1"/>
  <c r="U33" i="98"/>
  <c r="V33" i="98" s="1"/>
  <c r="T33" i="98"/>
  <c r="S33" i="98"/>
  <c r="R33" i="98"/>
  <c r="Q33" i="98"/>
  <c r="O33" i="98"/>
  <c r="P33" i="98" s="1"/>
  <c r="M33" i="98"/>
  <c r="N33" i="98" s="1"/>
  <c r="U32" i="98"/>
  <c r="V32" i="98" s="1"/>
  <c r="S32" i="98"/>
  <c r="T32" i="98" s="1"/>
  <c r="Q32" i="98"/>
  <c r="R32" i="98" s="1"/>
  <c r="O32" i="98"/>
  <c r="P32" i="98" s="1"/>
  <c r="M32" i="98"/>
  <c r="N32" i="98" s="1"/>
  <c r="V31" i="98"/>
  <c r="U31" i="98"/>
  <c r="S31" i="98"/>
  <c r="T31" i="98" s="1"/>
  <c r="Q31" i="98"/>
  <c r="R31" i="98" s="1"/>
  <c r="O31" i="98"/>
  <c r="P31" i="98" s="1"/>
  <c r="M31" i="98"/>
  <c r="N31" i="98" s="1"/>
  <c r="U30" i="98"/>
  <c r="V30" i="98" s="1"/>
  <c r="T30" i="98"/>
  <c r="S30" i="98"/>
  <c r="Q30" i="98"/>
  <c r="R30" i="98" s="1"/>
  <c r="O30" i="98"/>
  <c r="P30" i="98" s="1"/>
  <c r="M30" i="98"/>
  <c r="N30" i="98" s="1"/>
  <c r="U29" i="98"/>
  <c r="V29" i="98" s="1"/>
  <c r="S29" i="98"/>
  <c r="T29" i="98" s="1"/>
  <c r="Q29" i="98"/>
  <c r="R29" i="98" s="1"/>
  <c r="O29" i="98"/>
  <c r="P29" i="98" s="1"/>
  <c r="N29" i="98"/>
  <c r="M29" i="98"/>
  <c r="V28" i="98"/>
  <c r="U28" i="98"/>
  <c r="S28" i="98"/>
  <c r="T28" i="98" s="1"/>
  <c r="Q28" i="98"/>
  <c r="R28" i="98" s="1"/>
  <c r="P28" i="98"/>
  <c r="O28" i="98"/>
  <c r="M28" i="98"/>
  <c r="N28" i="98" s="1"/>
  <c r="U27" i="98"/>
  <c r="V27" i="98" s="1"/>
  <c r="S27" i="98"/>
  <c r="T27" i="98" s="1"/>
  <c r="Q27" i="98"/>
  <c r="R27" i="98" s="1"/>
  <c r="P27" i="98"/>
  <c r="O27" i="98"/>
  <c r="N27" i="98"/>
  <c r="M27" i="98"/>
  <c r="U26" i="98"/>
  <c r="V26" i="98" s="1"/>
  <c r="S26" i="98"/>
  <c r="T26" i="98" s="1"/>
  <c r="Q26" i="98"/>
  <c r="R26" i="98" s="1"/>
  <c r="O26" i="98"/>
  <c r="P26" i="98" s="1"/>
  <c r="M26" i="98"/>
  <c r="N26" i="98" s="1"/>
  <c r="U25" i="98"/>
  <c r="V25" i="98" s="1"/>
  <c r="S25" i="98"/>
  <c r="T25" i="98" s="1"/>
  <c r="R25" i="98"/>
  <c r="Q25" i="98"/>
  <c r="O25" i="98"/>
  <c r="P25" i="98" s="1"/>
  <c r="M25" i="98"/>
  <c r="N25" i="98" s="1"/>
  <c r="U24" i="98"/>
  <c r="V24" i="98" s="1"/>
  <c r="T24" i="98"/>
  <c r="S24" i="98"/>
  <c r="Q24" i="98"/>
  <c r="R24" i="98" s="1"/>
  <c r="P24" i="98"/>
  <c r="O24" i="98"/>
  <c r="M24" i="98"/>
  <c r="N24" i="98" s="1"/>
  <c r="U23" i="98"/>
  <c r="V23" i="98" s="1"/>
  <c r="S23" i="98"/>
  <c r="T23" i="98" s="1"/>
  <c r="Q23" i="98"/>
  <c r="R23" i="98" s="1"/>
  <c r="O23" i="98"/>
  <c r="P23" i="98" s="1"/>
  <c r="M23" i="98"/>
  <c r="N23" i="98" s="1"/>
  <c r="U22" i="98"/>
  <c r="V22" i="98" s="1"/>
  <c r="T22" i="98"/>
  <c r="S22" i="98"/>
  <c r="R22" i="98"/>
  <c r="Q22" i="98"/>
  <c r="O22" i="98"/>
  <c r="P22" i="98" s="1"/>
  <c r="M22" i="98"/>
  <c r="N22" i="98" s="1"/>
  <c r="U21" i="98"/>
  <c r="V21" i="98" s="1"/>
  <c r="S21" i="98"/>
  <c r="T21" i="98" s="1"/>
  <c r="Q21" i="98"/>
  <c r="R21" i="98" s="1"/>
  <c r="O21" i="98"/>
  <c r="P21" i="98" s="1"/>
  <c r="M21" i="98"/>
  <c r="N21" i="98" s="1"/>
  <c r="V20" i="98"/>
  <c r="U20" i="98"/>
  <c r="T20" i="98"/>
  <c r="S20" i="98"/>
  <c r="Q20" i="98"/>
  <c r="R20" i="98" s="1"/>
  <c r="O20" i="98"/>
  <c r="P20" i="98" s="1"/>
  <c r="N20" i="98"/>
  <c r="M20" i="98"/>
  <c r="U19" i="98"/>
  <c r="V19" i="98" s="1"/>
  <c r="S19" i="98"/>
  <c r="T19" i="98" s="1"/>
  <c r="Q19" i="98"/>
  <c r="R19" i="98" s="1"/>
  <c r="O19" i="98"/>
  <c r="P19" i="98" s="1"/>
  <c r="N19" i="98"/>
  <c r="M19" i="98"/>
  <c r="U18" i="98"/>
  <c r="V18" i="98" s="1"/>
  <c r="S18" i="98"/>
  <c r="T18" i="98" s="1"/>
  <c r="Q18" i="98"/>
  <c r="R18" i="98" s="1"/>
  <c r="O18" i="98"/>
  <c r="P18" i="98" s="1"/>
  <c r="M18" i="98"/>
  <c r="N18" i="98" s="1"/>
  <c r="V17" i="98"/>
  <c r="U17" i="98"/>
  <c r="S17" i="98"/>
  <c r="T17" i="98" s="1"/>
  <c r="Q17" i="98"/>
  <c r="R17" i="98" s="1"/>
  <c r="O17" i="98"/>
  <c r="P17" i="98" s="1"/>
  <c r="M17" i="98"/>
  <c r="N17" i="98" s="1"/>
  <c r="U16" i="98"/>
  <c r="V16" i="98" s="1"/>
  <c r="S16" i="98"/>
  <c r="T16" i="98" s="1"/>
  <c r="Q16" i="98"/>
  <c r="R16" i="98" s="1"/>
  <c r="P16" i="98"/>
  <c r="O16" i="98"/>
  <c r="N16" i="98"/>
  <c r="M16" i="98"/>
  <c r="U15" i="98"/>
  <c r="V15" i="98" s="1"/>
  <c r="S15" i="98"/>
  <c r="T15" i="98" s="1"/>
  <c r="Q15" i="98"/>
  <c r="R15" i="98" s="1"/>
  <c r="O15" i="98"/>
  <c r="P15" i="98" s="1"/>
  <c r="M15" i="98"/>
  <c r="N15" i="98" s="1"/>
  <c r="U14" i="98"/>
  <c r="V14" i="98" s="1"/>
  <c r="S14" i="98"/>
  <c r="T14" i="98" s="1"/>
  <c r="R14" i="98"/>
  <c r="Q14" i="98"/>
  <c r="P14" i="98"/>
  <c r="O14" i="98"/>
  <c r="M14" i="98"/>
  <c r="N14" i="98" s="1"/>
  <c r="U13" i="98"/>
  <c r="V13" i="98" s="1"/>
  <c r="S13" i="98"/>
  <c r="T13" i="98" s="1"/>
  <c r="Q13" i="98"/>
  <c r="R13" i="98" s="1"/>
  <c r="O13" i="98"/>
  <c r="P13" i="98" s="1"/>
  <c r="M13" i="98"/>
  <c r="N13" i="98" s="1"/>
  <c r="U12" i="98"/>
  <c r="V12" i="98" s="1"/>
  <c r="T12" i="98"/>
  <c r="S12" i="98"/>
  <c r="Q12" i="98"/>
  <c r="R12" i="98" s="1"/>
  <c r="O12" i="98"/>
  <c r="P12" i="98" s="1"/>
  <c r="M12" i="98"/>
  <c r="N12" i="98" s="1"/>
  <c r="U11" i="98"/>
  <c r="V11" i="98" s="1"/>
  <c r="S11" i="98"/>
  <c r="T11" i="98" s="1"/>
  <c r="R11" i="98"/>
  <c r="Q11" i="98"/>
  <c r="O11" i="98"/>
  <c r="P11" i="98" s="1"/>
  <c r="M11" i="98"/>
  <c r="N11" i="98" s="1"/>
  <c r="U10" i="98"/>
  <c r="V10" i="98" s="1"/>
  <c r="S10" i="98"/>
  <c r="T10" i="98" s="1"/>
  <c r="Q10" i="98"/>
  <c r="R10" i="98" s="1"/>
  <c r="O10" i="98"/>
  <c r="P10" i="98" s="1"/>
  <c r="M10" i="98"/>
  <c r="N10" i="98" s="1"/>
  <c r="V9" i="98"/>
  <c r="U9" i="98"/>
  <c r="T9" i="98"/>
  <c r="S9" i="98"/>
  <c r="Q9" i="98"/>
  <c r="R9" i="98" s="1"/>
  <c r="O9" i="98"/>
  <c r="P9" i="98" s="1"/>
  <c r="M9" i="98"/>
  <c r="N9" i="98" s="1"/>
  <c r="U8" i="98"/>
  <c r="V8" i="98" s="1"/>
  <c r="S8" i="98"/>
  <c r="T8" i="98" s="1"/>
  <c r="Q8" i="98"/>
  <c r="R8" i="98" s="1"/>
  <c r="O8" i="98"/>
  <c r="P8" i="98" s="1"/>
  <c r="N8" i="98"/>
  <c r="M8" i="98"/>
  <c r="V7" i="98"/>
  <c r="U7" i="98"/>
  <c r="S7" i="98"/>
  <c r="T7" i="98" s="1"/>
  <c r="Q7" i="98"/>
  <c r="R7" i="98" s="1"/>
  <c r="P7" i="98"/>
  <c r="O7" i="98"/>
  <c r="M7" i="98"/>
  <c r="N7" i="98" s="1"/>
  <c r="U6" i="98"/>
  <c r="V6" i="98" s="1"/>
  <c r="S6" i="98"/>
  <c r="T6" i="98" s="1"/>
  <c r="Q6" i="98"/>
  <c r="R6" i="98" s="1"/>
  <c r="P6" i="98"/>
  <c r="O6" i="98"/>
  <c r="M6" i="98"/>
  <c r="N6" i="98" s="1"/>
  <c r="U5" i="98"/>
  <c r="V5" i="98" s="1"/>
  <c r="S5" i="98"/>
  <c r="T5" i="98" s="1"/>
  <c r="Q5" i="98"/>
  <c r="R5" i="98" s="1"/>
  <c r="O5" i="98"/>
  <c r="P5" i="98" s="1"/>
  <c r="N5" i="98"/>
  <c r="M5" i="98"/>
  <c r="U4" i="98"/>
  <c r="V4" i="98" s="1"/>
  <c r="S4" i="98"/>
  <c r="T4" i="98" s="1"/>
  <c r="Q4" i="98"/>
  <c r="R4" i="98" s="1"/>
  <c r="O4" i="98"/>
  <c r="P4" i="98" s="1"/>
  <c r="M4" i="98"/>
  <c r="N4" i="98" s="1"/>
  <c r="U3" i="98"/>
  <c r="V3" i="98" s="1"/>
  <c r="S3" i="98"/>
  <c r="T3" i="98" s="1"/>
  <c r="R3" i="98"/>
  <c r="Q3" i="98"/>
  <c r="P3" i="98"/>
  <c r="O3" i="98"/>
  <c r="M3" i="98"/>
  <c r="N3" i="98" s="1"/>
  <c r="U2" i="98"/>
  <c r="V2" i="98" s="1"/>
  <c r="S2" i="98"/>
  <c r="T2" i="98" s="1"/>
  <c r="Q2" i="98"/>
  <c r="R2" i="98" s="1"/>
  <c r="O2" i="98"/>
  <c r="P2" i="98" s="1"/>
  <c r="M2" i="98"/>
  <c r="N2" i="98" s="1"/>
  <c r="U44" i="97"/>
  <c r="V44" i="97" s="1"/>
  <c r="T44" i="97"/>
  <c r="S44" i="97"/>
  <c r="R44" i="97"/>
  <c r="Q44" i="97"/>
  <c r="O44" i="97"/>
  <c r="P44" i="97" s="1"/>
  <c r="M44" i="97"/>
  <c r="N44" i="97" s="1"/>
  <c r="V43" i="97"/>
  <c r="U43" i="97"/>
  <c r="S43" i="97"/>
  <c r="T43" i="97" s="1"/>
  <c r="Q43" i="97"/>
  <c r="R43" i="97" s="1"/>
  <c r="O43" i="97"/>
  <c r="P43" i="97" s="1"/>
  <c r="M43" i="97"/>
  <c r="N43" i="97" s="1"/>
  <c r="V42" i="97"/>
  <c r="U42" i="97"/>
  <c r="S42" i="97"/>
  <c r="T42" i="97" s="1"/>
  <c r="Q42" i="97"/>
  <c r="R42" i="97" s="1"/>
  <c r="O42" i="97"/>
  <c r="P42" i="97" s="1"/>
  <c r="M42" i="97"/>
  <c r="N42" i="97" s="1"/>
  <c r="U41" i="97"/>
  <c r="V41" i="97" s="1"/>
  <c r="T41" i="97"/>
  <c r="S41" i="97"/>
  <c r="Q41" i="97"/>
  <c r="R41" i="97" s="1"/>
  <c r="O41" i="97"/>
  <c r="P41" i="97" s="1"/>
  <c r="M41" i="97"/>
  <c r="N41" i="97" s="1"/>
  <c r="U40" i="97"/>
  <c r="V40" i="97" s="1"/>
  <c r="S40" i="97"/>
  <c r="T40" i="97" s="1"/>
  <c r="Q40" i="97"/>
  <c r="R40" i="97" s="1"/>
  <c r="O40" i="97"/>
  <c r="P40" i="97" s="1"/>
  <c r="N40" i="97"/>
  <c r="M40" i="97"/>
  <c r="V39" i="97"/>
  <c r="U39" i="97"/>
  <c r="S39" i="97"/>
  <c r="T39" i="97" s="1"/>
  <c r="Q39" i="97"/>
  <c r="R39" i="97" s="1"/>
  <c r="P39" i="97"/>
  <c r="N39" i="97"/>
  <c r="M39" i="97"/>
  <c r="V38" i="97"/>
  <c r="U38" i="97"/>
  <c r="T38" i="97"/>
  <c r="S38" i="97"/>
  <c r="Q38" i="97"/>
  <c r="R38" i="97" s="1"/>
  <c r="P38" i="97"/>
  <c r="M38" i="97"/>
  <c r="N38" i="97" s="1"/>
  <c r="U37" i="97"/>
  <c r="V37" i="97" s="1"/>
  <c r="S37" i="97"/>
  <c r="T37" i="97" s="1"/>
  <c r="Q37" i="97"/>
  <c r="R37" i="97" s="1"/>
  <c r="P37" i="97"/>
  <c r="O37" i="97"/>
  <c r="N37" i="97"/>
  <c r="M37" i="97"/>
  <c r="U36" i="97"/>
  <c r="V36" i="97" s="1"/>
  <c r="S36" i="97"/>
  <c r="T36" i="97" s="1"/>
  <c r="R36" i="97"/>
  <c r="Q36" i="97"/>
  <c r="O36" i="97"/>
  <c r="P36" i="97" s="1"/>
  <c r="M36" i="97"/>
  <c r="N36" i="97" s="1"/>
  <c r="U35" i="97"/>
  <c r="V35" i="97" s="1"/>
  <c r="S35" i="97"/>
  <c r="T35" i="97" s="1"/>
  <c r="R35" i="97"/>
  <c r="Q35" i="97"/>
  <c r="O35" i="97"/>
  <c r="P35" i="97" s="1"/>
  <c r="M35" i="97"/>
  <c r="N35" i="97" s="1"/>
  <c r="U34" i="97"/>
  <c r="V34" i="97" s="1"/>
  <c r="S34" i="97"/>
  <c r="T34" i="97" s="1"/>
  <c r="Q34" i="97"/>
  <c r="R34" i="97" s="1"/>
  <c r="P34" i="97"/>
  <c r="O34" i="97"/>
  <c r="M34" i="97"/>
  <c r="N34" i="97" s="1"/>
  <c r="U33" i="97"/>
  <c r="V33" i="97" s="1"/>
  <c r="S33" i="97"/>
  <c r="T33" i="97" s="1"/>
  <c r="Q33" i="97"/>
  <c r="R33" i="97" s="1"/>
  <c r="O33" i="97"/>
  <c r="P33" i="97" s="1"/>
  <c r="M33" i="97"/>
  <c r="N33" i="97" s="1"/>
  <c r="U32" i="97"/>
  <c r="V32" i="97" s="1"/>
  <c r="T32" i="97"/>
  <c r="S32" i="97"/>
  <c r="R32" i="97"/>
  <c r="Q32" i="97"/>
  <c r="O32" i="97"/>
  <c r="P32" i="97" s="1"/>
  <c r="M32" i="97"/>
  <c r="N32" i="97" s="1"/>
  <c r="V31" i="97"/>
  <c r="U31" i="97"/>
  <c r="S31" i="97"/>
  <c r="T31" i="97" s="1"/>
  <c r="Q31" i="97"/>
  <c r="R31" i="97" s="1"/>
  <c r="O31" i="97"/>
  <c r="P31" i="97" s="1"/>
  <c r="M31" i="97"/>
  <c r="N31" i="97" s="1"/>
  <c r="V30" i="97"/>
  <c r="U30" i="97"/>
  <c r="T30" i="97"/>
  <c r="S30" i="97"/>
  <c r="Q30" i="97"/>
  <c r="R30" i="97" s="1"/>
  <c r="O30" i="97"/>
  <c r="P30" i="97" s="1"/>
  <c r="M30" i="97"/>
  <c r="N30" i="97" s="1"/>
  <c r="U29" i="97"/>
  <c r="V29" i="97" s="1"/>
  <c r="S29" i="97"/>
  <c r="T29" i="97" s="1"/>
  <c r="Q29" i="97"/>
  <c r="R29" i="97" s="1"/>
  <c r="O29" i="97"/>
  <c r="P29" i="97" s="1"/>
  <c r="N29" i="97"/>
  <c r="M29" i="97"/>
  <c r="U28" i="97"/>
  <c r="V28" i="97" s="1"/>
  <c r="S28" i="97"/>
  <c r="T28" i="97" s="1"/>
  <c r="Q28" i="97"/>
  <c r="R28" i="97" s="1"/>
  <c r="O28" i="97"/>
  <c r="P28" i="97" s="1"/>
  <c r="M28" i="97"/>
  <c r="N28" i="97" s="1"/>
  <c r="V27" i="97"/>
  <c r="U27" i="97"/>
  <c r="S27" i="97"/>
  <c r="T27" i="97" s="1"/>
  <c r="Q27" i="97"/>
  <c r="R27" i="97" s="1"/>
  <c r="O27" i="97"/>
  <c r="P27" i="97" s="1"/>
  <c r="M27" i="97"/>
  <c r="N27" i="97" s="1"/>
  <c r="U26" i="97"/>
  <c r="V26" i="97" s="1"/>
  <c r="S26" i="97"/>
  <c r="T26" i="97" s="1"/>
  <c r="Q26" i="97"/>
  <c r="R26" i="97" s="1"/>
  <c r="P26" i="97"/>
  <c r="O26" i="97"/>
  <c r="N26" i="97"/>
  <c r="M26" i="97"/>
  <c r="U25" i="97"/>
  <c r="V25" i="97" s="1"/>
  <c r="S25" i="97"/>
  <c r="T25" i="97" s="1"/>
  <c r="Q25" i="97"/>
  <c r="R25" i="97" s="1"/>
  <c r="O25" i="97"/>
  <c r="P25" i="97" s="1"/>
  <c r="M25" i="97"/>
  <c r="N25" i="97" s="1"/>
  <c r="U24" i="97"/>
  <c r="V24" i="97" s="1"/>
  <c r="S24" i="97"/>
  <c r="T24" i="97" s="1"/>
  <c r="R24" i="97"/>
  <c r="Q24" i="97"/>
  <c r="P24" i="97"/>
  <c r="O24" i="97"/>
  <c r="M24" i="97"/>
  <c r="N24" i="97" s="1"/>
  <c r="U23" i="97"/>
  <c r="V23" i="97" s="1"/>
  <c r="S23" i="97"/>
  <c r="T23" i="97" s="1"/>
  <c r="Q23" i="97"/>
  <c r="R23" i="97" s="1"/>
  <c r="O23" i="97"/>
  <c r="P23" i="97" s="1"/>
  <c r="M23" i="97"/>
  <c r="N23" i="97" s="1"/>
  <c r="U22" i="97"/>
  <c r="V22" i="97" s="1"/>
  <c r="T22" i="97"/>
  <c r="S22" i="97"/>
  <c r="Q22" i="97"/>
  <c r="R22" i="97" s="1"/>
  <c r="O22" i="97"/>
  <c r="P22" i="97" s="1"/>
  <c r="M22" i="97"/>
  <c r="N22" i="97" s="1"/>
  <c r="V21" i="97"/>
  <c r="U21" i="97"/>
  <c r="S21" i="97"/>
  <c r="T21" i="97" s="1"/>
  <c r="R21" i="97"/>
  <c r="Q21" i="97"/>
  <c r="O21" i="97"/>
  <c r="P21" i="97" s="1"/>
  <c r="M21" i="97"/>
  <c r="N21" i="97" s="1"/>
  <c r="U20" i="97"/>
  <c r="V20" i="97" s="1"/>
  <c r="S20" i="97"/>
  <c r="T20" i="97" s="1"/>
  <c r="Q20" i="97"/>
  <c r="R20" i="97" s="1"/>
  <c r="O20" i="97"/>
  <c r="P20" i="97" s="1"/>
  <c r="M20" i="97"/>
  <c r="N20" i="97" s="1"/>
  <c r="V19" i="97"/>
  <c r="U19" i="97"/>
  <c r="T19" i="97"/>
  <c r="S19" i="97"/>
  <c r="Q19" i="97"/>
  <c r="R19" i="97" s="1"/>
  <c r="O19" i="97"/>
  <c r="P19" i="97" s="1"/>
  <c r="N19" i="97"/>
  <c r="M19" i="97"/>
  <c r="U18" i="97"/>
  <c r="V18" i="97" s="1"/>
  <c r="S18" i="97"/>
  <c r="T18" i="97" s="1"/>
  <c r="Q18" i="97"/>
  <c r="R18" i="97" s="1"/>
  <c r="P18" i="97"/>
  <c r="O18" i="97"/>
  <c r="N18" i="97"/>
  <c r="M18" i="97"/>
  <c r="V17" i="97"/>
  <c r="U17" i="97"/>
  <c r="S17" i="97"/>
  <c r="T17" i="97" s="1"/>
  <c r="Q17" i="97"/>
  <c r="R17" i="97" s="1"/>
  <c r="P17" i="97"/>
  <c r="O17" i="97"/>
  <c r="M17" i="97"/>
  <c r="N17" i="97" s="1"/>
  <c r="U16" i="97"/>
  <c r="V16" i="97" s="1"/>
  <c r="S16" i="97"/>
  <c r="T16" i="97" s="1"/>
  <c r="Q16" i="97"/>
  <c r="R16" i="97" s="1"/>
  <c r="P16" i="97"/>
  <c r="O16" i="97"/>
  <c r="M16" i="97"/>
  <c r="N16" i="97" s="1"/>
  <c r="U15" i="97"/>
  <c r="V15" i="97" s="1"/>
  <c r="S15" i="97"/>
  <c r="T15" i="97" s="1"/>
  <c r="Q15" i="97"/>
  <c r="R15" i="97" s="1"/>
  <c r="O15" i="97"/>
  <c r="P15" i="97" s="1"/>
  <c r="N15" i="97"/>
  <c r="M15" i="97"/>
  <c r="U14" i="97"/>
  <c r="V14" i="97" s="1"/>
  <c r="T14" i="97"/>
  <c r="S14" i="97"/>
  <c r="Q14" i="97"/>
  <c r="R14" i="97" s="1"/>
  <c r="O14" i="97"/>
  <c r="P14" i="97" s="1"/>
  <c r="M14" i="97"/>
  <c r="N14" i="97" s="1"/>
  <c r="U13" i="97"/>
  <c r="V13" i="97" s="1"/>
  <c r="S13" i="97"/>
  <c r="T13" i="97" s="1"/>
  <c r="R13" i="97"/>
  <c r="Q13" i="97"/>
  <c r="P13" i="97"/>
  <c r="O13" i="97"/>
  <c r="M13" i="97"/>
  <c r="N13" i="97" s="1"/>
  <c r="U12" i="97"/>
  <c r="V12" i="97" s="1"/>
  <c r="S12" i="97"/>
  <c r="T12" i="97" s="1"/>
  <c r="Q12" i="97"/>
  <c r="R12" i="97" s="1"/>
  <c r="O12" i="97"/>
  <c r="P12" i="97" s="1"/>
  <c r="M12" i="97"/>
  <c r="N12" i="97" s="1"/>
  <c r="U11" i="97"/>
  <c r="V11" i="97" s="1"/>
  <c r="T11" i="97"/>
  <c r="S11" i="97"/>
  <c r="R11" i="97"/>
  <c r="Q11" i="97"/>
  <c r="O11" i="97"/>
  <c r="P11" i="97" s="1"/>
  <c r="M11" i="97"/>
  <c r="N11" i="97" s="1"/>
  <c r="U10" i="97"/>
  <c r="V10" i="97" s="1"/>
  <c r="S10" i="97"/>
  <c r="T10" i="97" s="1"/>
  <c r="Q10" i="97"/>
  <c r="R10" i="97" s="1"/>
  <c r="O10" i="97"/>
  <c r="P10" i="97" s="1"/>
  <c r="M10" i="97"/>
  <c r="N10" i="97" s="1"/>
  <c r="V9" i="97"/>
  <c r="U9" i="97"/>
  <c r="T9" i="97"/>
  <c r="S9" i="97"/>
  <c r="Q9" i="97"/>
  <c r="R9" i="97" s="1"/>
  <c r="P9" i="97"/>
  <c r="O9" i="97"/>
  <c r="N9" i="97"/>
  <c r="M9" i="97"/>
  <c r="V8" i="97"/>
  <c r="U8" i="97"/>
  <c r="S8" i="97"/>
  <c r="T8" i="97" s="1"/>
  <c r="Q8" i="97"/>
  <c r="R8" i="97" s="1"/>
  <c r="P8" i="97"/>
  <c r="O8" i="97"/>
  <c r="N8" i="97"/>
  <c r="M8" i="97"/>
  <c r="U7" i="97"/>
  <c r="V7" i="97" s="1"/>
  <c r="S7" i="97"/>
  <c r="T7" i="97" s="1"/>
  <c r="R7" i="97"/>
  <c r="Q7" i="97"/>
  <c r="P7" i="97"/>
  <c r="O7" i="97"/>
  <c r="M7" i="97"/>
  <c r="N7" i="97" s="1"/>
  <c r="U6" i="97"/>
  <c r="V6" i="97" s="1"/>
  <c r="T6" i="97"/>
  <c r="S6" i="97"/>
  <c r="R6" i="97"/>
  <c r="Q6" i="97"/>
  <c r="O6" i="97"/>
  <c r="P6" i="97" s="1"/>
  <c r="M6" i="97"/>
  <c r="N6" i="97" s="1"/>
  <c r="V5" i="97"/>
  <c r="U5" i="97"/>
  <c r="T5" i="97"/>
  <c r="S5" i="97"/>
  <c r="Q5" i="97"/>
  <c r="R5" i="97" s="1"/>
  <c r="P5" i="97"/>
  <c r="O5" i="97"/>
  <c r="N5" i="97"/>
  <c r="M5" i="97"/>
  <c r="V4" i="97"/>
  <c r="U4" i="97"/>
  <c r="S4" i="97"/>
  <c r="T4" i="97" s="1"/>
  <c r="R4" i="97"/>
  <c r="Q4" i="97"/>
  <c r="P4" i="97"/>
  <c r="O4" i="97"/>
  <c r="N4" i="97"/>
  <c r="M4" i="97"/>
  <c r="U3" i="97"/>
  <c r="V3" i="97" s="1"/>
  <c r="S3" i="97"/>
  <c r="T3" i="97" s="1"/>
  <c r="R3" i="97"/>
  <c r="Q3" i="97"/>
  <c r="P3" i="97"/>
  <c r="O3" i="97"/>
  <c r="M3" i="97"/>
  <c r="N3" i="97" s="1"/>
  <c r="V2" i="97"/>
  <c r="U2" i="97"/>
  <c r="T2" i="97"/>
  <c r="S2" i="97"/>
  <c r="R2" i="97"/>
  <c r="Q2" i="97"/>
  <c r="O2" i="97"/>
  <c r="P2" i="97" s="1"/>
  <c r="M2" i="97"/>
  <c r="N2" i="97" s="1"/>
  <c r="I44" i="96"/>
  <c r="I43" i="96"/>
  <c r="I42" i="96"/>
  <c r="I41" i="96"/>
  <c r="I40" i="96"/>
  <c r="H40" i="96"/>
  <c r="I37" i="96"/>
  <c r="J36" i="96"/>
  <c r="I36" i="96"/>
  <c r="I35" i="96"/>
  <c r="J35" i="96" s="1"/>
  <c r="I34" i="96"/>
  <c r="J34" i="96" s="1"/>
  <c r="I33" i="96"/>
  <c r="J33" i="96" s="1"/>
  <c r="I32" i="96"/>
  <c r="J32" i="96" s="1"/>
  <c r="I31" i="96"/>
  <c r="J31" i="96" s="1"/>
  <c r="I30" i="96"/>
  <c r="J30" i="96" s="1"/>
  <c r="I29" i="96"/>
  <c r="J29" i="96" s="1"/>
  <c r="J28" i="96"/>
  <c r="I28" i="96"/>
  <c r="I27" i="96"/>
  <c r="J27" i="96" s="1"/>
  <c r="I26" i="96"/>
  <c r="J26" i="96" s="1"/>
  <c r="I25" i="96"/>
  <c r="J25" i="96" s="1"/>
  <c r="I24" i="96"/>
  <c r="J24" i="96" s="1"/>
  <c r="I23" i="96"/>
  <c r="J23" i="96" s="1"/>
  <c r="I22" i="96"/>
  <c r="J22" i="96" s="1"/>
  <c r="I21" i="96"/>
  <c r="J21" i="96" s="1"/>
  <c r="I20" i="96"/>
  <c r="J20" i="96" s="1"/>
  <c r="I19" i="96"/>
  <c r="J19" i="96" s="1"/>
  <c r="I18" i="96"/>
  <c r="J18" i="96" s="1"/>
  <c r="I17" i="96"/>
  <c r="J17" i="96" s="1"/>
  <c r="I16" i="96"/>
  <c r="J16" i="96" s="1"/>
  <c r="H16" i="96"/>
  <c r="J15" i="96"/>
  <c r="I15" i="96"/>
  <c r="I14" i="96"/>
  <c r="J14" i="96" s="1"/>
  <c r="I13" i="96"/>
  <c r="J13" i="96" s="1"/>
  <c r="J12" i="96"/>
  <c r="I12" i="96"/>
  <c r="H12" i="96"/>
  <c r="I11" i="96"/>
  <c r="J11" i="96" s="1"/>
  <c r="I10" i="96"/>
  <c r="J10" i="96" s="1"/>
  <c r="I9" i="96"/>
  <c r="J9" i="96" s="1"/>
  <c r="H9" i="96"/>
  <c r="J8" i="96"/>
  <c r="I8" i="96"/>
  <c r="H8" i="96"/>
  <c r="I7" i="96"/>
  <c r="J7" i="96" s="1"/>
  <c r="I6" i="96"/>
  <c r="J6" i="96" s="1"/>
  <c r="I5" i="96"/>
  <c r="J5" i="96" s="1"/>
  <c r="I4" i="96"/>
  <c r="J4" i="96" s="1"/>
  <c r="I3" i="96"/>
  <c r="J3" i="96" s="1"/>
  <c r="I41" i="95"/>
  <c r="I40" i="95"/>
  <c r="I39" i="95"/>
  <c r="I38" i="95"/>
  <c r="I37" i="95"/>
  <c r="I36" i="95"/>
  <c r="I35" i="95"/>
  <c r="I34" i="95"/>
  <c r="I33" i="95"/>
  <c r="I32" i="95"/>
  <c r="I31" i="95"/>
  <c r="I30" i="95"/>
  <c r="I29" i="95"/>
  <c r="I28" i="95"/>
  <c r="I27" i="95"/>
  <c r="I26" i="95"/>
  <c r="I25" i="95"/>
  <c r="I24" i="95"/>
  <c r="I23" i="95"/>
  <c r="I22" i="95"/>
  <c r="I21" i="95"/>
  <c r="I20" i="95"/>
  <c r="I19" i="95"/>
  <c r="I18" i="95"/>
  <c r="I17" i="95"/>
  <c r="I16" i="95"/>
  <c r="I15" i="95"/>
  <c r="I14" i="95"/>
  <c r="I13" i="95"/>
  <c r="I12" i="95"/>
  <c r="I11" i="95"/>
  <c r="I10" i="95"/>
  <c r="I9" i="95"/>
  <c r="I8" i="95"/>
  <c r="I7" i="95"/>
  <c r="I6" i="95"/>
  <c r="I5" i="95"/>
  <c r="I4" i="95"/>
  <c r="I3" i="95"/>
  <c r="I2" i="95"/>
  <c r="I41" i="94"/>
  <c r="I40" i="94"/>
  <c r="I39" i="94"/>
  <c r="I38" i="94"/>
  <c r="I37" i="94"/>
  <c r="I36" i="94"/>
  <c r="I35" i="94"/>
  <c r="I34" i="94"/>
  <c r="I33" i="94"/>
  <c r="I32" i="94"/>
  <c r="I31" i="94"/>
  <c r="I30" i="94"/>
  <c r="I29" i="94"/>
  <c r="I28" i="94"/>
  <c r="I27" i="94"/>
  <c r="I26" i="94"/>
  <c r="I25" i="94"/>
  <c r="I24" i="94"/>
  <c r="I23" i="94"/>
  <c r="I22" i="94"/>
  <c r="I21" i="94"/>
  <c r="I20" i="94"/>
  <c r="I19" i="94"/>
  <c r="I18" i="94"/>
  <c r="I17" i="94"/>
  <c r="I16" i="94"/>
  <c r="I15" i="94"/>
  <c r="I14" i="94"/>
  <c r="I13" i="94"/>
  <c r="I12" i="94"/>
  <c r="I11" i="94"/>
  <c r="I10" i="94"/>
  <c r="I9" i="94"/>
  <c r="I8" i="94"/>
  <c r="I7" i="94"/>
  <c r="I6" i="94"/>
  <c r="I5" i="94"/>
  <c r="I4" i="94"/>
  <c r="I3" i="94"/>
  <c r="I2" i="94"/>
  <c r="I41" i="93"/>
  <c r="I40" i="93"/>
  <c r="I39" i="93"/>
  <c r="I38" i="93"/>
  <c r="I37" i="93"/>
  <c r="I36" i="93"/>
  <c r="I35" i="93"/>
  <c r="I34" i="93"/>
  <c r="I33" i="93"/>
  <c r="I32" i="93"/>
  <c r="I31" i="93"/>
  <c r="I30" i="93"/>
  <c r="I29" i="93"/>
  <c r="I28" i="93"/>
  <c r="I27" i="93"/>
  <c r="I26" i="93"/>
  <c r="I25" i="93"/>
  <c r="I24" i="93"/>
  <c r="I23" i="93"/>
  <c r="I22" i="93"/>
  <c r="I21" i="93"/>
  <c r="I20" i="93"/>
  <c r="I19" i="93"/>
  <c r="I18" i="93"/>
  <c r="I17" i="93"/>
  <c r="I16" i="93"/>
  <c r="I15" i="93"/>
  <c r="I14" i="93"/>
  <c r="I13" i="93"/>
  <c r="I12" i="93"/>
  <c r="I11" i="93"/>
  <c r="I10" i="93"/>
  <c r="I9" i="93"/>
  <c r="I8" i="93"/>
  <c r="I7" i="93"/>
  <c r="I6" i="93"/>
  <c r="I5" i="93"/>
  <c r="I4" i="93"/>
  <c r="I3" i="93"/>
  <c r="I2" i="93"/>
  <c r="I41" i="92"/>
  <c r="I40" i="92"/>
  <c r="I39" i="92"/>
  <c r="I38" i="92"/>
  <c r="I37" i="92"/>
  <c r="I36" i="92"/>
  <c r="I35" i="92"/>
  <c r="I34" i="92"/>
  <c r="I33" i="92"/>
  <c r="I32" i="92"/>
  <c r="I31" i="92"/>
  <c r="I30" i="92"/>
  <c r="I29" i="92"/>
  <c r="I28" i="92"/>
  <c r="I27" i="92"/>
  <c r="I26" i="92"/>
  <c r="I25" i="92"/>
  <c r="I24" i="92"/>
  <c r="I23" i="92"/>
  <c r="I22" i="92"/>
  <c r="I21" i="92"/>
  <c r="I20" i="92"/>
  <c r="I19" i="92"/>
  <c r="I18" i="92"/>
  <c r="H18" i="92"/>
  <c r="I17" i="92"/>
  <c r="H17" i="92"/>
  <c r="I16" i="92"/>
  <c r="I15" i="92"/>
  <c r="I14" i="92"/>
  <c r="I13" i="92"/>
  <c r="I12" i="92"/>
  <c r="I11" i="92"/>
  <c r="I10" i="92"/>
  <c r="I9" i="92"/>
  <c r="I8" i="92"/>
  <c r="I7" i="92"/>
  <c r="I6" i="92"/>
  <c r="I5" i="92"/>
  <c r="I4" i="92"/>
  <c r="I3" i="92"/>
  <c r="I2" i="92"/>
  <c r="H30" i="91"/>
  <c r="H29" i="91"/>
  <c r="H28" i="91"/>
  <c r="H27" i="91"/>
  <c r="H18" i="90"/>
  <c r="H17" i="90"/>
  <c r="H36" i="83"/>
  <c r="H35" i="83"/>
  <c r="H32" i="83"/>
  <c r="H17" i="83"/>
  <c r="C9" i="41"/>
  <c r="B9" i="41"/>
  <c r="V41" i="107"/>
  <c r="U40" i="107"/>
  <c r="V40" i="107" s="1"/>
  <c r="T40" i="107"/>
  <c r="S40" i="107"/>
  <c r="R40" i="107"/>
  <c r="Q40" i="107"/>
  <c r="O40" i="107"/>
  <c r="P40" i="107" s="1"/>
  <c r="N40" i="107"/>
  <c r="M40" i="107"/>
  <c r="V39" i="107"/>
  <c r="U39" i="107"/>
  <c r="T39" i="107"/>
  <c r="S39" i="107"/>
  <c r="Q39" i="107"/>
  <c r="R39" i="107" s="1"/>
  <c r="O39" i="107"/>
  <c r="P39" i="107" s="1"/>
  <c r="N39" i="107"/>
  <c r="M39" i="107"/>
  <c r="V38" i="107"/>
  <c r="U38" i="107"/>
  <c r="S38" i="107"/>
  <c r="T38" i="107" s="1"/>
  <c r="Q38" i="107"/>
  <c r="R38" i="107" s="1"/>
  <c r="P38" i="107"/>
  <c r="O38" i="107"/>
  <c r="N38" i="107"/>
  <c r="M38" i="107"/>
  <c r="U37" i="107"/>
  <c r="V37" i="107" s="1"/>
  <c r="S37" i="107"/>
  <c r="T37" i="107" s="1"/>
  <c r="R37" i="107"/>
  <c r="Q37" i="107"/>
  <c r="P37" i="107"/>
  <c r="O37" i="107"/>
  <c r="M37" i="107"/>
  <c r="N37" i="107" s="1"/>
  <c r="U36" i="107"/>
  <c r="V36" i="107" s="1"/>
  <c r="T36" i="107"/>
  <c r="S36" i="107"/>
  <c r="R36" i="107"/>
  <c r="Q36" i="107"/>
  <c r="O36" i="107"/>
  <c r="P36" i="107" s="1"/>
  <c r="N36" i="107"/>
  <c r="M36" i="107"/>
  <c r="V35" i="107"/>
  <c r="U35" i="107"/>
  <c r="T35" i="107"/>
  <c r="S35" i="107"/>
  <c r="Q35" i="107"/>
  <c r="R35" i="107" s="1"/>
  <c r="P35" i="107"/>
  <c r="O35" i="107"/>
  <c r="N35" i="107"/>
  <c r="M35" i="107"/>
  <c r="V34" i="107"/>
  <c r="U34" i="107"/>
  <c r="S34" i="107"/>
  <c r="T34" i="107" s="1"/>
  <c r="Q34" i="107"/>
  <c r="R34" i="107" s="1"/>
  <c r="P34" i="107"/>
  <c r="O34" i="107"/>
  <c r="N34" i="107"/>
  <c r="M34" i="107"/>
  <c r="U33" i="107"/>
  <c r="V33" i="107" s="1"/>
  <c r="T33" i="107"/>
  <c r="S33" i="107"/>
  <c r="R33" i="107"/>
  <c r="Q33" i="107"/>
  <c r="P33" i="107"/>
  <c r="O33" i="107"/>
  <c r="M33" i="107"/>
  <c r="N33" i="107" s="1"/>
  <c r="U32" i="107"/>
  <c r="V32" i="107" s="1"/>
  <c r="T32" i="107"/>
  <c r="S32" i="107"/>
  <c r="R32" i="107"/>
  <c r="Q32" i="107"/>
  <c r="O32" i="107"/>
  <c r="P32" i="107" s="1"/>
  <c r="M32" i="107"/>
  <c r="N32" i="107" s="1"/>
  <c r="V31" i="107"/>
  <c r="U31" i="107"/>
  <c r="T31" i="107"/>
  <c r="S31" i="107"/>
  <c r="Q31" i="107"/>
  <c r="R31" i="107" s="1"/>
  <c r="O31" i="107"/>
  <c r="P31" i="107" s="1"/>
  <c r="N31" i="107"/>
  <c r="M31" i="107"/>
  <c r="V30" i="107"/>
  <c r="U30" i="107"/>
  <c r="S30" i="107"/>
  <c r="T30" i="107" s="1"/>
  <c r="Q30" i="107"/>
  <c r="R30" i="107" s="1"/>
  <c r="P30" i="107"/>
  <c r="O30" i="107"/>
  <c r="N30" i="107"/>
  <c r="M30" i="107"/>
  <c r="U29" i="107"/>
  <c r="V29" i="107" s="1"/>
  <c r="T29" i="107"/>
  <c r="S29" i="107"/>
  <c r="R29" i="107"/>
  <c r="Q29" i="107"/>
  <c r="P29" i="107"/>
  <c r="O29" i="107"/>
  <c r="M29" i="107"/>
  <c r="N29" i="107" s="1"/>
  <c r="V28" i="107"/>
  <c r="U28" i="107"/>
  <c r="T28" i="107"/>
  <c r="S28" i="107"/>
  <c r="R28" i="107"/>
  <c r="Q28" i="107"/>
  <c r="O28" i="107"/>
  <c r="P28" i="107" s="1"/>
  <c r="M28" i="107"/>
  <c r="N28" i="107" s="1"/>
  <c r="V27" i="107"/>
  <c r="U27" i="107"/>
  <c r="T27" i="107"/>
  <c r="S27" i="107"/>
  <c r="Q27" i="107"/>
  <c r="R27" i="107" s="1"/>
  <c r="P27" i="107"/>
  <c r="O27" i="107"/>
  <c r="N27" i="107"/>
  <c r="M27" i="107"/>
  <c r="V26" i="107"/>
  <c r="U26" i="107"/>
  <c r="S26" i="107"/>
  <c r="T26" i="107" s="1"/>
  <c r="Q26" i="107"/>
  <c r="R26" i="107" s="1"/>
  <c r="P26" i="107"/>
  <c r="O26" i="107"/>
  <c r="N26" i="107"/>
  <c r="M26" i="107"/>
  <c r="U25" i="107"/>
  <c r="V25" i="107" s="1"/>
  <c r="S25" i="107"/>
  <c r="T25" i="107" s="1"/>
  <c r="R25" i="107"/>
  <c r="Q25" i="107"/>
  <c r="P25" i="107"/>
  <c r="O25" i="107"/>
  <c r="M25" i="107"/>
  <c r="N25" i="107" s="1"/>
  <c r="U24" i="107"/>
  <c r="V24" i="107" s="1"/>
  <c r="T24" i="107"/>
  <c r="S24" i="107"/>
  <c r="R24" i="107"/>
  <c r="Q24" i="107"/>
  <c r="O24" i="107"/>
  <c r="P24" i="107" s="1"/>
  <c r="M24" i="107"/>
  <c r="N24" i="107" s="1"/>
  <c r="V23" i="107"/>
  <c r="U23" i="107"/>
  <c r="T23" i="107"/>
  <c r="S23" i="107"/>
  <c r="Q23" i="107"/>
  <c r="R23" i="107" s="1"/>
  <c r="P23" i="107"/>
  <c r="O23" i="107"/>
  <c r="N23" i="107"/>
  <c r="M23" i="107"/>
  <c r="V22" i="107"/>
  <c r="U22" i="107"/>
  <c r="S22" i="107"/>
  <c r="T22" i="107" s="1"/>
  <c r="R22" i="107"/>
  <c r="Q22" i="107"/>
  <c r="P22" i="107"/>
  <c r="O22" i="107"/>
  <c r="N22" i="107"/>
  <c r="M22" i="107"/>
  <c r="U21" i="107"/>
  <c r="V21" i="107" s="1"/>
  <c r="S21" i="107"/>
  <c r="T21" i="107" s="1"/>
  <c r="R21" i="107"/>
  <c r="Q21" i="107"/>
  <c r="P21" i="107"/>
  <c r="O21" i="107"/>
  <c r="M21" i="107"/>
  <c r="N21" i="107" s="1"/>
  <c r="V20" i="107"/>
  <c r="U20" i="107"/>
  <c r="T20" i="107"/>
  <c r="S20" i="107"/>
  <c r="R20" i="107"/>
  <c r="Q20" i="107"/>
  <c r="O20" i="107"/>
  <c r="P20" i="107" s="1"/>
  <c r="M20" i="107"/>
  <c r="N20" i="107" s="1"/>
  <c r="U19" i="107"/>
  <c r="S19" i="107"/>
  <c r="R19" i="107"/>
  <c r="Q19" i="107"/>
  <c r="O19" i="107"/>
  <c r="P19" i="107" s="1"/>
  <c r="M19" i="107"/>
  <c r="U18" i="107"/>
  <c r="V18" i="107" s="1"/>
  <c r="S18" i="107"/>
  <c r="T18" i="107" s="1"/>
  <c r="Q18" i="107"/>
  <c r="R18" i="107" s="1"/>
  <c r="O18" i="107"/>
  <c r="P18" i="107" s="1"/>
  <c r="M18" i="107"/>
  <c r="N18" i="107" s="1"/>
  <c r="U17" i="107"/>
  <c r="V17" i="107" s="1"/>
  <c r="S17" i="107"/>
  <c r="Q17" i="107"/>
  <c r="R17" i="107" s="1"/>
  <c r="O17" i="107"/>
  <c r="P17" i="107" s="1"/>
  <c r="M17" i="107"/>
  <c r="U16" i="107"/>
  <c r="V16" i="107" s="1"/>
  <c r="S16" i="107"/>
  <c r="T16" i="107" s="1"/>
  <c r="Q16" i="107"/>
  <c r="R16" i="107" s="1"/>
  <c r="O16" i="107"/>
  <c r="P16" i="107" s="1"/>
  <c r="M16" i="107"/>
  <c r="N16" i="107" s="1"/>
  <c r="U15" i="107"/>
  <c r="V15" i="107" s="1"/>
  <c r="S15" i="107"/>
  <c r="T15" i="107" s="1"/>
  <c r="Q15" i="107"/>
  <c r="R15" i="107" s="1"/>
  <c r="O15" i="107"/>
  <c r="P15" i="107" s="1"/>
  <c r="M15" i="107"/>
  <c r="N15" i="107" s="1"/>
  <c r="U14" i="107"/>
  <c r="V14" i="107" s="1"/>
  <c r="S14" i="107"/>
  <c r="T14" i="107" s="1"/>
  <c r="Q14" i="107"/>
  <c r="R14" i="107" s="1"/>
  <c r="O14" i="107"/>
  <c r="P14" i="107" s="1"/>
  <c r="M14" i="107"/>
  <c r="N14" i="107" s="1"/>
  <c r="U13" i="107"/>
  <c r="V13" i="107" s="1"/>
  <c r="S13" i="107"/>
  <c r="T13" i="107" s="1"/>
  <c r="Q13" i="107"/>
  <c r="R13" i="107" s="1"/>
  <c r="O13" i="107"/>
  <c r="P13" i="107" s="1"/>
  <c r="N13" i="107"/>
  <c r="M13" i="107"/>
  <c r="U12" i="107"/>
  <c r="V12" i="107" s="1"/>
  <c r="S12" i="107"/>
  <c r="T12" i="107" s="1"/>
  <c r="Q12" i="107"/>
  <c r="R12" i="107" s="1"/>
  <c r="P12" i="107"/>
  <c r="O12" i="107"/>
  <c r="M12" i="107"/>
  <c r="N12" i="107" s="1"/>
  <c r="U11" i="107"/>
  <c r="V11" i="107" s="1"/>
  <c r="S11" i="107"/>
  <c r="T11" i="107" s="1"/>
  <c r="Q11" i="107"/>
  <c r="R11" i="107" s="1"/>
  <c r="O11" i="107"/>
  <c r="P11" i="107" s="1"/>
  <c r="M11" i="107"/>
  <c r="N11" i="107" s="1"/>
  <c r="U10" i="107"/>
  <c r="V10" i="107" s="1"/>
  <c r="T10" i="107"/>
  <c r="S10" i="107"/>
  <c r="Q10" i="107"/>
  <c r="R10" i="107" s="1"/>
  <c r="O10" i="107"/>
  <c r="P10" i="107" s="1"/>
  <c r="M10" i="107"/>
  <c r="N10" i="107" s="1"/>
  <c r="U9" i="107"/>
  <c r="V9" i="107" s="1"/>
  <c r="S9" i="107"/>
  <c r="T9" i="107" s="1"/>
  <c r="Q9" i="107"/>
  <c r="R9" i="107" s="1"/>
  <c r="O9" i="107"/>
  <c r="P9" i="107" s="1"/>
  <c r="M9" i="107"/>
  <c r="N9" i="107" s="1"/>
  <c r="U8" i="107"/>
  <c r="V8" i="107" s="1"/>
  <c r="S8" i="107"/>
  <c r="T8" i="107" s="1"/>
  <c r="Q8" i="107"/>
  <c r="R8" i="107" s="1"/>
  <c r="O8" i="107"/>
  <c r="P8" i="107" s="1"/>
  <c r="M8" i="107"/>
  <c r="N8" i="107" s="1"/>
  <c r="U7" i="107"/>
  <c r="V7" i="107" s="1"/>
  <c r="S7" i="107"/>
  <c r="T7" i="107" s="1"/>
  <c r="Q7" i="107"/>
  <c r="R7" i="107" s="1"/>
  <c r="O7" i="107"/>
  <c r="P7" i="107" s="1"/>
  <c r="M7" i="107"/>
  <c r="N7" i="107" s="1"/>
  <c r="U6" i="107"/>
  <c r="V6" i="107" s="1"/>
  <c r="T6" i="107"/>
  <c r="S6" i="107"/>
  <c r="Q6" i="107"/>
  <c r="R6" i="107" s="1"/>
  <c r="O6" i="107"/>
  <c r="P6" i="107" s="1"/>
  <c r="M6" i="107"/>
  <c r="N6" i="107" s="1"/>
  <c r="V5" i="107"/>
  <c r="U5" i="107"/>
  <c r="S5" i="107"/>
  <c r="T5" i="107" s="1"/>
  <c r="Q5" i="107"/>
  <c r="R5" i="107" s="1"/>
  <c r="O5" i="107"/>
  <c r="P5" i="107" s="1"/>
  <c r="M5" i="107"/>
  <c r="N5" i="107" s="1"/>
  <c r="U4" i="107"/>
  <c r="V4" i="107" s="1"/>
  <c r="S4" i="107"/>
  <c r="T4" i="107" s="1"/>
  <c r="Q4" i="107"/>
  <c r="R4" i="107" s="1"/>
  <c r="P4" i="107"/>
  <c r="O4" i="107"/>
  <c r="M4" i="107"/>
  <c r="N4" i="107" s="1"/>
  <c r="U3" i="107"/>
  <c r="V3" i="107" s="1"/>
  <c r="S3" i="107"/>
  <c r="T3" i="107" s="1"/>
  <c r="Q3" i="107"/>
  <c r="R3" i="107" s="1"/>
  <c r="O3" i="107"/>
  <c r="P3" i="107" s="1"/>
  <c r="M3" i="107"/>
  <c r="N3" i="107" s="1"/>
  <c r="U2" i="107"/>
  <c r="V2" i="107" s="1"/>
  <c r="S2" i="107"/>
  <c r="T2" i="107" s="1"/>
  <c r="Q2" i="107"/>
  <c r="R2" i="107" s="1"/>
  <c r="O2" i="107"/>
  <c r="P2" i="107" s="1"/>
  <c r="M2" i="107"/>
  <c r="N2" i="107"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pc</author>
    <author>Dang Phuong Nam</author>
    <author>Duy Nguyen</author>
    <author>Nam Khánh</author>
    <author>Microsoft Office User</author>
  </authors>
  <commentList>
    <comment ref="B2" authorId="0" shapeId="0" xr:uid="{00000000-0006-0000-0000-000001000000}">
      <text>
        <r>
          <rPr>
            <sz val="12"/>
            <color theme="1"/>
            <rFont val="Aptos Narrow"/>
            <family val="2"/>
            <scheme val="minor"/>
          </rPr>
          <t>pc:
Was 19,990,000</t>
        </r>
      </text>
    </comment>
    <comment ref="D2" authorId="1" shapeId="0" xr:uid="{00000000-0006-0000-0000-000002000000}">
      <text>
        <r>
          <rPr>
            <sz val="12"/>
            <color theme="1"/>
            <rFont val="Aptos Narrow"/>
            <family val="2"/>
            <scheme val="minor"/>
          </rPr>
          <t>Dang Phuong Nam:
Last week was: 19..790.000</t>
        </r>
      </text>
    </comment>
    <comment ref="F2" authorId="1" shapeId="0" xr:uid="{00000000-0006-0000-0000-000003000000}">
      <text>
        <r>
          <rPr>
            <sz val="12"/>
            <color theme="1"/>
            <rFont val="Aptos Narrow"/>
            <family val="2"/>
            <scheme val="minor"/>
          </rPr>
          <t>Đặng Thanh Vượng:
Last week was: 19.390.000</t>
        </r>
      </text>
    </comment>
    <comment ref="H2" authorId="2" shapeId="0" xr:uid="{00000000-0006-0000-0000-000004000000}">
      <text>
        <r>
          <rPr>
            <sz val="12"/>
            <color theme="1"/>
            <rFont val="Aptos Narrow"/>
            <family val="2"/>
            <scheme val="minor"/>
          </rPr>
          <t>Duy Nguyen:
last week was 19,390,000</t>
        </r>
      </text>
    </comment>
    <comment ref="B3" authorId="0" shapeId="0" xr:uid="{00000000-0006-0000-0000-000005000000}">
      <text>
        <r>
          <rPr>
            <sz val="12"/>
            <color theme="1"/>
            <rFont val="Aptos Narrow"/>
            <family val="2"/>
            <scheme val="minor"/>
          </rPr>
          <t>pc:
Was 22,990,000</t>
        </r>
      </text>
    </comment>
    <comment ref="D3" authorId="1" shapeId="0" xr:uid="{00000000-0006-0000-0000-000006000000}">
      <text>
        <r>
          <rPr>
            <sz val="12"/>
            <color theme="1"/>
            <rFont val="Aptos Narrow"/>
            <family val="2"/>
            <scheme val="minor"/>
          </rPr>
          <t xml:space="preserve">Dang Phuong Nam:
Last week was: 22.790.000
</t>
        </r>
      </text>
    </comment>
    <comment ref="F3" authorId="1" shapeId="0" xr:uid="{00000000-0006-0000-0000-000007000000}">
      <text>
        <r>
          <rPr>
            <sz val="12"/>
            <color theme="1"/>
            <rFont val="Aptos Narrow"/>
            <family val="2"/>
            <scheme val="minor"/>
          </rPr>
          <t>Đặng Thanh Vượng:
Last week was: 22.790.000</t>
        </r>
      </text>
    </comment>
    <comment ref="H3" authorId="2" shapeId="0" xr:uid="{00000000-0006-0000-0000-000008000000}">
      <text>
        <r>
          <rPr>
            <sz val="12"/>
            <color theme="1"/>
            <rFont val="Aptos Narrow"/>
            <family val="2"/>
            <scheme val="minor"/>
          </rPr>
          <t>Duy Nguyen:
last week was 22,690,000</t>
        </r>
      </text>
    </comment>
    <comment ref="B4" authorId="0" shapeId="0" xr:uid="{00000000-0006-0000-0000-000009000000}">
      <text>
        <r>
          <rPr>
            <sz val="12"/>
            <color theme="1"/>
            <rFont val="Aptos Narrow"/>
            <family val="2"/>
            <scheme val="minor"/>
          </rPr>
          <t>pc:
Was 25,990,000</t>
        </r>
      </text>
    </comment>
    <comment ref="D4" authorId="1" shapeId="0" xr:uid="{00000000-0006-0000-0000-00000A000000}">
      <text>
        <r>
          <rPr>
            <sz val="12"/>
            <color theme="1"/>
            <rFont val="Aptos Narrow"/>
            <family val="2"/>
            <scheme val="minor"/>
          </rPr>
          <t>Dang Phuong Nam:
Last week was: 25.790.000</t>
        </r>
      </text>
    </comment>
    <comment ref="F4" authorId="1" shapeId="0" xr:uid="{00000000-0006-0000-0000-00000B000000}">
      <text>
        <r>
          <rPr>
            <sz val="12"/>
            <color theme="1"/>
            <rFont val="Aptos Narrow"/>
            <family val="2"/>
            <scheme val="minor"/>
          </rPr>
          <t>Đặng Thanh Vượng:
Last week was: 25.290.000</t>
        </r>
      </text>
    </comment>
    <comment ref="H4" authorId="2" shapeId="0" xr:uid="{00000000-0006-0000-0000-00000C000000}">
      <text>
        <r>
          <rPr>
            <sz val="12"/>
            <color theme="1"/>
            <rFont val="Aptos Narrow"/>
            <family val="2"/>
            <scheme val="minor"/>
          </rPr>
          <t>Duy Nguyen:
last week was 25,150,000</t>
        </r>
      </text>
    </comment>
    <comment ref="J4" authorId="3" shapeId="0" xr:uid="{00000000-0006-0000-0000-00000D000000}">
      <text>
        <r>
          <rPr>
            <sz val="12"/>
            <color theme="1"/>
            <rFont val="Aptos Narrow"/>
            <family val="2"/>
            <scheme val="minor"/>
          </rPr>
          <t>W3: 24.690.000</t>
        </r>
      </text>
    </comment>
    <comment ref="D5" authorId="1" shapeId="0" xr:uid="{00000000-0006-0000-0000-00000E000000}">
      <text>
        <r>
          <rPr>
            <sz val="12"/>
            <color theme="1"/>
            <rFont val="Aptos Narrow"/>
            <family val="2"/>
            <scheme val="minor"/>
          </rPr>
          <t>Dang Phuong Nam:
Last week was: 29.790.000</t>
        </r>
      </text>
    </comment>
    <comment ref="F5" authorId="1" shapeId="0" xr:uid="{00000000-0006-0000-0000-00000F000000}">
      <text>
        <r>
          <rPr>
            <sz val="12"/>
            <color theme="1"/>
            <rFont val="Aptos Narrow"/>
            <family val="2"/>
            <scheme val="minor"/>
          </rPr>
          <t>Đặng Thanh Vượng:
Last week was: 29.590.000</t>
        </r>
      </text>
    </comment>
    <comment ref="H5" authorId="2" shapeId="0" xr:uid="{00000000-0006-0000-0000-000010000000}">
      <text>
        <r>
          <rPr>
            <sz val="12"/>
            <color theme="1"/>
            <rFont val="Aptos Narrow"/>
            <family val="2"/>
            <scheme val="minor"/>
          </rPr>
          <t>Duy Nguyen:
last week was 29,390,000</t>
        </r>
      </text>
    </comment>
    <comment ref="J5" authorId="3" shapeId="0" xr:uid="{00000000-0006-0000-0000-000011000000}">
      <text>
        <r>
          <rPr>
            <sz val="12"/>
            <color theme="1"/>
            <rFont val="Aptos Narrow"/>
            <family val="2"/>
            <scheme val="minor"/>
          </rPr>
          <t>W3: 28.890.000</t>
        </r>
      </text>
    </comment>
    <comment ref="B6" authorId="0" shapeId="0" xr:uid="{00000000-0006-0000-0000-000012000000}">
      <text>
        <r>
          <rPr>
            <sz val="12"/>
            <color theme="1"/>
            <rFont val="Aptos Narrow"/>
            <family val="2"/>
            <scheme val="minor"/>
          </rPr>
          <t>pc:
Was 17,490,000</t>
        </r>
      </text>
    </comment>
    <comment ref="D7" authorId="1" shapeId="0" xr:uid="{00000000-0006-0000-0000-000013000000}">
      <text>
        <r>
          <rPr>
            <sz val="12"/>
            <color theme="1"/>
            <rFont val="Aptos Narrow"/>
            <family val="2"/>
            <scheme val="minor"/>
          </rPr>
          <t>Dang Phuong Nam:
Last week was: 19.890.000</t>
        </r>
      </text>
    </comment>
    <comment ref="B8" authorId="0" shapeId="0" xr:uid="{00000000-0006-0000-0000-000014000000}">
      <text>
        <r>
          <rPr>
            <sz val="12"/>
            <color theme="1"/>
            <rFont val="Aptos Narrow"/>
            <family val="2"/>
            <scheme val="minor"/>
          </rPr>
          <t>pc:
Was 14,490,000</t>
        </r>
      </text>
    </comment>
    <comment ref="D8" authorId="1" shapeId="0" xr:uid="{00000000-0006-0000-0000-000015000000}">
      <text>
        <r>
          <rPr>
            <sz val="12"/>
            <color theme="1"/>
            <rFont val="Aptos Narrow"/>
            <family val="2"/>
            <scheme val="minor"/>
          </rPr>
          <t>Dang Phuong Nam:
Last week was: 17.315.000</t>
        </r>
      </text>
    </comment>
    <comment ref="F8" authorId="1" shapeId="0" xr:uid="{00000000-0006-0000-0000-000016000000}">
      <text>
        <r>
          <rPr>
            <sz val="12"/>
            <color theme="1"/>
            <rFont val="Aptos Narrow"/>
            <family val="2"/>
            <scheme val="minor"/>
          </rPr>
          <t xml:space="preserve">Đặng Thanh Vượng:
Last week was 19.790,000	</t>
        </r>
      </text>
    </comment>
    <comment ref="H8" authorId="2" shapeId="0" xr:uid="{00000000-0006-0000-0000-000017000000}">
      <text>
        <r>
          <rPr>
            <sz val="12"/>
            <color theme="1"/>
            <rFont val="Aptos Narrow"/>
            <family val="2"/>
            <scheme val="minor"/>
          </rPr>
          <t>Duy Nguyen:
last week was 22,990,000</t>
        </r>
      </text>
    </comment>
    <comment ref="B9" authorId="0" shapeId="0" xr:uid="{00000000-0006-0000-0000-000018000000}">
      <text>
        <r>
          <rPr>
            <sz val="12"/>
            <color theme="1"/>
            <rFont val="Aptos Narrow"/>
            <family val="2"/>
            <scheme val="minor"/>
          </rPr>
          <t>pc:
Was 12,090,000</t>
        </r>
      </text>
    </comment>
    <comment ref="D9" authorId="1" shapeId="0" xr:uid="{00000000-0006-0000-0000-000019000000}">
      <text>
        <r>
          <rPr>
            <sz val="12"/>
            <color theme="1"/>
            <rFont val="Aptos Narrow"/>
            <family val="2"/>
            <scheme val="minor"/>
          </rPr>
          <t>Dang Phuong Nam: Last week was: 14.435.000</t>
        </r>
      </text>
    </comment>
    <comment ref="F9" authorId="1" shapeId="0" xr:uid="{00000000-0006-0000-0000-00001A000000}">
      <text>
        <r>
          <rPr>
            <sz val="12"/>
            <color theme="1"/>
            <rFont val="Aptos Narrow"/>
            <family val="2"/>
            <scheme val="minor"/>
          </rPr>
          <t xml:space="preserve">Đặng Thanh Vượng:
Last week was 17.190,000	</t>
        </r>
      </text>
    </comment>
    <comment ref="H9" authorId="2" shapeId="0" xr:uid="{00000000-0006-0000-0000-00001B000000}">
      <text>
        <r>
          <rPr>
            <sz val="12"/>
            <color theme="1"/>
            <rFont val="Aptos Narrow"/>
            <family val="2"/>
            <scheme val="minor"/>
          </rPr>
          <t>Duy Nguyen:
last week was 25,990,000</t>
        </r>
      </text>
    </comment>
    <comment ref="N9" authorId="4" shapeId="0" xr:uid="{00000000-0006-0000-0000-00001C000000}">
      <text>
        <r>
          <rPr>
            <sz val="12"/>
            <color theme="1"/>
            <rFont val="Aptos Narrow"/>
            <family val="2"/>
            <scheme val="minor"/>
          </rPr>
          <t>Microsoft Office User:
Last week was:
13.690.000đ</t>
        </r>
      </text>
    </comment>
    <comment ref="D10" authorId="1" shapeId="0" xr:uid="{00000000-0006-0000-0000-00001D000000}">
      <text>
        <r>
          <rPr>
            <sz val="12"/>
            <color theme="1"/>
            <rFont val="Aptos Narrow"/>
            <family val="2"/>
            <scheme val="minor"/>
          </rPr>
          <t>Dang Phuong Nam:
Last week was: 11.970.000</t>
        </r>
      </text>
    </comment>
    <comment ref="F10" authorId="1" shapeId="0" xr:uid="{00000000-0006-0000-0000-00001E000000}">
      <text>
        <r>
          <rPr>
            <sz val="12"/>
            <color theme="1"/>
            <rFont val="Aptos Narrow"/>
            <family val="2"/>
            <scheme val="minor"/>
          </rPr>
          <t xml:space="preserve">Đặng Thanh Vượng:
Last week was 13.890,000	</t>
        </r>
      </text>
    </comment>
    <comment ref="H10" authorId="2" shapeId="0" xr:uid="{00000000-0006-0000-0000-00001F000000}">
      <text>
        <r>
          <rPr>
            <sz val="12"/>
            <color theme="1"/>
            <rFont val="Aptos Narrow"/>
            <family val="2"/>
            <scheme val="minor"/>
          </rPr>
          <t>Duy Nguyen:
last week was 13,690,000</t>
        </r>
      </text>
    </comment>
    <comment ref="F11" authorId="1" shapeId="0" xr:uid="{00000000-0006-0000-0000-000020000000}">
      <text>
        <r>
          <rPr>
            <sz val="12"/>
            <color theme="1"/>
            <rFont val="Aptos Narrow"/>
            <family val="2"/>
            <scheme val="minor"/>
          </rPr>
          <t xml:space="preserve">Đặng Thanh Vượng:
Last week was 11.990,000	</t>
        </r>
      </text>
    </comment>
    <comment ref="H11" authorId="2" shapeId="0" xr:uid="{00000000-0006-0000-0000-000021000000}">
      <text>
        <r>
          <rPr>
            <sz val="12"/>
            <color theme="1"/>
            <rFont val="Aptos Narrow"/>
            <family val="2"/>
            <scheme val="minor"/>
          </rPr>
          <t>Duy Nguyen:
last week was 11,990,000</t>
        </r>
      </text>
    </comment>
    <comment ref="B12" authorId="0" shapeId="0" xr:uid="{00000000-0006-0000-0000-000022000000}">
      <text>
        <r>
          <rPr>
            <sz val="12"/>
            <color theme="1"/>
            <rFont val="Aptos Narrow"/>
            <family val="2"/>
            <scheme val="minor"/>
          </rPr>
          <t>pc:
Was 32,990,000</t>
        </r>
      </text>
    </comment>
    <comment ref="F12" authorId="1" shapeId="0" xr:uid="{00000000-0006-0000-0000-000023000000}">
      <text>
        <r>
          <rPr>
            <sz val="12"/>
            <color theme="1"/>
            <rFont val="Aptos Narrow"/>
            <family val="2"/>
            <scheme val="minor"/>
          </rPr>
          <t xml:space="preserve">Đặng Thanh Vượng:
Last week was 8.990,000	</t>
        </r>
      </text>
    </comment>
    <comment ref="B13" authorId="0" shapeId="0" xr:uid="{00000000-0006-0000-0000-000024000000}">
      <text>
        <r>
          <rPr>
            <sz val="12"/>
            <color theme="1"/>
            <rFont val="Aptos Narrow"/>
            <family val="2"/>
            <scheme val="minor"/>
          </rPr>
          <t>pc:
Was 38,590,000</t>
        </r>
      </text>
    </comment>
    <comment ref="D13" authorId="1" shapeId="0" xr:uid="{00000000-0006-0000-0000-000025000000}">
      <text>
        <r>
          <rPr>
            <sz val="12"/>
            <color theme="1"/>
            <rFont val="Aptos Narrow"/>
            <family val="2"/>
            <scheme val="minor"/>
          </rPr>
          <t>Dang Phuong Nam:
Last week was: 32.790.000</t>
        </r>
      </text>
    </comment>
    <comment ref="D14" authorId="1" shapeId="0" xr:uid="{00000000-0006-0000-0000-000026000000}">
      <text>
        <r>
          <rPr>
            <sz val="12"/>
            <color theme="1"/>
            <rFont val="Aptos Narrow"/>
            <family val="2"/>
            <scheme val="minor"/>
          </rPr>
          <t>Dang Phuong Nam:
Last week was: 38.390.000</t>
        </r>
      </text>
    </comment>
    <comment ref="H14" authorId="2" shapeId="0" xr:uid="{00000000-0006-0000-0000-000027000000}">
      <text>
        <r>
          <rPr>
            <sz val="12"/>
            <color theme="1"/>
            <rFont val="Aptos Narrow"/>
            <family val="2"/>
            <scheme val="minor"/>
          </rPr>
          <t>Duy Nguyen:
last week was 32,990,000</t>
        </r>
      </text>
    </comment>
    <comment ref="B15" authorId="0" shapeId="0" xr:uid="{00000000-0006-0000-0000-000028000000}">
      <text>
        <r>
          <rPr>
            <sz val="12"/>
            <color theme="1"/>
            <rFont val="Aptos Narrow"/>
            <family val="2"/>
            <scheme val="minor"/>
          </rPr>
          <t>pc:
Was 18,490,000</t>
        </r>
      </text>
    </comment>
    <comment ref="H15" authorId="2" shapeId="0" xr:uid="{00000000-0006-0000-0000-000029000000}">
      <text>
        <r>
          <rPr>
            <sz val="12"/>
            <color theme="1"/>
            <rFont val="Aptos Narrow"/>
            <family val="2"/>
            <scheme val="minor"/>
          </rPr>
          <t>Duy Nguyen:
last week was 37,990,000</t>
        </r>
      </text>
    </comment>
    <comment ref="N15" authorId="4" shapeId="0" xr:uid="{00000000-0006-0000-0000-00002A000000}">
      <text>
        <r>
          <rPr>
            <sz val="12"/>
            <color theme="1"/>
            <rFont val="Aptos Narrow"/>
            <family val="2"/>
            <scheme val="minor"/>
          </rPr>
          <t>Microsoft Office User:
Last week was:
9.890.000đ</t>
        </r>
      </text>
    </comment>
    <comment ref="F17" authorId="1" shapeId="0" xr:uid="{00000000-0006-0000-0000-00002B000000}">
      <text>
        <r>
          <rPr>
            <sz val="12"/>
            <color theme="1"/>
            <rFont val="Aptos Narrow"/>
            <family val="2"/>
            <scheme val="minor"/>
          </rPr>
          <t xml:space="preserve">Dang Phuong Nam:
Last wek was:18,490,000	</t>
        </r>
      </text>
    </comment>
    <comment ref="H17" authorId="2" shapeId="0" xr:uid="{00000000-0006-0000-0000-00002C000000}">
      <text>
        <r>
          <rPr>
            <sz val="12"/>
            <color theme="1"/>
            <rFont val="Aptos Narrow"/>
            <family val="2"/>
            <scheme val="minor"/>
          </rPr>
          <t>Duy Nguyen:
last week was 18,690,000</t>
        </r>
      </text>
    </comment>
    <comment ref="B18" authorId="0" shapeId="0" xr:uid="{00000000-0006-0000-0000-00002D000000}">
      <text>
        <r>
          <rPr>
            <sz val="12"/>
            <color theme="1"/>
            <rFont val="Aptos Narrow"/>
            <family val="2"/>
            <scheme val="minor"/>
          </rPr>
          <t>pc:
Was 14,590,000</t>
        </r>
      </text>
    </comment>
    <comment ref="F18" authorId="1" shapeId="0" xr:uid="{00000000-0006-0000-0000-00002E000000}">
      <text>
        <r>
          <rPr>
            <sz val="12"/>
            <color theme="1"/>
            <rFont val="Aptos Narrow"/>
            <family val="2"/>
            <scheme val="minor"/>
          </rPr>
          <t xml:space="preserve">Dang Phuong Nam:
Last wek was:24.990,000	</t>
        </r>
      </text>
    </comment>
    <comment ref="N18" authorId="4" shapeId="0" xr:uid="{00000000-0006-0000-0000-00002F000000}">
      <text>
        <r>
          <rPr>
            <sz val="12"/>
            <color theme="1"/>
            <rFont val="Aptos Narrow"/>
            <family val="2"/>
            <scheme val="minor"/>
          </rPr>
          <t>Microsoft Office User:
Last week was:
8.990.000đ</t>
        </r>
      </text>
    </comment>
    <comment ref="B19" authorId="0" shapeId="0" xr:uid="{00000000-0006-0000-0000-000030000000}">
      <text>
        <r>
          <rPr>
            <sz val="12"/>
            <color theme="1"/>
            <rFont val="Aptos Narrow"/>
            <family val="2"/>
            <scheme val="minor"/>
          </rPr>
          <t>pc:
Was OOS</t>
        </r>
      </text>
    </comment>
    <comment ref="D19" authorId="1" shapeId="0" xr:uid="{00000000-0006-0000-0000-000031000000}">
      <text>
        <r>
          <rPr>
            <sz val="12"/>
            <color theme="1"/>
            <rFont val="Aptos Narrow"/>
            <family val="2"/>
            <scheme val="minor"/>
          </rPr>
          <t>Dang Phuong Nam:
Last week was: 14.445.000</t>
        </r>
      </text>
    </comment>
    <comment ref="B20" authorId="0" shapeId="0" xr:uid="{00000000-0006-0000-0000-000032000000}">
      <text>
        <r>
          <rPr>
            <sz val="12"/>
            <color theme="1"/>
            <rFont val="Aptos Narrow"/>
            <family val="2"/>
            <scheme val="minor"/>
          </rPr>
          <t>pc:
Was 9,890,000</t>
        </r>
      </text>
    </comment>
    <comment ref="F20" authorId="1" shapeId="0" xr:uid="{00000000-0006-0000-0000-000033000000}">
      <text>
        <r>
          <rPr>
            <sz val="12"/>
            <color theme="1"/>
            <rFont val="Aptos Narrow"/>
            <family val="2"/>
            <scheme val="minor"/>
          </rPr>
          <t xml:space="preserve">Đặng Thanh Vượng:
Last week was: 20.490,000	</t>
        </r>
      </text>
    </comment>
    <comment ref="H20" authorId="2" shapeId="0" xr:uid="{00000000-0006-0000-0000-000034000000}">
      <text>
        <r>
          <rPr>
            <sz val="12"/>
            <color theme="1"/>
            <rFont val="Aptos Narrow"/>
            <family val="2"/>
            <scheme val="minor"/>
          </rPr>
          <t>Duy Nguyen:
last week was 20,690,000</t>
        </r>
      </text>
    </comment>
    <comment ref="B21" authorId="0" shapeId="0" xr:uid="{00000000-0006-0000-0000-000035000000}">
      <text>
        <r>
          <rPr>
            <sz val="12"/>
            <color theme="1"/>
            <rFont val="Aptos Narrow"/>
            <family val="2"/>
            <scheme val="minor"/>
          </rPr>
          <t>pc:
Was 7,190,000</t>
        </r>
      </text>
    </comment>
    <comment ref="D21" authorId="1" shapeId="0" xr:uid="{00000000-0006-0000-0000-000036000000}">
      <text>
        <r>
          <rPr>
            <sz val="12"/>
            <color theme="1"/>
            <rFont val="Aptos Narrow"/>
            <family val="2"/>
            <scheme val="minor"/>
          </rPr>
          <t>Dang Phuong Nam:
Last week was: 9.791.000</t>
        </r>
      </text>
    </comment>
    <comment ref="F21" authorId="1" shapeId="0" xr:uid="{00000000-0006-0000-0000-000037000000}">
      <text>
        <r>
          <rPr>
            <sz val="12"/>
            <color theme="1"/>
            <rFont val="Aptos Narrow"/>
            <family val="2"/>
            <scheme val="minor"/>
          </rPr>
          <t xml:space="preserve">Đặng Thanh Vượng:
Last week was: 14.490,000	</t>
        </r>
      </text>
    </comment>
    <comment ref="H21" authorId="2" shapeId="0" xr:uid="{00000000-0006-0000-0000-000038000000}">
      <text>
        <r>
          <rPr>
            <sz val="12"/>
            <color theme="1"/>
            <rFont val="Aptos Narrow"/>
            <family val="2"/>
            <scheme val="minor"/>
          </rPr>
          <t>Duy Nguyen:
last week was 14,590,000</t>
        </r>
      </text>
    </comment>
    <comment ref="D22" authorId="1" shapeId="0" xr:uid="{00000000-0006-0000-0000-000039000000}">
      <text>
        <r>
          <rPr>
            <sz val="12"/>
            <color theme="1"/>
            <rFont val="Aptos Narrow"/>
            <family val="2"/>
            <scheme val="minor"/>
          </rPr>
          <t>Dang Phuong Nam:
Last week was: 7.118.000</t>
        </r>
      </text>
    </comment>
    <comment ref="F22" authorId="1" shapeId="0" xr:uid="{00000000-0006-0000-0000-00003A000000}">
      <text>
        <r>
          <rPr>
            <sz val="12"/>
            <color theme="1"/>
            <rFont val="Aptos Narrow"/>
            <family val="2"/>
            <scheme val="minor"/>
          </rPr>
          <t xml:space="preserve">Đặng Thanh Vượng:
Last week was: 11.990,000	</t>
        </r>
      </text>
    </comment>
    <comment ref="D23" authorId="1" shapeId="0" xr:uid="{00000000-0006-0000-0000-00003B000000}">
      <text>
        <r>
          <rPr>
            <sz val="12"/>
            <color theme="1"/>
            <rFont val="Aptos Narrow"/>
            <family val="2"/>
            <scheme val="minor"/>
          </rPr>
          <t>Dang Phuong Nam:
Last week was: 12.365.000</t>
        </r>
      </text>
    </comment>
    <comment ref="F23" authorId="1" shapeId="0" xr:uid="{00000000-0006-0000-0000-00003C000000}">
      <text>
        <r>
          <rPr>
            <sz val="12"/>
            <color theme="1"/>
            <rFont val="Aptos Narrow"/>
            <family val="2"/>
            <scheme val="minor"/>
          </rPr>
          <t xml:space="preserve">Đặng Thanh Vượng:
Last week was: 9.840,000	</t>
        </r>
      </text>
    </comment>
    <comment ref="H23" authorId="2" shapeId="0" xr:uid="{00000000-0006-0000-0000-00003D000000}">
      <text>
        <r>
          <rPr>
            <sz val="12"/>
            <color theme="1"/>
            <rFont val="Aptos Narrow"/>
            <family val="2"/>
            <scheme val="minor"/>
          </rPr>
          <t>Duy Nguyen:
last week was 7,090,000</t>
        </r>
      </text>
    </comment>
    <comment ref="B24" authorId="0" shapeId="0" xr:uid="{00000000-0006-0000-0000-00003E000000}">
      <text>
        <r>
          <rPr>
            <sz val="12"/>
            <color theme="1"/>
            <rFont val="Aptos Narrow"/>
            <family val="2"/>
            <scheme val="minor"/>
          </rPr>
          <t>pc:
Was 6,290,000</t>
        </r>
      </text>
    </comment>
    <comment ref="D24" authorId="1" shapeId="0" xr:uid="{00000000-0006-0000-0000-00003F000000}">
      <text>
        <r>
          <rPr>
            <sz val="12"/>
            <color theme="1"/>
            <rFont val="Aptos Narrow"/>
            <family val="2"/>
            <scheme val="minor"/>
          </rPr>
          <t>Dang Phuong Nam:
Last week was: 9.395.000</t>
        </r>
      </text>
    </comment>
    <comment ref="F24" authorId="1" shapeId="0" xr:uid="{00000000-0006-0000-0000-000040000000}">
      <text>
        <r>
          <rPr>
            <sz val="12"/>
            <color theme="1"/>
            <rFont val="Aptos Narrow"/>
            <family val="2"/>
            <scheme val="minor"/>
          </rPr>
          <t xml:space="preserve">Đặng Thanh Vượng:
Last week was: 7.190,000	</t>
        </r>
      </text>
    </comment>
    <comment ref="H24" authorId="2" shapeId="0" xr:uid="{00000000-0006-0000-0000-000041000000}">
      <text>
        <r>
          <rPr>
            <sz val="12"/>
            <color theme="1"/>
            <rFont val="Aptos Narrow"/>
            <family val="2"/>
            <scheme val="minor"/>
          </rPr>
          <t>Duy Nguyen:
last week was 9,990,000</t>
        </r>
      </text>
    </comment>
    <comment ref="D25" authorId="1" shapeId="0" xr:uid="{00000000-0006-0000-0000-000042000000}">
      <text>
        <r>
          <rPr>
            <sz val="12"/>
            <color theme="1"/>
            <rFont val="Aptos Narrow"/>
            <family val="2"/>
            <scheme val="minor"/>
          </rPr>
          <t>Dang Phuong Nam:
Last week was: 5.732.000</t>
        </r>
      </text>
    </comment>
    <comment ref="F25" authorId="1" shapeId="0" xr:uid="{00000000-0006-0000-0000-000043000000}">
      <text>
        <r>
          <rPr>
            <sz val="12"/>
            <color theme="1"/>
            <rFont val="Aptos Narrow"/>
            <family val="2"/>
            <scheme val="minor"/>
          </rPr>
          <t xml:space="preserve">Đặng Thanh Vượng:
Last week was: 12.590,000	</t>
        </r>
      </text>
    </comment>
    <comment ref="H25" authorId="2" shapeId="0" xr:uid="{00000000-0006-0000-0000-000044000000}">
      <text>
        <r>
          <rPr>
            <sz val="12"/>
            <color theme="1"/>
            <rFont val="Aptos Narrow"/>
            <family val="2"/>
            <scheme val="minor"/>
          </rPr>
          <t>Duy Nguyen:
last week was 12,690,000</t>
        </r>
      </text>
    </comment>
    <comment ref="F26" authorId="1" shapeId="0" xr:uid="{00000000-0006-0000-0000-000045000000}">
      <text>
        <r>
          <rPr>
            <sz val="12"/>
            <color theme="1"/>
            <rFont val="Aptos Narrow"/>
            <family val="2"/>
            <scheme val="minor"/>
          </rPr>
          <t xml:space="preserve">Đặng Thanh Vượng:
Last week was: 9.740,000	</t>
        </r>
      </text>
    </comment>
    <comment ref="D27" authorId="1" shapeId="0" xr:uid="{00000000-0006-0000-0000-000046000000}">
      <text>
        <r>
          <rPr>
            <sz val="12"/>
            <color theme="1"/>
            <rFont val="Aptos Narrow"/>
            <family val="2"/>
            <scheme val="minor"/>
          </rPr>
          <t>Dang Phuong Nam:
Last week was: 8.990.000</t>
        </r>
      </text>
    </comment>
    <comment ref="F27" authorId="1" shapeId="0" xr:uid="{00000000-0006-0000-0000-000047000000}">
      <text>
        <r>
          <rPr>
            <sz val="12"/>
            <color theme="1"/>
            <rFont val="Aptos Narrow"/>
            <family val="2"/>
            <scheme val="minor"/>
          </rPr>
          <t xml:space="preserve">Đặng Thanh Vượng:
Last week was: 20.990,000	</t>
        </r>
      </text>
    </comment>
    <comment ref="H27" authorId="2" shapeId="0" xr:uid="{00000000-0006-0000-0000-000048000000}">
      <text>
        <r>
          <rPr>
            <sz val="12"/>
            <color theme="1"/>
            <rFont val="Aptos Narrow"/>
            <family val="2"/>
            <scheme val="minor"/>
          </rPr>
          <t>Duy Nguyen:
last week was 9,290,000</t>
        </r>
      </text>
    </comment>
    <comment ref="F29" authorId="1" shapeId="0" xr:uid="{00000000-0006-0000-0000-000049000000}">
      <text>
        <r>
          <rPr>
            <sz val="12"/>
            <color theme="1"/>
            <rFont val="Aptos Narrow"/>
            <family val="2"/>
            <scheme val="minor"/>
          </rPr>
          <t xml:space="preserve">Đặng Thanh Vượng:
Last week was: 5.990,000	</t>
        </r>
      </text>
    </comment>
    <comment ref="D30" authorId="1" shapeId="0" xr:uid="{00000000-0006-0000-0000-00004A000000}">
      <text>
        <r>
          <rPr>
            <sz val="12"/>
            <color theme="1"/>
            <rFont val="Aptos Narrow"/>
            <family val="2"/>
            <scheme val="minor"/>
          </rPr>
          <t>Dang Phuong Nam:
Last week was: 5.490.000</t>
        </r>
      </text>
    </comment>
    <comment ref="J30" authorId="3" shapeId="0" xr:uid="{00000000-0006-0000-0000-00004B000000}">
      <text>
        <r>
          <rPr>
            <sz val="12"/>
            <color theme="1"/>
            <rFont val="Aptos Narrow"/>
            <family val="2"/>
            <scheme val="minor"/>
          </rPr>
          <t>W3: 16.490.000</t>
        </r>
      </text>
    </comment>
    <comment ref="D31" authorId="1" shapeId="0" xr:uid="{00000000-0006-0000-0000-00004C000000}">
      <text>
        <r>
          <rPr>
            <sz val="12"/>
            <color theme="1"/>
            <rFont val="Aptos Narrow"/>
            <family val="2"/>
            <scheme val="minor"/>
          </rPr>
          <t>Dang Phuong Nam:
Last week was: 3.990.000</t>
        </r>
      </text>
    </comment>
    <comment ref="F31" authorId="1" shapeId="0" xr:uid="{00000000-0006-0000-0000-00004D000000}">
      <text>
        <r>
          <rPr>
            <sz val="12"/>
            <color theme="1"/>
            <rFont val="Aptos Narrow"/>
            <family val="2"/>
            <scheme val="minor"/>
          </rPr>
          <t xml:space="preserve">Đặng Thanh Vượng:
Last week was: 17.490,000	</t>
        </r>
      </text>
    </comment>
    <comment ref="F33" authorId="1" shapeId="0" xr:uid="{00000000-0006-0000-0000-00004E000000}">
      <text>
        <r>
          <rPr>
            <sz val="12"/>
            <color theme="1"/>
            <rFont val="Aptos Narrow"/>
            <family val="2"/>
            <scheme val="minor"/>
          </rPr>
          <t>Đặng Thanh Vượng:
Last week was: 
5.640.000</t>
        </r>
      </text>
    </comment>
    <comment ref="F34" authorId="1" shapeId="0" xr:uid="{00000000-0006-0000-0000-00004F000000}">
      <text>
        <r>
          <rPr>
            <sz val="12"/>
            <color theme="1"/>
            <rFont val="Aptos Narrow"/>
            <family val="2"/>
            <scheme val="minor"/>
          </rPr>
          <t>Đặng Thanh Vượng:
Last week was: 3.990.000</t>
        </r>
      </text>
    </comment>
    <comment ref="H34" authorId="2" shapeId="0" xr:uid="{00000000-0006-0000-0000-000050000000}">
      <text>
        <r>
          <rPr>
            <sz val="12"/>
            <color theme="1"/>
            <rFont val="Aptos Narrow"/>
            <family val="2"/>
            <scheme val="minor"/>
          </rPr>
          <t>Duy Nguyen:
last week was 3,990,000</t>
        </r>
      </text>
    </comment>
    <comment ref="H35" authorId="2" shapeId="0" xr:uid="{00000000-0006-0000-0000-000051000000}">
      <text>
        <r>
          <rPr>
            <sz val="12"/>
            <color theme="1"/>
            <rFont val="Aptos Narrow"/>
            <family val="2"/>
            <scheme val="minor"/>
          </rPr>
          <t>Duy Nguyen:
last week was 2,690,000</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Microsoft Office User</author>
    <author>Dang Phuong Nam</author>
    <author>Nam Khánh</author>
  </authors>
  <commentList>
    <comment ref="B2" authorId="0" shapeId="0" xr:uid="{00000000-0006-0000-0100-000001000000}">
      <text>
        <r>
          <rPr>
            <sz val="12"/>
            <color theme="1"/>
            <rFont val="Aptos Narrow"/>
            <family val="2"/>
            <scheme val="minor"/>
          </rPr>
          <t>Microsoft Office User:
Last week 19,490k</t>
        </r>
      </text>
    </comment>
    <comment ref="C2" authorId="1" shapeId="0" xr:uid="{00000000-0006-0000-0100-000002000000}">
      <text>
        <r>
          <rPr>
            <sz val="12"/>
            <color theme="1"/>
            <rFont val="Aptos Narrow"/>
            <family val="2"/>
            <scheme val="minor"/>
          </rPr>
          <t>Dang Phuong Nam:
Last week was: 19..196.000</t>
        </r>
      </text>
    </comment>
    <comment ref="D2" authorId="1" shapeId="0" xr:uid="{00000000-0006-0000-0100-000003000000}">
      <text>
        <r>
          <rPr>
            <sz val="12"/>
            <color theme="1"/>
            <rFont val="Aptos Narrow"/>
            <family val="2"/>
            <scheme val="minor"/>
          </rPr>
          <t>Đặng Thanh Vượng:
Last week was: 19.390.000</t>
        </r>
      </text>
    </comment>
    <comment ref="C3" authorId="1" shapeId="0" xr:uid="{00000000-0006-0000-0100-000004000000}">
      <text>
        <r>
          <rPr>
            <sz val="12"/>
            <color theme="1"/>
            <rFont val="Aptos Narrow"/>
            <family val="2"/>
            <scheme val="minor"/>
          </rPr>
          <t xml:space="preserve">Dang Phuong Nam:
Last week was: 22.590.000
</t>
        </r>
      </text>
    </comment>
    <comment ref="D3" authorId="1" shapeId="0" xr:uid="{00000000-0006-0000-0100-000005000000}">
      <text>
        <r>
          <rPr>
            <sz val="12"/>
            <color theme="1"/>
            <rFont val="Aptos Narrow"/>
            <family val="2"/>
            <scheme val="minor"/>
          </rPr>
          <t>Đặng Thanh Vượng:
Last week was: 21.790.000</t>
        </r>
      </text>
    </comment>
    <comment ref="B4" authorId="0" shapeId="0" xr:uid="{00000000-0006-0000-0100-000006000000}">
      <text>
        <r>
          <rPr>
            <sz val="12"/>
            <color theme="1"/>
            <rFont val="Aptos Narrow"/>
            <family val="2"/>
            <scheme val="minor"/>
          </rPr>
          <t xml:space="preserve">Microsoft Office User:
Last week 25,490k
</t>
        </r>
      </text>
    </comment>
    <comment ref="C4" authorId="1" shapeId="0" xr:uid="{00000000-0006-0000-0100-000007000000}">
      <text>
        <r>
          <rPr>
            <sz val="12"/>
            <color theme="1"/>
            <rFont val="Aptos Narrow"/>
            <family val="2"/>
            <scheme val="minor"/>
          </rPr>
          <t>Dang Phuong Nam:
Last week was: 24.690.000</t>
        </r>
      </text>
    </comment>
    <comment ref="B5" authorId="0" shapeId="0" xr:uid="{00000000-0006-0000-0100-000008000000}">
      <text>
        <r>
          <rPr>
            <sz val="12"/>
            <color theme="1"/>
            <rFont val="Aptos Narrow"/>
            <family val="2"/>
            <scheme val="minor"/>
          </rPr>
          <t xml:space="preserve">Microsoft Office User:
Last week 29,990k
</t>
        </r>
      </text>
    </comment>
    <comment ref="C5" authorId="1" shapeId="0" xr:uid="{00000000-0006-0000-0100-000009000000}">
      <text>
        <r>
          <rPr>
            <sz val="12"/>
            <color theme="1"/>
            <rFont val="Aptos Narrow"/>
            <family val="2"/>
            <scheme val="minor"/>
          </rPr>
          <t>Dang Phuong Nam:
Last week was: 29.190.000</t>
        </r>
      </text>
    </comment>
    <comment ref="C6" authorId="1" shapeId="0" xr:uid="{00000000-0006-0000-0100-00000A000000}">
      <text>
        <r>
          <rPr>
            <sz val="12"/>
            <color theme="1"/>
            <rFont val="Aptos Narrow"/>
            <family val="2"/>
            <scheme val="minor"/>
          </rPr>
          <t>Dang Phuong Nam:
Last week was: 19.691.000</t>
        </r>
      </text>
    </comment>
    <comment ref="J6" authorId="0" shapeId="0" xr:uid="{00000000-0006-0000-0100-00000B000000}">
      <text>
        <r>
          <rPr>
            <sz val="12"/>
            <color theme="1"/>
            <rFont val="Aptos Narrow"/>
            <family val="2"/>
            <scheme val="minor"/>
          </rPr>
          <t>Microsoft Office User:
Last week was:
16.840.000đ</t>
        </r>
      </text>
    </comment>
    <comment ref="C7" authorId="1" shapeId="0" xr:uid="{00000000-0006-0000-0100-00000C000000}">
      <text>
        <r>
          <rPr>
            <sz val="12"/>
            <color theme="1"/>
            <rFont val="Aptos Narrow"/>
            <family val="2"/>
            <scheme val="minor"/>
          </rPr>
          <t>Dang Phuong Nam:
Last week was: 16.622.000</t>
        </r>
      </text>
    </comment>
    <comment ref="B8" authorId="0" shapeId="0" xr:uid="{00000000-0006-0000-0100-00000D000000}">
      <text>
        <r>
          <rPr>
            <sz val="12"/>
            <color theme="1"/>
            <rFont val="Aptos Narrow"/>
            <family val="2"/>
            <scheme val="minor"/>
          </rPr>
          <t xml:space="preserve">Microsoft Office User:
Last week 13,990k
</t>
        </r>
      </text>
    </comment>
    <comment ref="C8" authorId="1" shapeId="0" xr:uid="{00000000-0006-0000-0100-00000E000000}">
      <text>
        <r>
          <rPr>
            <sz val="12"/>
            <color theme="1"/>
            <rFont val="Aptos Narrow"/>
            <family val="2"/>
            <scheme val="minor"/>
          </rPr>
          <t>Dang Phuong Nam: Last week was: 13.652.000</t>
        </r>
      </text>
    </comment>
    <comment ref="C9" authorId="1" shapeId="0" xr:uid="{00000000-0006-0000-0100-00000F000000}">
      <text>
        <r>
          <rPr>
            <sz val="12"/>
            <color theme="1"/>
            <rFont val="Aptos Narrow"/>
            <family val="2"/>
            <scheme val="minor"/>
          </rPr>
          <t>Dang Phuong Nam:
Last week was: 11.870.000</t>
        </r>
      </text>
    </comment>
    <comment ref="C10" authorId="1" shapeId="0" xr:uid="{00000000-0006-0000-0100-000010000000}">
      <text>
        <r>
          <rPr>
            <sz val="12"/>
            <color theme="1"/>
            <rFont val="Aptos Narrow"/>
            <family val="2"/>
            <scheme val="minor"/>
          </rPr>
          <t>Dang Phuong Nam:
Last week was: 8.900.000</t>
        </r>
      </text>
    </comment>
    <comment ref="C11" authorId="1" shapeId="0" xr:uid="{00000000-0006-0000-0100-000011000000}">
      <text>
        <r>
          <rPr>
            <sz val="12"/>
            <color theme="1"/>
            <rFont val="Aptos Narrow"/>
            <family val="2"/>
            <scheme val="minor"/>
          </rPr>
          <t>Dang Phuong Nam:
Last week was: 20.790.000</t>
        </r>
      </text>
    </comment>
    <comment ref="J11" authorId="0" shapeId="0" xr:uid="{00000000-0006-0000-0100-000012000000}">
      <text>
        <r>
          <rPr>
            <sz val="12"/>
            <color theme="1"/>
            <rFont val="Aptos Narrow"/>
            <family val="2"/>
            <scheme val="minor"/>
          </rPr>
          <t>Microsoft Office User:
Last week was:
8.790.000đ</t>
        </r>
      </text>
    </comment>
    <comment ref="C12" authorId="1" shapeId="0" xr:uid="{00000000-0006-0000-0100-000013000000}">
      <text>
        <r>
          <rPr>
            <sz val="12"/>
            <color theme="1"/>
            <rFont val="Aptos Narrow"/>
            <family val="2"/>
            <scheme val="minor"/>
          </rPr>
          <t>Dang Phuong Nam:
Last week was: 14.246.000</t>
        </r>
      </text>
    </comment>
    <comment ref="J12" authorId="0" shapeId="0" xr:uid="{00000000-0006-0000-0100-000014000000}">
      <text>
        <r>
          <rPr>
            <sz val="12"/>
            <color theme="1"/>
            <rFont val="Aptos Narrow"/>
            <family val="2"/>
            <scheme val="minor"/>
          </rPr>
          <t>Microsoft Office User:
Last week was:
19.990.000đ</t>
        </r>
      </text>
    </comment>
    <comment ref="C13" authorId="1" shapeId="0" xr:uid="{00000000-0006-0000-0100-000015000000}">
      <text>
        <r>
          <rPr>
            <sz val="12"/>
            <color theme="1"/>
            <rFont val="Aptos Narrow"/>
            <family val="2"/>
            <scheme val="minor"/>
          </rPr>
          <t>Dang Phuong Nam:
Last week was: 12.266.000</t>
        </r>
      </text>
    </comment>
    <comment ref="D13" authorId="1" shapeId="0" xr:uid="{00000000-0006-0000-0100-000016000000}">
      <text>
        <r>
          <rPr>
            <sz val="12"/>
            <color theme="1"/>
            <rFont val="Aptos Narrow"/>
            <family val="2"/>
            <scheme val="minor"/>
          </rPr>
          <t xml:space="preserve">Đặng Thanh Vượng:
Last week was: 11.990,000	</t>
        </r>
      </text>
    </comment>
    <comment ref="J13" authorId="0" shapeId="0" xr:uid="{00000000-0006-0000-0100-000017000000}">
      <text>
        <r>
          <rPr>
            <sz val="12"/>
            <color theme="1"/>
            <rFont val="Aptos Narrow"/>
            <family val="2"/>
            <scheme val="minor"/>
          </rPr>
          <t>Microsoft Office User:
Last week was:
13.990.000đ</t>
        </r>
      </text>
    </comment>
    <comment ref="C14" authorId="1" shapeId="0" xr:uid="{00000000-0006-0000-0100-000018000000}">
      <text>
        <r>
          <rPr>
            <sz val="12"/>
            <color theme="1"/>
            <rFont val="Aptos Narrow"/>
            <family val="2"/>
            <scheme val="minor"/>
          </rPr>
          <t>Dang Phuong Nam:
Last week was: 10.187.000</t>
        </r>
      </text>
    </comment>
    <comment ref="D14" authorId="1" shapeId="0" xr:uid="{00000000-0006-0000-0100-000019000000}">
      <text>
        <r>
          <rPr>
            <sz val="12"/>
            <color theme="1"/>
            <rFont val="Aptos Narrow"/>
            <family val="2"/>
            <scheme val="minor"/>
          </rPr>
          <t xml:space="preserve">Đặng Thanh Vượng:
Last week was: 9.840,000	</t>
        </r>
      </text>
    </comment>
    <comment ref="C15" authorId="1" shapeId="0" xr:uid="{00000000-0006-0000-0100-00001A000000}">
      <text>
        <r>
          <rPr>
            <sz val="12"/>
            <color theme="1"/>
            <rFont val="Aptos Narrow"/>
            <family val="2"/>
            <scheme val="minor"/>
          </rPr>
          <t>Dang Phuong Nam:
Last week was: 7.019.000</t>
        </r>
      </text>
    </comment>
    <comment ref="D15" authorId="1" shapeId="0" xr:uid="{00000000-0006-0000-0100-00001B000000}">
      <text>
        <r>
          <rPr>
            <sz val="12"/>
            <color theme="1"/>
            <rFont val="Aptos Narrow"/>
            <family val="2"/>
            <scheme val="minor"/>
          </rPr>
          <t xml:space="preserve">Đặng Thanh Vượng:
Last week was: 7.190,000	</t>
        </r>
      </text>
    </comment>
    <comment ref="C16" authorId="1" shapeId="0" xr:uid="{00000000-0006-0000-0100-00001C000000}">
      <text>
        <r>
          <rPr>
            <sz val="12"/>
            <color theme="1"/>
            <rFont val="Aptos Narrow"/>
            <family val="2"/>
            <scheme val="minor"/>
          </rPr>
          <t>Dang Phuong Nam:
Last week was: 12.167.000</t>
        </r>
      </text>
    </comment>
    <comment ref="D16" authorId="1" shapeId="0" xr:uid="{00000000-0006-0000-0100-00001D000000}">
      <text>
        <r>
          <rPr>
            <sz val="12"/>
            <color theme="1"/>
            <rFont val="Aptos Narrow"/>
            <family val="2"/>
            <scheme val="minor"/>
          </rPr>
          <t xml:space="preserve">Đặng Thanh Vượng:
Last week was: 12.590,000	</t>
        </r>
      </text>
    </comment>
    <comment ref="C17" authorId="1" shapeId="0" xr:uid="{00000000-0006-0000-0100-00001E000000}">
      <text>
        <r>
          <rPr>
            <sz val="12"/>
            <color theme="1"/>
            <rFont val="Aptos Narrow"/>
            <family val="2"/>
            <scheme val="minor"/>
          </rPr>
          <t>Dang Phuong Nam:
Last week was: 9.494.000</t>
        </r>
      </text>
    </comment>
    <comment ref="D17" authorId="1" shapeId="0" xr:uid="{00000000-0006-0000-0100-00001F000000}">
      <text>
        <r>
          <rPr>
            <sz val="12"/>
            <color theme="1"/>
            <rFont val="Aptos Narrow"/>
            <family val="2"/>
            <scheme val="minor"/>
          </rPr>
          <t xml:space="preserve">Đặng Thanh Vượng:
Last week was: 9.740,000	</t>
        </r>
      </text>
    </comment>
    <comment ref="C18" authorId="1" shapeId="0" xr:uid="{00000000-0006-0000-0100-000020000000}">
      <text>
        <r>
          <rPr>
            <sz val="12"/>
            <color theme="1"/>
            <rFont val="Aptos Narrow"/>
            <family val="2"/>
            <scheme val="minor"/>
          </rPr>
          <t>Dang Phuong Nam:
Last week was: 20.790.000</t>
        </r>
      </text>
    </comment>
    <comment ref="D18" authorId="1" shapeId="0" xr:uid="{00000000-0006-0000-0100-000021000000}">
      <text>
        <r>
          <rPr>
            <sz val="12"/>
            <color theme="1"/>
            <rFont val="Aptos Narrow"/>
            <family val="2"/>
            <scheme val="minor"/>
          </rPr>
          <t xml:space="preserve">Đặng Thanh Vượng:
Last week was: 20.990,000	</t>
        </r>
      </text>
    </comment>
    <comment ref="C19" authorId="1" shapeId="0" xr:uid="{00000000-0006-0000-0100-000022000000}">
      <text>
        <r>
          <rPr>
            <sz val="12"/>
            <color theme="1"/>
            <rFont val="Aptos Narrow"/>
            <family val="2"/>
            <scheme val="minor"/>
          </rPr>
          <t>Dang Phuong Nam:
Last week was: 5.831.000</t>
        </r>
      </text>
    </comment>
    <comment ref="D20" authorId="1" shapeId="0" xr:uid="{00000000-0006-0000-0100-000023000000}">
      <text>
        <r>
          <rPr>
            <sz val="12"/>
            <color theme="1"/>
            <rFont val="Aptos Narrow"/>
            <family val="2"/>
            <scheme val="minor"/>
          </rPr>
          <t xml:space="preserve">Đặng Thanh Vượng:
Last week was: 17.490,000	</t>
        </r>
      </text>
    </comment>
    <comment ref="B21" authorId="1" shapeId="0" xr:uid="{00000000-0006-0000-0100-000024000000}">
      <text>
        <r>
          <rPr>
            <sz val="12"/>
            <color theme="1"/>
            <rFont val="Aptos Narrow"/>
            <family val="2"/>
            <scheme val="minor"/>
          </rPr>
          <t>Dang Phuong Nam:
Last week was: 5.590.000</t>
        </r>
      </text>
    </comment>
    <comment ref="C21" authorId="1" shapeId="0" xr:uid="{00000000-0006-0000-0100-000025000000}">
      <text>
        <r>
          <rPr>
            <sz val="12"/>
            <color theme="1"/>
            <rFont val="Aptos Narrow"/>
            <family val="2"/>
            <scheme val="minor"/>
          </rPr>
          <t>Dang Phuong Nam:
Last week was: 5.590.000</t>
        </r>
      </text>
    </comment>
    <comment ref="B22" authorId="1" shapeId="0" xr:uid="{00000000-0006-0000-0100-000026000000}">
      <text>
        <r>
          <rPr>
            <sz val="12"/>
            <color theme="1"/>
            <rFont val="Aptos Narrow"/>
            <family val="2"/>
            <scheme val="minor"/>
          </rPr>
          <t>Dang Phuong Nam:
Last week was: 3.890.000</t>
        </r>
      </text>
    </comment>
    <comment ref="C22" authorId="1" shapeId="0" xr:uid="{00000000-0006-0000-0100-000027000000}">
      <text>
        <r>
          <rPr>
            <sz val="12"/>
            <color theme="1"/>
            <rFont val="Aptos Narrow"/>
            <family val="2"/>
            <scheme val="minor"/>
          </rPr>
          <t>Dang Phuong Nam:
Last week was: 3.890.000</t>
        </r>
      </text>
    </comment>
    <comment ref="B23" authorId="1" shapeId="0" xr:uid="{00000000-0006-0000-0100-000028000000}">
      <text>
        <r>
          <rPr>
            <sz val="12"/>
            <color theme="1"/>
            <rFont val="Aptos Narrow"/>
            <family val="2"/>
            <scheme val="minor"/>
          </rPr>
          <t>Dang Phuong Nam:
Last week was: 2.650.000</t>
        </r>
      </text>
    </comment>
    <comment ref="C23" authorId="1" shapeId="0" xr:uid="{00000000-0006-0000-0100-000029000000}">
      <text>
        <r>
          <rPr>
            <sz val="12"/>
            <color theme="1"/>
            <rFont val="Aptos Narrow"/>
            <family val="2"/>
            <scheme val="minor"/>
          </rPr>
          <t>Dang Phuong Nam:
Last week was: 2.650.000</t>
        </r>
      </text>
    </comment>
    <comment ref="B25" authorId="1" shapeId="0" xr:uid="{00000000-0006-0000-0100-00002A000000}">
      <text>
        <r>
          <rPr>
            <sz val="12"/>
            <color theme="1"/>
            <rFont val="Aptos Narrow"/>
            <family val="2"/>
            <scheme val="minor"/>
          </rPr>
          <t>Dang Phuong Nam:
Last week was: 32.490.000</t>
        </r>
      </text>
    </comment>
    <comment ref="C25" authorId="1" shapeId="0" xr:uid="{00000000-0006-0000-0100-00002B000000}">
      <text>
        <r>
          <rPr>
            <sz val="12"/>
            <color theme="1"/>
            <rFont val="Aptos Narrow"/>
            <family val="2"/>
            <scheme val="minor"/>
          </rPr>
          <t>Dang Phuong Nam:
Last week was: 32.490.000</t>
        </r>
      </text>
    </comment>
    <comment ref="F25" authorId="2" shapeId="0" xr:uid="{00000000-0006-0000-0100-00002C000000}">
      <text>
        <r>
          <rPr>
            <sz val="12"/>
            <color theme="1"/>
            <rFont val="Aptos Narrow"/>
            <family val="2"/>
            <scheme val="minor"/>
          </rPr>
          <t>W4: 32.990.000</t>
        </r>
      </text>
    </comment>
    <comment ref="J25" authorId="0" shapeId="0" xr:uid="{00000000-0006-0000-0100-00002D000000}">
      <text>
        <r>
          <rPr>
            <sz val="12"/>
            <color theme="1"/>
            <rFont val="Aptos Narrow"/>
            <family val="2"/>
            <scheme val="minor"/>
          </rPr>
          <t>Microsoft Office User:
Last week was:
3.790.000đ</t>
        </r>
      </text>
    </comment>
    <comment ref="B26" authorId="1" shapeId="0" xr:uid="{00000000-0006-0000-0100-00002E000000}">
      <text>
        <r>
          <rPr>
            <sz val="12"/>
            <color theme="1"/>
            <rFont val="Aptos Narrow"/>
            <family val="2"/>
            <scheme val="minor"/>
          </rPr>
          <t>Dang Phuong Nam:
Last week was: 38.790.000</t>
        </r>
      </text>
    </comment>
    <comment ref="C26" authorId="1" shapeId="0" xr:uid="{00000000-0006-0000-0100-00002F000000}">
      <text>
        <r>
          <rPr>
            <sz val="12"/>
            <color theme="1"/>
            <rFont val="Aptos Narrow"/>
            <family val="2"/>
            <scheme val="minor"/>
          </rPr>
          <t>Dang Phuong Nam:
Last week was: 38.790.000</t>
        </r>
      </text>
    </comment>
    <comment ref="F26" authorId="2" shapeId="0" xr:uid="{00000000-0006-0000-0100-000030000000}">
      <text>
        <r>
          <rPr>
            <sz val="12"/>
            <color theme="1"/>
            <rFont val="Aptos Narrow"/>
            <family val="2"/>
            <scheme val="minor"/>
          </rPr>
          <t>W4: 37.490.000</t>
        </r>
      </text>
    </comment>
    <comment ref="B27" authorId="1" shapeId="0" xr:uid="{00000000-0006-0000-0100-000031000000}">
      <text>
        <r>
          <rPr>
            <sz val="12"/>
            <color theme="1"/>
            <rFont val="Aptos Narrow"/>
            <family val="2"/>
            <scheme val="minor"/>
          </rPr>
          <t>Dang Phuong Nam:
Last week was: 18.305.000</t>
        </r>
      </text>
    </comment>
    <comment ref="C27" authorId="1" shapeId="0" xr:uid="{00000000-0006-0000-0100-000032000000}">
      <text>
        <r>
          <rPr>
            <sz val="12"/>
            <color theme="1"/>
            <rFont val="Aptos Narrow"/>
            <family val="2"/>
            <scheme val="minor"/>
          </rPr>
          <t>Dang Phuong Nam:
Last week was: 18.305.000</t>
        </r>
      </text>
    </comment>
    <comment ref="D27" authorId="1" shapeId="0" xr:uid="{00000000-0006-0000-0100-000033000000}">
      <text>
        <r>
          <rPr>
            <sz val="12"/>
            <color theme="1"/>
            <rFont val="Aptos Narrow"/>
            <family val="2"/>
            <scheme val="minor"/>
          </rPr>
          <t xml:space="preserve">Dang Phuong Nam:
Last wek was:18,490,000	</t>
        </r>
      </text>
    </comment>
    <comment ref="B28" authorId="1" shapeId="0" xr:uid="{00000000-0006-0000-0100-000034000000}">
      <text>
        <r>
          <rPr>
            <sz val="12"/>
            <color theme="1"/>
            <rFont val="Aptos Narrow"/>
            <family val="2"/>
            <scheme val="minor"/>
          </rPr>
          <t>Dang Phuong Nam:
Last week was: 24.790.000</t>
        </r>
      </text>
    </comment>
    <comment ref="C28" authorId="1" shapeId="0" xr:uid="{00000000-0006-0000-0100-000035000000}">
      <text>
        <r>
          <rPr>
            <sz val="12"/>
            <color theme="1"/>
            <rFont val="Aptos Narrow"/>
            <family val="2"/>
            <scheme val="minor"/>
          </rPr>
          <t>Dang Phuong Nam:
Last week was: 24.790.000</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pc</author>
    <author>Dang Phuong Nam</author>
    <author>Nam Khánh</author>
    <author>Administrator</author>
    <author>Microsoft Office User</author>
    <author>Duy Nguyen</author>
  </authors>
  <commentList>
    <comment ref="B2" authorId="0" shapeId="0" xr:uid="{00000000-0006-0000-0200-000001000000}">
      <text>
        <r>
          <rPr>
            <sz val="12"/>
            <color theme="1"/>
            <rFont val="Aptos Narrow"/>
            <family val="2"/>
            <scheme val="minor"/>
          </rPr>
          <t>pc:
Was 19,390,000</t>
        </r>
      </text>
    </comment>
    <comment ref="C2" authorId="1" shapeId="0" xr:uid="{00000000-0006-0000-0200-000002000000}">
      <text>
        <r>
          <rPr>
            <sz val="12"/>
            <color theme="1"/>
            <rFont val="Aptos Narrow"/>
            <family val="2"/>
            <scheme val="minor"/>
          </rPr>
          <t>Dang Phuong Nam:
Last week was: 19..390.000</t>
        </r>
      </text>
    </comment>
    <comment ref="D2" authorId="1" shapeId="0" xr:uid="{00000000-0006-0000-0200-000003000000}">
      <text>
        <r>
          <rPr>
            <sz val="12"/>
            <color theme="1"/>
            <rFont val="Aptos Narrow"/>
            <family val="2"/>
            <scheme val="minor"/>
          </rPr>
          <t>Đặng Thanh Vượng:
Last week was: 19.390.000</t>
        </r>
      </text>
    </comment>
    <comment ref="F2" authorId="2" shapeId="0" xr:uid="{00000000-0006-0000-0200-000004000000}">
      <text>
        <r>
          <rPr>
            <sz val="12"/>
            <color theme="1"/>
            <rFont val="Aptos Narrow"/>
            <family val="2"/>
            <scheme val="minor"/>
          </rPr>
          <t>W5: 18.790.000</t>
        </r>
      </text>
    </comment>
    <comment ref="G2" authorId="3" shapeId="0" xr:uid="{00000000-0006-0000-0200-000005000000}">
      <text>
        <r>
          <rPr>
            <sz val="12"/>
            <color theme="1"/>
            <rFont val="Aptos Narrow"/>
            <family val="2"/>
            <scheme val="minor"/>
          </rPr>
          <t xml:space="preserve">Administrator:
18850000
</t>
        </r>
      </text>
    </comment>
    <comment ref="H2" authorId="4" shapeId="0" xr:uid="{00000000-0006-0000-0200-000006000000}">
      <text>
        <r>
          <rPr>
            <sz val="12"/>
            <color theme="1"/>
            <rFont val="Aptos Narrow"/>
            <family val="2"/>
            <scheme val="minor"/>
          </rPr>
          <t>Microsoft Office User:
Last week was:
18.990.000đ</t>
        </r>
      </text>
    </comment>
    <comment ref="B3" authorId="0" shapeId="0" xr:uid="{00000000-0006-0000-0200-000007000000}">
      <text>
        <r>
          <rPr>
            <sz val="12"/>
            <color theme="1"/>
            <rFont val="Aptos Narrow"/>
            <family val="2"/>
            <scheme val="minor"/>
          </rPr>
          <t>pc:
Was 22,790,000</t>
        </r>
      </text>
    </comment>
    <comment ref="C3" authorId="1" shapeId="0" xr:uid="{00000000-0006-0000-0200-000008000000}">
      <text>
        <r>
          <rPr>
            <sz val="12"/>
            <color theme="1"/>
            <rFont val="Aptos Narrow"/>
            <family val="2"/>
            <scheme val="minor"/>
          </rPr>
          <t xml:space="preserve">Dang Phuong Nam:
Last week was: 22.790.000
</t>
        </r>
      </text>
    </comment>
    <comment ref="D3" authorId="1" shapeId="0" xr:uid="{00000000-0006-0000-0200-000009000000}">
      <text>
        <r>
          <rPr>
            <sz val="12"/>
            <color theme="1"/>
            <rFont val="Aptos Narrow"/>
            <family val="2"/>
            <scheme val="minor"/>
          </rPr>
          <t>Đặng Thanh Vượng:
Last week was: 22.390.000</t>
        </r>
      </text>
    </comment>
    <comment ref="B4" authorId="0" shapeId="0" xr:uid="{00000000-0006-0000-0200-00000A000000}">
      <text>
        <r>
          <rPr>
            <sz val="12"/>
            <color theme="1"/>
            <rFont val="Aptos Narrow"/>
            <family val="2"/>
            <scheme val="minor"/>
          </rPr>
          <t>pc:
Was 24,990,000</t>
        </r>
      </text>
    </comment>
    <comment ref="C4" authorId="1" shapeId="0" xr:uid="{00000000-0006-0000-0200-00000B000000}">
      <text>
        <r>
          <rPr>
            <sz val="12"/>
            <color theme="1"/>
            <rFont val="Aptos Narrow"/>
            <family val="2"/>
            <scheme val="minor"/>
          </rPr>
          <t>Dang Phuong Nam:
Last week was: 24.990.000</t>
        </r>
      </text>
    </comment>
    <comment ref="D4" authorId="1" shapeId="0" xr:uid="{00000000-0006-0000-0200-00000C000000}">
      <text>
        <r>
          <rPr>
            <sz val="12"/>
            <color theme="1"/>
            <rFont val="Aptos Narrow"/>
            <family val="2"/>
            <scheme val="minor"/>
          </rPr>
          <t>Đặng Thanh Vượng:
Last week was: 24.790.000</t>
        </r>
      </text>
    </comment>
    <comment ref="B6" authorId="0" shapeId="0" xr:uid="{00000000-0006-0000-0200-00000D000000}">
      <text>
        <r>
          <rPr>
            <sz val="12"/>
            <color theme="1"/>
            <rFont val="Aptos Narrow"/>
            <family val="2"/>
            <scheme val="minor"/>
          </rPr>
          <t>pc:
Was 19,690,000</t>
        </r>
      </text>
    </comment>
    <comment ref="C6" authorId="1" shapeId="0" xr:uid="{00000000-0006-0000-0200-00000E000000}">
      <text>
        <r>
          <rPr>
            <sz val="12"/>
            <color theme="1"/>
            <rFont val="Aptos Narrow"/>
            <family val="2"/>
            <scheme val="minor"/>
          </rPr>
          <t>Dang Phuong Nam:
Last week was: 19.690.000</t>
        </r>
      </text>
    </comment>
    <comment ref="D6" authorId="1" shapeId="0" xr:uid="{00000000-0006-0000-0200-00000F000000}">
      <text>
        <r>
          <rPr>
            <sz val="12"/>
            <color theme="1"/>
            <rFont val="Aptos Narrow"/>
            <family val="2"/>
            <scheme val="minor"/>
          </rPr>
          <t>Đặng Thanh Vượng:
Last week was: 19.590.000</t>
        </r>
      </text>
    </comment>
    <comment ref="F6" authorId="2" shapeId="0" xr:uid="{00000000-0006-0000-0200-000010000000}">
      <text>
        <r>
          <rPr>
            <sz val="12"/>
            <color theme="1"/>
            <rFont val="Aptos Narrow"/>
            <family val="2"/>
            <scheme val="minor"/>
          </rPr>
          <t>W5: 19.690.000</t>
        </r>
      </text>
    </comment>
    <comment ref="B7" authorId="0" shapeId="0" xr:uid="{00000000-0006-0000-0200-000011000000}">
      <text>
        <r>
          <rPr>
            <sz val="12"/>
            <color theme="1"/>
            <rFont val="Aptos Narrow"/>
            <family val="2"/>
            <scheme val="minor"/>
          </rPr>
          <t>pc:
Was 16,790,000</t>
        </r>
      </text>
    </comment>
    <comment ref="C7" authorId="1" shapeId="0" xr:uid="{00000000-0006-0000-0200-000012000000}">
      <text>
        <r>
          <rPr>
            <sz val="12"/>
            <color theme="1"/>
            <rFont val="Aptos Narrow"/>
            <family val="2"/>
            <scheme val="minor"/>
          </rPr>
          <t>Dang Phuong Nam:
Last week was: 16.790.000</t>
        </r>
      </text>
    </comment>
    <comment ref="D7" authorId="1" shapeId="0" xr:uid="{00000000-0006-0000-0200-000013000000}">
      <text>
        <r>
          <rPr>
            <sz val="12"/>
            <color theme="1"/>
            <rFont val="Aptos Narrow"/>
            <family val="2"/>
            <scheme val="minor"/>
          </rPr>
          <t>Đặng Thanh Vượng:
Last week was: 16.690.000</t>
        </r>
      </text>
    </comment>
    <comment ref="F7" authorId="2" shapeId="0" xr:uid="{00000000-0006-0000-0200-000014000000}">
      <text>
        <r>
          <rPr>
            <sz val="12"/>
            <color theme="1"/>
            <rFont val="Aptos Narrow"/>
            <family val="2"/>
            <scheme val="minor"/>
          </rPr>
          <t>W5: 16.990.000</t>
        </r>
      </text>
    </comment>
    <comment ref="B8" authorId="0" shapeId="0" xr:uid="{00000000-0006-0000-0200-000015000000}">
      <text>
        <r>
          <rPr>
            <sz val="12"/>
            <color theme="1"/>
            <rFont val="Aptos Narrow"/>
            <family val="2"/>
            <scheme val="minor"/>
          </rPr>
          <t>pc:
Was 13,890,000</t>
        </r>
      </text>
    </comment>
    <comment ref="C8" authorId="1" shapeId="0" xr:uid="{00000000-0006-0000-0200-000016000000}">
      <text>
        <r>
          <rPr>
            <sz val="12"/>
            <color theme="1"/>
            <rFont val="Aptos Narrow"/>
            <family val="2"/>
            <scheme val="minor"/>
          </rPr>
          <t>Dang Phuong Nam: Last week was: 13.890.000</t>
        </r>
      </text>
    </comment>
    <comment ref="C9" authorId="1" shapeId="0" xr:uid="{00000000-0006-0000-0200-000017000000}">
      <text>
        <r>
          <rPr>
            <sz val="12"/>
            <color theme="1"/>
            <rFont val="Aptos Narrow"/>
            <family val="2"/>
            <scheme val="minor"/>
          </rPr>
          <t>Dang Phuong Nam:
Last week was: 11.870.000</t>
        </r>
      </text>
    </comment>
    <comment ref="F9" authorId="2" shapeId="0" xr:uid="{00000000-0006-0000-0200-000018000000}">
      <text>
        <r>
          <rPr>
            <sz val="12"/>
            <color theme="1"/>
            <rFont val="Aptos Narrow"/>
            <family val="2"/>
            <scheme val="minor"/>
          </rPr>
          <t>W5: 11.990.000</t>
        </r>
      </text>
    </comment>
    <comment ref="G9" authorId="3" shapeId="0" xr:uid="{00000000-0006-0000-0200-000019000000}">
      <text>
        <r>
          <rPr>
            <sz val="12"/>
            <color theme="1"/>
            <rFont val="Aptos Narrow"/>
            <family val="2"/>
            <scheme val="minor"/>
          </rPr>
          <t xml:space="preserve">Administrator:
11990000
</t>
        </r>
      </text>
    </comment>
    <comment ref="B10" authorId="0" shapeId="0" xr:uid="{00000000-0006-0000-0200-00001A000000}">
      <text>
        <r>
          <rPr>
            <sz val="12"/>
            <color theme="1"/>
            <rFont val="Aptos Narrow"/>
            <family val="2"/>
            <scheme val="minor"/>
          </rPr>
          <t>pc:
Was 8,990,000</t>
        </r>
      </text>
    </comment>
    <comment ref="C10" authorId="1" shapeId="0" xr:uid="{00000000-0006-0000-0200-00001B000000}">
      <text>
        <r>
          <rPr>
            <sz val="12"/>
            <color theme="1"/>
            <rFont val="Aptos Narrow"/>
            <family val="2"/>
            <scheme val="minor"/>
          </rPr>
          <t>Dang Phuong Nam:
Last week was: 8.990.000</t>
        </r>
      </text>
    </comment>
    <comment ref="D10" authorId="1" shapeId="0" xr:uid="{00000000-0006-0000-0200-00001C000000}">
      <text>
        <r>
          <rPr>
            <sz val="12"/>
            <color theme="1"/>
            <rFont val="Aptos Narrow"/>
            <family val="2"/>
            <scheme val="minor"/>
          </rPr>
          <t xml:space="preserve">Đặng Thanh Vượng:
Last week was:8.940,000	</t>
        </r>
      </text>
    </comment>
    <comment ref="F10" authorId="2" shapeId="0" xr:uid="{00000000-0006-0000-0200-00001D000000}">
      <text>
        <r>
          <rPr>
            <sz val="12"/>
            <color theme="1"/>
            <rFont val="Aptos Narrow"/>
            <family val="2"/>
            <scheme val="minor"/>
          </rPr>
          <t>W5: 8.790.000</t>
        </r>
      </text>
    </comment>
    <comment ref="D11" authorId="1" shapeId="0" xr:uid="{00000000-0006-0000-0200-00001E000000}">
      <text>
        <r>
          <rPr>
            <sz val="12"/>
            <color theme="1"/>
            <rFont val="Aptos Narrow"/>
            <family val="2"/>
            <scheme val="minor"/>
          </rPr>
          <t xml:space="preserve">Đặng Thanh Vượng:
Last week was: 20.390,000	</t>
        </r>
      </text>
    </comment>
    <comment ref="E11" authorId="5" shapeId="0" xr:uid="{00000000-0006-0000-0200-00001F000000}">
      <text>
        <r>
          <rPr>
            <sz val="12"/>
            <color theme="1"/>
            <rFont val="Aptos Narrow"/>
            <family val="2"/>
            <scheme val="minor"/>
          </rPr>
          <t>Duy Nguyen:
last week was 20,790,000</t>
        </r>
      </text>
    </comment>
    <comment ref="B12" authorId="0" shapeId="0" xr:uid="{00000000-0006-0000-0200-000020000000}">
      <text>
        <r>
          <rPr>
            <sz val="12"/>
            <color theme="1"/>
            <rFont val="Aptos Narrow"/>
            <family val="2"/>
            <scheme val="minor"/>
          </rPr>
          <t>pc:
Was 14,590,000</t>
        </r>
      </text>
    </comment>
    <comment ref="C12" authorId="1" shapeId="0" xr:uid="{00000000-0006-0000-0200-000021000000}">
      <text>
        <r>
          <rPr>
            <sz val="12"/>
            <color theme="1"/>
            <rFont val="Aptos Narrow"/>
            <family val="2"/>
            <scheme val="minor"/>
          </rPr>
          <t>Dang Phuong Nam:
Last week was: 14.590.000</t>
        </r>
      </text>
    </comment>
    <comment ref="D12" authorId="1" shapeId="0" xr:uid="{00000000-0006-0000-0200-000022000000}">
      <text>
        <r>
          <rPr>
            <sz val="12"/>
            <color theme="1"/>
            <rFont val="Aptos Narrow"/>
            <family val="2"/>
            <scheme val="minor"/>
          </rPr>
          <t xml:space="preserve">Đặng Thanh Vượng:
Last week was: 14.290,000	</t>
        </r>
      </text>
    </comment>
    <comment ref="E12" authorId="5" shapeId="0" xr:uid="{00000000-0006-0000-0200-000023000000}">
      <text>
        <r>
          <rPr>
            <sz val="12"/>
            <color theme="1"/>
            <rFont val="Aptos Narrow"/>
            <family val="2"/>
            <scheme val="minor"/>
          </rPr>
          <t>Duy Nguyen:
last week was 14,390,000</t>
        </r>
      </text>
    </comment>
    <comment ref="F12" authorId="2" shapeId="0" xr:uid="{00000000-0006-0000-0200-000024000000}">
      <text>
        <r>
          <rPr>
            <sz val="12"/>
            <color theme="1"/>
            <rFont val="Aptos Narrow"/>
            <family val="2"/>
            <scheme val="minor"/>
          </rPr>
          <t>W5: 14.390.000</t>
        </r>
      </text>
    </comment>
    <comment ref="D13" authorId="1" shapeId="0" xr:uid="{00000000-0006-0000-0200-000025000000}">
      <text>
        <r>
          <rPr>
            <sz val="12"/>
            <color theme="1"/>
            <rFont val="Aptos Narrow"/>
            <family val="2"/>
            <scheme val="minor"/>
          </rPr>
          <t xml:space="preserve">Đặng Thanh Vượng:
Last week was: 11.890,000	</t>
        </r>
      </text>
    </comment>
    <comment ref="F13" authorId="2" shapeId="0" xr:uid="{00000000-0006-0000-0200-000026000000}">
      <text>
        <r>
          <rPr>
            <sz val="12"/>
            <color theme="1"/>
            <rFont val="Aptos Narrow"/>
            <family val="2"/>
            <scheme val="minor"/>
          </rPr>
          <t>W5: 11.190.000</t>
        </r>
      </text>
    </comment>
    <comment ref="B14" authorId="0" shapeId="0" xr:uid="{00000000-0006-0000-0200-000027000000}">
      <text>
        <r>
          <rPr>
            <sz val="12"/>
            <color theme="1"/>
            <rFont val="Aptos Narrow"/>
            <family val="2"/>
            <scheme val="minor"/>
          </rPr>
          <t>pc:
Was 10,290,000</t>
        </r>
      </text>
    </comment>
    <comment ref="C14" authorId="1" shapeId="0" xr:uid="{00000000-0006-0000-0200-000028000000}">
      <text>
        <r>
          <rPr>
            <sz val="12"/>
            <color theme="1"/>
            <rFont val="Aptos Narrow"/>
            <family val="2"/>
            <scheme val="minor"/>
          </rPr>
          <t>Dang Phuong Nam:
Last week was: 10.290.000</t>
        </r>
      </text>
    </comment>
    <comment ref="D14" authorId="1" shapeId="0" xr:uid="{00000000-0006-0000-0200-000029000000}">
      <text>
        <r>
          <rPr>
            <sz val="12"/>
            <color theme="1"/>
            <rFont val="Aptos Narrow"/>
            <family val="2"/>
            <scheme val="minor"/>
          </rPr>
          <t xml:space="preserve">Đặng Thanh Vượng:
Last week was: 9.940,000	</t>
        </r>
      </text>
    </comment>
    <comment ref="E14" authorId="5" shapeId="0" xr:uid="{00000000-0006-0000-0200-00002A000000}">
      <text>
        <r>
          <rPr>
            <sz val="12"/>
            <color theme="1"/>
            <rFont val="Aptos Narrow"/>
            <family val="2"/>
            <scheme val="minor"/>
          </rPr>
          <t>Duy Nguyen:
last week was 9,890,000</t>
        </r>
      </text>
    </comment>
    <comment ref="F14" authorId="2" shapeId="0" xr:uid="{00000000-0006-0000-0200-00002B000000}">
      <text>
        <r>
          <rPr>
            <sz val="12"/>
            <color theme="1"/>
            <rFont val="Aptos Narrow"/>
            <family val="2"/>
            <scheme val="minor"/>
          </rPr>
          <t>W5: 9.990.000</t>
        </r>
      </text>
    </comment>
    <comment ref="B15" authorId="0" shapeId="0" xr:uid="{00000000-0006-0000-0200-00002C000000}">
      <text>
        <r>
          <rPr>
            <sz val="12"/>
            <color theme="1"/>
            <rFont val="Aptos Narrow"/>
            <family val="2"/>
            <scheme val="minor"/>
          </rPr>
          <t>pc:
Was 7,190,000</t>
        </r>
      </text>
    </comment>
    <comment ref="C15" authorId="1" shapeId="0" xr:uid="{00000000-0006-0000-0200-00002D000000}">
      <text>
        <r>
          <rPr>
            <sz val="12"/>
            <color theme="1"/>
            <rFont val="Aptos Narrow"/>
            <family val="2"/>
            <scheme val="minor"/>
          </rPr>
          <t>Dang Phuong Nam:
Last week was: 7.190.000</t>
        </r>
      </text>
    </comment>
    <comment ref="D15" authorId="1" shapeId="0" xr:uid="{00000000-0006-0000-0200-00002E000000}">
      <text>
        <r>
          <rPr>
            <sz val="12"/>
            <color theme="1"/>
            <rFont val="Aptos Narrow"/>
            <family val="2"/>
            <scheme val="minor"/>
          </rPr>
          <t xml:space="preserve">Đặng Thanh Vượng:
Last week was: 7.140,000	</t>
        </r>
      </text>
    </comment>
    <comment ref="F15" authorId="2" shapeId="0" xr:uid="{00000000-0006-0000-0200-00002F000000}">
      <text>
        <r>
          <rPr>
            <sz val="12"/>
            <color theme="1"/>
            <rFont val="Aptos Narrow"/>
            <family val="2"/>
            <scheme val="minor"/>
          </rPr>
          <t>W5: 6.990.000</t>
        </r>
      </text>
    </comment>
    <comment ref="D16" authorId="1" shapeId="0" xr:uid="{00000000-0006-0000-0200-000030000000}">
      <text>
        <r>
          <rPr>
            <sz val="12"/>
            <color theme="1"/>
            <rFont val="Aptos Narrow"/>
            <family val="2"/>
            <scheme val="minor"/>
          </rPr>
          <t xml:space="preserve">Đặng Thanh Vượng:
Last week was: 12.290,000	</t>
        </r>
      </text>
    </comment>
    <comment ref="G16" authorId="3" shapeId="0" xr:uid="{00000000-0006-0000-0200-000031000000}">
      <text>
        <r>
          <rPr>
            <sz val="12"/>
            <color theme="1"/>
            <rFont val="Aptos Narrow"/>
            <family val="2"/>
            <scheme val="minor"/>
          </rPr>
          <t xml:space="preserve">Administrator:
11740000
</t>
        </r>
      </text>
    </comment>
    <comment ref="B17" authorId="0" shapeId="0" xr:uid="{00000000-0006-0000-0200-000032000000}">
      <text>
        <r>
          <rPr>
            <sz val="12"/>
            <color theme="1"/>
            <rFont val="Aptos Narrow"/>
            <family val="2"/>
            <scheme val="minor"/>
          </rPr>
          <t>pc:
Was 9,790,000</t>
        </r>
      </text>
    </comment>
    <comment ref="C17" authorId="1" shapeId="0" xr:uid="{00000000-0006-0000-0200-000033000000}">
      <text>
        <r>
          <rPr>
            <sz val="12"/>
            <color theme="1"/>
            <rFont val="Aptos Narrow"/>
            <family val="2"/>
            <scheme val="minor"/>
          </rPr>
          <t>Dang Phuong Nam:
Last week was: 9.790.000</t>
        </r>
      </text>
    </comment>
    <comment ref="D17" authorId="1" shapeId="0" xr:uid="{00000000-0006-0000-0200-000034000000}">
      <text>
        <r>
          <rPr>
            <sz val="12"/>
            <color theme="1"/>
            <rFont val="Aptos Narrow"/>
            <family val="2"/>
            <scheme val="minor"/>
          </rPr>
          <t xml:space="preserve">Đặng Thanh Vượng:
Last week was: 9.440,000	</t>
        </r>
      </text>
    </comment>
    <comment ref="E17" authorId="5" shapeId="0" xr:uid="{00000000-0006-0000-0200-000035000000}">
      <text>
        <r>
          <rPr>
            <sz val="12"/>
            <color theme="1"/>
            <rFont val="Aptos Narrow"/>
            <family val="2"/>
            <scheme val="minor"/>
          </rPr>
          <t>Duy Nguyen:
last week was 9,190,000</t>
        </r>
      </text>
    </comment>
    <comment ref="G17" authorId="3" shapeId="0" xr:uid="{00000000-0006-0000-0200-000036000000}">
      <text>
        <r>
          <rPr>
            <sz val="12"/>
            <color theme="1"/>
            <rFont val="Aptos Narrow"/>
            <family val="2"/>
            <scheme val="minor"/>
          </rPr>
          <t xml:space="preserve">Administrator:
8940000
</t>
        </r>
      </text>
    </comment>
    <comment ref="B18" authorId="0" shapeId="0" xr:uid="{00000000-0006-0000-0200-000037000000}">
      <text>
        <r>
          <rPr>
            <sz val="12"/>
            <color theme="1"/>
            <rFont val="Aptos Narrow"/>
            <family val="2"/>
            <scheme val="minor"/>
          </rPr>
          <t>pc:
Was 21,990,000</t>
        </r>
      </text>
    </comment>
    <comment ref="D18" authorId="1" shapeId="0" xr:uid="{00000000-0006-0000-0200-000038000000}">
      <text>
        <r>
          <rPr>
            <sz val="12"/>
            <color theme="1"/>
            <rFont val="Aptos Narrow"/>
            <family val="2"/>
            <scheme val="minor"/>
          </rPr>
          <t xml:space="preserve">Đặng Thanh Vượng:
Last week was: 20.890,000	</t>
        </r>
      </text>
    </comment>
    <comment ref="B19" authorId="0" shapeId="0" xr:uid="{00000000-0006-0000-0200-000039000000}">
      <text>
        <r>
          <rPr>
            <sz val="12"/>
            <color theme="1"/>
            <rFont val="Aptos Narrow"/>
            <family val="2"/>
            <scheme val="minor"/>
          </rPr>
          <t>pc:
Was 5,990,000</t>
        </r>
      </text>
    </comment>
    <comment ref="E19" authorId="5" shapeId="0" xr:uid="{00000000-0006-0000-0200-00003A000000}">
      <text>
        <r>
          <rPr>
            <sz val="12"/>
            <color theme="1"/>
            <rFont val="Aptos Narrow"/>
            <family val="2"/>
            <scheme val="minor"/>
          </rPr>
          <t>Duy Nguyen:
last week was 5,790,000</t>
        </r>
      </text>
    </comment>
    <comment ref="D20" authorId="1" shapeId="0" xr:uid="{00000000-0006-0000-0200-00003B000000}">
      <text>
        <r>
          <rPr>
            <sz val="12"/>
            <color theme="1"/>
            <rFont val="Aptos Narrow"/>
            <family val="2"/>
            <scheme val="minor"/>
          </rPr>
          <t xml:space="preserve">Đặng Thanh Vượng:
Last week was: 17.490,000	</t>
        </r>
      </text>
    </comment>
    <comment ref="B21" authorId="0" shapeId="0" xr:uid="{00000000-0006-0000-0200-00003C000000}">
      <text>
        <r>
          <rPr>
            <sz val="12"/>
            <color theme="1"/>
            <rFont val="Aptos Narrow"/>
            <family val="2"/>
            <scheme val="minor"/>
          </rPr>
          <t>pc:
Was 5,490,000</t>
        </r>
      </text>
    </comment>
    <comment ref="C21" authorId="1" shapeId="0" xr:uid="{00000000-0006-0000-0200-00003D000000}">
      <text>
        <r>
          <rPr>
            <sz val="12"/>
            <color theme="1"/>
            <rFont val="Aptos Narrow"/>
            <family val="2"/>
            <scheme val="minor"/>
          </rPr>
          <t>Dang Phuong Nam:
Last week was: 5.790.000</t>
        </r>
      </text>
    </comment>
    <comment ref="B22" authorId="0" shapeId="0" xr:uid="{00000000-0006-0000-0200-00003E000000}">
      <text>
        <r>
          <rPr>
            <sz val="12"/>
            <color theme="1"/>
            <rFont val="Aptos Narrow"/>
            <family val="2"/>
            <scheme val="minor"/>
          </rPr>
          <t>pc:
Was 4,090,000</t>
        </r>
      </text>
    </comment>
    <comment ref="C22" authorId="1" shapeId="0" xr:uid="{00000000-0006-0000-0200-00003F000000}">
      <text>
        <r>
          <rPr>
            <sz val="12"/>
            <color theme="1"/>
            <rFont val="Aptos Narrow"/>
            <family val="2"/>
            <scheme val="minor"/>
          </rPr>
          <t>Dang Phuong Nam:
Last week was: 4.090.000</t>
        </r>
      </text>
    </comment>
    <comment ref="D22" authorId="1" shapeId="0" xr:uid="{00000000-0006-0000-0200-000040000000}">
      <text>
        <r>
          <rPr>
            <sz val="12"/>
            <color theme="1"/>
            <rFont val="Aptos Narrow"/>
            <family val="2"/>
            <scheme val="minor"/>
          </rPr>
          <t xml:space="preserve">Đặng Thanh Vượng:
Last week was: 3.890,000	</t>
        </r>
      </text>
    </comment>
    <comment ref="E22" authorId="5" shapeId="0" xr:uid="{00000000-0006-0000-0200-000041000000}">
      <text>
        <r>
          <rPr>
            <sz val="12"/>
            <color theme="1"/>
            <rFont val="Aptos Narrow"/>
            <family val="2"/>
            <scheme val="minor"/>
          </rPr>
          <t>Duy Nguyen:
last week was 3,890,000</t>
        </r>
      </text>
    </comment>
    <comment ref="F22" authorId="2" shapeId="0" xr:uid="{00000000-0006-0000-0200-000042000000}">
      <text>
        <r>
          <rPr>
            <sz val="12"/>
            <color theme="1"/>
            <rFont val="Aptos Narrow"/>
            <family val="2"/>
            <scheme val="minor"/>
          </rPr>
          <t>W5: 3.990.000</t>
        </r>
      </text>
    </comment>
    <comment ref="B23" authorId="0" shapeId="0" xr:uid="{00000000-0006-0000-0200-000043000000}">
      <text>
        <r>
          <rPr>
            <sz val="12"/>
            <color theme="1"/>
            <rFont val="Aptos Narrow"/>
            <family val="2"/>
            <scheme val="minor"/>
          </rPr>
          <t>pc:
Was 2,790,000</t>
        </r>
      </text>
    </comment>
    <comment ref="C23" authorId="1" shapeId="0" xr:uid="{00000000-0006-0000-0200-000044000000}">
      <text>
        <r>
          <rPr>
            <sz val="12"/>
            <color theme="1"/>
            <rFont val="Aptos Narrow"/>
            <family val="2"/>
            <scheme val="minor"/>
          </rPr>
          <t>Dang Phuong Nam:
Last week was: 2.790.000</t>
        </r>
      </text>
    </comment>
    <comment ref="D23" authorId="1" shapeId="0" xr:uid="{00000000-0006-0000-0200-000045000000}">
      <text>
        <r>
          <rPr>
            <sz val="12"/>
            <color theme="1"/>
            <rFont val="Aptos Narrow"/>
            <family val="2"/>
            <scheme val="minor"/>
          </rPr>
          <t xml:space="preserve">Đặng Thanh Vượng:
Last week was:2.650,000	</t>
        </r>
      </text>
    </comment>
    <comment ref="E23" authorId="5" shapeId="0" xr:uid="{00000000-0006-0000-0200-000046000000}">
      <text>
        <r>
          <rPr>
            <sz val="12"/>
            <color theme="1"/>
            <rFont val="Aptos Narrow"/>
            <family val="2"/>
            <scheme val="minor"/>
          </rPr>
          <t>Duy Nguyen:
last week was 2,650,000</t>
        </r>
      </text>
    </comment>
    <comment ref="F23" authorId="2" shapeId="0" xr:uid="{00000000-0006-0000-0200-000047000000}">
      <text>
        <r>
          <rPr>
            <sz val="12"/>
            <color theme="1"/>
            <rFont val="Aptos Narrow"/>
            <family val="2"/>
            <scheme val="minor"/>
          </rPr>
          <t>W5: 2.690.000</t>
        </r>
      </text>
    </comment>
    <comment ref="B24" authorId="0" shapeId="0" xr:uid="{00000000-0006-0000-0200-000048000000}">
      <text>
        <r>
          <rPr>
            <sz val="12"/>
            <color theme="1"/>
            <rFont val="Aptos Narrow"/>
            <family val="2"/>
            <scheme val="minor"/>
          </rPr>
          <t>pc:
Was 27,990,000</t>
        </r>
      </text>
    </comment>
    <comment ref="C24" authorId="1" shapeId="0" xr:uid="{00000000-0006-0000-0200-000049000000}">
      <text>
        <r>
          <rPr>
            <sz val="12"/>
            <color theme="1"/>
            <rFont val="Aptos Narrow"/>
            <family val="2"/>
            <scheme val="minor"/>
          </rPr>
          <t>Dang Phuong Nam:
Last week was: 27.790.000</t>
        </r>
      </text>
    </comment>
    <comment ref="E24" authorId="5" shapeId="0" xr:uid="{00000000-0006-0000-0200-00004A000000}">
      <text>
        <r>
          <rPr>
            <sz val="12"/>
            <color theme="1"/>
            <rFont val="Aptos Narrow"/>
            <family val="2"/>
            <scheme val="minor"/>
          </rPr>
          <t>Duy Nguyen:
last week was 27,990,000</t>
        </r>
      </text>
    </comment>
    <comment ref="B25" authorId="0" shapeId="0" xr:uid="{00000000-0006-0000-0200-00004B000000}">
      <text>
        <r>
          <rPr>
            <sz val="12"/>
            <color theme="1"/>
            <rFont val="Aptos Narrow"/>
            <family val="2"/>
            <scheme val="minor"/>
          </rPr>
          <t>pc:
Was 32,190,000</t>
        </r>
      </text>
    </comment>
    <comment ref="C25" authorId="1" shapeId="0" xr:uid="{00000000-0006-0000-0200-00004C000000}">
      <text>
        <r>
          <rPr>
            <sz val="12"/>
            <color theme="1"/>
            <rFont val="Aptos Narrow"/>
            <family val="2"/>
            <scheme val="minor"/>
          </rPr>
          <t>Dang Phuong Nam:
Last week was: 32.190.000</t>
        </r>
      </text>
    </comment>
    <comment ref="D25" authorId="1" shapeId="0" xr:uid="{00000000-0006-0000-0200-00004D000000}">
      <text>
        <r>
          <rPr>
            <sz val="12"/>
            <color theme="1"/>
            <rFont val="Aptos Narrow"/>
            <family val="2"/>
            <scheme val="minor"/>
          </rPr>
          <t xml:space="preserve">Đặng Thanh Vượng:
Last week was: 32.690,000	</t>
        </r>
      </text>
    </comment>
    <comment ref="C26" authorId="1" shapeId="0" xr:uid="{00000000-0006-0000-0200-00004E000000}">
      <text>
        <r>
          <rPr>
            <sz val="12"/>
            <color theme="1"/>
            <rFont val="Aptos Narrow"/>
            <family val="2"/>
            <scheme val="minor"/>
          </rPr>
          <t>Dang Phuong Nam:
Last week was: 38.690.000</t>
        </r>
      </text>
    </comment>
    <comment ref="E26" authorId="5" shapeId="0" xr:uid="{00000000-0006-0000-0200-00004F000000}">
      <text>
        <r>
          <rPr>
            <sz val="12"/>
            <color theme="1"/>
            <rFont val="Aptos Narrow"/>
            <family val="2"/>
            <scheme val="minor"/>
          </rPr>
          <t>Duy Nguyen:
last week was 37,690,000</t>
        </r>
      </text>
    </comment>
    <comment ref="B27" authorId="0" shapeId="0" xr:uid="{00000000-0006-0000-0200-000050000000}">
      <text>
        <r>
          <rPr>
            <sz val="12"/>
            <color theme="1"/>
            <rFont val="Aptos Narrow"/>
            <family val="2"/>
            <scheme val="minor"/>
          </rPr>
          <t>pc:
Was 18,590,000</t>
        </r>
      </text>
    </comment>
    <comment ref="C27" authorId="1" shapeId="0" xr:uid="{00000000-0006-0000-0200-000051000000}">
      <text>
        <r>
          <rPr>
            <sz val="12"/>
            <color theme="1"/>
            <rFont val="Aptos Narrow"/>
            <family val="2"/>
            <scheme val="minor"/>
          </rPr>
          <t>Dang Phuong Nam:
Last week was: 18.590.000</t>
        </r>
      </text>
    </comment>
    <comment ref="D27" authorId="1" shapeId="0" xr:uid="{00000000-0006-0000-0200-000052000000}">
      <text>
        <r>
          <rPr>
            <sz val="12"/>
            <color theme="1"/>
            <rFont val="Aptos Narrow"/>
            <family val="2"/>
            <scheme val="minor"/>
          </rPr>
          <t xml:space="preserve">Dang Phuong Nam:
Last wek was:18,390,000	</t>
        </r>
      </text>
    </comment>
    <comment ref="E27" authorId="5" shapeId="0" xr:uid="{00000000-0006-0000-0200-000053000000}">
      <text>
        <r>
          <rPr>
            <sz val="12"/>
            <color theme="1"/>
            <rFont val="Aptos Narrow"/>
            <family val="2"/>
            <scheme val="minor"/>
          </rPr>
          <t>Duy Nguyen:
last week was 18,490,000</t>
        </r>
      </text>
    </comment>
    <comment ref="F27" authorId="2" shapeId="0" xr:uid="{00000000-0006-0000-0200-000054000000}">
      <text>
        <r>
          <rPr>
            <sz val="12"/>
            <color theme="1"/>
            <rFont val="Aptos Narrow"/>
            <family val="2"/>
            <scheme val="minor"/>
          </rPr>
          <t>W5: 18.290.000</t>
        </r>
      </text>
    </comment>
    <comment ref="B28" authorId="0" shapeId="0" xr:uid="{00000000-0006-0000-0200-000055000000}">
      <text>
        <r>
          <rPr>
            <sz val="12"/>
            <color theme="1"/>
            <rFont val="Aptos Narrow"/>
            <family val="2"/>
            <scheme val="minor"/>
          </rPr>
          <t>pc:
Was 24,990,000</t>
        </r>
      </text>
    </comment>
    <comment ref="C28" authorId="1" shapeId="0" xr:uid="{00000000-0006-0000-0200-000056000000}">
      <text>
        <r>
          <rPr>
            <sz val="12"/>
            <color theme="1"/>
            <rFont val="Aptos Narrow"/>
            <family val="2"/>
            <scheme val="minor"/>
          </rPr>
          <t>Dang Phuong Nam:
Last week was: 24.990.000</t>
        </r>
      </text>
    </comment>
    <comment ref="E28" authorId="5" shapeId="0" xr:uid="{00000000-0006-0000-0200-000057000000}">
      <text>
        <r>
          <rPr>
            <sz val="12"/>
            <color theme="1"/>
            <rFont val="Aptos Narrow"/>
            <family val="2"/>
            <scheme val="minor"/>
          </rPr>
          <t>Duy Nguyen:
last week was 24,790,000</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pc</author>
    <author>Dang Phuong Nam</author>
    <author>Administrator</author>
    <author>Microsoft Office User</author>
  </authors>
  <commentList>
    <comment ref="B2" authorId="0" shapeId="0" xr:uid="{00000000-0006-0000-0300-000001000000}">
      <text>
        <r>
          <rPr>
            <sz val="12"/>
            <color theme="1"/>
            <rFont val="Aptos Narrow"/>
            <family val="2"/>
            <scheme val="minor"/>
          </rPr>
          <t>pc:
Was 19,290,000</t>
        </r>
      </text>
    </comment>
    <comment ref="C2" authorId="1" shapeId="0" xr:uid="{00000000-0006-0000-0300-000002000000}">
      <text>
        <r>
          <rPr>
            <sz val="12"/>
            <color theme="1"/>
            <rFont val="Aptos Narrow"/>
            <family val="2"/>
            <scheme val="minor"/>
          </rPr>
          <t>Dang Phuong Nam:
Last week was: 19..290.000</t>
        </r>
      </text>
    </comment>
    <comment ref="D2" authorId="1" shapeId="0" xr:uid="{00000000-0006-0000-0300-000003000000}">
      <text>
        <r>
          <rPr>
            <sz val="12"/>
            <color theme="1"/>
            <rFont val="Aptos Narrow"/>
            <family val="2"/>
            <scheme val="minor"/>
          </rPr>
          <t>Đặng Thanh Vượng:
Last week was: 19.290.000</t>
        </r>
      </text>
    </comment>
    <comment ref="H2" authorId="2" shapeId="0" xr:uid="{00000000-0006-0000-0300-000004000000}">
      <text>
        <r>
          <rPr>
            <sz val="12"/>
            <color theme="1"/>
            <rFont val="Aptos Narrow"/>
            <family val="2"/>
            <scheme val="minor"/>
          </rPr>
          <t xml:space="preserve">Administrator:
18.800.000
</t>
        </r>
      </text>
    </comment>
    <comment ref="I2" authorId="3" shapeId="0" xr:uid="{00000000-0006-0000-0300-000005000000}">
      <text>
        <r>
          <rPr>
            <sz val="12"/>
            <color theme="1"/>
            <rFont val="Aptos Narrow"/>
            <family val="2"/>
            <scheme val="minor"/>
          </rPr>
          <t>Microsoft Office User:
last week 18,697k</t>
        </r>
      </text>
    </comment>
    <comment ref="B3" authorId="0" shapeId="0" xr:uid="{00000000-0006-0000-0300-000006000000}">
      <text>
        <r>
          <rPr>
            <sz val="12"/>
            <color theme="1"/>
            <rFont val="Aptos Narrow"/>
            <family val="2"/>
            <scheme val="minor"/>
          </rPr>
          <t>pc:
Was 22,290,000</t>
        </r>
      </text>
    </comment>
    <comment ref="C3" authorId="1" shapeId="0" xr:uid="{00000000-0006-0000-0300-000007000000}">
      <text>
        <r>
          <rPr>
            <sz val="12"/>
            <color theme="1"/>
            <rFont val="Aptos Narrow"/>
            <family val="2"/>
            <scheme val="minor"/>
          </rPr>
          <t xml:space="preserve">Dang Phuong Nam:
Last week was: 22.290.000
</t>
        </r>
      </text>
    </comment>
    <comment ref="D3" authorId="1" shapeId="0" xr:uid="{00000000-0006-0000-0300-000008000000}">
      <text>
        <r>
          <rPr>
            <sz val="12"/>
            <color theme="1"/>
            <rFont val="Aptos Narrow"/>
            <family val="2"/>
            <scheme val="minor"/>
          </rPr>
          <t>Đặng Thanh Vượng:
Last week was: 22.190.000</t>
        </r>
      </text>
    </comment>
    <comment ref="I3" authorId="3" shapeId="0" xr:uid="{00000000-0006-0000-0300-000009000000}">
      <text>
        <r>
          <rPr>
            <sz val="12"/>
            <color theme="1"/>
            <rFont val="Aptos Narrow"/>
            <family val="2"/>
            <scheme val="minor"/>
          </rPr>
          <t>Microsoft Office User:
last week 21,717k</t>
        </r>
      </text>
    </comment>
    <comment ref="B4" authorId="0" shapeId="0" xr:uid="{00000000-0006-0000-0300-00000A000000}">
      <text>
        <r>
          <rPr>
            <sz val="12"/>
            <color theme="1"/>
            <rFont val="Aptos Narrow"/>
            <family val="2"/>
            <scheme val="minor"/>
          </rPr>
          <t>pc:
Was 23,990,000</t>
        </r>
      </text>
    </comment>
    <comment ref="C4" authorId="1" shapeId="0" xr:uid="{00000000-0006-0000-0300-00000B000000}">
      <text>
        <r>
          <rPr>
            <sz val="12"/>
            <color theme="1"/>
            <rFont val="Aptos Narrow"/>
            <family val="2"/>
            <scheme val="minor"/>
          </rPr>
          <t>Dang Phuong Nam:
Last week was: 23.990.000</t>
        </r>
      </text>
    </comment>
    <comment ref="D4" authorId="1" shapeId="0" xr:uid="{00000000-0006-0000-0300-00000C000000}">
      <text>
        <r>
          <rPr>
            <sz val="12"/>
            <color theme="1"/>
            <rFont val="Aptos Narrow"/>
            <family val="2"/>
            <scheme val="minor"/>
          </rPr>
          <t>Đặng Thanh Vượng:
Last week was: 24.390.000</t>
        </r>
      </text>
    </comment>
    <comment ref="I4" authorId="3" shapeId="0" xr:uid="{00000000-0006-0000-0300-00000D000000}">
      <text>
        <r>
          <rPr>
            <sz val="12"/>
            <color theme="1"/>
            <rFont val="Aptos Narrow"/>
            <family val="2"/>
            <scheme val="minor"/>
          </rPr>
          <t>Microsoft Office User:
last week 24,431k</t>
        </r>
      </text>
    </comment>
    <comment ref="D5" authorId="1" shapeId="0" xr:uid="{00000000-0006-0000-0300-00000E000000}">
      <text>
        <r>
          <rPr>
            <sz val="12"/>
            <color theme="1"/>
            <rFont val="Aptos Narrow"/>
            <family val="2"/>
            <scheme val="minor"/>
          </rPr>
          <t>Đặng Thanh Vượng:
Last week was: 29.390.000</t>
        </r>
      </text>
    </comment>
    <comment ref="H5" authorId="2" shapeId="0" xr:uid="{00000000-0006-0000-0300-00000F000000}">
      <text>
        <r>
          <rPr>
            <sz val="12"/>
            <color theme="1"/>
            <rFont val="Aptos Narrow"/>
            <family val="2"/>
            <scheme val="minor"/>
          </rPr>
          <t>Administrator:
28790000</t>
        </r>
      </text>
    </comment>
    <comment ref="B6" authorId="0" shapeId="0" xr:uid="{00000000-0006-0000-0300-000010000000}">
      <text>
        <r>
          <rPr>
            <sz val="12"/>
            <color theme="1"/>
            <rFont val="Aptos Narrow"/>
            <family val="2"/>
            <scheme val="minor"/>
          </rPr>
          <t>pc:
Was 19,990,000</t>
        </r>
      </text>
    </comment>
    <comment ref="D6" authorId="1" shapeId="0" xr:uid="{00000000-0006-0000-0300-000011000000}">
      <text>
        <r>
          <rPr>
            <sz val="12"/>
            <color theme="1"/>
            <rFont val="Aptos Narrow"/>
            <family val="2"/>
            <scheme val="minor"/>
          </rPr>
          <t>Đặng Thanh Vượng:
Last week was: 19.590.000</t>
        </r>
      </text>
    </comment>
    <comment ref="E6" authorId="3" shapeId="0" xr:uid="{00000000-0006-0000-0300-000012000000}">
      <text>
        <r>
          <rPr>
            <sz val="12"/>
            <color theme="1"/>
            <rFont val="Aptos Narrow"/>
            <family val="2"/>
            <scheme val="minor"/>
          </rPr>
          <t>Microsoft Office User:
Last week was:
19.990.000đ</t>
        </r>
      </text>
    </comment>
    <comment ref="D7" authorId="1" shapeId="0" xr:uid="{00000000-0006-0000-0300-000013000000}">
      <text>
        <r>
          <rPr>
            <sz val="12"/>
            <color theme="1"/>
            <rFont val="Aptos Narrow"/>
            <family val="2"/>
            <scheme val="minor"/>
          </rPr>
          <t>Đặng Thanh Vượng:
Last week was: 16.690.000</t>
        </r>
      </text>
    </comment>
    <comment ref="E7" authorId="3" shapeId="0" xr:uid="{00000000-0006-0000-0300-000014000000}">
      <text>
        <r>
          <rPr>
            <sz val="12"/>
            <color theme="1"/>
            <rFont val="Aptos Narrow"/>
            <family val="2"/>
            <scheme val="minor"/>
          </rPr>
          <t>Microsoft Office User:
Last week was:
16.690.000đ</t>
        </r>
      </text>
    </comment>
    <comment ref="B8" authorId="0" shapeId="0" xr:uid="{00000000-0006-0000-0300-000015000000}">
      <text>
        <r>
          <rPr>
            <sz val="12"/>
            <color theme="1"/>
            <rFont val="Aptos Narrow"/>
            <family val="2"/>
            <scheme val="minor"/>
          </rPr>
          <t>pc:
Was 13,790,000</t>
        </r>
      </text>
    </comment>
    <comment ref="C8" authorId="1" shapeId="0" xr:uid="{00000000-0006-0000-0300-000016000000}">
      <text>
        <r>
          <rPr>
            <sz val="12"/>
            <color theme="1"/>
            <rFont val="Aptos Narrow"/>
            <family val="2"/>
            <scheme val="minor"/>
          </rPr>
          <t>Dang Phuong Nam: Last week was: 13.790.000</t>
        </r>
      </text>
    </comment>
    <comment ref="D8" authorId="1" shapeId="0" xr:uid="{00000000-0006-0000-0300-000017000000}">
      <text>
        <r>
          <rPr>
            <sz val="12"/>
            <color theme="1"/>
            <rFont val="Aptos Narrow"/>
            <family val="2"/>
            <scheme val="minor"/>
          </rPr>
          <t>Đặng Thanh Vượng:
Last week was: 13.690.000</t>
        </r>
      </text>
    </comment>
    <comment ref="I8" authorId="3" shapeId="0" xr:uid="{00000000-0006-0000-0300-000018000000}">
      <text>
        <r>
          <rPr>
            <sz val="12"/>
            <color theme="1"/>
            <rFont val="Aptos Narrow"/>
            <family val="2"/>
            <scheme val="minor"/>
          </rPr>
          <t>Microsoft Office User:
last week 13,057k</t>
        </r>
      </text>
    </comment>
    <comment ref="D9" authorId="1" shapeId="0" xr:uid="{00000000-0006-0000-0300-000019000000}">
      <text>
        <r>
          <rPr>
            <sz val="12"/>
            <color theme="1"/>
            <rFont val="Aptos Narrow"/>
            <family val="2"/>
            <scheme val="minor"/>
          </rPr>
          <t>Đặng Thanh Vượng:
Last week was: 11.890.000</t>
        </r>
      </text>
    </comment>
    <comment ref="B10" authorId="0" shapeId="0" xr:uid="{00000000-0006-0000-0300-00001A000000}">
      <text>
        <r>
          <rPr>
            <sz val="12"/>
            <color theme="1"/>
            <rFont val="Aptos Narrow"/>
            <family val="2"/>
            <scheme val="minor"/>
          </rPr>
          <t xml:space="preserve">pc:
Was 8,790,000
</t>
        </r>
      </text>
    </comment>
    <comment ref="C10" authorId="1" shapeId="0" xr:uid="{00000000-0006-0000-0300-00001B000000}">
      <text>
        <r>
          <rPr>
            <sz val="12"/>
            <color theme="1"/>
            <rFont val="Aptos Narrow"/>
            <family val="2"/>
            <scheme val="minor"/>
          </rPr>
          <t>Dang Phuong Nam:
Last week was: 8.790.000</t>
        </r>
      </text>
    </comment>
    <comment ref="D10" authorId="1" shapeId="0" xr:uid="{00000000-0006-0000-0300-00001C000000}">
      <text>
        <r>
          <rPr>
            <sz val="12"/>
            <color theme="1"/>
            <rFont val="Aptos Narrow"/>
            <family val="2"/>
            <scheme val="minor"/>
          </rPr>
          <t xml:space="preserve">Đặng Thanh Vượng:
Last week was:8.740,000	</t>
        </r>
      </text>
    </comment>
    <comment ref="H10" authorId="2" shapeId="0" xr:uid="{00000000-0006-0000-0300-00001D000000}">
      <text>
        <r>
          <rPr>
            <sz val="12"/>
            <color theme="1"/>
            <rFont val="Aptos Narrow"/>
            <family val="2"/>
            <scheme val="minor"/>
          </rPr>
          <t>Administrator:
8790000</t>
        </r>
      </text>
    </comment>
    <comment ref="B11" authorId="0" shapeId="0" xr:uid="{00000000-0006-0000-0300-00001E000000}">
      <text>
        <r>
          <rPr>
            <sz val="12"/>
            <color theme="1"/>
            <rFont val="Aptos Narrow"/>
            <family val="2"/>
            <scheme val="minor"/>
          </rPr>
          <t>pc:
Was 20,990,000</t>
        </r>
      </text>
    </comment>
    <comment ref="C11" authorId="1" shapeId="0" xr:uid="{00000000-0006-0000-0300-00001F000000}">
      <text>
        <r>
          <rPr>
            <sz val="12"/>
            <color theme="1"/>
            <rFont val="Aptos Narrow"/>
            <family val="2"/>
            <scheme val="minor"/>
          </rPr>
          <t>Dang Phuong Nam:
Last week was: 20.990.000</t>
        </r>
      </text>
    </comment>
    <comment ref="B12" authorId="0" shapeId="0" xr:uid="{00000000-0006-0000-0300-000020000000}">
      <text>
        <r>
          <rPr>
            <sz val="12"/>
            <color theme="1"/>
            <rFont val="Aptos Narrow"/>
            <family val="2"/>
            <scheme val="minor"/>
          </rPr>
          <t>pc:
Was 14,390,000</t>
        </r>
      </text>
    </comment>
    <comment ref="C12" authorId="1" shapeId="0" xr:uid="{00000000-0006-0000-0300-000021000000}">
      <text>
        <r>
          <rPr>
            <sz val="12"/>
            <color theme="1"/>
            <rFont val="Aptos Narrow"/>
            <family val="2"/>
            <scheme val="minor"/>
          </rPr>
          <t>Dang Phuong Nam:
Last week was: 14.390.000</t>
        </r>
      </text>
    </comment>
    <comment ref="D12" authorId="1" shapeId="0" xr:uid="{00000000-0006-0000-0300-000022000000}">
      <text>
        <r>
          <rPr>
            <sz val="12"/>
            <color theme="1"/>
            <rFont val="Aptos Narrow"/>
            <family val="2"/>
            <scheme val="minor"/>
          </rPr>
          <t xml:space="preserve">Đặng Thanh Vượng:
Last week was: 14.190,000	</t>
        </r>
      </text>
    </comment>
    <comment ref="E12" authorId="3" shapeId="0" xr:uid="{00000000-0006-0000-0300-000023000000}">
      <text>
        <r>
          <rPr>
            <sz val="12"/>
            <color theme="1"/>
            <rFont val="Aptos Narrow"/>
            <family val="2"/>
            <scheme val="minor"/>
          </rPr>
          <t>Microsoft Office User:
Last week was:
13.790.000đ</t>
        </r>
      </text>
    </comment>
    <comment ref="E14" authorId="3" shapeId="0" xr:uid="{00000000-0006-0000-0300-000024000000}">
      <text>
        <r>
          <rPr>
            <sz val="12"/>
            <color theme="1"/>
            <rFont val="Aptos Narrow"/>
            <family val="2"/>
            <scheme val="minor"/>
          </rPr>
          <t>Microsoft Office User:
Last week was:
9.890.000đ</t>
        </r>
      </text>
    </comment>
    <comment ref="C15" authorId="1" shapeId="0" xr:uid="{00000000-0006-0000-0300-000025000000}">
      <text>
        <r>
          <rPr>
            <sz val="12"/>
            <color theme="1"/>
            <rFont val="Aptos Narrow"/>
            <family val="2"/>
            <scheme val="minor"/>
          </rPr>
          <t>Dang Phuong Nam:
Last week was: 6.990.000</t>
        </r>
      </text>
    </comment>
    <comment ref="E15" authorId="3" shapeId="0" xr:uid="{00000000-0006-0000-0300-000026000000}">
      <text>
        <r>
          <rPr>
            <sz val="12"/>
            <color theme="1"/>
            <rFont val="Aptos Narrow"/>
            <family val="2"/>
            <scheme val="minor"/>
          </rPr>
          <t>Microsoft Office User:
Last week was:
7.090.000đ</t>
        </r>
      </text>
    </comment>
    <comment ref="H15" authorId="2" shapeId="0" xr:uid="{00000000-0006-0000-0300-000027000000}">
      <text>
        <r>
          <rPr>
            <sz val="12"/>
            <color theme="1"/>
            <rFont val="Aptos Narrow"/>
            <family val="2"/>
            <scheme val="minor"/>
          </rPr>
          <t>Administrator:
6990000</t>
        </r>
      </text>
    </comment>
    <comment ref="B16" authorId="0" shapeId="0" xr:uid="{00000000-0006-0000-0300-000028000000}">
      <text>
        <r>
          <rPr>
            <sz val="12"/>
            <color theme="1"/>
            <rFont val="Aptos Narrow"/>
            <family val="2"/>
            <scheme val="minor"/>
          </rPr>
          <t>pc:
Was 5,890,000</t>
        </r>
      </text>
    </comment>
    <comment ref="D16" authorId="1" shapeId="0" xr:uid="{00000000-0006-0000-0300-000029000000}">
      <text>
        <r>
          <rPr>
            <sz val="12"/>
            <color theme="1"/>
            <rFont val="Aptos Narrow"/>
            <family val="2"/>
            <scheme val="minor"/>
          </rPr>
          <t xml:space="preserve">Đặng Thanh Vượng:
Last week was: 5.940,000	</t>
        </r>
      </text>
    </comment>
    <comment ref="F16" authorId="0" shapeId="0" xr:uid="{00000000-0006-0000-0300-00002A000000}">
      <text>
        <r>
          <rPr>
            <sz val="12"/>
            <color theme="1"/>
            <rFont val="Aptos Narrow"/>
            <family val="2"/>
            <scheme val="minor"/>
          </rPr>
          <t>pc:
Was 5,990,000</t>
        </r>
      </text>
    </comment>
    <comment ref="D20" authorId="1" shapeId="0" xr:uid="{00000000-0006-0000-0300-00002B000000}">
      <text>
        <r>
          <rPr>
            <sz val="12"/>
            <color theme="1"/>
            <rFont val="Aptos Narrow"/>
            <family val="2"/>
            <scheme val="minor"/>
          </rPr>
          <t xml:space="preserve">Đặng Thanh Vượng:
Last week was: 9.440,000	</t>
        </r>
      </text>
    </comment>
    <comment ref="B21" authorId="0" shapeId="0" xr:uid="{00000000-0006-0000-0300-00002C000000}">
      <text>
        <r>
          <rPr>
            <sz val="12"/>
            <color theme="1"/>
            <rFont val="Aptos Narrow"/>
            <family val="2"/>
            <scheme val="minor"/>
          </rPr>
          <t>pc:
Was 12,690,000</t>
        </r>
      </text>
    </comment>
    <comment ref="C21" authorId="1" shapeId="0" xr:uid="{00000000-0006-0000-0300-00002D000000}">
      <text>
        <r>
          <rPr>
            <sz val="12"/>
            <color theme="1"/>
            <rFont val="Aptos Narrow"/>
            <family val="2"/>
            <scheme val="minor"/>
          </rPr>
          <t>Dang Phuong Nam:
Last week was: 12.290.000</t>
        </r>
      </text>
    </comment>
    <comment ref="D21" authorId="1" shapeId="0" xr:uid="{00000000-0006-0000-0300-00002E000000}">
      <text>
        <r>
          <rPr>
            <sz val="12"/>
            <color theme="1"/>
            <rFont val="Aptos Narrow"/>
            <family val="2"/>
            <scheme val="minor"/>
          </rPr>
          <t xml:space="preserve">Đặng Thanh Vượng:
Last week was: 12.290,000	</t>
        </r>
      </text>
    </comment>
    <comment ref="C24" authorId="1" shapeId="0" xr:uid="{00000000-0006-0000-0300-00002F000000}">
      <text>
        <r>
          <rPr>
            <sz val="12"/>
            <color theme="1"/>
            <rFont val="Aptos Narrow"/>
            <family val="2"/>
            <scheme val="minor"/>
          </rPr>
          <t>Dang Phuong Nam:
Last week was: 20.990.000</t>
        </r>
      </text>
    </comment>
    <comment ref="B26" authorId="0" shapeId="0" xr:uid="{00000000-0006-0000-0300-000030000000}">
      <text>
        <r>
          <rPr>
            <sz val="12"/>
            <color theme="1"/>
            <rFont val="Aptos Narrow"/>
            <family val="2"/>
            <scheme val="minor"/>
          </rPr>
          <t>pc:
Was 4,190,000</t>
        </r>
      </text>
    </comment>
    <comment ref="C26" authorId="1" shapeId="0" xr:uid="{00000000-0006-0000-0300-000031000000}">
      <text>
        <r>
          <rPr>
            <sz val="12"/>
            <color theme="1"/>
            <rFont val="Aptos Narrow"/>
            <family val="2"/>
            <scheme val="minor"/>
          </rPr>
          <t>Dang Phuong Nam:
Last week was: 4.190.000</t>
        </r>
      </text>
    </comment>
    <comment ref="I27" authorId="3" shapeId="0" xr:uid="{00000000-0006-0000-0300-000032000000}">
      <text>
        <r>
          <rPr>
            <sz val="12"/>
            <color theme="1"/>
            <rFont val="Aptos Narrow"/>
            <family val="2"/>
            <scheme val="minor"/>
          </rPr>
          <t>Microsoft Office User:
last week 2,623k</t>
        </r>
      </text>
    </comment>
    <comment ref="H28" authorId="2" shapeId="0" xr:uid="{00000000-0006-0000-0300-000033000000}">
      <text>
        <r>
          <rPr>
            <sz val="12"/>
            <color theme="1"/>
            <rFont val="Aptos Narrow"/>
            <family val="2"/>
            <scheme val="minor"/>
          </rPr>
          <t>Administrator:
18240000</t>
        </r>
      </text>
    </comment>
    <comment ref="B29" authorId="0" shapeId="0" xr:uid="{00000000-0006-0000-0300-000034000000}">
      <text>
        <r>
          <rPr>
            <sz val="12"/>
            <color theme="1"/>
            <rFont val="Aptos Narrow"/>
            <family val="2"/>
            <scheme val="minor"/>
          </rPr>
          <t xml:space="preserve">pc:
Was 24,590,000
</t>
        </r>
      </text>
    </comment>
    <comment ref="C29" authorId="1" shapeId="0" xr:uid="{00000000-0006-0000-0300-000035000000}">
      <text>
        <r>
          <rPr>
            <sz val="12"/>
            <color theme="1"/>
            <rFont val="Aptos Narrow"/>
            <family val="2"/>
            <scheme val="minor"/>
          </rPr>
          <t>Dang Phuong Nam:
Last week was: 24.590.000</t>
        </r>
      </text>
    </comment>
    <comment ref="H29" authorId="2" shapeId="0" xr:uid="{00000000-0006-0000-0300-000036000000}">
      <text>
        <r>
          <rPr>
            <sz val="12"/>
            <color theme="1"/>
            <rFont val="Aptos Narrow"/>
            <family val="2"/>
            <scheme val="minor"/>
          </rPr>
          <t>Administrator:
24590000</t>
        </r>
      </text>
    </comment>
    <comment ref="D30" authorId="1" shapeId="0" xr:uid="{00000000-0006-0000-0300-000037000000}">
      <text>
        <r>
          <rPr>
            <sz val="12"/>
            <color theme="1"/>
            <rFont val="Aptos Narrow"/>
            <family val="2"/>
            <scheme val="minor"/>
          </rPr>
          <t xml:space="preserve">Đặng Thanh Vượng:
Last week was: 27.890,000	</t>
        </r>
      </text>
    </comment>
    <comment ref="B31" authorId="0" shapeId="0" xr:uid="{00000000-0006-0000-0300-000038000000}">
      <text>
        <r>
          <rPr>
            <sz val="12"/>
            <color theme="1"/>
            <rFont val="Aptos Narrow"/>
            <family val="2"/>
            <scheme val="minor"/>
          </rPr>
          <t>pc:
Was 31,690,000</t>
        </r>
      </text>
    </comment>
    <comment ref="C31" authorId="1" shapeId="0" xr:uid="{00000000-0006-0000-0300-000039000000}">
      <text>
        <r>
          <rPr>
            <sz val="12"/>
            <color theme="1"/>
            <rFont val="Aptos Narrow"/>
            <family val="2"/>
            <scheme val="minor"/>
          </rPr>
          <t>Dang Phuong Nam:
Last week was: 31.690.000</t>
        </r>
      </text>
    </comment>
    <comment ref="D31" authorId="1" shapeId="0" xr:uid="{00000000-0006-0000-0300-00003A000000}">
      <text>
        <r>
          <rPr>
            <sz val="12"/>
            <color theme="1"/>
            <rFont val="Aptos Narrow"/>
            <family val="2"/>
            <scheme val="minor"/>
          </rPr>
          <t xml:space="preserve">Đặng Thanh Vượng:
Last week was: 31.390,000	</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Microsoft Office User</author>
    <author>Dang Phuong Nam</author>
    <author>Nam Khánh</author>
    <author>Windows User</author>
    <author>Administrator</author>
    <author>pc</author>
  </authors>
  <commentList>
    <comment ref="B2" authorId="0" shapeId="0" xr:uid="{00000000-0006-0000-0400-000001000000}">
      <text>
        <r>
          <rPr>
            <sz val="12"/>
            <color theme="1"/>
            <rFont val="Aptos Narrow"/>
            <family val="2"/>
            <scheme val="minor"/>
          </rPr>
          <t>Microsoft Office User:
last week was 19190k</t>
        </r>
      </text>
    </comment>
    <comment ref="C2" authorId="1" shapeId="0" xr:uid="{00000000-0006-0000-0400-000002000000}">
      <text>
        <r>
          <rPr>
            <sz val="12"/>
            <color theme="1"/>
            <rFont val="Aptos Narrow"/>
            <family val="2"/>
            <scheme val="minor"/>
          </rPr>
          <t>Dang Phuong Nam:
Last week was: 19..190.000</t>
        </r>
      </text>
    </comment>
    <comment ref="D2" authorId="1" shapeId="0" xr:uid="{00000000-0006-0000-0400-000003000000}">
      <text>
        <r>
          <rPr>
            <sz val="12"/>
            <color theme="1"/>
            <rFont val="Aptos Narrow"/>
            <family val="2"/>
            <scheme val="minor"/>
          </rPr>
          <t>Đặng Thanh Vượng:
Last week was: 19.090.000</t>
        </r>
      </text>
    </comment>
    <comment ref="I2" authorId="0" shapeId="0" xr:uid="{00000000-0006-0000-0400-000004000000}">
      <text>
        <r>
          <rPr>
            <sz val="12"/>
            <color theme="1"/>
            <rFont val="Aptos Narrow"/>
            <family val="2"/>
            <scheme val="minor"/>
          </rPr>
          <t>Microsoft Office User:
pc
18,415k</t>
        </r>
      </text>
    </comment>
    <comment ref="G3" authorId="2" shapeId="0" xr:uid="{00000000-0006-0000-0400-000005000000}">
      <text>
        <r>
          <rPr>
            <sz val="12"/>
            <color theme="1"/>
            <rFont val="Aptos Narrow"/>
            <family val="2"/>
            <scheme val="minor"/>
          </rPr>
          <t>W7: 21.890.000</t>
        </r>
      </text>
    </comment>
    <comment ref="H3" authorId="3" shapeId="0" xr:uid="{00000000-0006-0000-0400-000006000000}">
      <text>
        <r>
          <rPr>
            <sz val="12"/>
            <color theme="1"/>
            <rFont val="Aptos Narrow"/>
            <family val="2"/>
            <scheme val="minor"/>
          </rPr>
          <t xml:space="preserve">Windows User:
</t>
        </r>
      </text>
    </comment>
    <comment ref="I3" authorId="0" shapeId="0" xr:uid="{00000000-0006-0000-0400-000007000000}">
      <text>
        <r>
          <rPr>
            <sz val="12"/>
            <color theme="1"/>
            <rFont val="Aptos Narrow"/>
            <family val="2"/>
            <scheme val="minor"/>
          </rPr>
          <t>Microsoft Office User:
pc
21,517k</t>
        </r>
      </text>
    </comment>
    <comment ref="B4" authorId="0" shapeId="0" xr:uid="{00000000-0006-0000-0400-000008000000}">
      <text>
        <r>
          <rPr>
            <sz val="12"/>
            <color theme="1"/>
            <rFont val="Aptos Narrow"/>
            <family val="2"/>
            <scheme val="minor"/>
          </rPr>
          <t>Microsoft Office User:
pc
was 24690k</t>
        </r>
      </text>
    </comment>
    <comment ref="C4" authorId="1" shapeId="0" xr:uid="{00000000-0006-0000-0400-000009000000}">
      <text>
        <r>
          <rPr>
            <sz val="12"/>
            <color theme="1"/>
            <rFont val="Aptos Narrow"/>
            <family val="2"/>
            <scheme val="minor"/>
          </rPr>
          <t>Dang Phuong Nam:
Last week was: 24.690.000</t>
        </r>
      </text>
    </comment>
    <comment ref="D4" authorId="1" shapeId="0" xr:uid="{00000000-0006-0000-0400-00000A000000}">
      <text>
        <r>
          <rPr>
            <sz val="12"/>
            <color theme="1"/>
            <rFont val="Aptos Narrow"/>
            <family val="2"/>
            <scheme val="minor"/>
          </rPr>
          <t>Đặng Thanh Vượng:
Last week was: 24.590.000</t>
        </r>
      </text>
    </comment>
    <comment ref="H4" authorId="3" shapeId="0" xr:uid="{00000000-0006-0000-0400-00000B000000}">
      <text>
        <r>
          <rPr>
            <sz val="12"/>
            <color theme="1"/>
            <rFont val="Aptos Narrow"/>
            <family val="2"/>
            <scheme val="minor"/>
          </rPr>
          <t>Windows User:
24590000</t>
        </r>
      </text>
    </comment>
    <comment ref="I4" authorId="0" shapeId="0" xr:uid="{00000000-0006-0000-0400-00000C000000}">
      <text>
        <r>
          <rPr>
            <sz val="12"/>
            <color theme="1"/>
            <rFont val="Aptos Narrow"/>
            <family val="2"/>
            <scheme val="minor"/>
          </rPr>
          <t>Microsoft Office User:
pc
24,337k</t>
        </r>
      </text>
    </comment>
    <comment ref="B5" authorId="0" shapeId="0" xr:uid="{00000000-0006-0000-0400-00000D000000}">
      <text>
        <r>
          <rPr>
            <sz val="12"/>
            <color theme="1"/>
            <rFont val="Aptos Narrow"/>
            <family val="2"/>
            <scheme val="minor"/>
          </rPr>
          <t>Microsoft Office User:
Last week 29,590k</t>
        </r>
      </text>
    </comment>
    <comment ref="C5" authorId="1" shapeId="0" xr:uid="{00000000-0006-0000-0400-00000E000000}">
      <text>
        <r>
          <rPr>
            <sz val="12"/>
            <color theme="1"/>
            <rFont val="Aptos Narrow"/>
            <family val="2"/>
            <scheme val="minor"/>
          </rPr>
          <t>Dang Phuong Nam:
Last week was: 29.590.000</t>
        </r>
      </text>
    </comment>
    <comment ref="G5" authorId="2" shapeId="0" xr:uid="{00000000-0006-0000-0400-00000F000000}">
      <text>
        <r>
          <rPr>
            <sz val="12"/>
            <color theme="1"/>
            <rFont val="Aptos Narrow"/>
            <family val="2"/>
            <scheme val="minor"/>
          </rPr>
          <t>W7: 28.690.000</t>
        </r>
      </text>
    </comment>
    <comment ref="I5" authorId="0" shapeId="0" xr:uid="{00000000-0006-0000-0400-000010000000}">
      <text>
        <r>
          <rPr>
            <sz val="12"/>
            <color theme="1"/>
            <rFont val="Aptos Narrow"/>
            <family val="2"/>
            <scheme val="minor"/>
          </rPr>
          <t>Microsoft Office User:
pc
29,037k</t>
        </r>
      </text>
    </comment>
    <comment ref="G7" authorId="2" shapeId="0" xr:uid="{00000000-0006-0000-0400-000011000000}">
      <text>
        <r>
          <rPr>
            <sz val="12"/>
            <color theme="1"/>
            <rFont val="Aptos Narrow"/>
            <family val="2"/>
            <scheme val="minor"/>
          </rPr>
          <t>W7: 16.590.000</t>
        </r>
      </text>
    </comment>
    <comment ref="I7" authorId="0" shapeId="0" xr:uid="{00000000-0006-0000-0400-000012000000}">
      <text>
        <r>
          <rPr>
            <sz val="12"/>
            <color theme="1"/>
            <rFont val="Aptos Narrow"/>
            <family val="2"/>
            <scheme val="minor"/>
          </rPr>
          <t>Microsoft Office User:
pc
16,065k</t>
        </r>
      </text>
    </comment>
    <comment ref="I8" authorId="0" shapeId="0" xr:uid="{00000000-0006-0000-0400-000013000000}">
      <text>
        <r>
          <rPr>
            <sz val="12"/>
            <color theme="1"/>
            <rFont val="Aptos Narrow"/>
            <family val="2"/>
            <scheme val="minor"/>
          </rPr>
          <t>Microsoft Office User:
pc
12,775k</t>
        </r>
      </text>
    </comment>
    <comment ref="B9" authorId="0" shapeId="0" xr:uid="{00000000-0006-0000-0400-000014000000}">
      <text>
        <r>
          <rPr>
            <sz val="12"/>
            <color theme="1"/>
            <rFont val="Aptos Narrow"/>
            <family val="2"/>
            <scheme val="minor"/>
          </rPr>
          <t>Microsoft Office User:
pc
was 11990k</t>
        </r>
      </text>
    </comment>
    <comment ref="C9" authorId="1" shapeId="0" xr:uid="{00000000-0006-0000-0400-000015000000}">
      <text>
        <r>
          <rPr>
            <sz val="12"/>
            <color theme="1"/>
            <rFont val="Aptos Narrow"/>
            <family val="2"/>
            <scheme val="minor"/>
          </rPr>
          <t>Dang Phuong Nam:
Last week was: 
11.990.000</t>
        </r>
      </text>
    </comment>
    <comment ref="D9" authorId="1" shapeId="0" xr:uid="{00000000-0006-0000-0400-000016000000}">
      <text>
        <r>
          <rPr>
            <sz val="12"/>
            <color theme="1"/>
            <rFont val="Aptos Narrow"/>
            <family val="2"/>
            <scheme val="minor"/>
          </rPr>
          <t>Đặng Thanh Vượng:
Last week was: 11.890.000</t>
        </r>
      </text>
    </comment>
    <comment ref="G10" authorId="2" shapeId="0" xr:uid="{00000000-0006-0000-0400-000017000000}">
      <text>
        <r>
          <rPr>
            <sz val="12"/>
            <color theme="1"/>
            <rFont val="Aptos Narrow"/>
            <family val="2"/>
            <scheme val="minor"/>
          </rPr>
          <t>W7: 8.590.000</t>
        </r>
      </text>
    </comment>
    <comment ref="H10" authorId="4" shapeId="0" xr:uid="{00000000-0006-0000-0400-000018000000}">
      <text>
        <r>
          <rPr>
            <sz val="12"/>
            <color theme="1"/>
            <rFont val="Aptos Narrow"/>
            <family val="2"/>
            <scheme val="minor"/>
          </rPr>
          <t>Administrator:
8690000</t>
        </r>
      </text>
    </comment>
    <comment ref="B11" authorId="0" shapeId="0" xr:uid="{00000000-0006-0000-0400-000019000000}">
      <text>
        <r>
          <rPr>
            <sz val="12"/>
            <color theme="1"/>
            <rFont val="Aptos Narrow"/>
            <family val="2"/>
            <scheme val="minor"/>
          </rPr>
          <t>Microsoft Office User:
pc
was 21190k</t>
        </r>
      </text>
    </comment>
    <comment ref="C11" authorId="1" shapeId="0" xr:uid="{00000000-0006-0000-0400-00001A000000}">
      <text>
        <r>
          <rPr>
            <sz val="12"/>
            <color theme="1"/>
            <rFont val="Aptos Narrow"/>
            <family val="2"/>
            <scheme val="minor"/>
          </rPr>
          <t>Dang Phuong Nam:
Last week was: 20.990.000</t>
        </r>
      </text>
    </comment>
    <comment ref="B12" authorId="0" shapeId="0" xr:uid="{00000000-0006-0000-0400-00001B000000}">
      <text>
        <r>
          <rPr>
            <sz val="12"/>
            <color theme="1"/>
            <rFont val="Aptos Narrow"/>
            <family val="2"/>
            <scheme val="minor"/>
          </rPr>
          <t>Microsoft Office User:
pc
was 14090k</t>
        </r>
      </text>
    </comment>
    <comment ref="C12" authorId="1" shapeId="0" xr:uid="{00000000-0006-0000-0400-00001C000000}">
      <text>
        <r>
          <rPr>
            <sz val="12"/>
            <color theme="1"/>
            <rFont val="Aptos Narrow"/>
            <family val="2"/>
            <scheme val="minor"/>
          </rPr>
          <t>Dang Phuong Nam:
Last week was: 14.090.000</t>
        </r>
      </text>
    </comment>
    <comment ref="I12" authorId="0" shapeId="0" xr:uid="{00000000-0006-0000-0400-00001D000000}">
      <text>
        <r>
          <rPr>
            <sz val="12"/>
            <color theme="1"/>
            <rFont val="Aptos Narrow"/>
            <family val="2"/>
            <scheme val="minor"/>
          </rPr>
          <t>Microsoft Office User:
pc
was 13,991k</t>
        </r>
      </text>
    </comment>
    <comment ref="B13" authorId="0" shapeId="0" xr:uid="{00000000-0006-0000-0400-00001E000000}">
      <text>
        <r>
          <rPr>
            <sz val="12"/>
            <color theme="1"/>
            <rFont val="Aptos Narrow"/>
            <family val="2"/>
            <scheme val="minor"/>
          </rPr>
          <t>Microsoft Office User:
pc 
was 12390k</t>
        </r>
      </text>
    </comment>
    <comment ref="D13" authorId="1" shapeId="0" xr:uid="{00000000-0006-0000-0400-00001F000000}">
      <text>
        <r>
          <rPr>
            <sz val="12"/>
            <color theme="1"/>
            <rFont val="Aptos Narrow"/>
            <family val="2"/>
            <scheme val="minor"/>
          </rPr>
          <t xml:space="preserve">Đặng Thanh Vượng:
Last week was: 11.890,000	</t>
        </r>
      </text>
    </comment>
    <comment ref="I13" authorId="0" shapeId="0" xr:uid="{00000000-0006-0000-0400-000020000000}">
      <text>
        <r>
          <rPr>
            <sz val="12"/>
            <color theme="1"/>
            <rFont val="Aptos Narrow"/>
            <family val="2"/>
            <scheme val="minor"/>
          </rPr>
          <t>Microsoft Office User:
pc
was 11,271k</t>
        </r>
      </text>
    </comment>
    <comment ref="E14" authorId="0" shapeId="0" xr:uid="{00000000-0006-0000-0400-000021000000}">
      <text>
        <r>
          <rPr>
            <sz val="12"/>
            <color theme="1"/>
            <rFont val="Aptos Narrow"/>
            <family val="2"/>
            <scheme val="minor"/>
          </rPr>
          <t>Microsoft Office User:
Last week was:
10.790.000đ</t>
        </r>
      </text>
    </comment>
    <comment ref="I14" authorId="0" shapeId="0" xr:uid="{00000000-0006-0000-0400-000022000000}">
      <text>
        <r>
          <rPr>
            <sz val="12"/>
            <color theme="1"/>
            <rFont val="Aptos Narrow"/>
            <family val="2"/>
            <scheme val="minor"/>
          </rPr>
          <t>Microsoft Office User:
pc
was
9,673k</t>
        </r>
      </text>
    </comment>
    <comment ref="G15" authorId="2" shapeId="0" xr:uid="{00000000-0006-0000-0400-000023000000}">
      <text>
        <r>
          <rPr>
            <sz val="12"/>
            <color theme="1"/>
            <rFont val="Aptos Narrow"/>
            <family val="2"/>
            <scheme val="minor"/>
          </rPr>
          <t>W7: 6.890.000</t>
        </r>
      </text>
    </comment>
    <comment ref="I15" authorId="0" shapeId="0" xr:uid="{00000000-0006-0000-0400-000024000000}">
      <text>
        <r>
          <rPr>
            <sz val="12"/>
            <color theme="1"/>
            <rFont val="Aptos Narrow"/>
            <family val="2"/>
            <scheme val="minor"/>
          </rPr>
          <t>Microsoft Office User:
pc
was
6,853k</t>
        </r>
      </text>
    </comment>
    <comment ref="B16" authorId="0" shapeId="0" xr:uid="{00000000-0006-0000-0400-000025000000}">
      <text>
        <r>
          <rPr>
            <sz val="12"/>
            <color theme="1"/>
            <rFont val="Aptos Narrow"/>
            <family val="2"/>
            <scheme val="minor"/>
          </rPr>
          <t>Microsoft Office User:
pc
was 6090k</t>
        </r>
      </text>
    </comment>
    <comment ref="D16" authorId="1" shapeId="0" xr:uid="{00000000-0006-0000-0400-000026000000}">
      <text>
        <r>
          <rPr>
            <sz val="12"/>
            <color theme="1"/>
            <rFont val="Aptos Narrow"/>
            <family val="2"/>
            <scheme val="minor"/>
          </rPr>
          <t xml:space="preserve">Đặng Thanh Vượng:
Last week was: 5.740,000	</t>
        </r>
      </text>
    </comment>
    <comment ref="F16" authorId="5" shapeId="0" xr:uid="{00000000-0006-0000-0400-000027000000}">
      <text>
        <r>
          <rPr>
            <sz val="12"/>
            <color theme="1"/>
            <rFont val="Aptos Narrow"/>
            <family val="2"/>
            <scheme val="minor"/>
          </rPr>
          <t>pc:
Was 5,990,000</t>
        </r>
      </text>
    </comment>
    <comment ref="I16" authorId="0" shapeId="0" xr:uid="{00000000-0006-0000-0400-000028000000}">
      <text>
        <r>
          <rPr>
            <sz val="12"/>
            <color theme="1"/>
            <rFont val="Aptos Narrow"/>
            <family val="2"/>
            <scheme val="minor"/>
          </rPr>
          <t>Microsoft Office User:
pc
was
5,631k</t>
        </r>
      </text>
    </comment>
    <comment ref="C18" authorId="1" shapeId="0" xr:uid="{00000000-0006-0000-0400-000029000000}">
      <text>
        <r>
          <rPr>
            <sz val="12"/>
            <color theme="1"/>
            <rFont val="Aptos Narrow"/>
            <family val="2"/>
            <scheme val="minor"/>
          </rPr>
          <t>Dang Phuong Nam:
Last week was: 6.890.000</t>
        </r>
      </text>
    </comment>
    <comment ref="D18" authorId="1" shapeId="0" xr:uid="{00000000-0006-0000-0400-00002A000000}">
      <text>
        <r>
          <rPr>
            <sz val="12"/>
            <color theme="1"/>
            <rFont val="Aptos Narrow"/>
            <family val="2"/>
            <scheme val="minor"/>
          </rPr>
          <t xml:space="preserve">Đặng Thanh Vượng:
Last week was: 6.240,000	</t>
        </r>
      </text>
    </comment>
    <comment ref="B19" authorId="0" shapeId="0" xr:uid="{00000000-0006-0000-0400-00002B000000}">
      <text>
        <r>
          <rPr>
            <sz val="12"/>
            <color theme="1"/>
            <rFont val="Aptos Narrow"/>
            <family val="2"/>
            <scheme val="minor"/>
          </rPr>
          <t>Microsoft Office User:
pc
was 8390k</t>
        </r>
      </text>
    </comment>
    <comment ref="E20" authorId="0" shapeId="0" xr:uid="{00000000-0006-0000-0400-00002C000000}">
      <text>
        <r>
          <rPr>
            <sz val="12"/>
            <color theme="1"/>
            <rFont val="Aptos Narrow"/>
            <family val="2"/>
            <scheme val="minor"/>
          </rPr>
          <t>Microsoft Office User:
Last week was:
8.890.000đ</t>
        </r>
      </text>
    </comment>
    <comment ref="I20" authorId="0" shapeId="0" xr:uid="{00000000-0006-0000-0400-00002D000000}">
      <text>
        <r>
          <rPr>
            <sz val="12"/>
            <color theme="1"/>
            <rFont val="Aptos Narrow"/>
            <family val="2"/>
            <scheme val="minor"/>
          </rPr>
          <t>Microsoft Office User:
pc
was
9,079k</t>
        </r>
      </text>
    </comment>
    <comment ref="B21" authorId="0" shapeId="0" xr:uid="{00000000-0006-0000-0400-00002E000000}">
      <text>
        <r>
          <rPr>
            <sz val="12"/>
            <color theme="1"/>
            <rFont val="Aptos Narrow"/>
            <family val="2"/>
            <scheme val="minor"/>
          </rPr>
          <t>Microsoft Office User:
pc 
was 12590k</t>
        </r>
      </text>
    </comment>
    <comment ref="C21" authorId="1" shapeId="0" xr:uid="{00000000-0006-0000-0400-00002F000000}">
      <text>
        <r>
          <rPr>
            <sz val="12"/>
            <color theme="1"/>
            <rFont val="Aptos Narrow"/>
            <family val="2"/>
            <scheme val="minor"/>
          </rPr>
          <t>Dang Phuong Nam:
Last week was: 12.590.000</t>
        </r>
      </text>
    </comment>
    <comment ref="E22" authorId="0" shapeId="0" xr:uid="{00000000-0006-0000-0400-000030000000}">
      <text>
        <r>
          <rPr>
            <sz val="12"/>
            <color theme="1"/>
            <rFont val="Aptos Narrow"/>
            <family val="2"/>
            <scheme val="minor"/>
          </rPr>
          <t>Microsoft Office User:
Last week was:
10.290.000đ</t>
        </r>
      </text>
    </comment>
    <comment ref="C25" authorId="1" shapeId="0" xr:uid="{00000000-0006-0000-0400-000031000000}">
      <text>
        <r>
          <rPr>
            <sz val="12"/>
            <color theme="1"/>
            <rFont val="Aptos Narrow"/>
            <family val="2"/>
            <scheme val="minor"/>
          </rPr>
          <t>Dang Phuong Nam:
Last week was: 5.650.000</t>
        </r>
      </text>
    </comment>
    <comment ref="D25" authorId="1" shapeId="0" xr:uid="{00000000-0006-0000-0400-000032000000}">
      <text>
        <r>
          <rPr>
            <sz val="12"/>
            <color theme="1"/>
            <rFont val="Aptos Narrow"/>
            <family val="2"/>
            <scheme val="minor"/>
          </rPr>
          <t xml:space="preserve">Đặng Thanh Vượng:
Last week was: 5.640,000	</t>
        </r>
      </text>
    </comment>
    <comment ref="B26" authorId="0" shapeId="0" xr:uid="{00000000-0006-0000-0400-000033000000}">
      <text>
        <r>
          <rPr>
            <sz val="12"/>
            <color theme="1"/>
            <rFont val="Aptos Narrow"/>
            <family val="2"/>
            <scheme val="minor"/>
          </rPr>
          <t>Microsoft Office User:
pc 
was 4090k</t>
        </r>
      </text>
    </comment>
    <comment ref="C26" authorId="1" shapeId="0" xr:uid="{00000000-0006-0000-0400-000034000000}">
      <text>
        <r>
          <rPr>
            <sz val="12"/>
            <color theme="1"/>
            <rFont val="Aptos Narrow"/>
            <family val="2"/>
            <scheme val="minor"/>
          </rPr>
          <t>Dang Phuong Nam:
Last week was: 4.090.000</t>
        </r>
      </text>
    </comment>
    <comment ref="D26" authorId="1" shapeId="0" xr:uid="{00000000-0006-0000-0400-000035000000}">
      <text>
        <r>
          <rPr>
            <sz val="12"/>
            <color theme="1"/>
            <rFont val="Aptos Narrow"/>
            <family val="2"/>
            <scheme val="minor"/>
          </rPr>
          <t xml:space="preserve">Đặng Thanh Vượng:
Last week was: 4.190,000	</t>
        </r>
      </text>
    </comment>
    <comment ref="G26" authorId="2" shapeId="0" xr:uid="{00000000-0006-0000-0400-000036000000}">
      <text>
        <r>
          <rPr>
            <sz val="12"/>
            <color theme="1"/>
            <rFont val="Aptos Narrow"/>
            <family val="2"/>
            <scheme val="minor"/>
          </rPr>
          <t>W7: 3.850.000</t>
        </r>
      </text>
    </comment>
    <comment ref="I26" authorId="0" shapeId="0" xr:uid="{00000000-0006-0000-0400-000037000000}">
      <text>
        <r>
          <rPr>
            <sz val="12"/>
            <color theme="1"/>
            <rFont val="Aptos Narrow"/>
            <family val="2"/>
            <scheme val="minor"/>
          </rPr>
          <t>Microsoft Office User:
pc
was
oos</t>
        </r>
      </text>
    </comment>
    <comment ref="B27" authorId="0" shapeId="0" xr:uid="{00000000-0006-0000-0400-000038000000}">
      <text>
        <r>
          <rPr>
            <sz val="12"/>
            <color theme="1"/>
            <rFont val="Aptos Narrow"/>
            <family val="2"/>
            <scheme val="minor"/>
          </rPr>
          <t>Microsoft Office User:
pc
was 2700k</t>
        </r>
      </text>
    </comment>
    <comment ref="C27" authorId="1" shapeId="0" xr:uid="{00000000-0006-0000-0400-000039000000}">
      <text>
        <r>
          <rPr>
            <sz val="12"/>
            <color theme="1"/>
            <rFont val="Aptos Narrow"/>
            <family val="2"/>
            <scheme val="minor"/>
          </rPr>
          <t>Dang Phuong Nam:
Last week was: 2.700.000</t>
        </r>
      </text>
    </comment>
    <comment ref="E27" authorId="0" shapeId="0" xr:uid="{00000000-0006-0000-0400-00003A000000}">
      <text>
        <r>
          <rPr>
            <sz val="12"/>
            <color theme="1"/>
            <rFont val="Aptos Narrow"/>
            <family val="2"/>
            <scheme val="minor"/>
          </rPr>
          <t>Microsoft Office User:
Last week was:
2.790.000đ</t>
        </r>
      </text>
    </comment>
    <comment ref="I27" authorId="0" shapeId="0" xr:uid="{00000000-0006-0000-0400-00003B000000}">
      <text>
        <r>
          <rPr>
            <sz val="12"/>
            <color theme="1"/>
            <rFont val="Aptos Narrow"/>
            <family val="2"/>
            <scheme val="minor"/>
          </rPr>
          <t>Microsoft Office User:
pc
was
2,567k</t>
        </r>
      </text>
    </comment>
    <comment ref="B28" authorId="0" shapeId="0" xr:uid="{00000000-0006-0000-0400-00003C000000}">
      <text>
        <r>
          <rPr>
            <sz val="12"/>
            <color theme="1"/>
            <rFont val="Aptos Narrow"/>
            <family val="2"/>
            <scheme val="minor"/>
          </rPr>
          <t>Microsoft Office User:
pxc
was 18190k</t>
        </r>
      </text>
    </comment>
    <comment ref="C28" authorId="1" shapeId="0" xr:uid="{00000000-0006-0000-0400-00003D000000}">
      <text>
        <r>
          <rPr>
            <sz val="12"/>
            <color theme="1"/>
            <rFont val="Aptos Narrow"/>
            <family val="2"/>
            <scheme val="minor"/>
          </rPr>
          <t>Dang Phuong Nam:
Last week was: 18.190.000</t>
        </r>
      </text>
    </comment>
    <comment ref="D28" authorId="1" shapeId="0" xr:uid="{00000000-0006-0000-0400-00003E000000}">
      <text>
        <r>
          <rPr>
            <sz val="12"/>
            <color theme="1"/>
            <rFont val="Aptos Narrow"/>
            <family val="2"/>
            <scheme val="minor"/>
          </rPr>
          <t xml:space="preserve">Đặng Thanh Vượng:
Last week was: 18.090,000	</t>
        </r>
      </text>
    </comment>
    <comment ref="G28" authorId="2" shapeId="0" xr:uid="{00000000-0006-0000-0400-00003F000000}">
      <text>
        <r>
          <rPr>
            <sz val="12"/>
            <color theme="1"/>
            <rFont val="Aptos Narrow"/>
            <family val="2"/>
            <scheme val="minor"/>
          </rPr>
          <t>W7: 18.190.000</t>
        </r>
      </text>
    </comment>
    <comment ref="H28" authorId="4" shapeId="0" xr:uid="{00000000-0006-0000-0400-000040000000}">
      <text>
        <r>
          <rPr>
            <sz val="12"/>
            <color theme="1"/>
            <rFont val="Aptos Narrow"/>
            <family val="2"/>
            <scheme val="minor"/>
          </rPr>
          <t>Administrator:
18140000</t>
        </r>
      </text>
    </comment>
    <comment ref="I28" authorId="0" shapeId="0" xr:uid="{00000000-0006-0000-0400-000041000000}">
      <text>
        <r>
          <rPr>
            <sz val="12"/>
            <color theme="1"/>
            <rFont val="Aptos Narrow"/>
            <family val="2"/>
            <scheme val="minor"/>
          </rPr>
          <t>Microsoft Office User:
pc
was
17,663k</t>
        </r>
      </text>
    </comment>
    <comment ref="B29" authorId="0" shapeId="0" xr:uid="{00000000-0006-0000-0400-000042000000}">
      <text>
        <r>
          <rPr>
            <sz val="12"/>
            <color theme="1"/>
            <rFont val="Aptos Narrow"/>
            <family val="2"/>
            <scheme val="minor"/>
          </rPr>
          <t>Microsoft Office User:
pc
was 24190k</t>
        </r>
      </text>
    </comment>
    <comment ref="C29" authorId="1" shapeId="0" xr:uid="{00000000-0006-0000-0400-000043000000}">
      <text>
        <r>
          <rPr>
            <sz val="12"/>
            <color theme="1"/>
            <rFont val="Aptos Narrow"/>
            <family val="2"/>
            <scheme val="minor"/>
          </rPr>
          <t>Dang Phuong Nam:
Last week was: 24.190.000</t>
        </r>
      </text>
    </comment>
    <comment ref="G29" authorId="2" shapeId="0" xr:uid="{00000000-0006-0000-0400-000044000000}">
      <text>
        <r>
          <rPr>
            <sz val="12"/>
            <color theme="1"/>
            <rFont val="Aptos Narrow"/>
            <family val="2"/>
            <scheme val="minor"/>
          </rPr>
          <t>W7: 24.590.000</t>
        </r>
      </text>
    </comment>
    <comment ref="I29" authorId="0" shapeId="0" xr:uid="{00000000-0006-0000-0400-000045000000}">
      <text>
        <r>
          <rPr>
            <sz val="12"/>
            <color theme="1"/>
            <rFont val="Aptos Narrow"/>
            <family val="2"/>
            <scheme val="minor"/>
          </rPr>
          <t>Microsoft Office User:
pc
was
24,807k</t>
        </r>
      </text>
    </comment>
    <comment ref="C30" authorId="1" shapeId="0" xr:uid="{00000000-0006-0000-0400-000046000000}">
      <text>
        <r>
          <rPr>
            <sz val="12"/>
            <color theme="1"/>
            <rFont val="Aptos Narrow"/>
            <family val="2"/>
            <scheme val="minor"/>
          </rPr>
          <t>Dang Phuong Nam:
Last week was: 27.290.000</t>
        </r>
      </text>
    </comment>
    <comment ref="C32" authorId="1" shapeId="0" xr:uid="{00000000-0006-0000-0400-000047000000}">
      <text>
        <r>
          <rPr>
            <sz val="12"/>
            <color theme="1"/>
            <rFont val="Aptos Narrow"/>
            <family val="2"/>
            <scheme val="minor"/>
          </rPr>
          <t>Dang Phuong Nam:
Last week was: 38.490.000</t>
        </r>
      </text>
    </comment>
    <comment ref="I32" authorId="0" shapeId="0" xr:uid="{00000000-0006-0000-0400-000048000000}">
      <text>
        <r>
          <rPr>
            <sz val="12"/>
            <color theme="1"/>
            <rFont val="Aptos Narrow"/>
            <family val="2"/>
            <scheme val="minor"/>
          </rPr>
          <t>Microsoft Office User:
pc
was
oos</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Microsoft Office User</author>
    <author>Dang Phuong Nam</author>
    <author>pc</author>
    <author>Nam Khánh</author>
    <author>user</author>
  </authors>
  <commentList>
    <comment ref="B2" authorId="0" shapeId="0" xr:uid="{00000000-0006-0000-0500-000001000000}">
      <text>
        <r>
          <rPr>
            <sz val="12"/>
            <color theme="1"/>
            <rFont val="Aptos Narrow"/>
            <family val="2"/>
            <scheme val="minor"/>
          </rPr>
          <t>Microsoft Office User:
last week was 18,990,000</t>
        </r>
      </text>
    </comment>
    <comment ref="D2" authorId="1" shapeId="0" xr:uid="{00000000-0006-0000-0500-000002000000}">
      <text>
        <r>
          <rPr>
            <sz val="12"/>
            <color theme="1"/>
            <rFont val="Aptos Narrow"/>
            <family val="2"/>
            <scheme val="minor"/>
          </rPr>
          <t>Đặng Thanh Vượng:
Last week was: 18.890.000</t>
        </r>
      </text>
    </comment>
    <comment ref="I2" authorId="0" shapeId="0" xr:uid="{00000000-0006-0000-0500-000003000000}">
      <text>
        <r>
          <rPr>
            <sz val="12"/>
            <color theme="1"/>
            <rFont val="Aptos Narrow"/>
            <family val="2"/>
            <scheme val="minor"/>
          </rPr>
          <t>Microsoft Office User:
last week was
18,023k</t>
        </r>
      </text>
    </comment>
    <comment ref="B3" authorId="2" shapeId="0" xr:uid="{00000000-0006-0000-0500-000004000000}">
      <text>
        <r>
          <rPr>
            <sz val="12"/>
            <color theme="1"/>
            <rFont val="Aptos Narrow"/>
            <family val="2"/>
            <scheme val="minor"/>
          </rPr>
          <t>pc:
Was 22,190,000</t>
        </r>
      </text>
    </comment>
    <comment ref="I3" authorId="0" shapeId="0" xr:uid="{00000000-0006-0000-0500-000005000000}">
      <text>
        <r>
          <rPr>
            <sz val="12"/>
            <color theme="1"/>
            <rFont val="Aptos Narrow"/>
            <family val="2"/>
            <scheme val="minor"/>
          </rPr>
          <t>Microsoft Office User:
last week was
20,783k</t>
        </r>
      </text>
    </comment>
    <comment ref="B4" authorId="0" shapeId="0" xr:uid="{00000000-0006-0000-0500-000006000000}">
      <text>
        <r>
          <rPr>
            <sz val="12"/>
            <color theme="1"/>
            <rFont val="Aptos Narrow"/>
            <family val="2"/>
            <scheme val="minor"/>
          </rPr>
          <t>Microsoft Office User:
pc
was 24,590,000</t>
        </r>
      </text>
    </comment>
    <comment ref="C4" authorId="1" shapeId="0" xr:uid="{00000000-0006-0000-0500-000007000000}">
      <text>
        <r>
          <rPr>
            <sz val="12"/>
            <color theme="1"/>
            <rFont val="Aptos Narrow"/>
            <family val="2"/>
            <scheme val="minor"/>
          </rPr>
          <t>Dang Phuong Nam:
Last week was: 24.590.000</t>
        </r>
      </text>
    </comment>
    <comment ref="D4" authorId="1" shapeId="0" xr:uid="{00000000-0006-0000-0500-000008000000}">
      <text>
        <r>
          <rPr>
            <sz val="12"/>
            <color theme="1"/>
            <rFont val="Aptos Narrow"/>
            <family val="2"/>
            <scheme val="minor"/>
          </rPr>
          <t>Đặng Thanh Vượng:
Last week was: 24.590.000</t>
        </r>
      </text>
    </comment>
    <comment ref="B5" authorId="0" shapeId="0" xr:uid="{00000000-0006-0000-0500-000009000000}">
      <text>
        <r>
          <rPr>
            <sz val="12"/>
            <color theme="1"/>
            <rFont val="Aptos Narrow"/>
            <family val="2"/>
            <scheme val="minor"/>
          </rPr>
          <t>Microsoft Office User:
Last week 29,290,000</t>
        </r>
      </text>
    </comment>
    <comment ref="C5" authorId="1" shapeId="0" xr:uid="{00000000-0006-0000-0500-00000A000000}">
      <text>
        <r>
          <rPr>
            <sz val="12"/>
            <color theme="1"/>
            <rFont val="Aptos Narrow"/>
            <family val="2"/>
            <scheme val="minor"/>
          </rPr>
          <t>Dang Phuong Nam:
Last week was: 29.290.000</t>
        </r>
      </text>
    </comment>
    <comment ref="I5" authorId="0" shapeId="0" xr:uid="{00000000-0006-0000-0500-00000B000000}">
      <text>
        <r>
          <rPr>
            <sz val="12"/>
            <color theme="1"/>
            <rFont val="Aptos Narrow"/>
            <family val="2"/>
            <scheme val="minor"/>
          </rPr>
          <t>Microsoft Office User:
last week was
28433k</t>
        </r>
      </text>
    </comment>
    <comment ref="B6" authorId="2" shapeId="0" xr:uid="{00000000-0006-0000-0500-00000C000000}">
      <text>
        <r>
          <rPr>
            <sz val="12"/>
            <color theme="1"/>
            <rFont val="Aptos Narrow"/>
            <family val="2"/>
            <scheme val="minor"/>
          </rPr>
          <t>pc:
Was 19,390,000</t>
        </r>
      </text>
    </comment>
    <comment ref="B7" authorId="2" shapeId="0" xr:uid="{00000000-0006-0000-0500-00000D000000}">
      <text>
        <r>
          <rPr>
            <sz val="12"/>
            <color theme="1"/>
            <rFont val="Aptos Narrow"/>
            <family val="2"/>
            <scheme val="minor"/>
          </rPr>
          <t>pc:
Was 16,490,000</t>
        </r>
      </text>
    </comment>
    <comment ref="C7" authorId="1" shapeId="0" xr:uid="{00000000-0006-0000-0500-00000E000000}">
      <text>
        <r>
          <rPr>
            <sz val="12"/>
            <color theme="1"/>
            <rFont val="Aptos Narrow"/>
            <family val="2"/>
            <scheme val="minor"/>
          </rPr>
          <t>Dang Phuong Nam:
Last week was: 16.490.000</t>
        </r>
      </text>
    </comment>
    <comment ref="D7" authorId="1" shapeId="0" xr:uid="{00000000-0006-0000-0500-00000F000000}">
      <text>
        <r>
          <rPr>
            <sz val="12"/>
            <color theme="1"/>
            <rFont val="Aptos Narrow"/>
            <family val="2"/>
            <scheme val="minor"/>
          </rPr>
          <t>Đặng Thanh Vượng:
Last week was: 16.390.000</t>
        </r>
      </text>
    </comment>
    <comment ref="I7" authorId="0" shapeId="0" xr:uid="{00000000-0006-0000-0500-000010000000}">
      <text>
        <r>
          <rPr>
            <sz val="12"/>
            <color theme="1"/>
            <rFont val="Aptos Narrow"/>
            <family val="2"/>
            <scheme val="minor"/>
          </rPr>
          <t>Microsoft Office User:
last week was
15,539k</t>
        </r>
      </text>
    </comment>
    <comment ref="B8" authorId="2" shapeId="0" xr:uid="{00000000-0006-0000-0500-000011000000}">
      <text>
        <r>
          <rPr>
            <sz val="12"/>
            <color theme="1"/>
            <rFont val="Aptos Narrow"/>
            <family val="2"/>
            <scheme val="minor"/>
          </rPr>
          <t>pc:
Was 13,690,000</t>
        </r>
      </text>
    </comment>
    <comment ref="G8" authorId="3" shapeId="0" xr:uid="{00000000-0006-0000-0500-000012000000}">
      <text>
        <r>
          <rPr>
            <sz val="12"/>
            <color theme="1"/>
            <rFont val="Aptos Narrow"/>
            <family val="2"/>
            <scheme val="minor"/>
          </rPr>
          <t>W8: 13.390.000</t>
        </r>
      </text>
    </comment>
    <comment ref="H8" authorId="4" shapeId="0" xr:uid="{00000000-0006-0000-0500-000013000000}">
      <text>
        <r>
          <rPr>
            <sz val="12"/>
            <color theme="1"/>
            <rFont val="Aptos Narrow"/>
            <family val="2"/>
            <scheme val="minor"/>
          </rPr>
          <t xml:space="preserve">user:
13.390.000
</t>
        </r>
      </text>
    </comment>
    <comment ref="B9" authorId="2" shapeId="0" xr:uid="{00000000-0006-0000-0500-000014000000}">
      <text>
        <r>
          <rPr>
            <sz val="12"/>
            <color theme="1"/>
            <rFont val="Aptos Narrow"/>
            <family val="2"/>
            <scheme val="minor"/>
          </rPr>
          <t>pc:
Was 11,590,000</t>
        </r>
      </text>
    </comment>
    <comment ref="D9" authorId="1" shapeId="0" xr:uid="{00000000-0006-0000-0500-000015000000}">
      <text>
        <r>
          <rPr>
            <sz val="12"/>
            <color theme="1"/>
            <rFont val="Aptos Narrow"/>
            <family val="2"/>
            <scheme val="minor"/>
          </rPr>
          <t>Đặng Thanh Vượng:
Last week was: 11.890.000</t>
        </r>
      </text>
    </comment>
    <comment ref="B10" authorId="2" shapeId="0" xr:uid="{00000000-0006-0000-0500-000016000000}">
      <text>
        <r>
          <rPr>
            <sz val="12"/>
            <color theme="1"/>
            <rFont val="Aptos Narrow"/>
            <family val="2"/>
            <scheme val="minor"/>
          </rPr>
          <t>pc:
Was 8,690,000</t>
        </r>
      </text>
    </comment>
    <comment ref="B11" authorId="2" shapeId="0" xr:uid="{00000000-0006-0000-0500-000017000000}">
      <text>
        <r>
          <rPr>
            <sz val="12"/>
            <color theme="1"/>
            <rFont val="Aptos Narrow"/>
            <family val="2"/>
            <scheme val="minor"/>
          </rPr>
          <t>pc:
Was 21,790,000</t>
        </r>
      </text>
    </comment>
    <comment ref="C11" authorId="1" shapeId="0" xr:uid="{00000000-0006-0000-0500-000018000000}">
      <text>
        <r>
          <rPr>
            <sz val="12"/>
            <color theme="1"/>
            <rFont val="Aptos Narrow"/>
            <family val="2"/>
            <scheme val="minor"/>
          </rPr>
          <t>Dang Phuong Nam:
Last week was: 21.190.000</t>
        </r>
      </text>
    </comment>
    <comment ref="B12" authorId="0" shapeId="0" xr:uid="{00000000-0006-0000-0500-000019000000}">
      <text>
        <r>
          <rPr>
            <sz val="12"/>
            <color theme="1"/>
            <rFont val="Aptos Narrow"/>
            <family val="2"/>
            <scheme val="minor"/>
          </rPr>
          <t>Microsoft Office User:
pc
was 13,890,000</t>
        </r>
      </text>
    </comment>
    <comment ref="C12" authorId="1" shapeId="0" xr:uid="{00000000-0006-0000-0500-00001A000000}">
      <text>
        <r>
          <rPr>
            <sz val="12"/>
            <color theme="1"/>
            <rFont val="Aptos Narrow"/>
            <family val="2"/>
            <scheme val="minor"/>
          </rPr>
          <t>Dang Phuong Nam:
Last week was: 13.890.000</t>
        </r>
      </text>
    </comment>
    <comment ref="D12" authorId="1" shapeId="0" xr:uid="{00000000-0006-0000-0500-00001B000000}">
      <text>
        <r>
          <rPr>
            <sz val="12"/>
            <color theme="1"/>
            <rFont val="Aptos Narrow"/>
            <family val="2"/>
            <scheme val="minor"/>
          </rPr>
          <t xml:space="preserve">Đặng Thanh Vượng:
Last week was: 13.990,000	</t>
        </r>
      </text>
    </comment>
    <comment ref="I12" authorId="0" shapeId="0" xr:uid="{00000000-0006-0000-0500-00001C000000}">
      <text>
        <r>
          <rPr>
            <sz val="12"/>
            <color theme="1"/>
            <rFont val="Aptos Narrow"/>
            <family val="2"/>
            <scheme val="minor"/>
          </rPr>
          <t>Microsoft Office User:
last week was
13,607k</t>
        </r>
      </text>
    </comment>
    <comment ref="B13" authorId="0" shapeId="0" xr:uid="{00000000-0006-0000-0500-00001D000000}">
      <text>
        <r>
          <rPr>
            <sz val="12"/>
            <color theme="1"/>
            <rFont val="Aptos Narrow"/>
            <family val="2"/>
            <scheme val="minor"/>
          </rPr>
          <t>Microsoft Office User:
pc 
was 12,890,000</t>
        </r>
      </text>
    </comment>
    <comment ref="D13" authorId="1" shapeId="0" xr:uid="{00000000-0006-0000-0500-00001E000000}">
      <text>
        <r>
          <rPr>
            <sz val="12"/>
            <color theme="1"/>
            <rFont val="Aptos Narrow"/>
            <family val="2"/>
            <scheme val="minor"/>
          </rPr>
          <t xml:space="preserve">Đặng Thanh Vượng:
Last week was: 11.890,000	</t>
        </r>
      </text>
    </comment>
    <comment ref="I13" authorId="0" shapeId="0" xr:uid="{00000000-0006-0000-0500-00001F000000}">
      <text>
        <r>
          <rPr>
            <sz val="12"/>
            <color theme="1"/>
            <rFont val="Aptos Narrow"/>
            <family val="2"/>
            <scheme val="minor"/>
          </rPr>
          <t>Microsoft Office User:
last week was
10,939k</t>
        </r>
      </text>
    </comment>
    <comment ref="B14" authorId="2" shapeId="0" xr:uid="{00000000-0006-0000-0500-000020000000}">
      <text>
        <r>
          <rPr>
            <sz val="12"/>
            <color theme="1"/>
            <rFont val="Aptos Narrow"/>
            <family val="2"/>
            <scheme val="minor"/>
          </rPr>
          <t>pc:
Was 10,590,000</t>
        </r>
      </text>
    </comment>
    <comment ref="E14" authorId="0" shapeId="0" xr:uid="{00000000-0006-0000-0500-000021000000}">
      <text>
        <r>
          <rPr>
            <sz val="12"/>
            <color theme="1"/>
            <rFont val="Aptos Narrow"/>
            <family val="2"/>
            <scheme val="minor"/>
          </rPr>
          <t>Microsoft Office User:
Last week was:
9.690.000đ</t>
        </r>
      </text>
    </comment>
    <comment ref="H14" authorId="4" shapeId="0" xr:uid="{00000000-0006-0000-0500-000022000000}">
      <text>
        <r>
          <rPr>
            <sz val="12"/>
            <color theme="1"/>
            <rFont val="Aptos Narrow"/>
            <family val="2"/>
            <scheme val="minor"/>
          </rPr>
          <t xml:space="preserve">user:
9890000
</t>
        </r>
      </text>
    </comment>
    <comment ref="I14" authorId="0" shapeId="0" xr:uid="{00000000-0006-0000-0500-000023000000}">
      <text>
        <r>
          <rPr>
            <sz val="12"/>
            <color theme="1"/>
            <rFont val="Aptos Narrow"/>
            <family val="2"/>
            <scheme val="minor"/>
          </rPr>
          <t>Microsoft Office User:
last week was
9,191k</t>
        </r>
      </text>
    </comment>
    <comment ref="B15" authorId="2" shapeId="0" xr:uid="{00000000-0006-0000-0500-000024000000}">
      <text>
        <r>
          <rPr>
            <sz val="12"/>
            <color theme="1"/>
            <rFont val="Aptos Narrow"/>
            <family val="2"/>
            <scheme val="minor"/>
          </rPr>
          <t>pc:
Was 7,090,000</t>
        </r>
      </text>
    </comment>
    <comment ref="C15" authorId="1" shapeId="0" xr:uid="{00000000-0006-0000-0500-000025000000}">
      <text>
        <r>
          <rPr>
            <sz val="12"/>
            <color theme="1"/>
            <rFont val="Aptos Narrow"/>
            <family val="2"/>
            <scheme val="minor"/>
          </rPr>
          <t>Dang Phuong Nam:
Last week was: 7.090.000</t>
        </r>
      </text>
    </comment>
    <comment ref="E15" authorId="0" shapeId="0" xr:uid="{00000000-0006-0000-0500-000026000000}">
      <text>
        <r>
          <rPr>
            <sz val="12"/>
            <color theme="1"/>
            <rFont val="Aptos Narrow"/>
            <family val="2"/>
            <scheme val="minor"/>
          </rPr>
          <t>Microsoft Office User:
Last week was:
6.990.000đ</t>
        </r>
      </text>
    </comment>
    <comment ref="G15" authorId="3" shapeId="0" xr:uid="{00000000-0006-0000-0500-000027000000}">
      <text>
        <r>
          <rPr>
            <sz val="12"/>
            <color theme="1"/>
            <rFont val="Aptos Narrow"/>
            <family val="2"/>
            <scheme val="minor"/>
          </rPr>
          <t>W8: 6.690.000</t>
        </r>
      </text>
    </comment>
    <comment ref="B16" authorId="0" shapeId="0" xr:uid="{00000000-0006-0000-0500-000028000000}">
      <text>
        <r>
          <rPr>
            <sz val="12"/>
            <color theme="1"/>
            <rFont val="Aptos Narrow"/>
            <family val="2"/>
            <scheme val="minor"/>
          </rPr>
          <t>Microsoft Office User:
pc
was 5,990,000</t>
        </r>
      </text>
    </comment>
    <comment ref="C16" authorId="1" shapeId="0" xr:uid="{00000000-0006-0000-0500-000029000000}">
      <text>
        <r>
          <rPr>
            <sz val="12"/>
            <color theme="1"/>
            <rFont val="Aptos Narrow"/>
            <family val="2"/>
            <scheme val="minor"/>
          </rPr>
          <t>Dang Phuong Nam:
Last week was: 5.990.000</t>
        </r>
      </text>
    </comment>
    <comment ref="D16" authorId="1" shapeId="0" xr:uid="{00000000-0006-0000-0500-00002A000000}">
      <text>
        <r>
          <rPr>
            <sz val="12"/>
            <color theme="1"/>
            <rFont val="Aptos Narrow"/>
            <family val="2"/>
            <scheme val="minor"/>
          </rPr>
          <t xml:space="preserve">Đặng Thanh Vượng:
Last week was: 5.940,000	</t>
        </r>
      </text>
    </comment>
    <comment ref="F16" authorId="2" shapeId="0" xr:uid="{00000000-0006-0000-0500-00002B000000}">
      <text>
        <r>
          <rPr>
            <sz val="12"/>
            <color theme="1"/>
            <rFont val="Aptos Narrow"/>
            <family val="2"/>
            <scheme val="minor"/>
          </rPr>
          <t>pc:
Was 5,990,000</t>
        </r>
      </text>
    </comment>
    <comment ref="I16" authorId="0" shapeId="0" xr:uid="{00000000-0006-0000-0500-00002C000000}">
      <text>
        <r>
          <rPr>
            <sz val="12"/>
            <color theme="1"/>
            <rFont val="Aptos Narrow"/>
            <family val="2"/>
            <scheme val="minor"/>
          </rPr>
          <t>Microsoft Office User:
last week was
5,511k</t>
        </r>
      </text>
    </comment>
    <comment ref="B17" authorId="2" shapeId="0" xr:uid="{00000000-0006-0000-0500-00002D000000}">
      <text>
        <r>
          <rPr>
            <sz val="12"/>
            <color theme="1"/>
            <rFont val="Aptos Narrow"/>
            <family val="2"/>
            <scheme val="minor"/>
          </rPr>
          <t>pc:
Was 7,390,000</t>
        </r>
      </text>
    </comment>
    <comment ref="C17" authorId="1" shapeId="0" xr:uid="{00000000-0006-0000-0500-00002E000000}">
      <text>
        <r>
          <rPr>
            <sz val="12"/>
            <color theme="1"/>
            <rFont val="Aptos Narrow"/>
            <family val="2"/>
            <scheme val="minor"/>
          </rPr>
          <t>Dang Phuong Nam:
Last week was: 7.390.000</t>
        </r>
      </text>
    </comment>
    <comment ref="B18" authorId="2" shapeId="0" xr:uid="{00000000-0006-0000-0500-00002F000000}">
      <text>
        <r>
          <rPr>
            <sz val="12"/>
            <color theme="1"/>
            <rFont val="Aptos Narrow"/>
            <family val="2"/>
            <scheme val="minor"/>
          </rPr>
          <t>pc:
Was 6,990,000</t>
        </r>
      </text>
    </comment>
    <comment ref="C18" authorId="1" shapeId="0" xr:uid="{00000000-0006-0000-0500-000030000000}">
      <text>
        <r>
          <rPr>
            <sz val="12"/>
            <color theme="1"/>
            <rFont val="Aptos Narrow"/>
            <family val="2"/>
            <scheme val="minor"/>
          </rPr>
          <t>Dang Phuong Nam:
Last week was: 6.990.000</t>
        </r>
      </text>
    </comment>
    <comment ref="D18" authorId="1" shapeId="0" xr:uid="{00000000-0006-0000-0500-000031000000}">
      <text>
        <r>
          <rPr>
            <sz val="12"/>
            <color theme="1"/>
            <rFont val="Aptos Narrow"/>
            <family val="2"/>
            <scheme val="minor"/>
          </rPr>
          <t xml:space="preserve">Đặng Thanh Vượng:
Last week was: 6.240,000	</t>
        </r>
      </text>
    </comment>
    <comment ref="B19" authorId="0" shapeId="0" xr:uid="{00000000-0006-0000-0500-000032000000}">
      <text>
        <r>
          <rPr>
            <sz val="12"/>
            <color theme="1"/>
            <rFont val="Aptos Narrow"/>
            <family val="2"/>
            <scheme val="minor"/>
          </rPr>
          <t>Microsoft Office User:
pc
was 7,990,000</t>
        </r>
      </text>
    </comment>
    <comment ref="C19" authorId="1" shapeId="0" xr:uid="{00000000-0006-0000-0500-000033000000}">
      <text>
        <r>
          <rPr>
            <sz val="12"/>
            <color theme="1"/>
            <rFont val="Aptos Narrow"/>
            <family val="2"/>
            <scheme val="minor"/>
          </rPr>
          <t>Dang Phuong Nam:
Last week was: 8.190.000</t>
        </r>
      </text>
    </comment>
    <comment ref="B20" authorId="2" shapeId="0" xr:uid="{00000000-0006-0000-0500-000034000000}">
      <text>
        <r>
          <rPr>
            <sz val="12"/>
            <color theme="1"/>
            <rFont val="Aptos Narrow"/>
            <family val="2"/>
            <scheme val="minor"/>
          </rPr>
          <t xml:space="preserve">pc:
Was 9,390,000
</t>
        </r>
      </text>
    </comment>
    <comment ref="C20" authorId="1" shapeId="0" xr:uid="{00000000-0006-0000-0500-000035000000}">
      <text>
        <r>
          <rPr>
            <sz val="12"/>
            <color theme="1"/>
            <rFont val="Aptos Narrow"/>
            <family val="2"/>
            <scheme val="minor"/>
          </rPr>
          <t>Dang Phuong Nam:
Last week was: 9.390.000</t>
        </r>
      </text>
    </comment>
    <comment ref="D20" authorId="1" shapeId="0" xr:uid="{00000000-0006-0000-0500-000036000000}">
      <text>
        <r>
          <rPr>
            <sz val="12"/>
            <color theme="1"/>
            <rFont val="Aptos Narrow"/>
            <family val="2"/>
            <scheme val="minor"/>
          </rPr>
          <t xml:space="preserve">Đặng Thanh Vượng:
Last week was: 9.340,000	</t>
        </r>
      </text>
    </comment>
    <comment ref="H20" authorId="4" shapeId="0" xr:uid="{00000000-0006-0000-0500-000037000000}">
      <text>
        <r>
          <rPr>
            <sz val="12"/>
            <color theme="1"/>
            <rFont val="Aptos Narrow"/>
            <family val="2"/>
            <scheme val="minor"/>
          </rPr>
          <t>user:
8740000</t>
        </r>
      </text>
    </comment>
    <comment ref="B21" authorId="0" shapeId="0" xr:uid="{00000000-0006-0000-0500-000038000000}">
      <text>
        <r>
          <rPr>
            <sz val="12"/>
            <color theme="1"/>
            <rFont val="Aptos Narrow"/>
            <family val="2"/>
            <scheme val="minor"/>
          </rPr>
          <t>Microsoft Office User:
pc 
was 12,390,000</t>
        </r>
      </text>
    </comment>
    <comment ref="C21" authorId="1" shapeId="0" xr:uid="{00000000-0006-0000-0500-000039000000}">
      <text>
        <r>
          <rPr>
            <sz val="12"/>
            <color theme="1"/>
            <rFont val="Aptos Narrow"/>
            <family val="2"/>
            <scheme val="minor"/>
          </rPr>
          <t>Dang Phuong Nam:
Last week was: 12.390.000</t>
        </r>
      </text>
    </comment>
    <comment ref="D21" authorId="1" shapeId="0" xr:uid="{00000000-0006-0000-0500-00003A000000}">
      <text>
        <r>
          <rPr>
            <sz val="12"/>
            <color theme="1"/>
            <rFont val="Aptos Narrow"/>
            <family val="2"/>
            <scheme val="minor"/>
          </rPr>
          <t xml:space="preserve">Đặng Thanh Vượng:
Last week was: 12.290,000	</t>
        </r>
      </text>
    </comment>
    <comment ref="B22" authorId="2" shapeId="0" xr:uid="{00000000-0006-0000-0500-00003B000000}">
      <text>
        <r>
          <rPr>
            <sz val="12"/>
            <color theme="1"/>
            <rFont val="Aptos Narrow"/>
            <family val="2"/>
            <scheme val="minor"/>
          </rPr>
          <t>pc:
Was 10,790,000</t>
        </r>
      </text>
    </comment>
    <comment ref="C22" authorId="1" shapeId="0" xr:uid="{00000000-0006-0000-0500-00003C000000}">
      <text>
        <r>
          <rPr>
            <sz val="12"/>
            <color theme="1"/>
            <rFont val="Aptos Narrow"/>
            <family val="2"/>
            <scheme val="minor"/>
          </rPr>
          <t>Dang Phuong Nam:
Last week was: 10.790.000</t>
        </r>
      </text>
    </comment>
    <comment ref="B24" authorId="2" shapeId="0" xr:uid="{00000000-0006-0000-0500-00003D000000}">
      <text>
        <r>
          <rPr>
            <sz val="12"/>
            <color theme="1"/>
            <rFont val="Aptos Narrow"/>
            <family val="2"/>
            <scheme val="minor"/>
          </rPr>
          <t>pc:
Was 20,990,000</t>
        </r>
      </text>
    </comment>
    <comment ref="C24" authorId="1" shapeId="0" xr:uid="{00000000-0006-0000-0500-00003E000000}">
      <text>
        <r>
          <rPr>
            <sz val="12"/>
            <color theme="1"/>
            <rFont val="Aptos Narrow"/>
            <family val="2"/>
            <scheme val="minor"/>
          </rPr>
          <t>Dang Phuong Nam:
Last week was: 21.190.000</t>
        </r>
      </text>
    </comment>
    <comment ref="B26" authorId="0" shapeId="0" xr:uid="{00000000-0006-0000-0500-00003F000000}">
      <text>
        <r>
          <rPr>
            <sz val="12"/>
            <color theme="1"/>
            <rFont val="Aptos Narrow"/>
            <family val="2"/>
            <scheme val="minor"/>
          </rPr>
          <t>Microsoft Office User:
pc 
was 3,990,000</t>
        </r>
      </text>
    </comment>
    <comment ref="C26" authorId="1" shapeId="0" xr:uid="{00000000-0006-0000-0500-000040000000}">
      <text>
        <r>
          <rPr>
            <sz val="12"/>
            <color theme="1"/>
            <rFont val="Aptos Narrow"/>
            <family val="2"/>
            <scheme val="minor"/>
          </rPr>
          <t>Dang Phuong Nam:
Last week was: 4.990.000</t>
        </r>
      </text>
    </comment>
    <comment ref="H27" authorId="4" shapeId="0" xr:uid="{00000000-0006-0000-0500-000041000000}">
      <text>
        <r>
          <rPr>
            <sz val="12"/>
            <color theme="1"/>
            <rFont val="Aptos Narrow"/>
            <family val="2"/>
            <scheme val="minor"/>
          </rPr>
          <t>user:
2740000</t>
        </r>
      </text>
    </comment>
    <comment ref="I27" authorId="0" shapeId="0" xr:uid="{00000000-0006-0000-0500-000042000000}">
      <text>
        <r>
          <rPr>
            <sz val="12"/>
            <color theme="1"/>
            <rFont val="Aptos Narrow"/>
            <family val="2"/>
            <scheme val="minor"/>
          </rPr>
          <t>Microsoft Office User:
last week was
2,623k</t>
        </r>
      </text>
    </comment>
    <comment ref="G28" authorId="3" shapeId="0" xr:uid="{00000000-0006-0000-0500-000043000000}">
      <text>
        <r>
          <rPr>
            <sz val="12"/>
            <color theme="1"/>
            <rFont val="Aptos Narrow"/>
            <family val="2"/>
            <scheme val="minor"/>
          </rPr>
          <t>W8: 17.990.000</t>
        </r>
      </text>
    </comment>
    <comment ref="B29" authorId="0" shapeId="0" xr:uid="{00000000-0006-0000-0500-000044000000}">
      <text>
        <r>
          <rPr>
            <sz val="12"/>
            <color theme="1"/>
            <rFont val="Aptos Narrow"/>
            <family val="2"/>
            <scheme val="minor"/>
          </rPr>
          <t>Microsoft Office User:
pc
was 23,990,000</t>
        </r>
      </text>
    </comment>
    <comment ref="C29" authorId="1" shapeId="0" xr:uid="{00000000-0006-0000-0500-000045000000}">
      <text>
        <r>
          <rPr>
            <sz val="12"/>
            <color theme="1"/>
            <rFont val="Aptos Narrow"/>
            <family val="2"/>
            <scheme val="minor"/>
          </rPr>
          <t>Dang Phuong Nam:
Last week was: 24.090.000</t>
        </r>
      </text>
    </comment>
    <comment ref="H29" authorId="4" shapeId="0" xr:uid="{00000000-0006-0000-0500-000046000000}">
      <text>
        <r>
          <rPr>
            <sz val="12"/>
            <color theme="1"/>
            <rFont val="Aptos Narrow"/>
            <family val="2"/>
            <scheme val="minor"/>
          </rPr>
          <t>user:
23.790.000</t>
        </r>
      </text>
    </comment>
    <comment ref="I29" authorId="0" shapeId="0" xr:uid="{00000000-0006-0000-0500-000047000000}">
      <text>
        <r>
          <rPr>
            <sz val="12"/>
            <color theme="1"/>
            <rFont val="Aptos Narrow"/>
            <family val="2"/>
            <scheme val="minor"/>
          </rPr>
          <t>Microsoft Office User:
last week was
23,435k</t>
        </r>
      </text>
    </comment>
    <comment ref="B30" authorId="2" shapeId="0" xr:uid="{00000000-0006-0000-0500-000048000000}">
      <text>
        <r>
          <rPr>
            <sz val="12"/>
            <color theme="1"/>
            <rFont val="Aptos Narrow"/>
            <family val="2"/>
            <scheme val="minor"/>
          </rPr>
          <t>pc:
Was 27,290,000</t>
        </r>
      </text>
    </comment>
    <comment ref="C30" authorId="1" shapeId="0" xr:uid="{00000000-0006-0000-0500-000049000000}">
      <text>
        <r>
          <rPr>
            <sz val="12"/>
            <color theme="1"/>
            <rFont val="Aptos Narrow"/>
            <family val="2"/>
            <scheme val="minor"/>
          </rPr>
          <t>Dang Phuong Nam:
Last week was: 27.890.000</t>
        </r>
      </text>
    </comment>
    <comment ref="B31" authorId="2" shapeId="0" xr:uid="{00000000-0006-0000-0500-00004A000000}">
      <text>
        <r>
          <rPr>
            <sz val="12"/>
            <color theme="1"/>
            <rFont val="Aptos Narrow"/>
            <family val="2"/>
            <scheme val="minor"/>
          </rPr>
          <t>pc:
Was 31,490,000</t>
        </r>
      </text>
    </comment>
    <comment ref="C32" authorId="1" shapeId="0" xr:uid="{00000000-0006-0000-0500-00004B000000}">
      <text>
        <r>
          <rPr>
            <sz val="12"/>
            <color theme="1"/>
            <rFont val="Aptos Narrow"/>
            <family val="2"/>
            <scheme val="minor"/>
          </rPr>
          <t>Dang Phuong Nam:
Last week was: 38.790.000</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Microsoft Office User</author>
    <author>Dang Phuong Nam</author>
    <author>Duy Nguyen</author>
    <author>pc</author>
    <author>Nam Khánh</author>
    <author>Administrator</author>
  </authors>
  <commentList>
    <comment ref="B2" authorId="0" shapeId="0" xr:uid="{00000000-0006-0000-0600-000001000000}">
      <text>
        <r>
          <rPr>
            <sz val="12"/>
            <color theme="1"/>
            <rFont val="Aptos Narrow"/>
            <family val="2"/>
            <scheme val="minor"/>
          </rPr>
          <t>Microsoft Office User:
last week was 18,800,000</t>
        </r>
      </text>
    </comment>
    <comment ref="C2" authorId="1" shapeId="0" xr:uid="{00000000-0006-0000-0600-000002000000}">
      <text>
        <r>
          <rPr>
            <sz val="12"/>
            <color theme="1"/>
            <rFont val="Aptos Narrow"/>
            <family val="2"/>
            <scheme val="minor"/>
          </rPr>
          <t>Dang Phuong Nam:
Last week was: 18.800.000</t>
        </r>
      </text>
    </comment>
    <comment ref="D2" authorId="1" shapeId="0" xr:uid="{00000000-0006-0000-0600-000003000000}">
      <text>
        <r>
          <rPr>
            <sz val="12"/>
            <color theme="1"/>
            <rFont val="Aptos Narrow"/>
            <family val="2"/>
            <scheme val="minor"/>
          </rPr>
          <t>Đặng Thanh Vượng:
Last week was: 18.990.000</t>
        </r>
      </text>
    </comment>
    <comment ref="E2" authorId="0" shapeId="0" xr:uid="{00000000-0006-0000-0600-000004000000}">
      <text>
        <r>
          <rPr>
            <sz val="12"/>
            <color theme="1"/>
            <rFont val="Aptos Narrow"/>
            <family val="2"/>
            <scheme val="minor"/>
          </rPr>
          <t>Microsoft Office User:
Last week was:
18.490.000đ</t>
        </r>
      </text>
    </comment>
    <comment ref="F2" authorId="2" shapeId="0" xr:uid="{00000000-0006-0000-0600-000005000000}">
      <text>
        <r>
          <rPr>
            <sz val="12"/>
            <color theme="1"/>
            <rFont val="Aptos Narrow"/>
            <family val="2"/>
            <scheme val="minor"/>
          </rPr>
          <t>Duy Nguyen:
last week was 18,590,000</t>
        </r>
      </text>
    </comment>
    <comment ref="I2" authorId="0" shapeId="0" xr:uid="{00000000-0006-0000-0600-000006000000}">
      <text>
        <r>
          <rPr>
            <sz val="12"/>
            <color theme="1"/>
            <rFont val="Aptos Narrow"/>
            <family val="2"/>
            <scheme val="minor"/>
          </rPr>
          <t>Microsoft Office User:
last week was
17,890k</t>
        </r>
      </text>
    </comment>
    <comment ref="B3" authorId="3" shapeId="0" xr:uid="{00000000-0006-0000-0600-000007000000}">
      <text>
        <r>
          <rPr>
            <sz val="12"/>
            <color theme="1"/>
            <rFont val="Aptos Narrow"/>
            <family val="2"/>
            <scheme val="minor"/>
          </rPr>
          <t>pc:
Was 21,990,000</t>
        </r>
      </text>
    </comment>
    <comment ref="C3" authorId="1" shapeId="0" xr:uid="{00000000-0006-0000-0600-000008000000}">
      <text>
        <r>
          <rPr>
            <sz val="12"/>
            <color theme="1"/>
            <rFont val="Aptos Narrow"/>
            <family val="2"/>
            <scheme val="minor"/>
          </rPr>
          <t>Dang Phuong Nam:
Last week was: 
21.990.000</t>
        </r>
      </text>
    </comment>
    <comment ref="D3" authorId="1" shapeId="0" xr:uid="{00000000-0006-0000-0600-000009000000}">
      <text>
        <r>
          <rPr>
            <sz val="12"/>
            <color theme="1"/>
            <rFont val="Aptos Narrow"/>
            <family val="2"/>
            <scheme val="minor"/>
          </rPr>
          <t>Đặng Thanh Vượng:
Last week was: 22.090.000</t>
        </r>
      </text>
    </comment>
    <comment ref="F3" authorId="2" shapeId="0" xr:uid="{00000000-0006-0000-0600-00000A000000}">
      <text>
        <r>
          <rPr>
            <sz val="12"/>
            <color theme="1"/>
            <rFont val="Aptos Narrow"/>
            <family val="2"/>
            <scheme val="minor"/>
          </rPr>
          <t>Duy Nguyen:
last week was 22,090,000</t>
        </r>
      </text>
    </comment>
    <comment ref="G3" authorId="4" shapeId="0" xr:uid="{00000000-0006-0000-0600-00000B000000}">
      <text>
        <r>
          <rPr>
            <sz val="12"/>
            <color theme="1"/>
            <rFont val="Aptos Narrow"/>
            <family val="2"/>
            <scheme val="minor"/>
          </rPr>
          <t>W9: 21.690.000</t>
        </r>
      </text>
    </comment>
    <comment ref="I3" authorId="0" shapeId="0" xr:uid="{00000000-0006-0000-0600-00000C000000}">
      <text>
        <r>
          <rPr>
            <sz val="12"/>
            <color theme="1"/>
            <rFont val="Aptos Narrow"/>
            <family val="2"/>
            <scheme val="minor"/>
          </rPr>
          <t>Microsoft Office User:
last week was 
21,059</t>
        </r>
      </text>
    </comment>
    <comment ref="B4" authorId="0" shapeId="0" xr:uid="{00000000-0006-0000-0600-00000D000000}">
      <text>
        <r>
          <rPr>
            <sz val="12"/>
            <color theme="1"/>
            <rFont val="Aptos Narrow"/>
            <family val="2"/>
            <scheme val="minor"/>
          </rPr>
          <t>Microsoft Office User:
pc
was 25,490,000</t>
        </r>
      </text>
    </comment>
    <comment ref="C4" authorId="1" shapeId="0" xr:uid="{00000000-0006-0000-0600-00000E000000}">
      <text>
        <r>
          <rPr>
            <sz val="12"/>
            <color theme="1"/>
            <rFont val="Aptos Narrow"/>
            <family val="2"/>
            <scheme val="minor"/>
          </rPr>
          <t>Dang Phuong Nam:
Last week was: 25.490.000</t>
        </r>
      </text>
    </comment>
    <comment ref="D4" authorId="1" shapeId="0" xr:uid="{00000000-0006-0000-0600-00000F000000}">
      <text>
        <r>
          <rPr>
            <sz val="12"/>
            <color theme="1"/>
            <rFont val="Aptos Narrow"/>
            <family val="2"/>
            <scheme val="minor"/>
          </rPr>
          <t>Đặng Thanh Vượng:
Last week was: 24.690.000</t>
        </r>
      </text>
    </comment>
    <comment ref="E4" authorId="0" shapeId="0" xr:uid="{00000000-0006-0000-0600-000010000000}">
      <text>
        <r>
          <rPr>
            <sz val="12"/>
            <color theme="1"/>
            <rFont val="Aptos Narrow"/>
            <family val="2"/>
            <scheme val="minor"/>
          </rPr>
          <t>Microsoft Office User:
Last week was:
23.990.000đ</t>
        </r>
      </text>
    </comment>
    <comment ref="F4" authorId="2" shapeId="0" xr:uid="{00000000-0006-0000-0600-000011000000}">
      <text>
        <r>
          <rPr>
            <sz val="12"/>
            <color theme="1"/>
            <rFont val="Aptos Narrow"/>
            <family val="2"/>
            <scheme val="minor"/>
          </rPr>
          <t>Duy Nguyen:
last week was 24,390,000</t>
        </r>
      </text>
    </comment>
    <comment ref="G4" authorId="4" shapeId="0" xr:uid="{00000000-0006-0000-0600-000012000000}">
      <text>
        <r>
          <rPr>
            <sz val="12"/>
            <color theme="1"/>
            <rFont val="Aptos Narrow"/>
            <family val="2"/>
            <scheme val="minor"/>
          </rPr>
          <t>W9: 23.890.000</t>
        </r>
      </text>
    </comment>
    <comment ref="I4" authorId="0" shapeId="0" xr:uid="{00000000-0006-0000-0600-000013000000}">
      <text>
        <r>
          <rPr>
            <sz val="12"/>
            <color theme="1"/>
            <rFont val="Aptos Narrow"/>
            <family val="2"/>
            <scheme val="minor"/>
          </rPr>
          <t>Microsoft Office User:
23,819k</t>
        </r>
      </text>
    </comment>
    <comment ref="B5" authorId="0" shapeId="0" xr:uid="{00000000-0006-0000-0600-000014000000}">
      <text>
        <r>
          <rPr>
            <sz val="12"/>
            <color theme="1"/>
            <rFont val="Aptos Narrow"/>
            <family val="2"/>
            <scheme val="minor"/>
          </rPr>
          <t>Microsoft Office User:
Last week 29,390,000</t>
        </r>
      </text>
    </comment>
    <comment ref="C5" authorId="1" shapeId="0" xr:uid="{00000000-0006-0000-0600-000015000000}">
      <text>
        <r>
          <rPr>
            <sz val="12"/>
            <color theme="1"/>
            <rFont val="Aptos Narrow"/>
            <family val="2"/>
            <scheme val="minor"/>
          </rPr>
          <t>Dang Phuong Nam:
Last week was: 29.390.000</t>
        </r>
      </text>
    </comment>
    <comment ref="E5" authorId="0" shapeId="0" xr:uid="{00000000-0006-0000-0600-000016000000}">
      <text>
        <r>
          <rPr>
            <sz val="12"/>
            <color theme="1"/>
            <rFont val="Aptos Narrow"/>
            <family val="2"/>
            <scheme val="minor"/>
          </rPr>
          <t>Microsoft Office User:
Last week was:
28.990.000đ</t>
        </r>
      </text>
    </comment>
    <comment ref="F5" authorId="2" shapeId="0" xr:uid="{00000000-0006-0000-0600-000017000000}">
      <text>
        <r>
          <rPr>
            <sz val="12"/>
            <color theme="1"/>
            <rFont val="Aptos Narrow"/>
            <family val="2"/>
            <scheme val="minor"/>
          </rPr>
          <t>Duy Nguyen:
last week was 29,390,000</t>
        </r>
      </text>
    </comment>
    <comment ref="G5" authorId="4" shapeId="0" xr:uid="{00000000-0006-0000-0600-000018000000}">
      <text>
        <r>
          <rPr>
            <sz val="12"/>
            <color theme="1"/>
            <rFont val="Aptos Narrow"/>
            <family val="2"/>
            <scheme val="minor"/>
          </rPr>
          <t>W9: 28.590.000</t>
        </r>
      </text>
    </comment>
    <comment ref="I5" authorId="0" shapeId="0" xr:uid="{00000000-0006-0000-0600-000019000000}">
      <text>
        <r>
          <rPr>
            <sz val="12"/>
            <color theme="1"/>
            <rFont val="Aptos Narrow"/>
            <family val="2"/>
            <scheme val="minor"/>
          </rPr>
          <t>Microsoft Office User:
last week was 
28,419k</t>
        </r>
      </text>
    </comment>
    <comment ref="C6" authorId="1" shapeId="0" xr:uid="{00000000-0006-0000-0600-00001A000000}">
      <text>
        <r>
          <rPr>
            <sz val="12"/>
            <color theme="1"/>
            <rFont val="Aptos Narrow"/>
            <family val="2"/>
            <scheme val="minor"/>
          </rPr>
          <t>Dang Phuong Nam:
Last week was: 
19.196.000</t>
        </r>
      </text>
    </comment>
    <comment ref="E6" authorId="0" shapeId="0" xr:uid="{00000000-0006-0000-0600-00001B000000}">
      <text>
        <r>
          <rPr>
            <sz val="12"/>
            <color theme="1"/>
            <rFont val="Aptos Narrow"/>
            <family val="2"/>
            <scheme val="minor"/>
          </rPr>
          <t>Microsoft Office User:
Last week was:
19.290.000đ</t>
        </r>
      </text>
    </comment>
    <comment ref="H6" authorId="5" shapeId="0" xr:uid="{00000000-0006-0000-0600-00001C000000}">
      <text>
        <r>
          <rPr>
            <sz val="12"/>
            <color theme="1"/>
            <rFont val="Aptos Narrow"/>
            <family val="2"/>
            <scheme val="minor"/>
          </rPr>
          <t>Administrator:
19690000</t>
        </r>
      </text>
    </comment>
    <comment ref="B7" authorId="3" shapeId="0" xr:uid="{00000000-0006-0000-0600-00001D000000}">
      <text>
        <r>
          <rPr>
            <sz val="12"/>
            <color theme="1"/>
            <rFont val="Aptos Narrow"/>
            <family val="2"/>
            <scheme val="minor"/>
          </rPr>
          <t>pc:
Was 16,226,000</t>
        </r>
      </text>
    </comment>
    <comment ref="C7" authorId="1" shapeId="0" xr:uid="{00000000-0006-0000-0600-00001E000000}">
      <text>
        <r>
          <rPr>
            <sz val="12"/>
            <color theme="1"/>
            <rFont val="Aptos Narrow"/>
            <family val="2"/>
            <scheme val="minor"/>
          </rPr>
          <t>Dang Phuong Nam:
Last week was: 16.226.000</t>
        </r>
      </text>
    </comment>
    <comment ref="D7" authorId="1" shapeId="0" xr:uid="{00000000-0006-0000-0600-00001F000000}">
      <text>
        <r>
          <rPr>
            <sz val="12"/>
            <color theme="1"/>
            <rFont val="Aptos Narrow"/>
            <family val="2"/>
            <scheme val="minor"/>
          </rPr>
          <t>Đặng Thanh Vượng:
Last week was: 16.290.000</t>
        </r>
      </text>
    </comment>
    <comment ref="F7" authorId="2" shapeId="0" xr:uid="{00000000-0006-0000-0600-000020000000}">
      <text>
        <r>
          <rPr>
            <sz val="12"/>
            <color theme="1"/>
            <rFont val="Aptos Narrow"/>
            <family val="2"/>
            <scheme val="minor"/>
          </rPr>
          <t>Duy Nguyen:
last week was 16,390,000</t>
        </r>
      </text>
    </comment>
    <comment ref="B8" authorId="3" shapeId="0" xr:uid="{00000000-0006-0000-0600-000021000000}">
      <text>
        <r>
          <rPr>
            <sz val="12"/>
            <color theme="1"/>
            <rFont val="Aptos Narrow"/>
            <family val="2"/>
            <scheme val="minor"/>
          </rPr>
          <t>pc:
Was 13,553,000</t>
        </r>
      </text>
    </comment>
    <comment ref="C8" authorId="1" shapeId="0" xr:uid="{00000000-0006-0000-0600-000022000000}">
      <text>
        <r>
          <rPr>
            <sz val="12"/>
            <color theme="1"/>
            <rFont val="Aptos Narrow"/>
            <family val="2"/>
            <scheme val="minor"/>
          </rPr>
          <t>Dang Phuong Nam:
Last week was: 
13.553.000</t>
        </r>
      </text>
    </comment>
    <comment ref="D8" authorId="1" shapeId="0" xr:uid="{00000000-0006-0000-0600-000023000000}">
      <text>
        <r>
          <rPr>
            <sz val="12"/>
            <color theme="1"/>
            <rFont val="Aptos Narrow"/>
            <family val="2"/>
            <scheme val="minor"/>
          </rPr>
          <t>Đặng Thanh Vượng:
Last week was: 13.590.000</t>
        </r>
      </text>
    </comment>
    <comment ref="E8" authorId="0" shapeId="0" xr:uid="{00000000-0006-0000-0600-000024000000}">
      <text>
        <r>
          <rPr>
            <sz val="12"/>
            <color theme="1"/>
            <rFont val="Aptos Narrow"/>
            <family val="2"/>
            <scheme val="minor"/>
          </rPr>
          <t>Microsoft Office User:
Last week was:
13.190.000đ</t>
        </r>
      </text>
    </comment>
    <comment ref="I8" authorId="0" shapeId="0" xr:uid="{00000000-0006-0000-0600-000025000000}">
      <text>
        <r>
          <rPr>
            <sz val="12"/>
            <color theme="1"/>
            <rFont val="Aptos Narrow"/>
            <family val="2"/>
            <scheme val="minor"/>
          </rPr>
          <t>Microsoft Office User:
last week was
12,779k</t>
        </r>
      </text>
    </comment>
    <comment ref="C9" authorId="1" shapeId="0" xr:uid="{00000000-0006-0000-0600-000026000000}">
      <text>
        <r>
          <rPr>
            <sz val="12"/>
            <color theme="1"/>
            <rFont val="Aptos Narrow"/>
            <family val="2"/>
            <scheme val="minor"/>
          </rPr>
          <t>Dang Phuong Nam:
Last week was: 
11.474.000</t>
        </r>
      </text>
    </comment>
    <comment ref="E9" authorId="0" shapeId="0" xr:uid="{00000000-0006-0000-0600-000027000000}">
      <text>
        <r>
          <rPr>
            <sz val="12"/>
            <color theme="1"/>
            <rFont val="Aptos Narrow"/>
            <family val="2"/>
            <scheme val="minor"/>
          </rPr>
          <t>Microsoft Office User:
11.990.000đ</t>
        </r>
      </text>
    </comment>
    <comment ref="C10" authorId="1" shapeId="0" xr:uid="{00000000-0006-0000-0600-000028000000}">
      <text>
        <r>
          <rPr>
            <sz val="12"/>
            <color theme="1"/>
            <rFont val="Aptos Narrow"/>
            <family val="2"/>
            <scheme val="minor"/>
          </rPr>
          <t>Dang Phuong Nam:
Last week was: 
8.603.000</t>
        </r>
      </text>
    </comment>
    <comment ref="E10" authorId="0" shapeId="0" xr:uid="{00000000-0006-0000-0600-000029000000}">
      <text>
        <r>
          <rPr>
            <sz val="12"/>
            <color theme="1"/>
            <rFont val="Aptos Narrow"/>
            <family val="2"/>
            <scheme val="minor"/>
          </rPr>
          <t>Microsoft Office User:
Last week was:
8.590.000đ</t>
        </r>
      </text>
    </comment>
    <comment ref="G10" authorId="4" shapeId="0" xr:uid="{00000000-0006-0000-0600-00002A000000}">
      <text>
        <r>
          <rPr>
            <sz val="12"/>
            <color theme="1"/>
            <rFont val="Aptos Narrow"/>
            <family val="2"/>
            <scheme val="minor"/>
          </rPr>
          <t>W9: 8.490.000</t>
        </r>
      </text>
    </comment>
    <comment ref="C11" authorId="1" shapeId="0" xr:uid="{00000000-0006-0000-0600-00002B000000}">
      <text>
        <r>
          <rPr>
            <sz val="12"/>
            <color theme="1"/>
            <rFont val="Aptos Narrow"/>
            <family val="2"/>
            <scheme val="minor"/>
          </rPr>
          <t>Dang Phuong Nam:
Last week was: 21.790.000</t>
        </r>
      </text>
    </comment>
    <comment ref="C12" authorId="1" shapeId="0" xr:uid="{00000000-0006-0000-0600-00002C000000}">
      <text>
        <r>
          <rPr>
            <sz val="12"/>
            <color theme="1"/>
            <rFont val="Aptos Narrow"/>
            <family val="2"/>
            <scheme val="minor"/>
          </rPr>
          <t>Dang Phuong Nam:
Last week was: 13.949.000</t>
        </r>
      </text>
    </comment>
    <comment ref="D12" authorId="1" shapeId="0" xr:uid="{00000000-0006-0000-0600-00002D000000}">
      <text>
        <r>
          <rPr>
            <sz val="12"/>
            <color theme="1"/>
            <rFont val="Aptos Narrow"/>
            <family val="2"/>
            <scheme val="minor"/>
          </rPr>
          <t xml:space="preserve">Đặng Thanh Vượng:
Last week was: 13.790,000	</t>
        </r>
      </text>
    </comment>
    <comment ref="E12" authorId="0" shapeId="0" xr:uid="{00000000-0006-0000-0600-00002E000000}">
      <text>
        <r>
          <rPr>
            <sz val="12"/>
            <color theme="1"/>
            <rFont val="Aptos Narrow"/>
            <family val="2"/>
            <scheme val="minor"/>
          </rPr>
          <t>Microsoft Office User:
Last week was:
14.490.000đ</t>
        </r>
      </text>
    </comment>
    <comment ref="I12" authorId="0" shapeId="0" xr:uid="{00000000-0006-0000-0600-00002F000000}">
      <text>
        <r>
          <rPr>
            <sz val="12"/>
            <color theme="1"/>
            <rFont val="Aptos Narrow"/>
            <family val="2"/>
            <scheme val="minor"/>
          </rPr>
          <t>Microsoft Office User:
last week was
13,669k</t>
        </r>
      </text>
    </comment>
    <comment ref="C13" authorId="1" shapeId="0" xr:uid="{00000000-0006-0000-0600-000030000000}">
      <text>
        <r>
          <rPr>
            <sz val="12"/>
            <color theme="1"/>
            <rFont val="Aptos Narrow"/>
            <family val="2"/>
            <scheme val="minor"/>
          </rPr>
          <t>Dang Phuong Nam:
Last week was: 12.266.000</t>
        </r>
      </text>
    </comment>
    <comment ref="D13" authorId="1" shapeId="0" xr:uid="{00000000-0006-0000-0600-000031000000}">
      <text>
        <r>
          <rPr>
            <sz val="12"/>
            <color theme="1"/>
            <rFont val="Aptos Narrow"/>
            <family val="2"/>
            <scheme val="minor"/>
          </rPr>
          <t xml:space="preserve">Đặng Thanh Vượng:
Last week was: 11.290,000	</t>
        </r>
      </text>
    </comment>
    <comment ref="F13" authorId="2" shapeId="0" xr:uid="{00000000-0006-0000-0600-000032000000}">
      <text>
        <r>
          <rPr>
            <sz val="12"/>
            <color theme="1"/>
            <rFont val="Aptos Narrow"/>
            <family val="2"/>
            <scheme val="minor"/>
          </rPr>
          <t>Duy Nguyen:
last week was 11,990,000</t>
        </r>
      </text>
    </comment>
    <comment ref="B14" authorId="3" shapeId="0" xr:uid="{00000000-0006-0000-0600-000033000000}">
      <text>
        <r>
          <rPr>
            <sz val="12"/>
            <color theme="1"/>
            <rFont val="Aptos Narrow"/>
            <family val="2"/>
            <scheme val="minor"/>
          </rPr>
          <t>pc:
Was 10,484,000</t>
        </r>
      </text>
    </comment>
    <comment ref="C14" authorId="1" shapeId="0" xr:uid="{00000000-0006-0000-0600-000034000000}">
      <text>
        <r>
          <rPr>
            <sz val="12"/>
            <color theme="1"/>
            <rFont val="Aptos Narrow"/>
            <family val="2"/>
            <scheme val="minor"/>
          </rPr>
          <t>Dang Phuong Nam:
Last week was: 10.484.000</t>
        </r>
      </text>
    </comment>
    <comment ref="E14" authorId="0" shapeId="0" xr:uid="{00000000-0006-0000-0600-000035000000}">
      <text>
        <r>
          <rPr>
            <sz val="12"/>
            <color theme="1"/>
            <rFont val="Aptos Narrow"/>
            <family val="2"/>
            <scheme val="minor"/>
          </rPr>
          <t>Microsoft Office User:
Last week was:
9.490.000đ</t>
        </r>
      </text>
    </comment>
    <comment ref="G14" authorId="4" shapeId="0" xr:uid="{00000000-0006-0000-0600-000036000000}">
      <text>
        <r>
          <rPr>
            <sz val="12"/>
            <color theme="1"/>
            <rFont val="Aptos Narrow"/>
            <family val="2"/>
            <scheme val="minor"/>
          </rPr>
          <t>W9: 9.790.000</t>
        </r>
      </text>
    </comment>
    <comment ref="I14" authorId="0" shapeId="0" xr:uid="{00000000-0006-0000-0600-000037000000}">
      <text>
        <r>
          <rPr>
            <sz val="12"/>
            <color theme="1"/>
            <rFont val="Aptos Narrow"/>
            <family val="2"/>
            <scheme val="minor"/>
          </rPr>
          <t>Microsoft Office User:
last week was
9,283k</t>
        </r>
      </text>
    </comment>
    <comment ref="C15" authorId="1" shapeId="0" xr:uid="{00000000-0006-0000-0600-000038000000}">
      <text>
        <r>
          <rPr>
            <sz val="12"/>
            <color theme="1"/>
            <rFont val="Aptos Narrow"/>
            <family val="2"/>
            <scheme val="minor"/>
          </rPr>
          <t>Dang Phuong Nam:
Last week was: 7.118.000</t>
        </r>
      </text>
    </comment>
    <comment ref="D15" authorId="1" shapeId="0" xr:uid="{00000000-0006-0000-0600-000039000000}">
      <text>
        <r>
          <rPr>
            <sz val="12"/>
            <color theme="1"/>
            <rFont val="Aptos Narrow"/>
            <family val="2"/>
            <scheme val="minor"/>
          </rPr>
          <t xml:space="preserve">Đặng Thanh Vượng:
Last week was: 7.040,000	</t>
        </r>
      </text>
    </comment>
    <comment ref="E15" authorId="0" shapeId="0" xr:uid="{00000000-0006-0000-0600-00003A000000}">
      <text>
        <r>
          <rPr>
            <sz val="12"/>
            <color theme="1"/>
            <rFont val="Aptos Narrow"/>
            <family val="2"/>
            <scheme val="minor"/>
          </rPr>
          <t>Microsoft Office User:
Last week was:
6.790.000đ</t>
        </r>
      </text>
    </comment>
    <comment ref="I15" authorId="0" shapeId="0" xr:uid="{00000000-0006-0000-0600-00003B000000}">
      <text>
        <r>
          <rPr>
            <sz val="12"/>
            <color theme="1"/>
            <rFont val="Aptos Narrow"/>
            <family val="2"/>
            <scheme val="minor"/>
          </rPr>
          <t>Microsoft Office User:
last week was 
6,707k</t>
        </r>
      </text>
    </comment>
    <comment ref="C16" authorId="1" shapeId="0" xr:uid="{00000000-0006-0000-0600-00003C000000}">
      <text>
        <r>
          <rPr>
            <sz val="12"/>
            <color theme="1"/>
            <rFont val="Aptos Narrow"/>
            <family val="2"/>
            <scheme val="minor"/>
          </rPr>
          <t>Dang Phuong Nam:
Last week was: 5.732.000</t>
        </r>
      </text>
    </comment>
    <comment ref="F16" authorId="2" shapeId="0" xr:uid="{00000000-0006-0000-0600-00003D000000}">
      <text>
        <r>
          <rPr>
            <sz val="12"/>
            <color theme="1"/>
            <rFont val="Aptos Narrow"/>
            <family val="2"/>
            <scheme val="minor"/>
          </rPr>
          <t>Duy Nguyen:
last week was 5,590,000</t>
        </r>
      </text>
    </comment>
    <comment ref="I16" authorId="0" shapeId="0" xr:uid="{00000000-0006-0000-0600-00003E000000}">
      <text>
        <r>
          <rPr>
            <sz val="12"/>
            <color theme="1"/>
            <rFont val="Aptos Narrow"/>
            <family val="2"/>
            <scheme val="minor"/>
          </rPr>
          <t>Microsoft Office User:
last week was 
5,503k</t>
        </r>
      </text>
    </comment>
    <comment ref="C17" authorId="1" shapeId="0" xr:uid="{00000000-0006-0000-0600-00003F000000}">
      <text>
        <r>
          <rPr>
            <sz val="12"/>
            <color theme="1"/>
            <rFont val="Aptos Narrow"/>
            <family val="2"/>
            <scheme val="minor"/>
          </rPr>
          <t>Dang Phuong Nam:
Last week was: 7.217.000</t>
        </r>
      </text>
    </comment>
    <comment ref="C18" authorId="1" shapeId="0" xr:uid="{00000000-0006-0000-0600-000040000000}">
      <text>
        <r>
          <rPr>
            <sz val="12"/>
            <color theme="1"/>
            <rFont val="Aptos Narrow"/>
            <family val="2"/>
            <scheme val="minor"/>
          </rPr>
          <t>Dang Phuong Nam:
Last week was: 6.821.000</t>
        </r>
      </text>
    </comment>
    <comment ref="I18" authorId="0" shapeId="0" xr:uid="{00000000-0006-0000-0600-000041000000}">
      <text>
        <r>
          <rPr>
            <sz val="12"/>
            <color theme="1"/>
            <rFont val="Aptos Narrow"/>
            <family val="2"/>
            <scheme val="minor"/>
          </rPr>
          <t>Microsoft Office User:
last week was 
6,891k</t>
        </r>
      </text>
    </comment>
    <comment ref="C19" authorId="1" shapeId="0" xr:uid="{00000000-0006-0000-0600-000042000000}">
      <text>
        <r>
          <rPr>
            <sz val="12"/>
            <color theme="1"/>
            <rFont val="Aptos Narrow"/>
            <family val="2"/>
            <scheme val="minor"/>
          </rPr>
          <t>Dang Phuong Nam:
Last week was: 7.811.000</t>
        </r>
      </text>
    </comment>
    <comment ref="C20" authorId="1" shapeId="0" xr:uid="{00000000-0006-0000-0600-000043000000}">
      <text>
        <r>
          <rPr>
            <sz val="12"/>
            <color theme="1"/>
            <rFont val="Aptos Narrow"/>
            <family val="2"/>
            <scheme val="minor"/>
          </rPr>
          <t>Dang Phuong Nam:
Last week was: 9.098.000</t>
        </r>
      </text>
    </comment>
    <comment ref="I20" authorId="0" shapeId="0" xr:uid="{00000000-0006-0000-0600-000044000000}">
      <text>
        <r>
          <rPr>
            <sz val="12"/>
            <color theme="1"/>
            <rFont val="Aptos Narrow"/>
            <family val="2"/>
            <scheme val="minor"/>
          </rPr>
          <t>Microsoft Office User:
last week was 
9,099k</t>
        </r>
      </text>
    </comment>
    <comment ref="C21" authorId="1" shapeId="0" xr:uid="{00000000-0006-0000-0600-000045000000}">
      <text>
        <r>
          <rPr>
            <sz val="12"/>
            <color theme="1"/>
            <rFont val="Aptos Narrow"/>
            <family val="2"/>
            <scheme val="minor"/>
          </rPr>
          <t>Dang Phuong Nam:
Last week was: 12.662.000</t>
        </r>
      </text>
    </comment>
    <comment ref="C22" authorId="1" shapeId="0" xr:uid="{00000000-0006-0000-0600-000046000000}">
      <text>
        <r>
          <rPr>
            <sz val="12"/>
            <color theme="1"/>
            <rFont val="Aptos Narrow"/>
            <family val="2"/>
            <scheme val="minor"/>
          </rPr>
          <t>Dang Phuong Nam:
Last week was: 10.583.000</t>
        </r>
      </text>
    </comment>
    <comment ref="C23" authorId="1" shapeId="0" xr:uid="{00000000-0006-0000-0600-000047000000}">
      <text>
        <r>
          <rPr>
            <sz val="12"/>
            <color theme="1"/>
            <rFont val="Aptos Narrow"/>
            <family val="2"/>
            <scheme val="minor"/>
          </rPr>
          <t>Dang Phuong Nam:
Last week was: 13.553.000</t>
        </r>
      </text>
    </comment>
    <comment ref="B24" authorId="3" shapeId="0" xr:uid="{00000000-0006-0000-0600-000048000000}">
      <text>
        <r>
          <rPr>
            <sz val="12"/>
            <color theme="1"/>
            <rFont val="Aptos Narrow"/>
            <family val="2"/>
            <scheme val="minor"/>
          </rPr>
          <t>pc:
Was 20,590,000</t>
        </r>
      </text>
    </comment>
    <comment ref="C24" authorId="1" shapeId="0" xr:uid="{00000000-0006-0000-0600-000049000000}">
      <text>
        <r>
          <rPr>
            <sz val="12"/>
            <color theme="1"/>
            <rFont val="Aptos Narrow"/>
            <family val="2"/>
            <scheme val="minor"/>
          </rPr>
          <t>Dang Phuong Nam:
Last week was: 20.890.000</t>
        </r>
      </text>
    </comment>
    <comment ref="E25" authorId="0" shapeId="0" xr:uid="{00000000-0006-0000-0600-00004A000000}">
      <text>
        <r>
          <rPr>
            <sz val="12"/>
            <color theme="1"/>
            <rFont val="Aptos Narrow"/>
            <family val="2"/>
            <scheme val="minor"/>
          </rPr>
          <t>Microsoft Office User:
Last week was:
5.490.000đ</t>
        </r>
      </text>
    </comment>
    <comment ref="B26" authorId="0" shapeId="0" xr:uid="{00000000-0006-0000-0600-00004B000000}">
      <text>
        <r>
          <rPr>
            <sz val="12"/>
            <color theme="1"/>
            <rFont val="Aptos Narrow"/>
            <family val="2"/>
            <scheme val="minor"/>
          </rPr>
          <t>Microsoft Office User:
pc 
was 3,890,000</t>
        </r>
      </text>
    </comment>
    <comment ref="C26" authorId="1" shapeId="0" xr:uid="{00000000-0006-0000-0600-00004C000000}">
      <text>
        <r>
          <rPr>
            <sz val="12"/>
            <color theme="1"/>
            <rFont val="Aptos Narrow"/>
            <family val="2"/>
            <scheme val="minor"/>
          </rPr>
          <t>Dang Phuong Nam:
Last week was: 3.890.000</t>
        </r>
      </text>
    </comment>
    <comment ref="D26" authorId="1" shapeId="0" xr:uid="{00000000-0006-0000-0600-00004D000000}">
      <text>
        <r>
          <rPr>
            <sz val="12"/>
            <color theme="1"/>
            <rFont val="Aptos Narrow"/>
            <family val="2"/>
            <scheme val="minor"/>
          </rPr>
          <t xml:space="preserve">Đặng Thanh Vượng:
Last week was: 3.990,000	</t>
        </r>
      </text>
    </comment>
    <comment ref="E26" authorId="0" shapeId="0" xr:uid="{00000000-0006-0000-0600-00004E000000}">
      <text>
        <r>
          <rPr>
            <sz val="12"/>
            <color theme="1"/>
            <rFont val="Aptos Narrow"/>
            <family val="2"/>
            <scheme val="minor"/>
          </rPr>
          <t>Microsoft Office User:
Last week was:
3.990.000đ</t>
        </r>
      </text>
    </comment>
    <comment ref="F26" authorId="2" shapeId="0" xr:uid="{00000000-0006-0000-0600-00004F000000}">
      <text>
        <r>
          <rPr>
            <sz val="12"/>
            <color theme="1"/>
            <rFont val="Aptos Narrow"/>
            <family val="2"/>
            <scheme val="minor"/>
          </rPr>
          <t>Duy Nguyen:
last week was 3,990,000</t>
        </r>
      </text>
    </comment>
    <comment ref="I27" authorId="0" shapeId="0" xr:uid="{00000000-0006-0000-0600-000050000000}">
      <text>
        <r>
          <rPr>
            <sz val="12"/>
            <color theme="1"/>
            <rFont val="Aptos Narrow"/>
            <family val="2"/>
            <scheme val="minor"/>
          </rPr>
          <t>Microsoft Office User:
last week was 
2,790k</t>
        </r>
      </text>
    </comment>
    <comment ref="B28" authorId="3" shapeId="0" xr:uid="{00000000-0006-0000-0600-000051000000}">
      <text>
        <r>
          <rPr>
            <sz val="12"/>
            <color theme="1"/>
            <rFont val="Aptos Narrow"/>
            <family val="2"/>
            <scheme val="minor"/>
          </rPr>
          <t>pc:
Was 18,490,000</t>
        </r>
      </text>
    </comment>
    <comment ref="C28" authorId="1" shapeId="0" xr:uid="{00000000-0006-0000-0600-000052000000}">
      <text>
        <r>
          <rPr>
            <sz val="12"/>
            <color theme="1"/>
            <rFont val="Aptos Narrow"/>
            <family val="2"/>
            <scheme val="minor"/>
          </rPr>
          <t>Dang Phuong Nam:
Last week was: 
18.305.000</t>
        </r>
      </text>
    </comment>
    <comment ref="D28" authorId="1" shapeId="0" xr:uid="{00000000-0006-0000-0600-000053000000}">
      <text>
        <r>
          <rPr>
            <sz val="12"/>
            <color theme="1"/>
            <rFont val="Aptos Narrow"/>
            <family val="2"/>
            <scheme val="minor"/>
          </rPr>
          <t xml:space="preserve">Đặng Thanh Vượng:
Last week was: 18.390,000	</t>
        </r>
      </text>
    </comment>
    <comment ref="F28" authorId="2" shapeId="0" xr:uid="{00000000-0006-0000-0600-000054000000}">
      <text>
        <r>
          <rPr>
            <sz val="12"/>
            <color theme="1"/>
            <rFont val="Aptos Narrow"/>
            <family val="2"/>
            <scheme val="minor"/>
          </rPr>
          <t>Duy Nguyen:
last week was 18,290,000</t>
        </r>
      </text>
    </comment>
    <comment ref="C29" authorId="1" shapeId="0" xr:uid="{00000000-0006-0000-0600-000055000000}">
      <text>
        <r>
          <rPr>
            <sz val="12"/>
            <color theme="1"/>
            <rFont val="Aptos Narrow"/>
            <family val="2"/>
            <scheme val="minor"/>
          </rPr>
          <t>Dang Phuong Nam:
Last week was: 23.790.000</t>
        </r>
      </text>
    </comment>
    <comment ref="D29" authorId="1" shapeId="0" xr:uid="{00000000-0006-0000-0600-000056000000}">
      <text>
        <r>
          <rPr>
            <sz val="12"/>
            <color theme="1"/>
            <rFont val="Aptos Narrow"/>
            <family val="2"/>
            <scheme val="minor"/>
          </rPr>
          <t xml:space="preserve">Đặng Thanh Vượng:
Last week was: 23.890,000	</t>
        </r>
      </text>
    </comment>
    <comment ref="F29" authorId="2" shapeId="0" xr:uid="{00000000-0006-0000-0600-000057000000}">
      <text>
        <r>
          <rPr>
            <sz val="12"/>
            <color theme="1"/>
            <rFont val="Aptos Narrow"/>
            <family val="2"/>
            <scheme val="minor"/>
          </rPr>
          <t>Duy Nguyen:
last week was 23,690,000</t>
        </r>
      </text>
    </comment>
    <comment ref="I29" authorId="0" shapeId="0" xr:uid="{00000000-0006-0000-0600-000058000000}">
      <text>
        <r>
          <rPr>
            <sz val="12"/>
            <color theme="1"/>
            <rFont val="Aptos Narrow"/>
            <family val="2"/>
            <scheme val="minor"/>
          </rPr>
          <t>Microsoft Office User:
last week was 
23,635k</t>
        </r>
      </text>
    </comment>
    <comment ref="B30" authorId="3" shapeId="0" xr:uid="{00000000-0006-0000-0600-000059000000}">
      <text>
        <r>
          <rPr>
            <sz val="12"/>
            <color theme="1"/>
            <rFont val="Aptos Narrow"/>
            <family val="2"/>
            <scheme val="minor"/>
          </rPr>
          <t>pc:
Was 27,090,000</t>
        </r>
      </text>
    </comment>
    <comment ref="C30" authorId="1" shapeId="0" xr:uid="{00000000-0006-0000-0600-00005A000000}">
      <text>
        <r>
          <rPr>
            <sz val="12"/>
            <color theme="1"/>
            <rFont val="Aptos Narrow"/>
            <family val="2"/>
            <scheme val="minor"/>
          </rPr>
          <t>Dang Phuong Nam:
Last week was: 27.090.000</t>
        </r>
      </text>
    </comment>
    <comment ref="F30" authorId="2" shapeId="0" xr:uid="{00000000-0006-0000-0600-00005B000000}">
      <text>
        <r>
          <rPr>
            <sz val="12"/>
            <color theme="1"/>
            <rFont val="Aptos Narrow"/>
            <family val="2"/>
            <scheme val="minor"/>
          </rPr>
          <t>Duy Nguyen:
last week was 26,190,000</t>
        </r>
      </text>
    </comment>
    <comment ref="C31" authorId="1" shapeId="0" xr:uid="{00000000-0006-0000-0600-00005C000000}">
      <text>
        <r>
          <rPr>
            <sz val="12"/>
            <color theme="1"/>
            <rFont val="Aptos Narrow"/>
            <family val="2"/>
            <scheme val="minor"/>
          </rPr>
          <t>Dang Phuong Nam:
Last week was: 
31.290.000</t>
        </r>
      </text>
    </comment>
    <comment ref="C32" authorId="1" shapeId="0" xr:uid="{00000000-0006-0000-0600-00005D000000}">
      <text>
        <r>
          <rPr>
            <sz val="12"/>
            <color theme="1"/>
            <rFont val="Aptos Narrow"/>
            <family val="2"/>
            <scheme val="minor"/>
          </rPr>
          <t>Dang Phuong Nam:
Last week was: 38.290.000</t>
        </r>
      </text>
    </comment>
    <comment ref="F32" authorId="2" shapeId="0" xr:uid="{00000000-0006-0000-0600-00005E000000}">
      <text>
        <r>
          <rPr>
            <sz val="12"/>
            <color theme="1"/>
            <rFont val="Aptos Narrow"/>
            <family val="2"/>
            <scheme val="minor"/>
          </rPr>
          <t>Duy Nguyen:
last week was 37,290,000</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Microsoft Office User</author>
    <author>Dang Phuong Nam</author>
    <author>Duy Nguyen</author>
    <author>pc</author>
    <author>Nam Khánh</author>
  </authors>
  <commentList>
    <comment ref="B2" authorId="0" shapeId="0" xr:uid="{00000000-0006-0000-0700-000001000000}">
      <text>
        <r>
          <rPr>
            <sz val="12"/>
            <color theme="1"/>
            <rFont val="Aptos Narrow"/>
            <family val="2"/>
            <scheme val="minor"/>
          </rPr>
          <t>Microsoft Office User:
last week was 18,998,000</t>
        </r>
      </text>
    </comment>
    <comment ref="C2" authorId="1" shapeId="0" xr:uid="{00000000-0006-0000-0700-000002000000}">
      <text>
        <r>
          <rPr>
            <sz val="12"/>
            <color theme="1"/>
            <rFont val="Aptos Narrow"/>
            <family val="2"/>
            <scheme val="minor"/>
          </rPr>
          <t>Dang Phuong Nam:
Last week was: 19.190.000</t>
        </r>
      </text>
    </comment>
    <comment ref="D2" authorId="1" shapeId="0" xr:uid="{00000000-0006-0000-0700-000003000000}">
      <text>
        <r>
          <rPr>
            <sz val="12"/>
            <color theme="1"/>
            <rFont val="Aptos Narrow"/>
            <family val="2"/>
            <scheme val="minor"/>
          </rPr>
          <t>Đặng Thanh Vượng:
Last week was: 19.090.000</t>
        </r>
      </text>
    </comment>
    <comment ref="F2" authorId="2" shapeId="0" xr:uid="{00000000-0006-0000-0700-000004000000}">
      <text>
        <r>
          <rPr>
            <sz val="12"/>
            <color theme="1"/>
            <rFont val="Aptos Narrow"/>
            <family val="2"/>
            <scheme val="minor"/>
          </rPr>
          <t>Duy Nguyen:
last week was 21,490,000</t>
        </r>
      </text>
    </comment>
    <comment ref="I2" authorId="0" shapeId="0" xr:uid="{00000000-0006-0000-0700-000005000000}">
      <text>
        <r>
          <rPr>
            <sz val="12"/>
            <color theme="1"/>
            <rFont val="Aptos Narrow"/>
            <family val="2"/>
            <scheme val="minor"/>
          </rPr>
          <t>Microsoft Office User:
Last week was
18,023k</t>
        </r>
      </text>
    </comment>
    <comment ref="B3" authorId="3" shapeId="0" xr:uid="{00000000-0006-0000-0700-000006000000}">
      <text>
        <r>
          <rPr>
            <sz val="12"/>
            <color theme="1"/>
            <rFont val="Aptos Narrow"/>
            <family val="2"/>
            <scheme val="minor"/>
          </rPr>
          <t>pc:
Was 21,790,000</t>
        </r>
      </text>
    </comment>
    <comment ref="C3" authorId="1" shapeId="0" xr:uid="{00000000-0006-0000-0700-000007000000}">
      <text>
        <r>
          <rPr>
            <sz val="12"/>
            <color theme="1"/>
            <rFont val="Aptos Narrow"/>
            <family val="2"/>
            <scheme val="minor"/>
          </rPr>
          <t>Dang Phuong Nam:
Last week was: 
21.990.000</t>
        </r>
      </text>
    </comment>
    <comment ref="D3" authorId="1" shapeId="0" xr:uid="{00000000-0006-0000-0700-000008000000}">
      <text>
        <r>
          <rPr>
            <sz val="12"/>
            <color theme="1"/>
            <rFont val="Aptos Narrow"/>
            <family val="2"/>
            <scheme val="minor"/>
          </rPr>
          <t>Đặng Thanh Vượng:
Last week was: 21.990.000</t>
        </r>
      </text>
    </comment>
    <comment ref="F3" authorId="2" shapeId="0" xr:uid="{00000000-0006-0000-0700-000009000000}">
      <text>
        <r>
          <rPr>
            <sz val="12"/>
            <color theme="1"/>
            <rFont val="Aptos Narrow"/>
            <family val="2"/>
            <scheme val="minor"/>
          </rPr>
          <t>Duy Nguyen:
last week was 21,490,000</t>
        </r>
      </text>
    </comment>
    <comment ref="I3" authorId="0" shapeId="0" xr:uid="{00000000-0006-0000-0700-00000A000000}">
      <text>
        <r>
          <rPr>
            <sz val="12"/>
            <color theme="1"/>
            <rFont val="Aptos Narrow"/>
            <family val="2"/>
            <scheme val="minor"/>
          </rPr>
          <t>Microsoft Office User:
Last week was
20,783k</t>
        </r>
      </text>
    </comment>
    <comment ref="B4" authorId="0" shapeId="0" xr:uid="{00000000-0006-0000-0700-00000B000000}">
      <text>
        <r>
          <rPr>
            <sz val="12"/>
            <color theme="1"/>
            <rFont val="Aptos Narrow"/>
            <family val="2"/>
            <scheme val="minor"/>
          </rPr>
          <t>Microsoft Office User:
pc
was 25,990,000</t>
        </r>
      </text>
    </comment>
    <comment ref="C4" authorId="1" shapeId="0" xr:uid="{00000000-0006-0000-0700-00000C000000}">
      <text>
        <r>
          <rPr>
            <sz val="12"/>
            <color theme="1"/>
            <rFont val="Aptos Narrow"/>
            <family val="2"/>
            <scheme val="minor"/>
          </rPr>
          <t>Dang Phuong Nam:
Last week was: 26.190.000</t>
        </r>
      </text>
    </comment>
    <comment ref="F4" authorId="2" shapeId="0" xr:uid="{00000000-0006-0000-0700-00000D000000}">
      <text>
        <r>
          <rPr>
            <sz val="12"/>
            <color theme="1"/>
            <rFont val="Aptos Narrow"/>
            <family val="2"/>
            <scheme val="minor"/>
          </rPr>
          <t>Duy Nguyen:
last week was 24,890,000</t>
        </r>
      </text>
    </comment>
    <comment ref="I4" authorId="0" shapeId="0" xr:uid="{00000000-0006-0000-0700-00000E000000}">
      <text>
        <r>
          <rPr>
            <sz val="12"/>
            <color theme="1"/>
            <rFont val="Aptos Narrow"/>
            <family val="2"/>
            <scheme val="minor"/>
          </rPr>
          <t>Microsoft Office User:
Last week was
23,490k</t>
        </r>
      </text>
    </comment>
    <comment ref="B5" authorId="0" shapeId="0" xr:uid="{00000000-0006-0000-0700-00000F000000}">
      <text>
        <r>
          <rPr>
            <sz val="12"/>
            <color theme="1"/>
            <rFont val="Aptos Narrow"/>
            <family val="2"/>
            <scheme val="minor"/>
          </rPr>
          <t>Microsoft Office User:
Last week 29,590,000</t>
        </r>
      </text>
    </comment>
    <comment ref="C5" authorId="1" shapeId="0" xr:uid="{00000000-0006-0000-0700-000010000000}">
      <text>
        <r>
          <rPr>
            <sz val="12"/>
            <color theme="1"/>
            <rFont val="Aptos Narrow"/>
            <family val="2"/>
            <scheme val="minor"/>
          </rPr>
          <t>Dang Phuong Nam:
Last week was: 29.790.000</t>
        </r>
      </text>
    </comment>
    <comment ref="D5" authorId="1" shapeId="0" xr:uid="{00000000-0006-0000-0700-000011000000}">
      <text>
        <r>
          <rPr>
            <sz val="12"/>
            <color theme="1"/>
            <rFont val="Aptos Narrow"/>
            <family val="2"/>
            <scheme val="minor"/>
          </rPr>
          <t>Đặng Thanh Vượng:
Last week was: 29.390.000</t>
        </r>
      </text>
    </comment>
    <comment ref="F5" authorId="2" shapeId="0" xr:uid="{00000000-0006-0000-0700-000012000000}">
      <text>
        <r>
          <rPr>
            <sz val="12"/>
            <color theme="1"/>
            <rFont val="Aptos Narrow"/>
            <family val="2"/>
            <scheme val="minor"/>
          </rPr>
          <t>Duy Nguyen:
last week was 28,890,000</t>
        </r>
      </text>
    </comment>
    <comment ref="G5" authorId="4" shapeId="0" xr:uid="{00000000-0006-0000-0700-000013000000}">
      <text>
        <r>
          <rPr>
            <sz val="12"/>
            <color theme="1"/>
            <rFont val="Aptos Narrow"/>
            <family val="2"/>
            <scheme val="minor"/>
          </rPr>
          <t>W10: 28.690.000</t>
        </r>
      </text>
    </comment>
    <comment ref="I5" authorId="0" shapeId="0" xr:uid="{00000000-0006-0000-0700-000014000000}">
      <text>
        <r>
          <rPr>
            <sz val="12"/>
            <color theme="1"/>
            <rFont val="Aptos Narrow"/>
            <family val="2"/>
            <scheme val="minor"/>
          </rPr>
          <t>Microsoft Office User:
Last week was
28,490k</t>
        </r>
      </text>
    </comment>
    <comment ref="B6" authorId="3" shapeId="0" xr:uid="{00000000-0006-0000-0700-000015000000}">
      <text>
        <r>
          <rPr>
            <sz val="12"/>
            <color theme="1"/>
            <rFont val="Aptos Narrow"/>
            <family val="2"/>
            <scheme val="minor"/>
          </rPr>
          <t>pc:
Was 19,196,000</t>
        </r>
      </text>
    </comment>
    <comment ref="C6" authorId="1" shapeId="0" xr:uid="{00000000-0006-0000-0700-000016000000}">
      <text>
        <r>
          <rPr>
            <sz val="12"/>
            <color theme="1"/>
            <rFont val="Aptos Narrow"/>
            <family val="2"/>
            <scheme val="minor"/>
          </rPr>
          <t>Dang Phuong Nam:
Last week was: 
19.390.000</t>
        </r>
      </text>
    </comment>
    <comment ref="D6" authorId="1" shapeId="0" xr:uid="{00000000-0006-0000-0700-000017000000}">
      <text>
        <r>
          <rPr>
            <sz val="12"/>
            <color theme="1"/>
            <rFont val="Aptos Narrow"/>
            <family val="2"/>
            <scheme val="minor"/>
          </rPr>
          <t>Đặng Thanh Vượng:
Last week was: 19.290.000</t>
        </r>
      </text>
    </comment>
    <comment ref="B7" authorId="3" shapeId="0" xr:uid="{00000000-0006-0000-0700-000018000000}">
      <text>
        <r>
          <rPr>
            <sz val="12"/>
            <color theme="1"/>
            <rFont val="Aptos Narrow"/>
            <family val="2"/>
            <scheme val="minor"/>
          </rPr>
          <t>pc:
Was 17,414,000</t>
        </r>
      </text>
    </comment>
    <comment ref="C7" authorId="1" shapeId="0" xr:uid="{00000000-0006-0000-0700-000019000000}">
      <text>
        <r>
          <rPr>
            <sz val="12"/>
            <color theme="1"/>
            <rFont val="Aptos Narrow"/>
            <family val="2"/>
            <scheme val="minor"/>
          </rPr>
          <t>Dang Phuong Nam:
Last week was: 17.590.000</t>
        </r>
      </text>
    </comment>
    <comment ref="D7" authorId="1" shapeId="0" xr:uid="{00000000-0006-0000-0700-00001A000000}">
      <text>
        <r>
          <rPr>
            <sz val="12"/>
            <color theme="1"/>
            <rFont val="Aptos Narrow"/>
            <family val="2"/>
            <scheme val="minor"/>
          </rPr>
          <t>Đặng Thanh Vượng:
Last week was: 17.090.000</t>
        </r>
      </text>
    </comment>
    <comment ref="F7" authorId="2" shapeId="0" xr:uid="{00000000-0006-0000-0700-00001B000000}">
      <text>
        <r>
          <rPr>
            <sz val="12"/>
            <color theme="1"/>
            <rFont val="Aptos Narrow"/>
            <family val="2"/>
            <scheme val="minor"/>
          </rPr>
          <t>Duy Nguyen:
last week was 16,590,000</t>
        </r>
      </text>
    </comment>
    <comment ref="B8" authorId="3" shapeId="0" xr:uid="{00000000-0006-0000-0700-00001C000000}">
      <text>
        <r>
          <rPr>
            <sz val="12"/>
            <color theme="1"/>
            <rFont val="Aptos Narrow"/>
            <family val="2"/>
            <scheme val="minor"/>
          </rPr>
          <t>pc:
Was 13,454,000</t>
        </r>
      </text>
    </comment>
    <comment ref="C8" authorId="1" shapeId="0" xr:uid="{00000000-0006-0000-0700-00001D000000}">
      <text>
        <r>
          <rPr>
            <sz val="12"/>
            <color theme="1"/>
            <rFont val="Aptos Narrow"/>
            <family val="2"/>
            <scheme val="minor"/>
          </rPr>
          <t>Dang Phuong Nam:
Last week was: 
13.590.000</t>
        </r>
      </text>
    </comment>
    <comment ref="D8" authorId="1" shapeId="0" xr:uid="{00000000-0006-0000-0700-00001E000000}">
      <text>
        <r>
          <rPr>
            <sz val="12"/>
            <color theme="1"/>
            <rFont val="Aptos Narrow"/>
            <family val="2"/>
            <scheme val="minor"/>
          </rPr>
          <t>Đặng Thanh Vượng:
Last week was: 13.690.000</t>
        </r>
      </text>
    </comment>
    <comment ref="F8" authorId="2" shapeId="0" xr:uid="{00000000-0006-0000-0700-00001F000000}">
      <text>
        <r>
          <rPr>
            <sz val="12"/>
            <color theme="1"/>
            <rFont val="Aptos Narrow"/>
            <family val="2"/>
            <scheme val="minor"/>
          </rPr>
          <t>Duy Nguyen:
last week was 13,190,000</t>
        </r>
      </text>
    </comment>
    <comment ref="I8" authorId="0" shapeId="0" xr:uid="{00000000-0006-0000-0700-000020000000}">
      <text>
        <r>
          <rPr>
            <sz val="12"/>
            <color theme="1"/>
            <rFont val="Aptos Narrow"/>
            <family val="2"/>
            <scheme val="minor"/>
          </rPr>
          <t>Microsoft Office User:
Last week was
12,687k</t>
        </r>
      </text>
    </comment>
    <comment ref="B9" authorId="3" shapeId="0" xr:uid="{00000000-0006-0000-0700-000021000000}">
      <text>
        <r>
          <rPr>
            <sz val="12"/>
            <color theme="1"/>
            <rFont val="Aptos Narrow"/>
            <family val="2"/>
            <scheme val="minor"/>
          </rPr>
          <t>pc:
Was 11,474,000</t>
        </r>
      </text>
    </comment>
    <comment ref="C9" authorId="1" shapeId="0" xr:uid="{00000000-0006-0000-0700-000022000000}">
      <text>
        <r>
          <rPr>
            <sz val="12"/>
            <color theme="1"/>
            <rFont val="Aptos Narrow"/>
            <family val="2"/>
            <scheme val="minor"/>
          </rPr>
          <t>Dang Phuong Nam:
Last week was: 
11.590.000</t>
        </r>
      </text>
    </comment>
    <comment ref="D9" authorId="1" shapeId="0" xr:uid="{00000000-0006-0000-0700-000023000000}">
      <text>
        <r>
          <rPr>
            <sz val="12"/>
            <color theme="1"/>
            <rFont val="Aptos Narrow"/>
            <family val="2"/>
            <scheme val="minor"/>
          </rPr>
          <t>Đặng Thanh Vượng:
Last week was: 11.490.000</t>
        </r>
      </text>
    </comment>
    <comment ref="B10" authorId="3" shapeId="0" xr:uid="{00000000-0006-0000-0700-000024000000}">
      <text>
        <r>
          <rPr>
            <sz val="12"/>
            <color theme="1"/>
            <rFont val="Aptos Narrow"/>
            <family val="2"/>
            <scheme val="minor"/>
          </rPr>
          <t>pc:
Was 8,603,000</t>
        </r>
      </text>
    </comment>
    <comment ref="C10" authorId="1" shapeId="0" xr:uid="{00000000-0006-0000-0700-000025000000}">
      <text>
        <r>
          <rPr>
            <sz val="12"/>
            <color theme="1"/>
            <rFont val="Aptos Narrow"/>
            <family val="2"/>
            <scheme val="minor"/>
          </rPr>
          <t>Dang Phuong Nam:
Last week was: 
8.680.000</t>
        </r>
      </text>
    </comment>
    <comment ref="D10" authorId="1" shapeId="0" xr:uid="{00000000-0006-0000-0700-000026000000}">
      <text>
        <r>
          <rPr>
            <sz val="12"/>
            <color theme="1"/>
            <rFont val="Aptos Narrow"/>
            <family val="2"/>
            <scheme val="minor"/>
          </rPr>
          <t>Đặng Thanh Vượng:
Last week was: 8.640.000</t>
        </r>
      </text>
    </comment>
    <comment ref="F10" authorId="2" shapeId="0" xr:uid="{00000000-0006-0000-0700-000027000000}">
      <text>
        <r>
          <rPr>
            <sz val="12"/>
            <color theme="1"/>
            <rFont val="Aptos Narrow"/>
            <family val="2"/>
            <scheme val="minor"/>
          </rPr>
          <t>Duy Nguyen:
last week was 8,550,000</t>
        </r>
      </text>
    </comment>
    <comment ref="G10" authorId="4" shapeId="0" xr:uid="{00000000-0006-0000-0700-000028000000}">
      <text>
        <r>
          <rPr>
            <sz val="12"/>
            <color theme="1"/>
            <rFont val="Aptos Narrow"/>
            <family val="2"/>
            <scheme val="minor"/>
          </rPr>
          <t>W10: 8.590.000</t>
        </r>
      </text>
    </comment>
    <comment ref="D12" authorId="1" shapeId="0" xr:uid="{00000000-0006-0000-0700-000029000000}">
      <text>
        <r>
          <rPr>
            <sz val="12"/>
            <color theme="1"/>
            <rFont val="Aptos Narrow"/>
            <family val="2"/>
            <scheme val="minor"/>
          </rPr>
          <t xml:space="preserve">Đặng Thanh Vượng:
Last week was: 13.990,000	</t>
        </r>
      </text>
    </comment>
    <comment ref="F12" authorId="2" shapeId="0" xr:uid="{00000000-0006-0000-0700-00002A000000}">
      <text>
        <r>
          <rPr>
            <sz val="12"/>
            <color theme="1"/>
            <rFont val="Aptos Narrow"/>
            <family val="2"/>
            <scheme val="minor"/>
          </rPr>
          <t>Duy Nguyen:
last week was 14,490,000</t>
        </r>
      </text>
    </comment>
    <comment ref="I12" authorId="0" shapeId="0" xr:uid="{00000000-0006-0000-0700-00002B000000}">
      <text>
        <r>
          <rPr>
            <sz val="12"/>
            <color theme="1"/>
            <rFont val="Aptos Narrow"/>
            <family val="2"/>
            <scheme val="minor"/>
          </rPr>
          <t>Microsoft Office User:
Last week was
13,515k</t>
        </r>
      </text>
    </comment>
    <comment ref="B13" authorId="3" shapeId="0" xr:uid="{00000000-0006-0000-0700-00002C000000}">
      <text>
        <r>
          <rPr>
            <sz val="12"/>
            <color theme="1"/>
            <rFont val="Aptos Narrow"/>
            <family val="2"/>
            <scheme val="minor"/>
          </rPr>
          <t>pc:
Was 12,266,000</t>
        </r>
      </text>
    </comment>
    <comment ref="D13" authorId="1" shapeId="0" xr:uid="{00000000-0006-0000-0700-00002D000000}">
      <text>
        <r>
          <rPr>
            <sz val="12"/>
            <color theme="1"/>
            <rFont val="Aptos Narrow"/>
            <family val="2"/>
            <scheme val="minor"/>
          </rPr>
          <t xml:space="preserve">Đặng Thanh Vượng:
Last week was: 11690,000	</t>
        </r>
      </text>
    </comment>
    <comment ref="F13" authorId="2" shapeId="0" xr:uid="{00000000-0006-0000-0700-00002E000000}">
      <text>
        <r>
          <rPr>
            <sz val="12"/>
            <color theme="1"/>
            <rFont val="Aptos Narrow"/>
            <family val="2"/>
            <scheme val="minor"/>
          </rPr>
          <t>Duy Nguyen:
last week was 12,190,000</t>
        </r>
      </text>
    </comment>
    <comment ref="B14" authorId="3" shapeId="0" xr:uid="{00000000-0006-0000-0700-00002F000000}">
      <text>
        <r>
          <rPr>
            <sz val="12"/>
            <color theme="1"/>
            <rFont val="Aptos Narrow"/>
            <family val="2"/>
            <scheme val="minor"/>
          </rPr>
          <t>pc:
Was 10,187,000</t>
        </r>
      </text>
    </comment>
    <comment ref="C14" authorId="1" shapeId="0" xr:uid="{00000000-0006-0000-0700-000030000000}">
      <text>
        <r>
          <rPr>
            <sz val="12"/>
            <color theme="1"/>
            <rFont val="Aptos Narrow"/>
            <family val="2"/>
            <scheme val="minor"/>
          </rPr>
          <t>Dang Phuong Nam:
Last week was: 10.290.000</t>
        </r>
      </text>
    </comment>
    <comment ref="D14" authorId="1" shapeId="0" xr:uid="{00000000-0006-0000-0700-000031000000}">
      <text>
        <r>
          <rPr>
            <sz val="12"/>
            <color theme="1"/>
            <rFont val="Aptos Narrow"/>
            <family val="2"/>
            <scheme val="minor"/>
          </rPr>
          <t xml:space="preserve">Đặng Thanh Vượng:
Last week was: 9.940,000	</t>
        </r>
      </text>
    </comment>
    <comment ref="I14" authorId="0" shapeId="0" xr:uid="{00000000-0006-0000-0700-000032000000}">
      <text>
        <r>
          <rPr>
            <sz val="12"/>
            <color theme="1"/>
            <rFont val="Aptos Narrow"/>
            <family val="2"/>
            <scheme val="minor"/>
          </rPr>
          <t>Microsoft Office User:
Last week was
9,391k</t>
        </r>
      </text>
    </comment>
    <comment ref="B15" authorId="3" shapeId="0" xr:uid="{00000000-0006-0000-0700-000033000000}">
      <text>
        <r>
          <rPr>
            <sz val="12"/>
            <color theme="1"/>
            <rFont val="Aptos Narrow"/>
            <family val="2"/>
            <scheme val="minor"/>
          </rPr>
          <t>pc:
Was 7,118,000</t>
        </r>
      </text>
    </comment>
    <comment ref="C15" authorId="1" shapeId="0" xr:uid="{00000000-0006-0000-0700-000034000000}">
      <text>
        <r>
          <rPr>
            <sz val="12"/>
            <color theme="1"/>
            <rFont val="Aptos Narrow"/>
            <family val="2"/>
            <scheme val="minor"/>
          </rPr>
          <t>Dang Phuong Nam:
Last week was: 7.190.000</t>
        </r>
      </text>
    </comment>
    <comment ref="D15" authorId="1" shapeId="0" xr:uid="{00000000-0006-0000-0700-000035000000}">
      <text>
        <r>
          <rPr>
            <sz val="12"/>
            <color theme="1"/>
            <rFont val="Aptos Narrow"/>
            <family val="2"/>
            <scheme val="minor"/>
          </rPr>
          <t xml:space="preserve">Đặng Thanh Vượng:
Last week was: 7.040,000	</t>
        </r>
      </text>
    </comment>
    <comment ref="F15" authorId="2" shapeId="0" xr:uid="{00000000-0006-0000-0700-000036000000}">
      <text>
        <r>
          <rPr>
            <sz val="12"/>
            <color theme="1"/>
            <rFont val="Aptos Narrow"/>
            <family val="2"/>
            <scheme val="minor"/>
          </rPr>
          <t>Duy Nguyen:
last week was 6,790,000</t>
        </r>
      </text>
    </comment>
    <comment ref="I15" authorId="0" shapeId="0" xr:uid="{00000000-0006-0000-0700-000037000000}">
      <text>
        <r>
          <rPr>
            <sz val="12"/>
            <color theme="1"/>
            <rFont val="Aptos Narrow"/>
            <family val="2"/>
            <scheme val="minor"/>
          </rPr>
          <t>Microsoft Office User:
Last week was
6,561k</t>
        </r>
      </text>
    </comment>
    <comment ref="B16" authorId="3" shapeId="0" xr:uid="{00000000-0006-0000-0700-000038000000}">
      <text>
        <r>
          <rPr>
            <sz val="12"/>
            <color theme="1"/>
            <rFont val="Aptos Narrow"/>
            <family val="2"/>
            <scheme val="minor"/>
          </rPr>
          <t>pc:
Was 5,930,000</t>
        </r>
      </text>
    </comment>
    <comment ref="C16" authorId="1" shapeId="0" xr:uid="{00000000-0006-0000-0700-000039000000}">
      <text>
        <r>
          <rPr>
            <sz val="12"/>
            <color theme="1"/>
            <rFont val="Aptos Narrow"/>
            <family val="2"/>
            <scheme val="minor"/>
          </rPr>
          <t>Dang Phuong Nam:
Last week was: 5.790.000</t>
        </r>
      </text>
    </comment>
    <comment ref="D16" authorId="1" shapeId="0" xr:uid="{00000000-0006-0000-0700-00003A000000}">
      <text>
        <r>
          <rPr>
            <sz val="12"/>
            <color theme="1"/>
            <rFont val="Aptos Narrow"/>
            <family val="2"/>
            <scheme val="minor"/>
          </rPr>
          <t xml:space="preserve">Đặng Thanh Vượng:
Last week was: 5.740,000	</t>
        </r>
      </text>
    </comment>
    <comment ref="E16" authorId="0" shapeId="0" xr:uid="{00000000-0006-0000-0700-00003B000000}">
      <text>
        <r>
          <rPr>
            <sz val="12"/>
            <color theme="1"/>
            <rFont val="Aptos Narrow"/>
            <family val="2"/>
            <scheme val="minor"/>
          </rPr>
          <t>Microsoft Office User:
Last week was:
5.690.000đ</t>
        </r>
      </text>
    </comment>
    <comment ref="F16" authorId="2" shapeId="0" xr:uid="{00000000-0006-0000-0700-00003C000000}">
      <text>
        <r>
          <rPr>
            <sz val="12"/>
            <color theme="1"/>
            <rFont val="Aptos Narrow"/>
            <family val="2"/>
            <scheme val="minor"/>
          </rPr>
          <t>Duy Nguyen:
last week was 5,690,000</t>
        </r>
      </text>
    </comment>
    <comment ref="B17" authorId="3" shapeId="0" xr:uid="{00000000-0006-0000-0700-00003D000000}">
      <text>
        <r>
          <rPr>
            <sz val="12"/>
            <color theme="1"/>
            <rFont val="Aptos Narrow"/>
            <family val="2"/>
            <scheme val="minor"/>
          </rPr>
          <t>pc:
Was 7,217,000</t>
        </r>
      </text>
    </comment>
    <comment ref="C17" authorId="1" shapeId="0" xr:uid="{00000000-0006-0000-0700-00003E000000}">
      <text>
        <r>
          <rPr>
            <sz val="12"/>
            <color theme="1"/>
            <rFont val="Aptos Narrow"/>
            <family val="2"/>
            <scheme val="minor"/>
          </rPr>
          <t>Dang Phuong Nam:
Last week was: 7.290.000</t>
        </r>
      </text>
    </comment>
    <comment ref="D17" authorId="1" shapeId="0" xr:uid="{00000000-0006-0000-0700-00003F000000}">
      <text>
        <r>
          <rPr>
            <sz val="12"/>
            <color theme="1"/>
            <rFont val="Aptos Narrow"/>
            <family val="2"/>
            <scheme val="minor"/>
          </rPr>
          <t xml:space="preserve">Đặng Thanh Vượng:
Last week was: 7.240,000	</t>
        </r>
      </text>
    </comment>
    <comment ref="E17" authorId="0" shapeId="0" xr:uid="{00000000-0006-0000-0700-000040000000}">
      <text>
        <r>
          <rPr>
            <sz val="12"/>
            <color theme="1"/>
            <rFont val="Aptos Narrow"/>
            <family val="2"/>
            <scheme val="minor"/>
          </rPr>
          <t>Microsoft Office User:
Last week was:
7.190.000đ</t>
        </r>
      </text>
    </comment>
    <comment ref="B18" authorId="3" shapeId="0" xr:uid="{00000000-0006-0000-0700-000041000000}">
      <text>
        <r>
          <rPr>
            <sz val="12"/>
            <color theme="1"/>
            <rFont val="Aptos Narrow"/>
            <family val="2"/>
            <scheme val="minor"/>
          </rPr>
          <t>pc:
Was 6,821,000</t>
        </r>
      </text>
    </comment>
    <comment ref="D18" authorId="1" shapeId="0" xr:uid="{00000000-0006-0000-0700-000042000000}">
      <text>
        <r>
          <rPr>
            <sz val="12"/>
            <color theme="1"/>
            <rFont val="Aptos Narrow"/>
            <family val="2"/>
            <scheme val="minor"/>
          </rPr>
          <t xml:space="preserve">Đặng Thanh Vượng:
Last week was: 6.740,000	</t>
        </r>
      </text>
    </comment>
    <comment ref="E18" authorId="0" shapeId="0" xr:uid="{00000000-0006-0000-0700-000043000000}">
      <text>
        <r>
          <rPr>
            <sz val="12"/>
            <color theme="1"/>
            <rFont val="Aptos Narrow"/>
            <family val="2"/>
            <scheme val="minor"/>
          </rPr>
          <t>Microsoft Office User:
Last week was:
6.590.000đ</t>
        </r>
      </text>
    </comment>
    <comment ref="F18" authorId="2" shapeId="0" xr:uid="{00000000-0006-0000-0700-000044000000}">
      <text>
        <r>
          <rPr>
            <sz val="12"/>
            <color theme="1"/>
            <rFont val="Aptos Narrow"/>
            <family val="2"/>
            <scheme val="minor"/>
          </rPr>
          <t>Duy Nguyen:
last week was 6,490,000</t>
        </r>
      </text>
    </comment>
    <comment ref="I18" authorId="0" shapeId="0" xr:uid="{00000000-0006-0000-0700-000045000000}">
      <text>
        <r>
          <rPr>
            <sz val="12"/>
            <color theme="1"/>
            <rFont val="Aptos Narrow"/>
            <family val="2"/>
            <scheme val="minor"/>
          </rPr>
          <t>Microsoft Office User:
last week was
5,557k</t>
        </r>
      </text>
    </comment>
    <comment ref="B19" authorId="3" shapeId="0" xr:uid="{00000000-0006-0000-0700-000046000000}">
      <text>
        <r>
          <rPr>
            <sz val="12"/>
            <color theme="1"/>
            <rFont val="Aptos Narrow"/>
            <family val="2"/>
            <scheme val="minor"/>
          </rPr>
          <t>pc:
Was 8,009,000</t>
        </r>
      </text>
    </comment>
    <comment ref="C19" authorId="1" shapeId="0" xr:uid="{00000000-0006-0000-0700-000047000000}">
      <text>
        <r>
          <rPr>
            <sz val="12"/>
            <color theme="1"/>
            <rFont val="Aptos Narrow"/>
            <family val="2"/>
            <scheme val="minor"/>
          </rPr>
          <t>Dang Phuong Nam:
Last week was: 8.090.000</t>
        </r>
      </text>
    </comment>
    <comment ref="D19" authorId="1" shapeId="0" xr:uid="{00000000-0006-0000-0700-000048000000}">
      <text>
        <r>
          <rPr>
            <sz val="12"/>
            <color theme="1"/>
            <rFont val="Aptos Narrow"/>
            <family val="2"/>
            <scheme val="minor"/>
          </rPr>
          <t xml:space="preserve">Đặng Thanh Vượng:
Last week was: 7.940,000	</t>
        </r>
      </text>
    </comment>
    <comment ref="E19" authorId="0" shapeId="0" xr:uid="{00000000-0006-0000-0700-000049000000}">
      <text>
        <r>
          <rPr>
            <sz val="12"/>
            <color theme="1"/>
            <rFont val="Aptos Narrow"/>
            <family val="2"/>
            <scheme val="minor"/>
          </rPr>
          <t>Microsoft Office User:
Last week was:
7.990.000đ</t>
        </r>
      </text>
    </comment>
    <comment ref="F19" authorId="2" shapeId="0" xr:uid="{00000000-0006-0000-0700-00004A000000}">
      <text>
        <r>
          <rPr>
            <sz val="12"/>
            <color theme="1"/>
            <rFont val="Aptos Narrow"/>
            <family val="2"/>
            <scheme val="minor"/>
          </rPr>
          <t>Duy Nguyen:
last week was 7,990,000</t>
        </r>
      </text>
    </comment>
    <comment ref="B20" authorId="3" shapeId="0" xr:uid="{00000000-0006-0000-0700-00004B000000}">
      <text>
        <r>
          <rPr>
            <sz val="12"/>
            <color theme="1"/>
            <rFont val="Aptos Narrow"/>
            <family val="2"/>
            <scheme val="minor"/>
          </rPr>
          <t>pc:
Was 9,593,000</t>
        </r>
      </text>
    </comment>
    <comment ref="C20" authorId="1" shapeId="0" xr:uid="{00000000-0006-0000-0700-00004C000000}">
      <text>
        <r>
          <rPr>
            <sz val="12"/>
            <color theme="1"/>
            <rFont val="Aptos Narrow"/>
            <family val="2"/>
            <scheme val="minor"/>
          </rPr>
          <t>Dang Phuong Nam:
Last week was: 9.190.000</t>
        </r>
      </text>
    </comment>
    <comment ref="D20" authorId="1" shapeId="0" xr:uid="{00000000-0006-0000-0700-00004D000000}">
      <text>
        <r>
          <rPr>
            <sz val="12"/>
            <color theme="1"/>
            <rFont val="Aptos Narrow"/>
            <family val="2"/>
            <scheme val="minor"/>
          </rPr>
          <t xml:space="preserve">Đặng Thanh Vượng:
Last week was: 9.040,000	</t>
        </r>
      </text>
    </comment>
    <comment ref="E20" authorId="0" shapeId="0" xr:uid="{00000000-0006-0000-0700-00004E000000}">
      <text>
        <r>
          <rPr>
            <sz val="12"/>
            <color theme="1"/>
            <rFont val="Aptos Narrow"/>
            <family val="2"/>
            <scheme val="minor"/>
          </rPr>
          <t>Microsoft Office User:
Last week was:
8.690.000đ</t>
        </r>
      </text>
    </comment>
    <comment ref="F20" authorId="2" shapeId="0" xr:uid="{00000000-0006-0000-0700-00004F000000}">
      <text>
        <r>
          <rPr>
            <sz val="12"/>
            <color theme="1"/>
            <rFont val="Aptos Narrow"/>
            <family val="2"/>
            <scheme val="minor"/>
          </rPr>
          <t>Duy Nguyen:
last week was 8,490,000</t>
        </r>
      </text>
    </comment>
    <comment ref="I20" authorId="0" shapeId="0" xr:uid="{00000000-0006-0000-0700-000050000000}">
      <text>
        <r>
          <rPr>
            <sz val="12"/>
            <color theme="1"/>
            <rFont val="Aptos Narrow"/>
            <family val="2"/>
            <scheme val="minor"/>
          </rPr>
          <t>Microsoft Office User:
last week was
9,209k</t>
        </r>
      </text>
    </comment>
    <comment ref="C21" authorId="1" shapeId="0" xr:uid="{00000000-0006-0000-0700-000051000000}">
      <text>
        <r>
          <rPr>
            <sz val="12"/>
            <color theme="1"/>
            <rFont val="Aptos Narrow"/>
            <family val="2"/>
            <scheme val="minor"/>
          </rPr>
          <t>Dang Phuong Nam:
Last week was: 12.090.000</t>
        </r>
      </text>
    </comment>
    <comment ref="D21" authorId="1" shapeId="0" xr:uid="{00000000-0006-0000-0700-000052000000}">
      <text>
        <r>
          <rPr>
            <sz val="12"/>
            <color theme="1"/>
            <rFont val="Aptos Narrow"/>
            <family val="2"/>
            <scheme val="minor"/>
          </rPr>
          <t xml:space="preserve">Đặng Thanh Vượng:
Last week was: 11.990,000	</t>
        </r>
      </text>
    </comment>
    <comment ref="E21" authorId="0" shapeId="0" xr:uid="{00000000-0006-0000-0700-000053000000}">
      <text>
        <r>
          <rPr>
            <sz val="12"/>
            <color theme="1"/>
            <rFont val="Aptos Narrow"/>
            <family val="2"/>
            <scheme val="minor"/>
          </rPr>
          <t>Microsoft Office User:
Last week was:
11.690.000đ</t>
        </r>
      </text>
    </comment>
    <comment ref="F21" authorId="2" shapeId="0" xr:uid="{00000000-0006-0000-0700-000054000000}">
      <text>
        <r>
          <rPr>
            <sz val="12"/>
            <color theme="1"/>
            <rFont val="Aptos Narrow"/>
            <family val="2"/>
            <scheme val="minor"/>
          </rPr>
          <t>Duy Nguyen:
last week was 11,790,000</t>
        </r>
      </text>
    </comment>
    <comment ref="B22" authorId="3" shapeId="0" xr:uid="{00000000-0006-0000-0700-000055000000}">
      <text>
        <r>
          <rPr>
            <sz val="12"/>
            <color theme="1"/>
            <rFont val="Aptos Narrow"/>
            <family val="2"/>
            <scheme val="minor"/>
          </rPr>
          <t>pc:
Was 10,490,000</t>
        </r>
      </text>
    </comment>
    <comment ref="C22" authorId="1" shapeId="0" xr:uid="{00000000-0006-0000-0700-000056000000}">
      <text>
        <r>
          <rPr>
            <sz val="12"/>
            <color theme="1"/>
            <rFont val="Aptos Narrow"/>
            <family val="2"/>
            <scheme val="minor"/>
          </rPr>
          <t>Dang Phuong Nam:
Last week was: 10.490.000</t>
        </r>
      </text>
    </comment>
    <comment ref="D22" authorId="1" shapeId="0" xr:uid="{00000000-0006-0000-0700-000057000000}">
      <text>
        <r>
          <rPr>
            <sz val="12"/>
            <color theme="1"/>
            <rFont val="Aptos Narrow"/>
            <family val="2"/>
            <scheme val="minor"/>
          </rPr>
          <t xml:space="preserve">Đặng Thanh Vượng:
Last week was: 10.490,000	</t>
        </r>
      </text>
    </comment>
    <comment ref="E22" authorId="0" shapeId="0" xr:uid="{00000000-0006-0000-0700-000058000000}">
      <text>
        <r>
          <rPr>
            <sz val="12"/>
            <color theme="1"/>
            <rFont val="Aptos Narrow"/>
            <family val="2"/>
            <scheme val="minor"/>
          </rPr>
          <t>Microsoft Office User:
Last week was:
9.890.000đ</t>
        </r>
      </text>
    </comment>
    <comment ref="C23" authorId="1" shapeId="0" xr:uid="{00000000-0006-0000-0700-000059000000}">
      <text>
        <r>
          <rPr>
            <sz val="12"/>
            <color theme="1"/>
            <rFont val="Aptos Narrow"/>
            <family val="2"/>
            <scheme val="minor"/>
          </rPr>
          <t>Dang Phuong Nam:
Last week was: 13.690.000</t>
        </r>
      </text>
    </comment>
    <comment ref="D23" authorId="1" shapeId="0" xr:uid="{00000000-0006-0000-0700-00005A000000}">
      <text>
        <r>
          <rPr>
            <sz val="12"/>
            <color theme="1"/>
            <rFont val="Aptos Narrow"/>
            <family val="2"/>
            <scheme val="minor"/>
          </rPr>
          <t xml:space="preserve">Đặng Thanh Vượng:
Last week was: 13.390,000	</t>
        </r>
      </text>
    </comment>
    <comment ref="E23" authorId="0" shapeId="0" xr:uid="{00000000-0006-0000-0700-00005B000000}">
      <text>
        <r>
          <rPr>
            <sz val="12"/>
            <color theme="1"/>
            <rFont val="Aptos Narrow"/>
            <family val="2"/>
            <scheme val="minor"/>
          </rPr>
          <t>Microsoft Office User:
Last week was:
12.190.000đ</t>
        </r>
      </text>
    </comment>
    <comment ref="B24" authorId="3" shapeId="0" xr:uid="{00000000-0006-0000-0700-00005C000000}">
      <text>
        <r>
          <rPr>
            <sz val="12"/>
            <color theme="1"/>
            <rFont val="Aptos Narrow"/>
            <family val="2"/>
            <scheme val="minor"/>
          </rPr>
          <t>pc:
Was 20,790,000</t>
        </r>
      </text>
    </comment>
    <comment ref="C24" authorId="1" shapeId="0" xr:uid="{00000000-0006-0000-0700-00005D000000}">
      <text>
        <r>
          <rPr>
            <sz val="12"/>
            <color theme="1"/>
            <rFont val="Aptos Narrow"/>
            <family val="2"/>
            <scheme val="minor"/>
          </rPr>
          <t>Dang Phuong Nam:
Last week was: 20.990.000</t>
        </r>
      </text>
    </comment>
    <comment ref="D24" authorId="1" shapeId="0" xr:uid="{00000000-0006-0000-0700-00005E000000}">
      <text>
        <r>
          <rPr>
            <sz val="12"/>
            <color theme="1"/>
            <rFont val="Aptos Narrow"/>
            <family val="2"/>
            <scheme val="minor"/>
          </rPr>
          <t xml:space="preserve">Đặng Thanh Vượng:
Last week was: 20.890,000	</t>
        </r>
      </text>
    </comment>
    <comment ref="B25" authorId="3" shapeId="0" xr:uid="{00000000-0006-0000-0700-00005F000000}">
      <text>
        <r>
          <rPr>
            <sz val="12"/>
            <color theme="1"/>
            <rFont val="Aptos Narrow"/>
            <family val="2"/>
            <scheme val="minor"/>
          </rPr>
          <t>pc:
Was 5,390,000</t>
        </r>
      </text>
    </comment>
    <comment ref="C25" authorId="1" shapeId="0" xr:uid="{00000000-0006-0000-0700-000060000000}">
      <text>
        <r>
          <rPr>
            <sz val="12"/>
            <color theme="1"/>
            <rFont val="Aptos Narrow"/>
            <family val="2"/>
            <scheme val="minor"/>
          </rPr>
          <t>Dang Phuong Nam:
Last week was: 5.590.000</t>
        </r>
      </text>
    </comment>
    <comment ref="D25" authorId="1" shapeId="0" xr:uid="{00000000-0006-0000-0700-000061000000}">
      <text>
        <r>
          <rPr>
            <sz val="12"/>
            <color theme="1"/>
            <rFont val="Aptos Narrow"/>
            <family val="2"/>
            <scheme val="minor"/>
          </rPr>
          <t xml:space="preserve">Đặng Thanh Vượng:
Last week was: 5.540,000	</t>
        </r>
      </text>
    </comment>
    <comment ref="E25" authorId="0" shapeId="0" xr:uid="{00000000-0006-0000-0700-000062000000}">
      <text>
        <r>
          <rPr>
            <sz val="12"/>
            <color theme="1"/>
            <rFont val="Aptos Narrow"/>
            <family val="2"/>
            <scheme val="minor"/>
          </rPr>
          <t>Microsoft Office User:
Last week was:
5.290.000đ</t>
        </r>
      </text>
    </comment>
    <comment ref="E26" authorId="0" shapeId="0" xr:uid="{00000000-0006-0000-0700-000063000000}">
      <text>
        <r>
          <rPr>
            <sz val="12"/>
            <color theme="1"/>
            <rFont val="Aptos Narrow"/>
            <family val="2"/>
            <scheme val="minor"/>
          </rPr>
          <t>Microsoft Office User:
Last week was:
3.790.000đ</t>
        </r>
      </text>
    </comment>
    <comment ref="B27" authorId="1" shapeId="0" xr:uid="{00000000-0006-0000-0700-000064000000}">
      <text>
        <r>
          <rPr>
            <sz val="12"/>
            <color theme="1"/>
            <rFont val="Aptos Narrow"/>
            <family val="2"/>
            <scheme val="minor"/>
          </rPr>
          <t>Dang Phuong Nam:
2.690.000</t>
        </r>
      </text>
    </comment>
    <comment ref="C27" authorId="1" shapeId="0" xr:uid="{00000000-0006-0000-0700-000065000000}">
      <text>
        <r>
          <rPr>
            <sz val="12"/>
            <color theme="1"/>
            <rFont val="Aptos Narrow"/>
            <family val="2"/>
            <scheme val="minor"/>
          </rPr>
          <t>Dang Phuong Nam:
2.690.000</t>
        </r>
      </text>
    </comment>
    <comment ref="D27" authorId="1" shapeId="0" xr:uid="{00000000-0006-0000-0700-000066000000}">
      <text>
        <r>
          <rPr>
            <sz val="12"/>
            <color theme="1"/>
            <rFont val="Aptos Narrow"/>
            <family val="2"/>
            <scheme val="minor"/>
          </rPr>
          <t xml:space="preserve">Đặng Thanh Vượng:
Last week was: 2.690,000	</t>
        </r>
      </text>
    </comment>
    <comment ref="I27" authorId="0" shapeId="0" xr:uid="{00000000-0006-0000-0700-000067000000}">
      <text>
        <r>
          <rPr>
            <sz val="12"/>
            <color theme="1"/>
            <rFont val="Aptos Narrow"/>
            <family val="2"/>
            <scheme val="minor"/>
          </rPr>
          <t>Microsoft Office User:
last week was
2,551k</t>
        </r>
      </text>
    </comment>
    <comment ref="B28" authorId="3" shapeId="0" xr:uid="{00000000-0006-0000-0700-000068000000}">
      <text>
        <r>
          <rPr>
            <sz val="12"/>
            <color theme="1"/>
            <rFont val="Aptos Narrow"/>
            <family val="2"/>
            <scheme val="minor"/>
          </rPr>
          <t>pc:
Was 18,800,000</t>
        </r>
      </text>
    </comment>
    <comment ref="C28" authorId="1" shapeId="0" xr:uid="{00000000-0006-0000-0700-000069000000}">
      <text>
        <r>
          <rPr>
            <sz val="12"/>
            <color theme="1"/>
            <rFont val="Aptos Narrow"/>
            <family val="2"/>
            <scheme val="minor"/>
          </rPr>
          <t>Dang Phuong Nam:
Last week was: 
18.990.000</t>
        </r>
      </text>
    </comment>
    <comment ref="D28" authorId="1" shapeId="0" xr:uid="{00000000-0006-0000-0700-00006A000000}">
      <text>
        <r>
          <rPr>
            <sz val="12"/>
            <color theme="1"/>
            <rFont val="Aptos Narrow"/>
            <family val="2"/>
            <scheme val="minor"/>
          </rPr>
          <t xml:space="preserve">Đặng Thanh Vượng:
Last week was: 18.690,000	</t>
        </r>
      </text>
    </comment>
    <comment ref="F28" authorId="2" shapeId="0" xr:uid="{00000000-0006-0000-0700-00006B000000}">
      <text>
        <r>
          <rPr>
            <sz val="12"/>
            <color theme="1"/>
            <rFont val="Aptos Narrow"/>
            <family val="2"/>
            <scheme val="minor"/>
          </rPr>
          <t>Duy Nguyen:
last week was 18,490,000</t>
        </r>
      </text>
    </comment>
    <comment ref="B29" authorId="3" shapeId="0" xr:uid="{00000000-0006-0000-0700-00006C000000}">
      <text>
        <r>
          <rPr>
            <sz val="12"/>
            <color theme="1"/>
            <rFont val="Aptos Narrow"/>
            <family val="2"/>
            <scheme val="minor"/>
          </rPr>
          <t>pc:
Was 23,790,000</t>
        </r>
      </text>
    </comment>
    <comment ref="C29" authorId="1" shapeId="0" xr:uid="{00000000-0006-0000-0700-00006D000000}">
      <text>
        <r>
          <rPr>
            <sz val="12"/>
            <color theme="1"/>
            <rFont val="Aptos Narrow"/>
            <family val="2"/>
            <scheme val="minor"/>
          </rPr>
          <t>Dang Phuong Nam:
Last week was: 23.890.000</t>
        </r>
      </text>
    </comment>
    <comment ref="D29" authorId="1" shapeId="0" xr:uid="{00000000-0006-0000-0700-00006E000000}">
      <text>
        <r>
          <rPr>
            <sz val="12"/>
            <color theme="1"/>
            <rFont val="Aptos Narrow"/>
            <family val="2"/>
            <scheme val="minor"/>
          </rPr>
          <t xml:space="preserve">Đặng Thanh Vượng:
Last week was: 23.990,000	</t>
        </r>
      </text>
    </comment>
    <comment ref="F29" authorId="2" shapeId="0" xr:uid="{00000000-0006-0000-0700-00006F000000}">
      <text>
        <r>
          <rPr>
            <sz val="12"/>
            <color theme="1"/>
            <rFont val="Aptos Narrow"/>
            <family val="2"/>
            <scheme val="minor"/>
          </rPr>
          <t>Duy Nguyen:
last week was 23,890,000</t>
        </r>
      </text>
    </comment>
    <comment ref="I29" authorId="0" shapeId="0" xr:uid="{00000000-0006-0000-0700-000070000000}">
      <text>
        <r>
          <rPr>
            <sz val="12"/>
            <color theme="1"/>
            <rFont val="Aptos Narrow"/>
            <family val="2"/>
            <scheme val="minor"/>
          </rPr>
          <t>Microsoft Office User:
last week was
23,490k</t>
        </r>
      </text>
    </comment>
    <comment ref="B30" authorId="3" shapeId="0" xr:uid="{00000000-0006-0000-0700-000071000000}">
      <text>
        <r>
          <rPr>
            <sz val="12"/>
            <color theme="1"/>
            <rFont val="Aptos Narrow"/>
            <family val="2"/>
            <scheme val="minor"/>
          </rPr>
          <t>pc:
Was 26,918,000</t>
        </r>
      </text>
    </comment>
    <comment ref="C30" authorId="1" shapeId="0" xr:uid="{00000000-0006-0000-0700-000072000000}">
      <text>
        <r>
          <rPr>
            <sz val="12"/>
            <color theme="1"/>
            <rFont val="Aptos Narrow"/>
            <family val="2"/>
            <scheme val="minor"/>
          </rPr>
          <t>Dang Phuong Nam:
Last week was: 27.190.000</t>
        </r>
      </text>
    </comment>
    <comment ref="D30" authorId="1" shapeId="0" xr:uid="{00000000-0006-0000-0700-000073000000}">
      <text>
        <r>
          <rPr>
            <sz val="12"/>
            <color theme="1"/>
            <rFont val="Aptos Narrow"/>
            <family val="2"/>
            <scheme val="minor"/>
          </rPr>
          <t xml:space="preserve">Đặng Thanh Vượng:
Last week was: 27.190,000	</t>
        </r>
      </text>
    </comment>
    <comment ref="F30" authorId="2" shapeId="0" xr:uid="{00000000-0006-0000-0700-000074000000}">
      <text>
        <r>
          <rPr>
            <sz val="12"/>
            <color theme="1"/>
            <rFont val="Aptos Narrow"/>
            <family val="2"/>
            <scheme val="minor"/>
          </rPr>
          <t>Duy Nguyen:
last week was 26,390,000</t>
        </r>
      </text>
    </comment>
    <comment ref="B31" authorId="3" shapeId="0" xr:uid="{00000000-0006-0000-0700-000075000000}">
      <text>
        <r>
          <rPr>
            <sz val="12"/>
            <color theme="1"/>
            <rFont val="Aptos Narrow"/>
            <family val="2"/>
            <scheme val="minor"/>
          </rPr>
          <t>pc:
Was 31,290,000</t>
        </r>
      </text>
    </comment>
    <comment ref="C31" authorId="1" shapeId="0" xr:uid="{00000000-0006-0000-0700-000076000000}">
      <text>
        <r>
          <rPr>
            <sz val="12"/>
            <color theme="1"/>
            <rFont val="Aptos Narrow"/>
            <family val="2"/>
            <scheme val="minor"/>
          </rPr>
          <t>Dang Phuong Nam:
Last week was: 
31.490.000</t>
        </r>
      </text>
    </comment>
    <comment ref="D31" authorId="1" shapeId="0" xr:uid="{00000000-0006-0000-0700-000077000000}">
      <text>
        <r>
          <rPr>
            <sz val="12"/>
            <color theme="1"/>
            <rFont val="Aptos Narrow"/>
            <family val="2"/>
            <scheme val="minor"/>
          </rPr>
          <t xml:space="preserve">Đặng Thanh Vượng:
Last week was: 31.190,000	</t>
        </r>
      </text>
    </comment>
    <comment ref="C32" authorId="1" shapeId="0" xr:uid="{00000000-0006-0000-0700-000078000000}">
      <text>
        <r>
          <rPr>
            <sz val="12"/>
            <color theme="1"/>
            <rFont val="Aptos Narrow"/>
            <family val="2"/>
            <scheme val="minor"/>
          </rPr>
          <t>Dang Phuong Nam:
Last week was: 38.490.000</t>
        </r>
      </text>
    </comment>
    <comment ref="D32" authorId="1" shapeId="0" xr:uid="{00000000-0006-0000-0700-000079000000}">
      <text>
        <r>
          <rPr>
            <sz val="12"/>
            <color theme="1"/>
            <rFont val="Aptos Narrow"/>
            <family val="2"/>
            <scheme val="minor"/>
          </rPr>
          <t xml:space="preserve">Đặng Thanh Vượng:
Last week was: 38.190,000	</t>
        </r>
      </text>
    </comment>
    <comment ref="F32" authorId="2" shapeId="0" xr:uid="{00000000-0006-0000-0700-00007A000000}">
      <text>
        <r>
          <rPr>
            <sz val="12"/>
            <color theme="1"/>
            <rFont val="Aptos Narrow"/>
            <family val="2"/>
            <scheme val="minor"/>
          </rPr>
          <t>Duy Nguyen:
last week was 37,490,000</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chit trang</author>
    <author>Người dùng Khách</author>
    <author>danielnguyen6111998@gmail.com</author>
    <author>Dat's MacBook Pro</author>
    <author>Microsoft Office User</author>
    <author>Việt Hoàng</author>
    <author>Duy</author>
    <author>Tran Dat</author>
  </authors>
  <commentList>
    <comment ref="D3" authorId="0" shapeId="0" xr:uid="{00000000-0006-0000-0800-000001000000}">
      <text>
        <r>
          <rPr>
            <sz val="12"/>
            <color theme="1"/>
            <rFont val="Aptos Narrow"/>
            <family val="2"/>
            <scheme val="minor"/>
          </rPr>
          <t>chit trang:
30.890</t>
        </r>
      </text>
    </comment>
    <comment ref="F3" authorId="1" shapeId="0" xr:uid="{00000000-0006-0000-0800-000002000000}">
      <text>
        <r>
          <rPr>
            <sz val="12"/>
            <color theme="1"/>
            <rFont val="Aptos Narrow"/>
            <family val="2"/>
            <scheme val="minor"/>
          </rPr>
          <t>Người dùng Không xác định:
31.990</t>
        </r>
      </text>
    </comment>
    <comment ref="D4" authorId="1" shapeId="0" xr:uid="{00000000-0006-0000-0800-000003000000}">
      <text>
        <r>
          <rPr>
            <sz val="12"/>
            <color theme="1"/>
            <rFont val="Aptos Narrow"/>
            <family val="2"/>
            <scheme val="minor"/>
          </rPr>
          <t>Người dùng Không xác định:
34.990</t>
        </r>
      </text>
    </comment>
    <comment ref="F4" authorId="2" shapeId="0" xr:uid="{00000000-0006-0000-0800-000004000000}">
      <text>
        <r>
          <rPr>
            <sz val="12"/>
            <color theme="1"/>
            <rFont val="Aptos Narrow"/>
            <family val="2"/>
            <scheme val="minor"/>
          </rPr>
          <t>danielnguyen6111998@gmail.com:
34790000</t>
        </r>
      </text>
    </comment>
    <comment ref="G4" authorId="3" shapeId="0" xr:uid="{00000000-0006-0000-0800-000005000000}">
      <text>
        <r>
          <rPr>
            <sz val="12"/>
            <color theme="1"/>
            <rFont val="Aptos Narrow"/>
            <family val="2"/>
            <scheme val="minor"/>
          </rPr>
          <t>Dat's MacBook Pro:
34790</t>
        </r>
      </text>
    </comment>
    <comment ref="G5" authorId="3" shapeId="0" xr:uid="{00000000-0006-0000-0800-000006000000}">
      <text>
        <r>
          <rPr>
            <sz val="12"/>
            <color theme="1"/>
            <rFont val="Aptos Narrow"/>
            <family val="2"/>
            <scheme val="minor"/>
          </rPr>
          <t>Dat's MacBook Pro:
37990</t>
        </r>
      </text>
    </comment>
    <comment ref="G6" authorId="3" shapeId="0" xr:uid="{00000000-0006-0000-0800-000007000000}">
      <text>
        <r>
          <rPr>
            <sz val="12"/>
            <color theme="1"/>
            <rFont val="Aptos Narrow"/>
            <family val="2"/>
            <scheme val="minor"/>
          </rPr>
          <t>Dat's MacBook Pro:
15290</t>
        </r>
      </text>
    </comment>
    <comment ref="D7" authorId="1" shapeId="0" xr:uid="{00000000-0006-0000-0800-000008000000}">
      <text>
        <r>
          <rPr>
            <sz val="12"/>
            <color theme="1"/>
            <rFont val="Aptos Narrow"/>
            <family val="2"/>
            <scheme val="minor"/>
          </rPr>
          <t>Người dùng Không xác định:
21.090</t>
        </r>
      </text>
    </comment>
    <comment ref="F7" authorId="1" shapeId="0" xr:uid="{00000000-0006-0000-0800-000009000000}">
      <text>
        <r>
          <rPr>
            <sz val="12"/>
            <color theme="1"/>
            <rFont val="Aptos Narrow"/>
            <family val="2"/>
            <scheme val="minor"/>
          </rPr>
          <t>Người dùng Không xác định:
20990000</t>
        </r>
      </text>
    </comment>
    <comment ref="B8" authorId="4" shapeId="0" xr:uid="{00000000-0006-0000-0800-00000A000000}">
      <text>
        <r>
          <rPr>
            <sz val="12"/>
            <color theme="1"/>
            <rFont val="Aptos Narrow"/>
            <family val="2"/>
            <scheme val="minor"/>
          </rPr>
          <t>was 24640000
VNP150</t>
        </r>
      </text>
    </comment>
    <comment ref="G8" authorId="3" shapeId="0" xr:uid="{00000000-0006-0000-0800-00000B000000}">
      <text>
        <r>
          <rPr>
            <sz val="12"/>
            <color theme="1"/>
            <rFont val="Aptos Narrow"/>
            <family val="2"/>
            <scheme val="minor"/>
          </rPr>
          <t>Dat's MacBook Pro:
23.990</t>
        </r>
      </text>
    </comment>
    <comment ref="B10" authorId="4" shapeId="0" xr:uid="{00000000-0006-0000-0800-00000C000000}">
      <text>
        <r>
          <rPr>
            <sz val="12"/>
            <color theme="1"/>
            <rFont val="Aptos Narrow"/>
            <family val="2"/>
            <scheme val="minor"/>
          </rPr>
          <t>Tặng phiếu mua hàng mua AirPods và Apple Watch trị giá 500,000đ
 Phiếu mua hàng mua sản phẩm giá niêm yết từ 5 triệu thuộc các nhóm TAI NGHE - LOA hãng HARMAN KARDON, JBL,MONSTER, KLIPSCH, MARSHALL, SONY; Smartwatch hãng HUAWEI, GARMIN, SAMSUNG, IMOO, OPPO, AMAZFIT trị giá 500.000đ</t>
        </r>
      </text>
    </comment>
    <comment ref="D10" authorId="5" shapeId="0" xr:uid="{00000000-0006-0000-0800-00000D000000}">
      <text>
        <r>
          <rPr>
            <sz val="12"/>
            <color theme="1"/>
            <rFont val="Aptos Narrow"/>
            <family val="2"/>
            <scheme val="minor"/>
          </rPr>
          <t>Việt Hoàng:
30.5900</t>
        </r>
      </text>
    </comment>
    <comment ref="F10" authorId="2" shapeId="0" xr:uid="{00000000-0006-0000-0800-00000E000000}">
      <text>
        <r>
          <rPr>
            <sz val="12"/>
            <color theme="1"/>
            <rFont val="Aptos Narrow"/>
            <family val="2"/>
            <scheme val="minor"/>
          </rPr>
          <t>danielnguyen6111998@gmail.com:
30390000</t>
        </r>
      </text>
    </comment>
    <comment ref="G10" authorId="3" shapeId="0" xr:uid="{00000000-0006-0000-0800-00000F000000}">
      <text>
        <r>
          <rPr>
            <sz val="12"/>
            <color theme="1"/>
            <rFont val="Aptos Narrow"/>
            <family val="2"/>
            <scheme val="minor"/>
          </rPr>
          <t>Dat's MacBook Pro:
30390</t>
        </r>
      </text>
    </comment>
    <comment ref="D11" authorId="0" shapeId="0" xr:uid="{00000000-0006-0000-0800-000010000000}">
      <text>
        <r>
          <rPr>
            <sz val="12"/>
            <color theme="1"/>
            <rFont val="Aptos Narrow"/>
            <family val="2"/>
            <scheme val="minor"/>
          </rPr>
          <t>chit trang:
17.090k</t>
        </r>
      </text>
    </comment>
    <comment ref="F11" authorId="1" shapeId="0" xr:uid="{00000000-0006-0000-0800-000011000000}">
      <text>
        <r>
          <rPr>
            <sz val="12"/>
            <color theme="1"/>
            <rFont val="Aptos Narrow"/>
            <family val="2"/>
            <scheme val="minor"/>
          </rPr>
          <t>Người dùng Không xác định:
16990000</t>
        </r>
      </text>
    </comment>
    <comment ref="F12" authorId="1" shapeId="0" xr:uid="{00000000-0006-0000-0800-000012000000}">
      <text>
        <r>
          <rPr>
            <sz val="12"/>
            <color theme="1"/>
            <rFont val="Aptos Narrow"/>
            <family val="2"/>
            <scheme val="minor"/>
          </rPr>
          <t>Người dùng Không xác định:
18.990</t>
        </r>
      </text>
    </comment>
    <comment ref="D13" authorId="1" shapeId="0" xr:uid="{00000000-0006-0000-0800-000013000000}">
      <text>
        <r>
          <rPr>
            <sz val="12"/>
            <color theme="1"/>
            <rFont val="Aptos Narrow"/>
            <family val="2"/>
            <scheme val="minor"/>
          </rPr>
          <t>Người dùng Không xác định:
13.690</t>
        </r>
      </text>
    </comment>
    <comment ref="F13" authorId="1" shapeId="0" xr:uid="{00000000-0006-0000-0800-000014000000}">
      <text>
        <r>
          <rPr>
            <sz val="12"/>
            <color theme="1"/>
            <rFont val="Aptos Narrow"/>
            <family val="2"/>
            <scheme val="minor"/>
          </rPr>
          <t>Người dùng Không xác định:
13590000</t>
        </r>
      </text>
    </comment>
    <comment ref="B14" authorId="4" shapeId="0" xr:uid="{00000000-0006-0000-0800-000015000000}">
      <text>
        <r>
          <rPr>
            <sz val="12"/>
            <color theme="1"/>
            <rFont val="Aptos Narrow"/>
            <family val="2"/>
            <scheme val="minor"/>
          </rPr>
          <t>was 13190
VNP100</t>
        </r>
      </text>
    </comment>
    <comment ref="D14" authorId="1" shapeId="0" xr:uid="{00000000-0006-0000-0800-000016000000}">
      <text>
        <r>
          <rPr>
            <sz val="12"/>
            <color theme="1"/>
            <rFont val="Aptos Narrow"/>
            <family val="2"/>
            <scheme val="minor"/>
          </rPr>
          <t>Người dùng Không xác định:
12.090</t>
        </r>
      </text>
    </comment>
    <comment ref="F14" authorId="1" shapeId="0" xr:uid="{00000000-0006-0000-0800-000017000000}">
      <text>
        <r>
          <rPr>
            <sz val="12"/>
            <color theme="1"/>
            <rFont val="Aptos Narrow"/>
            <family val="2"/>
            <scheme val="minor"/>
          </rPr>
          <t>Người dùng Không xác định:
12090000</t>
        </r>
      </text>
    </comment>
    <comment ref="B16" authorId="4" shapeId="0" xr:uid="{00000000-0006-0000-0800-000018000000}">
      <text>
        <r>
          <rPr>
            <sz val="12"/>
            <color theme="1"/>
            <rFont val="Aptos Narrow"/>
            <family val="2"/>
            <scheme val="minor"/>
          </rPr>
          <t>was 7040
VNP40</t>
        </r>
      </text>
    </comment>
    <comment ref="C16" authorId="6" shapeId="0" xr:uid="{00000000-0006-0000-0800-000019000000}">
      <text>
        <r>
          <rPr>
            <sz val="12"/>
            <color theme="1"/>
            <rFont val="Aptos Narrow"/>
            <family val="2"/>
            <scheme val="minor"/>
          </rPr>
          <t>W8 8790</t>
        </r>
      </text>
    </comment>
    <comment ref="D16" authorId="0" shapeId="0" xr:uid="{00000000-0006-0000-0800-00001A000000}">
      <text>
        <r>
          <rPr>
            <sz val="12"/>
            <color theme="1"/>
            <rFont val="Aptos Narrow"/>
            <family val="2"/>
            <scheme val="minor"/>
          </rPr>
          <t>chit trang:
8.790</t>
        </r>
      </text>
    </comment>
    <comment ref="E16" authorId="4" shapeId="0" xr:uid="{00000000-0006-0000-0800-00001B000000}">
      <text>
        <r>
          <rPr>
            <sz val="12"/>
            <color theme="1"/>
            <rFont val="Aptos Narrow"/>
            <family val="2"/>
            <scheme val="minor"/>
          </rPr>
          <t>was 8790
Giả 200K HSSV</t>
        </r>
      </text>
    </comment>
    <comment ref="F16" authorId="1" shapeId="0" xr:uid="{00000000-0006-0000-0800-00001C000000}">
      <text>
        <r>
          <rPr>
            <sz val="12"/>
            <color theme="1"/>
            <rFont val="Aptos Narrow"/>
            <family val="2"/>
            <scheme val="minor"/>
          </rPr>
          <t>Người dùng Không xác định:
8.790</t>
        </r>
      </text>
    </comment>
    <comment ref="G16" authorId="7" shapeId="0" xr:uid="{00000000-0006-0000-0800-00001D000000}">
      <text>
        <r>
          <rPr>
            <sz val="12"/>
            <color theme="1"/>
            <rFont val="Aptos Narrow"/>
            <family val="2"/>
            <scheme val="minor"/>
          </rPr>
          <t>8990</t>
        </r>
      </text>
    </comment>
    <comment ref="B17" authorId="4" shapeId="0" xr:uid="{00000000-0006-0000-0800-00001E000000}">
      <text>
        <r>
          <rPr>
            <sz val="12"/>
            <color theme="1"/>
            <rFont val="Aptos Narrow"/>
            <family val="2"/>
            <scheme val="minor"/>
          </rPr>
          <t>was 14390</t>
        </r>
      </text>
    </comment>
    <comment ref="C17" authorId="6" shapeId="0" xr:uid="{00000000-0006-0000-0800-00001F000000}">
      <text>
        <r>
          <rPr>
            <sz val="12"/>
            <color theme="1"/>
            <rFont val="Aptos Narrow"/>
            <family val="2"/>
            <scheme val="minor"/>
          </rPr>
          <t>W8 13490</t>
        </r>
      </text>
    </comment>
    <comment ref="D17" authorId="1" shapeId="0" xr:uid="{00000000-0006-0000-0800-000020000000}">
      <text>
        <r>
          <rPr>
            <sz val="12"/>
            <color theme="1"/>
            <rFont val="Aptos Narrow"/>
            <family val="2"/>
            <scheme val="minor"/>
          </rPr>
          <t>Người dùng Không xác định:
13.690</t>
        </r>
      </text>
    </comment>
    <comment ref="E17" authorId="4" shapeId="0" xr:uid="{00000000-0006-0000-0800-000021000000}">
      <text>
        <r>
          <rPr>
            <sz val="12"/>
            <color theme="1"/>
            <rFont val="Aptos Narrow"/>
            <family val="2"/>
            <scheme val="minor"/>
          </rPr>
          <t>was 13290
hssv 200</t>
        </r>
      </text>
    </comment>
    <comment ref="F17" authorId="1" shapeId="0" xr:uid="{00000000-0006-0000-0800-000022000000}">
      <text>
        <r>
          <rPr>
            <sz val="12"/>
            <color theme="1"/>
            <rFont val="Aptos Narrow"/>
            <family val="2"/>
            <scheme val="minor"/>
          </rPr>
          <t>Người dùng Không xác định:
13690</t>
        </r>
      </text>
    </comment>
    <comment ref="G17" authorId="7" shapeId="0" xr:uid="{00000000-0006-0000-0800-000023000000}">
      <text>
        <r>
          <rPr>
            <sz val="12"/>
            <color theme="1"/>
            <rFont val="Aptos Narrow"/>
            <family val="2"/>
            <scheme val="minor"/>
          </rPr>
          <t>15690</t>
        </r>
      </text>
    </comment>
    <comment ref="C18" authorId="6" shapeId="0" xr:uid="{00000000-0006-0000-0800-000024000000}">
      <text>
        <r>
          <rPr>
            <sz val="12"/>
            <color theme="1"/>
            <rFont val="Aptos Narrow"/>
            <family val="2"/>
            <scheme val="minor"/>
          </rPr>
          <t>W8 19090</t>
        </r>
      </text>
    </comment>
    <comment ref="G18" authorId="7" shapeId="0" xr:uid="{00000000-0006-0000-0800-000025000000}">
      <text>
        <r>
          <rPr>
            <sz val="12"/>
            <color theme="1"/>
            <rFont val="Aptos Narrow"/>
            <family val="2"/>
            <scheme val="minor"/>
          </rPr>
          <t xml:space="preserve">Tran Dat:
19990
</t>
        </r>
      </text>
    </comment>
    <comment ref="F19" authorId="1" shapeId="0" xr:uid="{00000000-0006-0000-0800-000026000000}">
      <text>
        <r>
          <rPr>
            <sz val="12"/>
            <color theme="1"/>
            <rFont val="Aptos Narrow"/>
            <family val="2"/>
            <scheme val="minor"/>
          </rPr>
          <t>Người dùng Không xác định:
27.890</t>
        </r>
      </text>
    </comment>
    <comment ref="B20" authorId="4" shapeId="0" xr:uid="{00000000-0006-0000-0800-000027000000}">
      <text>
        <r>
          <rPr>
            <sz val="12"/>
            <color theme="1"/>
            <rFont val="Aptos Narrow"/>
            <family val="2"/>
            <scheme val="minor"/>
          </rPr>
          <t>was 36640</t>
        </r>
      </text>
    </comment>
    <comment ref="F20" authorId="1" shapeId="0" xr:uid="{00000000-0006-0000-0800-000028000000}">
      <text>
        <r>
          <rPr>
            <sz val="12"/>
            <color theme="1"/>
            <rFont val="Aptos Narrow"/>
            <family val="2"/>
            <scheme val="minor"/>
          </rPr>
          <t>Người dùng Không xác định:
35.890</t>
        </r>
      </text>
    </comment>
    <comment ref="C23" authorId="6" shapeId="0" xr:uid="{00000000-0006-0000-0800-000029000000}">
      <text>
        <r>
          <rPr>
            <sz val="12"/>
            <color theme="1"/>
            <rFont val="Aptos Narrow"/>
            <family val="2"/>
            <scheme val="minor"/>
          </rPr>
          <t>W8 6690</t>
        </r>
      </text>
    </comment>
    <comment ref="D23" authorId="1" shapeId="0" xr:uid="{00000000-0006-0000-0800-00002A000000}">
      <text>
        <r>
          <rPr>
            <sz val="12"/>
            <color theme="1"/>
            <rFont val="Aptos Narrow"/>
            <family val="2"/>
            <scheme val="minor"/>
          </rPr>
          <t>Người dùng Không xác định:
6.690</t>
        </r>
      </text>
    </comment>
    <comment ref="E23" authorId="4" shapeId="0" xr:uid="{00000000-0006-0000-0800-00002B000000}">
      <text>
        <r>
          <rPr>
            <sz val="12"/>
            <color theme="1"/>
            <rFont val="Aptos Narrow"/>
            <family val="2"/>
            <scheme val="minor"/>
          </rPr>
          <t>was 6690</t>
        </r>
      </text>
    </comment>
    <comment ref="F23" authorId="1" shapeId="0" xr:uid="{00000000-0006-0000-0800-00002C000000}">
      <text>
        <r>
          <rPr>
            <sz val="12"/>
            <color theme="1"/>
            <rFont val="Aptos Narrow"/>
            <family val="2"/>
            <scheme val="minor"/>
          </rPr>
          <t>Người dùng Không xác định:
6390000</t>
        </r>
      </text>
    </comment>
    <comment ref="G23" authorId="7" shapeId="0" xr:uid="{00000000-0006-0000-0800-00002D000000}">
      <text>
        <r>
          <rPr>
            <sz val="12"/>
            <color theme="1"/>
            <rFont val="Aptos Narrow"/>
            <family val="2"/>
            <scheme val="minor"/>
          </rPr>
          <t>Tran Dat:
6990</t>
        </r>
      </text>
    </comment>
    <comment ref="D24" authorId="1" shapeId="0" xr:uid="{00000000-0006-0000-0800-00002E000000}">
      <text>
        <r>
          <rPr>
            <sz val="12"/>
            <color theme="1"/>
            <rFont val="Aptos Narrow"/>
            <family val="2"/>
            <scheme val="minor"/>
          </rPr>
          <t>Người dùng Không xác định:
8.490k</t>
        </r>
      </text>
    </comment>
    <comment ref="E24" authorId="4" shapeId="0" xr:uid="{00000000-0006-0000-0800-00002F000000}">
      <text>
        <r>
          <rPr>
            <sz val="12"/>
            <color theme="1"/>
            <rFont val="Aptos Narrow"/>
            <family val="2"/>
            <scheme val="minor"/>
          </rPr>
          <t xml:space="preserve">was 8190
</t>
        </r>
      </text>
    </comment>
    <comment ref="F24" authorId="2" shapeId="0" xr:uid="{00000000-0006-0000-0800-000030000000}">
      <text>
        <r>
          <rPr>
            <sz val="12"/>
            <color theme="1"/>
            <rFont val="Aptos Narrow"/>
            <family val="2"/>
            <scheme val="minor"/>
          </rPr>
          <t>danielnguyen6111998@gmail.com:
8290000</t>
        </r>
      </text>
    </comment>
    <comment ref="C25" authorId="6" shapeId="0" xr:uid="{00000000-0006-0000-0800-000031000000}">
      <text>
        <r>
          <rPr>
            <sz val="12"/>
            <color theme="1"/>
            <rFont val="Aptos Narrow"/>
            <family val="2"/>
            <scheme val="minor"/>
          </rPr>
          <t>W8 7650</t>
        </r>
      </text>
    </comment>
    <comment ref="D25" authorId="0" shapeId="0" xr:uid="{00000000-0006-0000-0800-000032000000}">
      <text>
        <r>
          <rPr>
            <sz val="12"/>
            <color theme="1"/>
            <rFont val="Aptos Narrow"/>
            <family val="2"/>
            <scheme val="minor"/>
          </rPr>
          <t>chit trang:
7.890</t>
        </r>
      </text>
    </comment>
    <comment ref="E25" authorId="4" shapeId="0" xr:uid="{00000000-0006-0000-0800-000033000000}">
      <text>
        <r>
          <rPr>
            <sz val="12"/>
            <color theme="1"/>
            <rFont val="Aptos Narrow"/>
            <family val="2"/>
            <scheme val="minor"/>
          </rPr>
          <t>was 7690</t>
        </r>
      </text>
    </comment>
    <comment ref="F25" authorId="2" shapeId="0" xr:uid="{00000000-0006-0000-0800-000034000000}">
      <text>
        <r>
          <rPr>
            <sz val="12"/>
            <color theme="1"/>
            <rFont val="Aptos Narrow"/>
            <family val="2"/>
            <scheme val="minor"/>
          </rPr>
          <t>danielnguyen6111998@gmail.com:
7390000</t>
        </r>
      </text>
    </comment>
    <comment ref="G25" authorId="7" shapeId="0" xr:uid="{00000000-0006-0000-0800-000035000000}">
      <text>
        <r>
          <rPr>
            <sz val="12"/>
            <color theme="1"/>
            <rFont val="Aptos Narrow"/>
            <family val="2"/>
            <scheme val="minor"/>
          </rPr>
          <t>Tran Dat:
7890</t>
        </r>
      </text>
    </comment>
    <comment ref="E26" authorId="4" shapeId="0" xr:uid="{00000000-0006-0000-0800-000036000000}">
      <text>
        <r>
          <rPr>
            <sz val="12"/>
            <color theme="1"/>
            <rFont val="Aptos Narrow"/>
            <family val="2"/>
            <scheme val="minor"/>
          </rPr>
          <t xml:space="preserve">was 8990
</t>
        </r>
      </text>
    </comment>
    <comment ref="C27" authorId="6" shapeId="0" xr:uid="{00000000-0006-0000-0800-000037000000}">
      <text>
        <r>
          <rPr>
            <sz val="12"/>
            <color theme="1"/>
            <rFont val="Aptos Narrow"/>
            <family val="2"/>
            <scheme val="minor"/>
          </rPr>
          <t>W8 11290</t>
        </r>
      </text>
    </comment>
    <comment ref="D27" authorId="1" shapeId="0" xr:uid="{00000000-0006-0000-0800-000038000000}">
      <text>
        <r>
          <rPr>
            <sz val="12"/>
            <color theme="1"/>
            <rFont val="Aptos Narrow"/>
            <family val="2"/>
            <scheme val="minor"/>
          </rPr>
          <t>Người dùng Không xác định:
11.490</t>
        </r>
      </text>
    </comment>
    <comment ref="E27" authorId="4" shapeId="0" xr:uid="{00000000-0006-0000-0800-000039000000}">
      <text>
        <r>
          <rPr>
            <sz val="12"/>
            <color theme="1"/>
            <rFont val="Aptos Narrow"/>
            <family val="2"/>
            <scheme val="minor"/>
          </rPr>
          <t xml:space="preserve">was 11290
</t>
        </r>
      </text>
    </comment>
    <comment ref="F27" authorId="2" shapeId="0" xr:uid="{00000000-0006-0000-0800-00003A000000}">
      <text>
        <r>
          <rPr>
            <sz val="12"/>
            <color theme="1"/>
            <rFont val="Aptos Narrow"/>
            <family val="2"/>
            <scheme val="minor"/>
          </rPr>
          <t>danielnguyen6111998@gmail.com:
10990000</t>
        </r>
      </text>
    </comment>
    <comment ref="D28" authorId="1" shapeId="0" xr:uid="{00000000-0006-0000-0800-00003B000000}">
      <text>
        <r>
          <rPr>
            <sz val="12"/>
            <color theme="1"/>
            <rFont val="Aptos Narrow"/>
            <family val="2"/>
            <scheme val="minor"/>
          </rPr>
          <t>Người dùng Không xác định:
14.490</t>
        </r>
      </text>
    </comment>
    <comment ref="E28" authorId="4" shapeId="0" xr:uid="{00000000-0006-0000-0800-00003C000000}">
      <text>
        <r>
          <rPr>
            <sz val="12"/>
            <color theme="1"/>
            <rFont val="Aptos Narrow"/>
            <family val="2"/>
            <scheme val="minor"/>
          </rPr>
          <t xml:space="preserve">was 14190
</t>
        </r>
      </text>
    </comment>
    <comment ref="D29" authorId="1" shapeId="0" xr:uid="{00000000-0006-0000-0800-00003D000000}">
      <text>
        <r>
          <rPr>
            <sz val="12"/>
            <color theme="1"/>
            <rFont val="Aptos Narrow"/>
            <family val="2"/>
            <scheme val="minor"/>
          </rPr>
          <t>Người dùng Không xác định:
12.390</t>
        </r>
      </text>
    </comment>
    <comment ref="E29" authorId="4" shapeId="0" xr:uid="{00000000-0006-0000-0800-00003E000000}">
      <text>
        <r>
          <rPr>
            <sz val="12"/>
            <color theme="1"/>
            <rFont val="Aptos Narrow"/>
            <family val="2"/>
            <scheme val="minor"/>
          </rPr>
          <t xml:space="preserve">was 12190000
</t>
        </r>
      </text>
    </comment>
    <comment ref="F29" authorId="1" shapeId="0" xr:uid="{00000000-0006-0000-0800-00003F000000}">
      <text>
        <r>
          <rPr>
            <sz val="12"/>
            <color theme="1"/>
            <rFont val="Aptos Narrow"/>
            <family val="2"/>
            <scheme val="minor"/>
          </rPr>
          <t>11990000</t>
        </r>
      </text>
    </comment>
    <comment ref="E30" authorId="4" shapeId="0" xr:uid="{00000000-0006-0000-0800-000040000000}">
      <text>
        <r>
          <rPr>
            <sz val="12"/>
            <color theme="1"/>
            <rFont val="Aptos Narrow"/>
            <family val="2"/>
            <scheme val="minor"/>
          </rPr>
          <t>was 14990</t>
        </r>
      </text>
    </comment>
    <comment ref="F30" authorId="2" shapeId="0" xr:uid="{00000000-0006-0000-0800-000041000000}">
      <text>
        <r>
          <rPr>
            <sz val="12"/>
            <color theme="1"/>
            <rFont val="Aptos Narrow"/>
            <family val="2"/>
            <scheme val="minor"/>
          </rPr>
          <t>danielnguyen6111998@gmail.com:
15349000</t>
        </r>
      </text>
    </comment>
    <comment ref="D31" authorId="0" shapeId="0" xr:uid="{00000000-0006-0000-0800-000042000000}">
      <text>
        <r>
          <rPr>
            <sz val="12"/>
            <color theme="1"/>
            <rFont val="Aptos Narrow"/>
            <family val="2"/>
            <scheme val="minor"/>
          </rPr>
          <t>chit trang:
23.790k</t>
        </r>
      </text>
    </comment>
    <comment ref="B32" authorId="4" shapeId="0" xr:uid="{00000000-0006-0000-0800-000043000000}">
      <text>
        <r>
          <rPr>
            <sz val="12"/>
            <color theme="1"/>
            <rFont val="Aptos Narrow"/>
            <family val="2"/>
            <scheme val="minor"/>
          </rPr>
          <t>was 5550
VNP40</t>
        </r>
      </text>
    </comment>
    <comment ref="C32" authorId="6" shapeId="0" xr:uid="{00000000-0006-0000-0800-000044000000}">
      <text>
        <r>
          <rPr>
            <sz val="12"/>
            <color theme="1"/>
            <rFont val="Aptos Narrow"/>
            <family val="2"/>
            <scheme val="minor"/>
          </rPr>
          <t>W8 5090</t>
        </r>
      </text>
    </comment>
    <comment ref="D32" authorId="0" shapeId="0" xr:uid="{00000000-0006-0000-0800-000045000000}">
      <text>
        <r>
          <rPr>
            <sz val="12"/>
            <color theme="1"/>
            <rFont val="Aptos Narrow"/>
            <family val="2"/>
            <scheme val="minor"/>
          </rPr>
          <t>chit trang:
5.390</t>
        </r>
      </text>
    </comment>
    <comment ref="F32" authorId="1" shapeId="0" xr:uid="{00000000-0006-0000-0800-000046000000}">
      <text>
        <r>
          <rPr>
            <sz val="12"/>
            <color theme="1"/>
            <rFont val="Aptos Narrow"/>
            <family val="2"/>
            <scheme val="minor"/>
          </rPr>
          <t>Người dùng Không xác định:
5090000</t>
        </r>
      </text>
    </comment>
    <comment ref="B33" authorId="4" shapeId="0" xr:uid="{00000000-0006-0000-0800-000047000000}">
      <text>
        <r>
          <rPr>
            <sz val="12"/>
            <color theme="1"/>
            <rFont val="Aptos Narrow"/>
            <family val="2"/>
            <scheme val="minor"/>
          </rPr>
          <t xml:space="preserve">was 4490
</t>
        </r>
      </text>
    </comment>
    <comment ref="C33" authorId="6" shapeId="0" xr:uid="{00000000-0006-0000-0800-000048000000}">
      <text>
        <r>
          <rPr>
            <sz val="12"/>
            <color theme="1"/>
            <rFont val="Aptos Narrow"/>
            <family val="2"/>
            <scheme val="minor"/>
          </rPr>
          <t>W8 4590</t>
        </r>
      </text>
    </comment>
    <comment ref="E33" authorId="4" shapeId="0" xr:uid="{00000000-0006-0000-0800-000049000000}">
      <text>
        <r>
          <rPr>
            <sz val="12"/>
            <color theme="1"/>
            <rFont val="Aptos Narrow"/>
            <family val="2"/>
            <scheme val="minor"/>
          </rPr>
          <t xml:space="preserve">was 4390
</t>
        </r>
      </text>
    </comment>
    <comment ref="F33" authorId="1" shapeId="0" xr:uid="{00000000-0006-0000-0800-00004A000000}">
      <text>
        <r>
          <rPr>
            <sz val="12"/>
            <color theme="1"/>
            <rFont val="Aptos Narrow"/>
            <family val="2"/>
            <scheme val="minor"/>
          </rPr>
          <t>Người dùng Không xác định:
3.090</t>
        </r>
      </text>
    </comment>
    <comment ref="B34" authorId="4" shapeId="0" xr:uid="{00000000-0006-0000-0800-00004B000000}">
      <text>
        <r>
          <rPr>
            <sz val="12"/>
            <color theme="1"/>
            <rFont val="Aptos Narrow"/>
            <family val="2"/>
            <scheme val="minor"/>
          </rPr>
          <t>was 3190</t>
        </r>
      </text>
    </comment>
    <comment ref="C34" authorId="6" shapeId="0" xr:uid="{00000000-0006-0000-0800-00004C000000}">
      <text>
        <r>
          <rPr>
            <sz val="12"/>
            <color theme="1"/>
            <rFont val="Aptos Narrow"/>
            <family val="2"/>
            <scheme val="minor"/>
          </rPr>
          <t>W8 3190</t>
        </r>
      </text>
    </comment>
    <comment ref="D34" authorId="0" shapeId="0" xr:uid="{00000000-0006-0000-0800-00004D000000}">
      <text>
        <r>
          <rPr>
            <sz val="12"/>
            <color theme="1"/>
            <rFont val="Aptos Narrow"/>
            <family val="2"/>
            <scheme val="minor"/>
          </rPr>
          <t>chit trang:
3.390</t>
        </r>
      </text>
    </comment>
    <comment ref="E34" authorId="4" shapeId="0" xr:uid="{00000000-0006-0000-0800-00004E000000}">
      <text>
        <r>
          <rPr>
            <sz val="12"/>
            <color theme="1"/>
            <rFont val="Aptos Narrow"/>
            <family val="2"/>
            <scheme val="minor"/>
          </rPr>
          <t xml:space="preserve">was 2990
</t>
        </r>
      </text>
    </comment>
    <comment ref="G34" authorId="3" shapeId="0" xr:uid="{00000000-0006-0000-0800-00004F000000}">
      <text>
        <r>
          <rPr>
            <sz val="12"/>
            <color theme="1"/>
            <rFont val="Aptos Narrow"/>
            <family val="2"/>
            <scheme val="minor"/>
          </rPr>
          <t>Dat's MacBook Pro:
3390</t>
        </r>
      </text>
    </comment>
    <comment ref="D35" authorId="1" shapeId="0" xr:uid="{00000000-0006-0000-0800-000050000000}">
      <text>
        <r>
          <rPr>
            <sz val="12"/>
            <color theme="1"/>
            <rFont val="Aptos Narrow"/>
            <family val="2"/>
            <scheme val="minor"/>
          </rPr>
          <t>Người dùng Không xác định:
6.790.000</t>
        </r>
      </text>
    </comment>
    <comment ref="F36" authorId="1" shapeId="0" xr:uid="{00000000-0006-0000-0800-000051000000}">
      <text>
        <r>
          <rPr>
            <sz val="12"/>
            <color theme="1"/>
            <rFont val="Aptos Narrow"/>
            <family val="2"/>
            <scheme val="minor"/>
          </rPr>
          <t>Người dùng Không xác định: 19.790</t>
        </r>
      </text>
    </comment>
    <comment ref="D37" authorId="1" shapeId="0" xr:uid="{00000000-0006-0000-0800-000052000000}">
      <text>
        <r>
          <rPr>
            <sz val="12"/>
            <color theme="1"/>
            <rFont val="Aptos Narrow"/>
            <family val="2"/>
            <scheme val="minor"/>
          </rPr>
          <t>Người dùng Không xác định:
25.190k</t>
        </r>
      </text>
    </comment>
    <comment ref="F37" authorId="1" shapeId="0" xr:uid="{00000000-0006-0000-0800-000053000000}">
      <text>
        <r>
          <rPr>
            <sz val="12"/>
            <color theme="1"/>
            <rFont val="Aptos Narrow"/>
            <family val="2"/>
            <scheme val="minor"/>
          </rPr>
          <t>Người dùng Không xác định:
25.190</t>
        </r>
      </text>
    </comment>
    <comment ref="C38" authorId="6" shapeId="0" xr:uid="{00000000-0006-0000-0800-000054000000}">
      <text>
        <r>
          <rPr>
            <sz val="12"/>
            <color theme="1"/>
            <rFont val="Aptos Narrow"/>
            <family val="2"/>
            <scheme val="minor"/>
          </rPr>
          <t>W8 29990</t>
        </r>
      </text>
    </comment>
    <comment ref="D38" authorId="0" shapeId="0" xr:uid="{00000000-0006-0000-0800-000055000000}">
      <text>
        <r>
          <rPr>
            <sz val="12"/>
            <color theme="1"/>
            <rFont val="Aptos Narrow"/>
            <family val="2"/>
            <scheme val="minor"/>
          </rPr>
          <t>chit trang:
29.390</t>
        </r>
      </text>
    </comment>
    <comment ref="G38" authorId="3" shapeId="0" xr:uid="{00000000-0006-0000-0800-000056000000}">
      <text>
        <r>
          <rPr>
            <sz val="12"/>
            <color theme="1"/>
            <rFont val="Aptos Narrow"/>
            <family val="2"/>
            <scheme val="minor"/>
          </rPr>
          <t xml:space="preserve">Dat's MacBook Pro:
29690
</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Microsoft Office User</author>
    <author>Dang Phuong Nam</author>
    <author>Duy Nguyen</author>
    <author>pc</author>
    <author>Nam Khánh</author>
    <author>Windows User</author>
    <author>Administrator</author>
  </authors>
  <commentList>
    <comment ref="B2" authorId="0" shapeId="0" xr:uid="{00000000-0006-0000-0900-000001000000}">
      <text>
        <r>
          <rPr>
            <sz val="12"/>
            <color theme="1"/>
            <rFont val="Aptos Narrow"/>
            <family val="2"/>
            <scheme val="minor"/>
          </rPr>
          <t>Microsoft Office User:
last week was 19,493,000</t>
        </r>
      </text>
    </comment>
    <comment ref="C2" authorId="1" shapeId="0" xr:uid="{00000000-0006-0000-0900-000002000000}">
      <text>
        <r>
          <rPr>
            <sz val="12"/>
            <color theme="1"/>
            <rFont val="Aptos Narrow"/>
            <family val="2"/>
            <scheme val="minor"/>
          </rPr>
          <t>Dang Phuong Nam:
Last week was: 19.690.000</t>
        </r>
      </text>
    </comment>
    <comment ref="D2" authorId="1" shapeId="0" xr:uid="{00000000-0006-0000-0900-000003000000}">
      <text>
        <r>
          <rPr>
            <sz val="12"/>
            <color theme="1"/>
            <rFont val="Aptos Narrow"/>
            <family val="2"/>
            <scheme val="minor"/>
          </rPr>
          <t>Đặng Thanh Vượng:
Last week was: 19.590.000</t>
        </r>
      </text>
    </comment>
    <comment ref="E2" authorId="0" shapeId="0" xr:uid="{00000000-0006-0000-0900-000004000000}">
      <text>
        <r>
          <rPr>
            <sz val="12"/>
            <color theme="1"/>
            <rFont val="Aptos Narrow"/>
            <family val="2"/>
            <scheme val="minor"/>
          </rPr>
          <t xml:space="preserve">Microsoft Office User:
Last week was: 18.490.000đ
</t>
        </r>
      </text>
    </comment>
    <comment ref="F2" authorId="2" shapeId="0" xr:uid="{00000000-0006-0000-0900-000005000000}">
      <text>
        <r>
          <rPr>
            <sz val="12"/>
            <color theme="1"/>
            <rFont val="Aptos Narrow"/>
            <family val="2"/>
            <scheme val="minor"/>
          </rPr>
          <t>Duy Nguyen:
last week was 19,290,000</t>
        </r>
      </text>
    </comment>
    <comment ref="I2" authorId="0" shapeId="0" xr:uid="{00000000-0006-0000-0900-000006000000}">
      <text>
        <r>
          <rPr>
            <sz val="12"/>
            <color theme="1"/>
            <rFont val="Aptos Narrow"/>
            <family val="2"/>
            <scheme val="minor"/>
          </rPr>
          <t>Microsoft Office User:
last week was
18,697k</t>
        </r>
      </text>
    </comment>
    <comment ref="B3" authorId="3" shapeId="0" xr:uid="{00000000-0006-0000-0900-000007000000}">
      <text>
        <r>
          <rPr>
            <sz val="12"/>
            <color theme="1"/>
            <rFont val="Aptos Narrow"/>
            <family val="2"/>
            <scheme val="minor"/>
          </rPr>
          <t>pc:
Was 22,190,000</t>
        </r>
      </text>
    </comment>
    <comment ref="C3" authorId="1" shapeId="0" xr:uid="{00000000-0006-0000-0900-000008000000}">
      <text>
        <r>
          <rPr>
            <sz val="12"/>
            <color theme="1"/>
            <rFont val="Aptos Narrow"/>
            <family val="2"/>
            <scheme val="minor"/>
          </rPr>
          <t>Dang Phuong Nam:
Last week was: 
22.390.000</t>
        </r>
      </text>
    </comment>
    <comment ref="D3" authorId="1" shapeId="0" xr:uid="{00000000-0006-0000-0900-000009000000}">
      <text>
        <r>
          <rPr>
            <sz val="12"/>
            <color theme="1"/>
            <rFont val="Aptos Narrow"/>
            <family val="2"/>
            <scheme val="minor"/>
          </rPr>
          <t>Đặng Thanh Vượng:
Last week was: 22.290.000</t>
        </r>
      </text>
    </comment>
    <comment ref="E3" authorId="0" shapeId="0" xr:uid="{00000000-0006-0000-0900-00000A000000}">
      <text>
        <r>
          <rPr>
            <sz val="12"/>
            <color theme="1"/>
            <rFont val="Aptos Narrow"/>
            <family val="2"/>
            <scheme val="minor"/>
          </rPr>
          <t>Microsoft Office User:
Last week was: 21.990.000đ</t>
        </r>
      </text>
    </comment>
    <comment ref="F3" authorId="2" shapeId="0" xr:uid="{00000000-0006-0000-0900-00000B000000}">
      <text>
        <r>
          <rPr>
            <sz val="12"/>
            <color theme="1"/>
            <rFont val="Aptos Narrow"/>
            <family val="2"/>
            <scheme val="minor"/>
          </rPr>
          <t>Duy Nguyen:
last week was 21,790,000</t>
        </r>
      </text>
    </comment>
    <comment ref="I3" authorId="0" shapeId="0" xr:uid="{00000000-0006-0000-0900-00000C000000}">
      <text>
        <r>
          <rPr>
            <sz val="12"/>
            <color theme="1"/>
            <rFont val="Aptos Narrow"/>
            <family val="2"/>
            <scheme val="minor"/>
          </rPr>
          <t>Microsoft Office User:
last week was
21,329k</t>
        </r>
      </text>
    </comment>
    <comment ref="B4" authorId="0" shapeId="0" xr:uid="{00000000-0006-0000-0900-00000D000000}">
      <text>
        <r>
          <rPr>
            <sz val="12"/>
            <color theme="1"/>
            <rFont val="Aptos Narrow"/>
            <family val="2"/>
            <scheme val="minor"/>
          </rPr>
          <t>Microsoft Office User:
pc
was 25,690,000</t>
        </r>
      </text>
    </comment>
    <comment ref="C4" authorId="1" shapeId="0" xr:uid="{00000000-0006-0000-0900-00000E000000}">
      <text>
        <r>
          <rPr>
            <sz val="12"/>
            <color theme="1"/>
            <rFont val="Aptos Narrow"/>
            <family val="2"/>
            <scheme val="minor"/>
          </rPr>
          <t>Dang Phuong Nam:
Last week was: 25.890.000</t>
        </r>
      </text>
    </comment>
    <comment ref="D4" authorId="1" shapeId="0" xr:uid="{00000000-0006-0000-0900-00000F000000}">
      <text>
        <r>
          <rPr>
            <sz val="12"/>
            <color theme="1"/>
            <rFont val="Aptos Narrow"/>
            <family val="2"/>
            <scheme val="minor"/>
          </rPr>
          <t>Đặng Thanh Vượng:
Last week was: 25.590.000</t>
        </r>
      </text>
    </comment>
    <comment ref="E4" authorId="0" shapeId="0" xr:uid="{00000000-0006-0000-0900-000010000000}">
      <text>
        <r>
          <rPr>
            <sz val="12"/>
            <color theme="1"/>
            <rFont val="Aptos Narrow"/>
            <family val="2"/>
            <scheme val="minor"/>
          </rPr>
          <t>Microsoft Office User:
Last week was: 24.490.000đ</t>
        </r>
      </text>
    </comment>
    <comment ref="F4" authorId="2" shapeId="0" xr:uid="{00000000-0006-0000-0900-000011000000}">
      <text>
        <r>
          <rPr>
            <sz val="12"/>
            <color theme="1"/>
            <rFont val="Aptos Narrow"/>
            <family val="2"/>
            <scheme val="minor"/>
          </rPr>
          <t>Duy Nguyen:
last week was 24,690,000</t>
        </r>
      </text>
    </comment>
    <comment ref="I4" authorId="0" shapeId="0" xr:uid="{00000000-0006-0000-0900-000012000000}">
      <text>
        <r>
          <rPr>
            <sz val="12"/>
            <color theme="1"/>
            <rFont val="Aptos Narrow"/>
            <family val="2"/>
            <scheme val="minor"/>
          </rPr>
          <t>Microsoft Office User:
last week was
24,337k</t>
        </r>
      </text>
    </comment>
    <comment ref="C5" authorId="1" shapeId="0" xr:uid="{00000000-0006-0000-0900-000013000000}">
      <text>
        <r>
          <rPr>
            <sz val="12"/>
            <color theme="1"/>
            <rFont val="Aptos Narrow"/>
            <family val="2"/>
            <scheme val="minor"/>
          </rPr>
          <t>Dang Phuong Nam:
Last week was: 29.990.000</t>
        </r>
      </text>
    </comment>
    <comment ref="D5" authorId="1" shapeId="0" xr:uid="{00000000-0006-0000-0900-000014000000}">
      <text>
        <r>
          <rPr>
            <sz val="12"/>
            <color theme="1"/>
            <rFont val="Aptos Narrow"/>
            <family val="2"/>
            <scheme val="minor"/>
          </rPr>
          <t>Đặng Thanh Vượng:
Last week was: 29.690.000</t>
        </r>
      </text>
    </comment>
    <comment ref="E5" authorId="0" shapeId="0" xr:uid="{00000000-0006-0000-0900-000015000000}">
      <text>
        <r>
          <rPr>
            <sz val="12"/>
            <color theme="1"/>
            <rFont val="Aptos Narrow"/>
            <family val="2"/>
            <scheme val="minor"/>
          </rPr>
          <t>Microsoft Office User:
Last week was: 29.990.000đ</t>
        </r>
      </text>
    </comment>
    <comment ref="F5" authorId="2" shapeId="0" xr:uid="{00000000-0006-0000-0900-000016000000}">
      <text>
        <r>
          <rPr>
            <sz val="12"/>
            <color theme="1"/>
            <rFont val="Aptos Narrow"/>
            <family val="2"/>
            <scheme val="minor"/>
          </rPr>
          <t>Duy Nguyen:
last week was 28,990,000</t>
        </r>
      </text>
    </comment>
    <comment ref="I5" authorId="0" shapeId="0" xr:uid="{00000000-0006-0000-0900-000017000000}">
      <text>
        <r>
          <rPr>
            <sz val="12"/>
            <color theme="1"/>
            <rFont val="Aptos Narrow"/>
            <family val="2"/>
            <scheme val="minor"/>
          </rPr>
          <t>Microsoft Office User:
28,493</t>
        </r>
      </text>
    </comment>
    <comment ref="B6" authorId="3" shapeId="0" xr:uid="{00000000-0006-0000-0900-000018000000}">
      <text>
        <r>
          <rPr>
            <sz val="12"/>
            <color theme="1"/>
            <rFont val="Aptos Narrow"/>
            <family val="2"/>
            <scheme val="minor"/>
          </rPr>
          <t>pc:
Was 19,592,000</t>
        </r>
      </text>
    </comment>
    <comment ref="C6" authorId="1" shapeId="0" xr:uid="{00000000-0006-0000-0900-000019000000}">
      <text>
        <r>
          <rPr>
            <sz val="12"/>
            <color theme="1"/>
            <rFont val="Aptos Narrow"/>
            <family val="2"/>
            <scheme val="minor"/>
          </rPr>
          <t>Dang Phuong Nam:
Last week was: 
19.590.000</t>
        </r>
      </text>
    </comment>
    <comment ref="D6" authorId="1" shapeId="0" xr:uid="{00000000-0006-0000-0900-00001A000000}">
      <text>
        <r>
          <rPr>
            <sz val="12"/>
            <color theme="1"/>
            <rFont val="Aptos Narrow"/>
            <family val="2"/>
            <scheme val="minor"/>
          </rPr>
          <t>Đặng Thanh Vượng:
Last week was: 19.490.000</t>
        </r>
      </text>
    </comment>
    <comment ref="F6" authorId="2" shapeId="0" xr:uid="{00000000-0006-0000-0900-00001B000000}">
      <text>
        <r>
          <rPr>
            <sz val="12"/>
            <color theme="1"/>
            <rFont val="Aptos Narrow"/>
            <family val="2"/>
            <scheme val="minor"/>
          </rPr>
          <t>Duy Nguyen:
last week was 19,190,000</t>
        </r>
      </text>
    </comment>
    <comment ref="B7" authorId="3" shapeId="0" xr:uid="{00000000-0006-0000-0900-00001C000000}">
      <text>
        <r>
          <rPr>
            <sz val="12"/>
            <color theme="1"/>
            <rFont val="Aptos Narrow"/>
            <family val="2"/>
            <scheme val="minor"/>
          </rPr>
          <t>pc:
Was 17,513,000</t>
        </r>
      </text>
    </comment>
    <comment ref="C7" authorId="1" shapeId="0" xr:uid="{00000000-0006-0000-0900-00001D000000}">
      <text>
        <r>
          <rPr>
            <sz val="12"/>
            <color theme="1"/>
            <rFont val="Aptos Narrow"/>
            <family val="2"/>
            <scheme val="minor"/>
          </rPr>
          <t>Dang Phuong Nam:
Last week was: 17.690.000</t>
        </r>
      </text>
    </comment>
    <comment ref="D7" authorId="1" shapeId="0" xr:uid="{00000000-0006-0000-0900-00001E000000}">
      <text>
        <r>
          <rPr>
            <sz val="12"/>
            <color theme="1"/>
            <rFont val="Aptos Narrow"/>
            <family val="2"/>
            <scheme val="minor"/>
          </rPr>
          <t>Đặng Thanh Vượng:
Last week was: 17.590.000</t>
        </r>
      </text>
    </comment>
    <comment ref="F7" authorId="2" shapeId="0" xr:uid="{00000000-0006-0000-0900-00001F000000}">
      <text>
        <r>
          <rPr>
            <sz val="12"/>
            <color theme="1"/>
            <rFont val="Aptos Narrow"/>
            <family val="2"/>
            <scheme val="minor"/>
          </rPr>
          <t>Duy Nguyen:
last week was 16,890,000</t>
        </r>
      </text>
    </comment>
    <comment ref="B8" authorId="3" shapeId="0" xr:uid="{00000000-0006-0000-0900-000020000000}">
      <text>
        <r>
          <rPr>
            <sz val="12"/>
            <color theme="1"/>
            <rFont val="Aptos Narrow"/>
            <family val="2"/>
            <scheme val="minor"/>
          </rPr>
          <t>pc:
Was 13,949,000</t>
        </r>
      </text>
    </comment>
    <comment ref="C8" authorId="1" shapeId="0" xr:uid="{00000000-0006-0000-0900-000021000000}">
      <text>
        <r>
          <rPr>
            <sz val="12"/>
            <color theme="1"/>
            <rFont val="Aptos Narrow"/>
            <family val="2"/>
            <scheme val="minor"/>
          </rPr>
          <t>Dang Phuong Nam:
Last week was: 
14.090.000</t>
        </r>
      </text>
    </comment>
    <comment ref="D8" authorId="1" shapeId="0" xr:uid="{00000000-0006-0000-0900-000022000000}">
      <text>
        <r>
          <rPr>
            <sz val="12"/>
            <color theme="1"/>
            <rFont val="Aptos Narrow"/>
            <family val="2"/>
            <scheme val="minor"/>
          </rPr>
          <t>Đặng Thanh Vượng:
Last week was: 13.990.000</t>
        </r>
      </text>
    </comment>
    <comment ref="E8" authorId="0" shapeId="0" xr:uid="{00000000-0006-0000-0900-000023000000}">
      <text>
        <r>
          <rPr>
            <sz val="12"/>
            <color theme="1"/>
            <rFont val="Aptos Narrow"/>
            <family val="2"/>
            <scheme val="minor"/>
          </rPr>
          <t xml:space="preserve">Microsoft Office User:
Last week was: 13.290.000đ
</t>
        </r>
      </text>
    </comment>
    <comment ref="F8" authorId="2" shapeId="0" xr:uid="{00000000-0006-0000-0900-000024000000}">
      <text>
        <r>
          <rPr>
            <sz val="12"/>
            <color theme="1"/>
            <rFont val="Aptos Narrow"/>
            <family val="2"/>
            <scheme val="minor"/>
          </rPr>
          <t>Duy Nguyen:
last week was 13,390,000</t>
        </r>
      </text>
    </comment>
    <comment ref="G8" authorId="4" shapeId="0" xr:uid="{00000000-0006-0000-0900-000025000000}">
      <text>
        <r>
          <rPr>
            <sz val="12"/>
            <color theme="1"/>
            <rFont val="Aptos Narrow"/>
            <family val="2"/>
            <scheme val="minor"/>
          </rPr>
          <t>W11: 13.190.000</t>
        </r>
      </text>
    </comment>
    <comment ref="I8" authorId="0" shapeId="0" xr:uid="{00000000-0006-0000-0900-000026000000}">
      <text>
        <r>
          <rPr>
            <sz val="12"/>
            <color theme="1"/>
            <rFont val="Aptos Narrow"/>
            <family val="2"/>
            <scheme val="minor"/>
          </rPr>
          <t>Microsoft Office User:
last week was
13,057k</t>
        </r>
      </text>
    </comment>
    <comment ref="B9" authorId="3" shapeId="0" xr:uid="{00000000-0006-0000-0900-000027000000}">
      <text>
        <r>
          <rPr>
            <sz val="12"/>
            <color theme="1"/>
            <rFont val="Aptos Narrow"/>
            <family val="2"/>
            <scheme val="minor"/>
          </rPr>
          <t>pc:
Was 11,870,000</t>
        </r>
      </text>
    </comment>
    <comment ref="D9" authorId="1" shapeId="0" xr:uid="{00000000-0006-0000-0900-000028000000}">
      <text>
        <r>
          <rPr>
            <sz val="12"/>
            <color theme="1"/>
            <rFont val="Aptos Narrow"/>
            <family val="2"/>
            <scheme val="minor"/>
          </rPr>
          <t>Đặng Thanh Vượng:
Last week was: 11.990.000</t>
        </r>
      </text>
    </comment>
    <comment ref="B10" authorId="3" shapeId="0" xr:uid="{00000000-0006-0000-0900-000029000000}">
      <text>
        <r>
          <rPr>
            <sz val="12"/>
            <color theme="1"/>
            <rFont val="Aptos Narrow"/>
            <family val="2"/>
            <scheme val="minor"/>
          </rPr>
          <t>pc:
Was 8,504,000</t>
        </r>
      </text>
    </comment>
    <comment ref="D10" authorId="1" shapeId="0" xr:uid="{00000000-0006-0000-0900-00002A000000}">
      <text>
        <r>
          <rPr>
            <sz val="12"/>
            <color theme="1"/>
            <rFont val="Aptos Narrow"/>
            <family val="2"/>
            <scheme val="minor"/>
          </rPr>
          <t>Đặng Thanh Vượng:
Last week was: 8.590.000</t>
        </r>
      </text>
    </comment>
    <comment ref="E10" authorId="0" shapeId="0" xr:uid="{00000000-0006-0000-0900-00002B000000}">
      <text>
        <r>
          <rPr>
            <sz val="12"/>
            <color theme="1"/>
            <rFont val="Aptos Narrow"/>
            <family val="2"/>
            <scheme val="minor"/>
          </rPr>
          <t>Microsoft Office User:
Last week was: 8.790.000đ</t>
        </r>
      </text>
    </comment>
    <comment ref="F10" authorId="2" shapeId="0" xr:uid="{00000000-0006-0000-0900-00002C000000}">
      <text>
        <r>
          <rPr>
            <sz val="12"/>
            <color theme="1"/>
            <rFont val="Aptos Narrow"/>
            <family val="2"/>
            <scheme val="minor"/>
          </rPr>
          <t>Duy Nguyen:
last week was 8,490,000</t>
        </r>
      </text>
    </comment>
    <comment ref="B12" authorId="3" shapeId="0" xr:uid="{00000000-0006-0000-0900-00002D000000}">
      <text>
        <r>
          <rPr>
            <sz val="12"/>
            <color theme="1"/>
            <rFont val="Aptos Narrow"/>
            <family val="2"/>
            <scheme val="minor"/>
          </rPr>
          <t>pc:
Was 13,949,000</t>
        </r>
      </text>
    </comment>
    <comment ref="D12" authorId="1" shapeId="0" xr:uid="{00000000-0006-0000-0900-00002E000000}">
      <text>
        <r>
          <rPr>
            <sz val="12"/>
            <color theme="1"/>
            <rFont val="Aptos Narrow"/>
            <family val="2"/>
            <scheme val="minor"/>
          </rPr>
          <t xml:space="preserve">Đặng Thanh Vượng:
Last week was: 14.090,000	</t>
        </r>
      </text>
    </comment>
    <comment ref="F12" authorId="2" shapeId="0" xr:uid="{00000000-0006-0000-0900-00002F000000}">
      <text>
        <r>
          <rPr>
            <sz val="12"/>
            <color theme="1"/>
            <rFont val="Aptos Narrow"/>
            <family val="2"/>
            <scheme val="minor"/>
          </rPr>
          <t>Duy Nguyen:
last week was 14,790,000</t>
        </r>
      </text>
    </comment>
    <comment ref="I12" authorId="0" shapeId="0" xr:uid="{00000000-0006-0000-0900-000030000000}">
      <text>
        <r>
          <rPr>
            <sz val="12"/>
            <color theme="1"/>
            <rFont val="Aptos Narrow"/>
            <family val="2"/>
            <scheme val="minor"/>
          </rPr>
          <t>Microsoft Office User:
last week was
13,093k</t>
        </r>
      </text>
    </comment>
    <comment ref="D13" authorId="1" shapeId="0" xr:uid="{00000000-0006-0000-0900-000031000000}">
      <text>
        <r>
          <rPr>
            <sz val="12"/>
            <color theme="1"/>
            <rFont val="Aptos Narrow"/>
            <family val="2"/>
            <scheme val="minor"/>
          </rPr>
          <t xml:space="preserve">Đặng Thanh Vượng:
Last week was: 12.790,000	</t>
        </r>
      </text>
    </comment>
    <comment ref="F13" authorId="2" shapeId="0" xr:uid="{00000000-0006-0000-0900-000032000000}">
      <text>
        <r>
          <rPr>
            <sz val="12"/>
            <color theme="1"/>
            <rFont val="Aptos Narrow"/>
            <family val="2"/>
            <scheme val="minor"/>
          </rPr>
          <t>Duy Nguyen:
last week was 12,490,000</t>
        </r>
      </text>
    </comment>
    <comment ref="B14" authorId="3" shapeId="0" xr:uid="{00000000-0006-0000-0900-000033000000}">
      <text>
        <r>
          <rPr>
            <sz val="12"/>
            <color theme="1"/>
            <rFont val="Aptos Narrow"/>
            <family val="2"/>
            <scheme val="minor"/>
          </rPr>
          <t>pc:
Was 9,890,000</t>
        </r>
      </text>
    </comment>
    <comment ref="C14" authorId="1" shapeId="0" xr:uid="{00000000-0006-0000-0900-000034000000}">
      <text>
        <r>
          <rPr>
            <sz val="12"/>
            <color theme="1"/>
            <rFont val="Aptos Narrow"/>
            <family val="2"/>
            <scheme val="minor"/>
          </rPr>
          <t>Dang Phuong Nam:
Last week was: 9.990.000</t>
        </r>
      </text>
    </comment>
    <comment ref="D14" authorId="1" shapeId="0" xr:uid="{00000000-0006-0000-0900-000035000000}">
      <text>
        <r>
          <rPr>
            <sz val="12"/>
            <color theme="1"/>
            <rFont val="Aptos Narrow"/>
            <family val="2"/>
            <scheme val="minor"/>
          </rPr>
          <t xml:space="preserve">Đặng Thanh Vượng:
Last week was: 9.990,000	</t>
        </r>
      </text>
    </comment>
    <comment ref="E14" authorId="0" shapeId="0" xr:uid="{00000000-0006-0000-0900-000036000000}">
      <text>
        <r>
          <rPr>
            <sz val="12"/>
            <color theme="1"/>
            <rFont val="Aptos Narrow"/>
            <family val="2"/>
            <scheme val="minor"/>
          </rPr>
          <t>Microsoft Office User:
Last week was: 9.690.000đ</t>
        </r>
      </text>
    </comment>
    <comment ref="F14" authorId="2" shapeId="0" xr:uid="{00000000-0006-0000-0900-000037000000}">
      <text>
        <r>
          <rPr>
            <sz val="12"/>
            <color theme="1"/>
            <rFont val="Aptos Narrow"/>
            <family val="2"/>
            <scheme val="minor"/>
          </rPr>
          <t>Duy Nguyen:
last week was 9,590,000</t>
        </r>
      </text>
    </comment>
    <comment ref="I14" authorId="0" shapeId="0" xr:uid="{00000000-0006-0000-0900-000038000000}">
      <text>
        <r>
          <rPr>
            <sz val="12"/>
            <color theme="1"/>
            <rFont val="Aptos Narrow"/>
            <family val="2"/>
            <scheme val="minor"/>
          </rPr>
          <t>Microsoft Office User:
last week was
9,948k</t>
        </r>
      </text>
    </comment>
    <comment ref="B15" authorId="3" shapeId="0" xr:uid="{00000000-0006-0000-0900-000039000000}">
      <text>
        <r>
          <rPr>
            <sz val="12"/>
            <color theme="1"/>
            <rFont val="Aptos Narrow"/>
            <family val="2"/>
            <scheme val="minor"/>
          </rPr>
          <t>pc:
Was 7,019,000</t>
        </r>
      </text>
    </comment>
    <comment ref="C15" authorId="1" shapeId="0" xr:uid="{00000000-0006-0000-0900-00003A000000}">
      <text>
        <r>
          <rPr>
            <sz val="12"/>
            <color theme="1"/>
            <rFont val="Aptos Narrow"/>
            <family val="2"/>
            <scheme val="minor"/>
          </rPr>
          <t>Dang Phuong Nam:
Last week was: 7.090.000</t>
        </r>
      </text>
    </comment>
    <comment ref="D15" authorId="1" shapeId="0" xr:uid="{00000000-0006-0000-0900-00003B000000}">
      <text>
        <r>
          <rPr>
            <sz val="12"/>
            <color theme="1"/>
            <rFont val="Aptos Narrow"/>
            <family val="2"/>
            <scheme val="minor"/>
          </rPr>
          <t xml:space="preserve">Đặng Thanh Vượng:
Last week was: 7.140,000	</t>
        </r>
      </text>
    </comment>
    <comment ref="E15" authorId="0" shapeId="0" xr:uid="{00000000-0006-0000-0900-00003C000000}">
      <text>
        <r>
          <rPr>
            <sz val="12"/>
            <color theme="1"/>
            <rFont val="Aptos Narrow"/>
            <family val="2"/>
            <scheme val="minor"/>
          </rPr>
          <t>Microsoft Office User:
Last week was: 6.990.000đ</t>
        </r>
      </text>
    </comment>
    <comment ref="F15" authorId="2" shapeId="0" xr:uid="{00000000-0006-0000-0900-00003D000000}">
      <text>
        <r>
          <rPr>
            <sz val="12"/>
            <color theme="1"/>
            <rFont val="Aptos Narrow"/>
            <family val="2"/>
            <scheme val="minor"/>
          </rPr>
          <t>Duy Nguyen:
last week was 6,750,000</t>
        </r>
      </text>
    </comment>
    <comment ref="B16" authorId="3" shapeId="0" xr:uid="{00000000-0006-0000-0900-00003E000000}">
      <text>
        <r>
          <rPr>
            <sz val="12"/>
            <color theme="1"/>
            <rFont val="Aptos Narrow"/>
            <family val="2"/>
            <scheme val="minor"/>
          </rPr>
          <t>pc:
Was 6,128,000</t>
        </r>
      </text>
    </comment>
    <comment ref="D16" authorId="1" shapeId="0" xr:uid="{00000000-0006-0000-0900-00003F000000}">
      <text>
        <r>
          <rPr>
            <sz val="12"/>
            <color theme="1"/>
            <rFont val="Aptos Narrow"/>
            <family val="2"/>
            <scheme val="minor"/>
          </rPr>
          <t xml:space="preserve">Đặng Thanh Vượng:
Last week was: 5.790,000	</t>
        </r>
      </text>
    </comment>
    <comment ref="E16" authorId="0" shapeId="0" xr:uid="{00000000-0006-0000-0900-000040000000}">
      <text>
        <r>
          <rPr>
            <sz val="12"/>
            <color theme="1"/>
            <rFont val="Aptos Narrow"/>
            <family val="2"/>
            <scheme val="minor"/>
          </rPr>
          <t>Microsoft Office User:
Last week was: 5.990.000đ</t>
        </r>
      </text>
    </comment>
    <comment ref="F16" authorId="2" shapeId="0" xr:uid="{00000000-0006-0000-0900-000041000000}">
      <text>
        <r>
          <rPr>
            <sz val="12"/>
            <color theme="1"/>
            <rFont val="Aptos Narrow"/>
            <family val="2"/>
            <scheme val="minor"/>
          </rPr>
          <t>Duy Nguyen:
last week was 5,790,000</t>
        </r>
      </text>
    </comment>
    <comment ref="G16" authorId="4" shapeId="0" xr:uid="{00000000-0006-0000-0900-000042000000}">
      <text>
        <r>
          <rPr>
            <sz val="12"/>
            <color theme="1"/>
            <rFont val="Aptos Narrow"/>
            <family val="2"/>
            <scheme val="minor"/>
          </rPr>
          <t>W11: 5.690.000</t>
        </r>
      </text>
    </comment>
    <comment ref="B17" authorId="3" shapeId="0" xr:uid="{00000000-0006-0000-0900-000043000000}">
      <text>
        <r>
          <rPr>
            <sz val="12"/>
            <color theme="1"/>
            <rFont val="Aptos Narrow"/>
            <family val="2"/>
            <scheme val="minor"/>
          </rPr>
          <t>pc:
Was 7,415,000</t>
        </r>
      </text>
    </comment>
    <comment ref="D17" authorId="1" shapeId="0" xr:uid="{00000000-0006-0000-0900-000044000000}">
      <text>
        <r>
          <rPr>
            <sz val="12"/>
            <color theme="1"/>
            <rFont val="Aptos Narrow"/>
            <family val="2"/>
            <scheme val="minor"/>
          </rPr>
          <t>Đặng Thanh Vượng:
Last week was: 7.290,000	`</t>
        </r>
      </text>
    </comment>
    <comment ref="E17" authorId="0" shapeId="0" xr:uid="{00000000-0006-0000-0900-000045000000}">
      <text>
        <r>
          <rPr>
            <sz val="12"/>
            <color theme="1"/>
            <rFont val="Aptos Narrow"/>
            <family val="2"/>
            <scheme val="minor"/>
          </rPr>
          <t>Microsoft Office User:
Last week was: 7.490.000đ</t>
        </r>
      </text>
    </comment>
    <comment ref="F17" authorId="2" shapeId="0" xr:uid="{00000000-0006-0000-0900-000046000000}">
      <text>
        <r>
          <rPr>
            <sz val="12"/>
            <color theme="1"/>
            <rFont val="Aptos Narrow"/>
            <family val="2"/>
            <scheme val="minor"/>
          </rPr>
          <t>Duy Nguyen:
last week was 7,190,000</t>
        </r>
      </text>
    </comment>
    <comment ref="B18" authorId="3" shapeId="0" xr:uid="{00000000-0006-0000-0900-000047000000}">
      <text>
        <r>
          <rPr>
            <sz val="12"/>
            <color theme="1"/>
            <rFont val="Aptos Narrow"/>
            <family val="2"/>
            <scheme val="minor"/>
          </rPr>
          <t>pc:
Was 7,019,000</t>
        </r>
      </text>
    </comment>
    <comment ref="D18" authorId="1" shapeId="0" xr:uid="{00000000-0006-0000-0900-000048000000}">
      <text>
        <r>
          <rPr>
            <sz val="12"/>
            <color theme="1"/>
            <rFont val="Aptos Narrow"/>
            <family val="2"/>
            <scheme val="minor"/>
          </rPr>
          <t xml:space="preserve">Đặng Thanh Vượng:
Last week was: 6.790,000	</t>
        </r>
      </text>
    </comment>
    <comment ref="E18" authorId="0" shapeId="0" xr:uid="{00000000-0006-0000-0900-000049000000}">
      <text>
        <r>
          <rPr>
            <sz val="12"/>
            <color theme="1"/>
            <rFont val="Aptos Narrow"/>
            <family val="2"/>
            <scheme val="minor"/>
          </rPr>
          <t>Microsoft Office User:
Last week was: 6.790.000d</t>
        </r>
      </text>
    </comment>
    <comment ref="F18" authorId="2" shapeId="0" xr:uid="{00000000-0006-0000-0900-00004A000000}">
      <text>
        <r>
          <rPr>
            <sz val="12"/>
            <color theme="1"/>
            <rFont val="Aptos Narrow"/>
            <family val="2"/>
            <scheme val="minor"/>
          </rPr>
          <t>Duy Nguyen:
last week was 6,690,000</t>
        </r>
      </text>
    </comment>
    <comment ref="I18" authorId="0" shapeId="0" xr:uid="{00000000-0006-0000-0900-00004B000000}">
      <text>
        <r>
          <rPr>
            <sz val="12"/>
            <color theme="1"/>
            <rFont val="Aptos Narrow"/>
            <family val="2"/>
            <scheme val="minor"/>
          </rPr>
          <t>Microsoft Office User:
last week was
6,665k</t>
        </r>
      </text>
    </comment>
    <comment ref="B19" authorId="3" shapeId="0" xr:uid="{00000000-0006-0000-0900-00004C000000}">
      <text>
        <r>
          <rPr>
            <sz val="12"/>
            <color theme="1"/>
            <rFont val="Aptos Narrow"/>
            <family val="2"/>
            <scheme val="minor"/>
          </rPr>
          <t>pc:
Was 8,207,000</t>
        </r>
      </text>
    </comment>
    <comment ref="C19" authorId="1" shapeId="0" xr:uid="{00000000-0006-0000-0900-00004D000000}">
      <text>
        <r>
          <rPr>
            <sz val="12"/>
            <color theme="1"/>
            <rFont val="Aptos Narrow"/>
            <family val="2"/>
            <scheme val="minor"/>
          </rPr>
          <t>Dang Phuong Nam:
Last week was: 7.990.000</t>
        </r>
      </text>
    </comment>
    <comment ref="D19" authorId="1" shapeId="0" xr:uid="{00000000-0006-0000-0900-00004E000000}">
      <text>
        <r>
          <rPr>
            <sz val="12"/>
            <color theme="1"/>
            <rFont val="Aptos Narrow"/>
            <family val="2"/>
            <scheme val="minor"/>
          </rPr>
          <t xml:space="preserve">Đặng Thanh Vượng:
Last week was: 7.990,000	</t>
        </r>
      </text>
    </comment>
    <comment ref="E19" authorId="0" shapeId="0" xr:uid="{00000000-0006-0000-0900-00004F000000}">
      <text>
        <r>
          <rPr>
            <sz val="12"/>
            <color theme="1"/>
            <rFont val="Aptos Narrow"/>
            <family val="2"/>
            <scheme val="minor"/>
          </rPr>
          <t>Microsoft Office User:
Last week was: 8.190.000đ</t>
        </r>
      </text>
    </comment>
    <comment ref="F19" authorId="2" shapeId="0" xr:uid="{00000000-0006-0000-0900-000050000000}">
      <text>
        <r>
          <rPr>
            <sz val="12"/>
            <color theme="1"/>
            <rFont val="Aptos Narrow"/>
            <family val="2"/>
            <scheme val="minor"/>
          </rPr>
          <t>Duy Nguyen:
last week was 8,090,000</t>
        </r>
      </text>
    </comment>
    <comment ref="B20" authorId="3" shapeId="0" xr:uid="{00000000-0006-0000-0900-000051000000}">
      <text>
        <r>
          <rPr>
            <sz val="12"/>
            <color theme="1"/>
            <rFont val="Aptos Narrow"/>
            <family val="2"/>
            <scheme val="minor"/>
          </rPr>
          <t>pc:
Was 9,692,000</t>
        </r>
      </text>
    </comment>
    <comment ref="D20" authorId="1" shapeId="0" xr:uid="{00000000-0006-0000-0900-000052000000}">
      <text>
        <r>
          <rPr>
            <sz val="12"/>
            <color theme="1"/>
            <rFont val="Aptos Narrow"/>
            <family val="2"/>
            <scheme val="minor"/>
          </rPr>
          <t xml:space="preserve">Đặng Thanh Vượng:
Last week was: 9.090,000	</t>
        </r>
      </text>
    </comment>
    <comment ref="E20" authorId="0" shapeId="0" xr:uid="{00000000-0006-0000-0900-000053000000}">
      <text>
        <r>
          <rPr>
            <sz val="12"/>
            <color theme="1"/>
            <rFont val="Aptos Narrow"/>
            <family val="2"/>
            <scheme val="minor"/>
          </rPr>
          <t>Microsoft Office User:
Last week was: 9.790.000đ</t>
        </r>
      </text>
    </comment>
    <comment ref="F20" authorId="2" shapeId="0" xr:uid="{00000000-0006-0000-0900-000054000000}">
      <text>
        <r>
          <rPr>
            <sz val="12"/>
            <color theme="1"/>
            <rFont val="Aptos Narrow"/>
            <family val="2"/>
            <scheme val="minor"/>
          </rPr>
          <t>Duy Nguyen:
last week was 8,690,000</t>
        </r>
      </text>
    </comment>
    <comment ref="H20" authorId="5" shapeId="0" xr:uid="{00000000-0006-0000-0900-000055000000}">
      <text>
        <r>
          <rPr>
            <sz val="12"/>
            <color theme="1"/>
            <rFont val="Aptos Narrow"/>
            <family val="2"/>
            <scheme val="minor"/>
          </rPr>
          <t xml:space="preserve">Windows User:
8890000
</t>
        </r>
      </text>
    </comment>
    <comment ref="I20" authorId="0" shapeId="0" xr:uid="{00000000-0006-0000-0900-000056000000}">
      <text>
        <r>
          <rPr>
            <sz val="12"/>
            <color theme="1"/>
            <rFont val="Aptos Narrow"/>
            <family val="2"/>
            <scheme val="minor"/>
          </rPr>
          <t>Microsoft Office User:
last week was
8,899k</t>
        </r>
      </text>
    </comment>
    <comment ref="B21" authorId="3" shapeId="0" xr:uid="{00000000-0006-0000-0900-000057000000}">
      <text>
        <r>
          <rPr>
            <sz val="12"/>
            <color theme="1"/>
            <rFont val="Aptos Narrow"/>
            <family val="2"/>
            <scheme val="minor"/>
          </rPr>
          <t>pc:
Was 12,167,000</t>
        </r>
      </text>
    </comment>
    <comment ref="D21" authorId="1" shapeId="0" xr:uid="{00000000-0006-0000-0900-000058000000}">
      <text>
        <r>
          <rPr>
            <sz val="12"/>
            <color theme="1"/>
            <rFont val="Aptos Narrow"/>
            <family val="2"/>
            <scheme val="minor"/>
          </rPr>
          <t xml:space="preserve">Đặng Thanh Vượng:
Last week was: 12.090,000	</t>
        </r>
      </text>
    </comment>
    <comment ref="E21" authorId="0" shapeId="0" xr:uid="{00000000-0006-0000-0900-000059000000}">
      <text>
        <r>
          <rPr>
            <sz val="12"/>
            <color theme="1"/>
            <rFont val="Aptos Narrow"/>
            <family val="2"/>
            <scheme val="minor"/>
          </rPr>
          <t>Microsoft Office User:
Last week was: 12.490.000đ</t>
        </r>
      </text>
    </comment>
    <comment ref="F21" authorId="2" shapeId="0" xr:uid="{00000000-0006-0000-0900-00005A000000}">
      <text>
        <r>
          <rPr>
            <sz val="12"/>
            <color theme="1"/>
            <rFont val="Aptos Narrow"/>
            <family val="2"/>
            <scheme val="minor"/>
          </rPr>
          <t>Duy Nguyen:
last week was 11,890,000</t>
        </r>
      </text>
    </comment>
    <comment ref="B22" authorId="3" shapeId="0" xr:uid="{00000000-0006-0000-0900-00005B000000}">
      <text>
        <r>
          <rPr>
            <sz val="12"/>
            <color theme="1"/>
            <rFont val="Aptos Narrow"/>
            <family val="2"/>
            <scheme val="minor"/>
          </rPr>
          <t>pc:
Was 10,781,000</t>
        </r>
      </text>
    </comment>
    <comment ref="C22" authorId="1" shapeId="0" xr:uid="{00000000-0006-0000-0900-00005C000000}">
      <text>
        <r>
          <rPr>
            <sz val="12"/>
            <color theme="1"/>
            <rFont val="Aptos Narrow"/>
            <family val="2"/>
            <scheme val="minor"/>
          </rPr>
          <t>Dang Phuong Nam:
Last week was: 10.890.000</t>
        </r>
      </text>
    </comment>
    <comment ref="D22" authorId="1" shapeId="0" xr:uid="{00000000-0006-0000-0900-00005D000000}">
      <text>
        <r>
          <rPr>
            <sz val="12"/>
            <color theme="1"/>
            <rFont val="Aptos Narrow"/>
            <family val="2"/>
            <scheme val="minor"/>
          </rPr>
          <t xml:space="preserve">Đặng Thanh Vượng:
Last week was: 10.590,000	</t>
        </r>
      </text>
    </comment>
    <comment ref="E22" authorId="0" shapeId="0" xr:uid="{00000000-0006-0000-0900-00005E000000}">
      <text>
        <r>
          <rPr>
            <sz val="12"/>
            <color theme="1"/>
            <rFont val="Aptos Narrow"/>
            <family val="2"/>
            <scheme val="minor"/>
          </rPr>
          <t>Microsoft Office User:
Last week was: 10.590.000đ</t>
        </r>
      </text>
    </comment>
    <comment ref="F22" authorId="2" shapeId="0" xr:uid="{00000000-0006-0000-0900-00005F000000}">
      <text>
        <r>
          <rPr>
            <sz val="12"/>
            <color theme="1"/>
            <rFont val="Aptos Narrow"/>
            <family val="2"/>
            <scheme val="minor"/>
          </rPr>
          <t>Duy Nguyen:
last week was 10,190,000</t>
        </r>
      </text>
    </comment>
    <comment ref="C23" authorId="1" shapeId="0" xr:uid="{00000000-0006-0000-0900-000060000000}">
      <text>
        <r>
          <rPr>
            <sz val="12"/>
            <color theme="1"/>
            <rFont val="Aptos Narrow"/>
            <family val="2"/>
            <scheme val="minor"/>
          </rPr>
          <t>Dang Phuong Nam:
Last week was: 13.790.000</t>
        </r>
      </text>
    </comment>
    <comment ref="D23" authorId="1" shapeId="0" xr:uid="{00000000-0006-0000-0900-000061000000}">
      <text>
        <r>
          <rPr>
            <sz val="12"/>
            <color theme="1"/>
            <rFont val="Aptos Narrow"/>
            <family val="2"/>
            <scheme val="minor"/>
          </rPr>
          <t xml:space="preserve">Đặng Thanh Vượng:
Last week was: 13.490,000	</t>
        </r>
      </text>
    </comment>
    <comment ref="E23" authorId="0" shapeId="0" xr:uid="{00000000-0006-0000-0900-000062000000}">
      <text>
        <r>
          <rPr>
            <sz val="12"/>
            <color theme="1"/>
            <rFont val="Aptos Narrow"/>
            <family val="2"/>
            <scheme val="minor"/>
          </rPr>
          <t>Microsoft Office User:
Last week was: 13.190.000đ</t>
        </r>
      </text>
    </comment>
    <comment ref="F23" authorId="2" shapeId="0" xr:uid="{00000000-0006-0000-0900-000063000000}">
      <text>
        <r>
          <rPr>
            <sz val="12"/>
            <color theme="1"/>
            <rFont val="Aptos Narrow"/>
            <family val="2"/>
            <scheme val="minor"/>
          </rPr>
          <t>Duy Nguyen:
last week was 12,990,000</t>
        </r>
      </text>
    </comment>
    <comment ref="B24" authorId="3" shapeId="0" xr:uid="{00000000-0006-0000-0900-000064000000}">
      <text>
        <r>
          <rPr>
            <sz val="12"/>
            <color theme="1"/>
            <rFont val="Aptos Narrow"/>
            <family val="2"/>
            <scheme val="minor"/>
          </rPr>
          <t>pc:
Was 21,090,000</t>
        </r>
      </text>
    </comment>
    <comment ref="C24" authorId="1" shapeId="0" xr:uid="{00000000-0006-0000-0900-000065000000}">
      <text>
        <r>
          <rPr>
            <sz val="12"/>
            <color theme="1"/>
            <rFont val="Aptos Narrow"/>
            <family val="2"/>
            <scheme val="minor"/>
          </rPr>
          <t>Dang Phuong Nam:
Last week was: 21.190.000</t>
        </r>
      </text>
    </comment>
    <comment ref="D24" authorId="1" shapeId="0" xr:uid="{00000000-0006-0000-0900-000066000000}">
      <text>
        <r>
          <rPr>
            <sz val="12"/>
            <color theme="1"/>
            <rFont val="Aptos Narrow"/>
            <family val="2"/>
            <scheme val="minor"/>
          </rPr>
          <t xml:space="preserve">Đặng Thanh Vượng:
Last week was: 20.990,000	</t>
        </r>
      </text>
    </comment>
    <comment ref="F24" authorId="2" shapeId="0" xr:uid="{00000000-0006-0000-0900-000067000000}">
      <text>
        <r>
          <rPr>
            <sz val="12"/>
            <color theme="1"/>
            <rFont val="Aptos Narrow"/>
            <family val="2"/>
            <scheme val="minor"/>
          </rPr>
          <t>Duy Nguyen:
last week was 19,990,000</t>
        </r>
      </text>
    </comment>
    <comment ref="B25" authorId="3" shapeId="0" xr:uid="{00000000-0006-0000-0900-000068000000}">
      <text>
        <r>
          <rPr>
            <sz val="12"/>
            <color theme="1"/>
            <rFont val="Aptos Narrow"/>
            <family val="2"/>
            <scheme val="minor"/>
          </rPr>
          <t>pc:
Was 5,435,000</t>
        </r>
      </text>
    </comment>
    <comment ref="D25" authorId="1" shapeId="0" xr:uid="{00000000-0006-0000-0900-000069000000}">
      <text>
        <r>
          <rPr>
            <sz val="12"/>
            <color theme="1"/>
            <rFont val="Aptos Narrow"/>
            <family val="2"/>
            <scheme val="minor"/>
          </rPr>
          <t xml:space="preserve">Đặng Thanh Vượng:
Last week was: 5.690,000	</t>
        </r>
      </text>
    </comment>
    <comment ref="F25" authorId="2" shapeId="0" xr:uid="{00000000-0006-0000-0900-00006A000000}">
      <text>
        <r>
          <rPr>
            <sz val="12"/>
            <color theme="1"/>
            <rFont val="Aptos Narrow"/>
            <family val="2"/>
            <scheme val="minor"/>
          </rPr>
          <t>Duy Nguyen:
last week was 5,450,000</t>
        </r>
      </text>
    </comment>
    <comment ref="G25" authorId="4" shapeId="0" xr:uid="{00000000-0006-0000-0900-00006B000000}">
      <text>
        <r>
          <rPr>
            <sz val="12"/>
            <color theme="1"/>
            <rFont val="Aptos Narrow"/>
            <family val="2"/>
            <scheme val="minor"/>
          </rPr>
          <t>W11: 5.450.000</t>
        </r>
      </text>
    </comment>
    <comment ref="F26" authorId="2" shapeId="0" xr:uid="{00000000-0006-0000-0900-00006C000000}">
      <text>
        <r>
          <rPr>
            <sz val="12"/>
            <color theme="1"/>
            <rFont val="Aptos Narrow"/>
            <family val="2"/>
            <scheme val="minor"/>
          </rPr>
          <t>Duy Nguyen:
last week was 3,850,000</t>
        </r>
      </text>
    </comment>
    <comment ref="G26" authorId="4" shapeId="0" xr:uid="{00000000-0006-0000-0900-00006D000000}">
      <text>
        <r>
          <rPr>
            <sz val="12"/>
            <color theme="1"/>
            <rFont val="Aptos Narrow"/>
            <family val="2"/>
            <scheme val="minor"/>
          </rPr>
          <t>W11: 3.790.000</t>
        </r>
      </text>
    </comment>
    <comment ref="F27" authorId="2" shapeId="0" xr:uid="{00000000-0006-0000-0900-00006E000000}">
      <text>
        <r>
          <rPr>
            <sz val="12"/>
            <color theme="1"/>
            <rFont val="Aptos Narrow"/>
            <family val="2"/>
            <scheme val="minor"/>
          </rPr>
          <t>Duy Nguyen:
last week was 2,690,000</t>
        </r>
      </text>
    </comment>
    <comment ref="I27" authorId="0" shapeId="0" xr:uid="{00000000-0006-0000-0900-00006F000000}">
      <text>
        <r>
          <rPr>
            <sz val="12"/>
            <color theme="1"/>
            <rFont val="Aptos Narrow"/>
            <family val="2"/>
            <scheme val="minor"/>
          </rPr>
          <t>Microsoft Office User:
last week was
2,623k</t>
        </r>
      </text>
    </comment>
    <comment ref="B28" authorId="3" shapeId="0" xr:uid="{00000000-0006-0000-0900-000070000000}">
      <text>
        <r>
          <rPr>
            <sz val="12"/>
            <color theme="1"/>
            <rFont val="Aptos Narrow"/>
            <family val="2"/>
            <scheme val="minor"/>
          </rPr>
          <t>pc:
Was 19,097,000</t>
        </r>
      </text>
    </comment>
    <comment ref="C28" authorId="1" shapeId="0" xr:uid="{00000000-0006-0000-0900-000071000000}">
      <text>
        <r>
          <rPr>
            <sz val="12"/>
            <color theme="1"/>
            <rFont val="Aptos Narrow"/>
            <family val="2"/>
            <scheme val="minor"/>
          </rPr>
          <t>Dang Phuong Nam:
Last week was: 
19.290.000</t>
        </r>
      </text>
    </comment>
    <comment ref="D28" authorId="1" shapeId="0" xr:uid="{00000000-0006-0000-0900-000072000000}">
      <text>
        <r>
          <rPr>
            <sz val="12"/>
            <color theme="1"/>
            <rFont val="Aptos Narrow"/>
            <family val="2"/>
            <scheme val="minor"/>
          </rPr>
          <t xml:space="preserve">Đặng Thanh Vượng:
Last week was: 18.990,000	</t>
        </r>
      </text>
    </comment>
    <comment ref="F28" authorId="2" shapeId="0" xr:uid="{00000000-0006-0000-0900-000073000000}">
      <text>
        <r>
          <rPr>
            <sz val="12"/>
            <color theme="1"/>
            <rFont val="Aptos Narrow"/>
            <family val="2"/>
            <scheme val="minor"/>
          </rPr>
          <t>Duy Nguyen:
last week was 18,690,000</t>
        </r>
      </text>
    </comment>
    <comment ref="G28" authorId="4" shapeId="0" xr:uid="{00000000-0006-0000-0900-000074000000}">
      <text>
        <r>
          <rPr>
            <sz val="12"/>
            <color theme="1"/>
            <rFont val="Aptos Narrow"/>
            <family val="2"/>
            <scheme val="minor"/>
          </rPr>
          <t>W11: 18.190.000</t>
        </r>
      </text>
    </comment>
    <comment ref="H28" authorId="6" shapeId="0" xr:uid="{00000000-0006-0000-0900-000075000000}">
      <text>
        <r>
          <rPr>
            <sz val="12"/>
            <color theme="1"/>
            <rFont val="Aptos Narrow"/>
            <family val="2"/>
            <scheme val="minor"/>
          </rPr>
          <t xml:space="preserve">Administrator:
18190000
</t>
        </r>
      </text>
    </comment>
    <comment ref="B29" authorId="3" shapeId="0" xr:uid="{00000000-0006-0000-0900-000076000000}">
      <text>
        <r>
          <rPr>
            <sz val="12"/>
            <color theme="1"/>
            <rFont val="Aptos Narrow"/>
            <family val="2"/>
            <scheme val="minor"/>
          </rPr>
          <t>pc:
Was 24,190,000</t>
        </r>
      </text>
    </comment>
    <comment ref="D29" authorId="1" shapeId="0" xr:uid="{00000000-0006-0000-0900-000077000000}">
      <text>
        <r>
          <rPr>
            <sz val="12"/>
            <color theme="1"/>
            <rFont val="Aptos Narrow"/>
            <family val="2"/>
            <scheme val="minor"/>
          </rPr>
          <t xml:space="preserve">Đặng Thanh Vượng:
Last week was: 24.390,000	</t>
        </r>
      </text>
    </comment>
    <comment ref="F29" authorId="2" shapeId="0" xr:uid="{00000000-0006-0000-0900-000078000000}">
      <text>
        <r>
          <rPr>
            <sz val="12"/>
            <color theme="1"/>
            <rFont val="Aptos Narrow"/>
            <family val="2"/>
            <scheme val="minor"/>
          </rPr>
          <t>Duy Nguyen:
last week was 24,190,000</t>
        </r>
      </text>
    </comment>
    <comment ref="B30" authorId="3" shapeId="0" xr:uid="{00000000-0006-0000-0900-000079000000}">
      <text>
        <r>
          <rPr>
            <sz val="12"/>
            <color theme="1"/>
            <rFont val="Aptos Narrow"/>
            <family val="2"/>
            <scheme val="minor"/>
          </rPr>
          <t>pc:
Was 27,590,000</t>
        </r>
      </text>
    </comment>
    <comment ref="C30" authorId="1" shapeId="0" xr:uid="{00000000-0006-0000-0900-00007A000000}">
      <text>
        <r>
          <rPr>
            <sz val="12"/>
            <color theme="1"/>
            <rFont val="Aptos Narrow"/>
            <family val="2"/>
            <scheme val="minor"/>
          </rPr>
          <t>Dang Phuong Nam:
Last week was: 27.790.000</t>
        </r>
      </text>
    </comment>
    <comment ref="D30" authorId="1" shapeId="0" xr:uid="{00000000-0006-0000-0900-00007B000000}">
      <text>
        <r>
          <rPr>
            <sz val="12"/>
            <color theme="1"/>
            <rFont val="Aptos Narrow"/>
            <family val="2"/>
            <scheme val="minor"/>
          </rPr>
          <t xml:space="preserve">Đặng Thanh Vượng:
Last week was: 27.490,000	</t>
        </r>
      </text>
    </comment>
    <comment ref="F30" authorId="2" shapeId="0" xr:uid="{00000000-0006-0000-0900-00007C000000}">
      <text>
        <r>
          <rPr>
            <sz val="12"/>
            <color theme="1"/>
            <rFont val="Aptos Narrow"/>
            <family val="2"/>
            <scheme val="minor"/>
          </rPr>
          <t>Duy Nguyen:
last week was 26,290,000</t>
        </r>
      </text>
    </comment>
    <comment ref="B31" authorId="3" shapeId="0" xr:uid="{00000000-0006-0000-0900-00007D000000}">
      <text>
        <r>
          <rPr>
            <sz val="12"/>
            <color theme="1"/>
            <rFont val="Aptos Narrow"/>
            <family val="2"/>
            <scheme val="minor"/>
          </rPr>
          <t>pc:
Was 31,490,000</t>
        </r>
      </text>
    </comment>
    <comment ref="D31" authorId="1" shapeId="0" xr:uid="{00000000-0006-0000-0900-00007E000000}">
      <text>
        <r>
          <rPr>
            <sz val="12"/>
            <color theme="1"/>
            <rFont val="Aptos Narrow"/>
            <family val="2"/>
            <scheme val="minor"/>
          </rPr>
          <t xml:space="preserve">Đặng Thanh Vượng:
Last week was: 31.490,000	</t>
        </r>
      </text>
    </comment>
    <comment ref="F31" authorId="2" shapeId="0" xr:uid="{00000000-0006-0000-0900-00007F000000}">
      <text>
        <r>
          <rPr>
            <sz val="12"/>
            <color theme="1"/>
            <rFont val="Aptos Narrow"/>
            <family val="2"/>
            <scheme val="minor"/>
          </rPr>
          <t>Duy Nguyen:
last week was 30,790,000</t>
        </r>
      </text>
    </comment>
    <comment ref="C32" authorId="1" shapeId="0" xr:uid="{00000000-0006-0000-0900-000080000000}">
      <text>
        <r>
          <rPr>
            <sz val="12"/>
            <color theme="1"/>
            <rFont val="Aptos Narrow"/>
            <family val="2"/>
            <scheme val="minor"/>
          </rPr>
          <t>Dang Phuong Nam:
Last week was: 38.890.000</t>
        </r>
      </text>
    </comment>
    <comment ref="D32" authorId="1" shapeId="0" xr:uid="{00000000-0006-0000-0900-000081000000}">
      <text>
        <r>
          <rPr>
            <sz val="12"/>
            <color theme="1"/>
            <rFont val="Aptos Narrow"/>
            <family val="2"/>
            <scheme val="minor"/>
          </rPr>
          <t xml:space="preserve">Đặng Thanh Vượng:
Last week was: 38.490,000	</t>
        </r>
      </text>
    </comment>
    <comment ref="F32" authorId="2" shapeId="0" xr:uid="{00000000-0006-0000-0900-000082000000}">
      <text>
        <r>
          <rPr>
            <sz val="12"/>
            <color theme="1"/>
            <rFont val="Aptos Narrow"/>
            <family val="2"/>
            <scheme val="minor"/>
          </rPr>
          <t>Duy Nguyen:
last week was 37,690,000</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Microsoft Office User</author>
    <author>Dang Phuong Nam</author>
    <author>Duy Nguyen</author>
    <author>pc</author>
    <author>Nam Khánh</author>
    <author>Windows User</author>
  </authors>
  <commentList>
    <comment ref="B2" authorId="0" shapeId="0" xr:uid="{00000000-0006-0000-0A00-000001000000}">
      <text>
        <r>
          <rPr>
            <sz val="12"/>
            <color theme="1"/>
            <rFont val="Aptos Narrow"/>
            <family val="2"/>
            <scheme val="minor"/>
          </rPr>
          <t>Microsoft Office User:
last week was 19,590,000</t>
        </r>
      </text>
    </comment>
    <comment ref="C2" authorId="1" shapeId="0" xr:uid="{00000000-0006-0000-0A00-000002000000}">
      <text>
        <r>
          <rPr>
            <sz val="12"/>
            <color theme="1"/>
            <rFont val="Aptos Narrow"/>
            <family val="2"/>
            <scheme val="minor"/>
          </rPr>
          <t>Dang Phuong Nam:
Last week was: 19.590.000</t>
        </r>
      </text>
    </comment>
    <comment ref="D2" authorId="1" shapeId="0" xr:uid="{00000000-0006-0000-0A00-000003000000}">
      <text>
        <r>
          <rPr>
            <sz val="12"/>
            <color theme="1"/>
            <rFont val="Aptos Narrow"/>
            <family val="2"/>
            <scheme val="minor"/>
          </rPr>
          <t>Đặng Thanh Vượng:
Last week was: 19.490.000</t>
        </r>
      </text>
    </comment>
    <comment ref="F2" authorId="2" shapeId="0" xr:uid="{00000000-0006-0000-0A00-000004000000}">
      <text>
        <r>
          <rPr>
            <sz val="12"/>
            <color theme="1"/>
            <rFont val="Aptos Narrow"/>
            <family val="2"/>
            <scheme val="minor"/>
          </rPr>
          <t>Duy Nguyen:
last week was 18,890,000</t>
        </r>
      </text>
    </comment>
    <comment ref="I2" authorId="0" shapeId="0" xr:uid="{00000000-0006-0000-0A00-000005000000}">
      <text>
        <r>
          <rPr>
            <sz val="12"/>
            <color theme="1"/>
            <rFont val="Aptos Narrow"/>
            <family val="2"/>
            <scheme val="minor"/>
          </rPr>
          <t>Microsoft Office User:
last week was 
21,610k</t>
        </r>
      </text>
    </comment>
    <comment ref="B3" authorId="3" shapeId="0" xr:uid="{00000000-0006-0000-0A00-000006000000}">
      <text>
        <r>
          <rPr>
            <sz val="12"/>
            <color theme="1"/>
            <rFont val="Aptos Narrow"/>
            <family val="2"/>
            <scheme val="minor"/>
          </rPr>
          <t>pc:
Was 22,590,000</t>
        </r>
      </text>
    </comment>
    <comment ref="C3" authorId="1" shapeId="0" xr:uid="{00000000-0006-0000-0A00-000007000000}">
      <text>
        <r>
          <rPr>
            <sz val="12"/>
            <color theme="1"/>
            <rFont val="Aptos Narrow"/>
            <family val="2"/>
            <scheme val="minor"/>
          </rPr>
          <t>Dang Phuong Nam:
Last week was: 
22.590.000</t>
        </r>
      </text>
    </comment>
    <comment ref="D3" authorId="1" shapeId="0" xr:uid="{00000000-0006-0000-0A00-000008000000}">
      <text>
        <r>
          <rPr>
            <sz val="12"/>
            <color theme="1"/>
            <rFont val="Aptos Narrow"/>
            <family val="2"/>
            <scheme val="minor"/>
          </rPr>
          <t>Đặng Thanh Vượng:
Last week was: 22.290.000</t>
        </r>
      </text>
    </comment>
    <comment ref="E3" authorId="0" shapeId="0" xr:uid="{00000000-0006-0000-0A00-000009000000}">
      <text>
        <r>
          <rPr>
            <sz val="12"/>
            <color theme="1"/>
            <rFont val="Aptos Narrow"/>
            <family val="2"/>
            <scheme val="minor"/>
          </rPr>
          <t>Microsoft Office User:
Last week was: 21.790.000đ</t>
        </r>
      </text>
    </comment>
    <comment ref="F3" authorId="2" shapeId="0" xr:uid="{00000000-0006-0000-0A00-00000A000000}">
      <text>
        <r>
          <rPr>
            <sz val="12"/>
            <color theme="1"/>
            <rFont val="Aptos Narrow"/>
            <family val="2"/>
            <scheme val="minor"/>
          </rPr>
          <t>Duy Nguyen:
last week was 21,590,000</t>
        </r>
      </text>
    </comment>
    <comment ref="B4" authorId="0" shapeId="0" xr:uid="{00000000-0006-0000-0A00-00000B000000}">
      <text>
        <r>
          <rPr>
            <sz val="12"/>
            <color theme="1"/>
            <rFont val="Aptos Narrow"/>
            <family val="2"/>
            <scheme val="minor"/>
          </rPr>
          <t>Microsoft Office User:
pc
was 25,490,000</t>
        </r>
      </text>
    </comment>
    <comment ref="C4" authorId="1" shapeId="0" xr:uid="{00000000-0006-0000-0A00-00000C000000}">
      <text>
        <r>
          <rPr>
            <sz val="12"/>
            <color theme="1"/>
            <rFont val="Aptos Narrow"/>
            <family val="2"/>
            <scheme val="minor"/>
          </rPr>
          <t>Dang Phuong Nam:
Last week was: 25.490.000</t>
        </r>
      </text>
    </comment>
    <comment ref="D4" authorId="1" shapeId="0" xr:uid="{00000000-0006-0000-0A00-00000D000000}">
      <text>
        <r>
          <rPr>
            <sz val="12"/>
            <color theme="1"/>
            <rFont val="Aptos Narrow"/>
            <family val="2"/>
            <scheme val="minor"/>
          </rPr>
          <t>Đặng Thanh Vượng:
Last week was: 25.190.000</t>
        </r>
      </text>
    </comment>
    <comment ref="F4" authorId="2" shapeId="0" xr:uid="{00000000-0006-0000-0A00-00000E000000}">
      <text>
        <r>
          <rPr>
            <sz val="12"/>
            <color theme="1"/>
            <rFont val="Aptos Narrow"/>
            <family val="2"/>
            <scheme val="minor"/>
          </rPr>
          <t>Duy Nguyen:
last week was 24,690,000</t>
        </r>
      </text>
    </comment>
    <comment ref="I4" authorId="0" shapeId="0" xr:uid="{00000000-0006-0000-0A00-00000F000000}">
      <text>
        <r>
          <rPr>
            <sz val="12"/>
            <color theme="1"/>
            <rFont val="Aptos Narrow"/>
            <family val="2"/>
            <scheme val="minor"/>
          </rPr>
          <t>Microsoft Office User:
last week was 
23,773k</t>
        </r>
      </text>
    </comment>
    <comment ref="B5" authorId="3" shapeId="0" xr:uid="{00000000-0006-0000-0A00-000010000000}">
      <text>
        <r>
          <rPr>
            <sz val="12"/>
            <color theme="1"/>
            <rFont val="Aptos Narrow"/>
            <family val="2"/>
            <scheme val="minor"/>
          </rPr>
          <t>pc:
Was 29,790,000</t>
        </r>
      </text>
    </comment>
    <comment ref="C5" authorId="1" shapeId="0" xr:uid="{00000000-0006-0000-0A00-000011000000}">
      <text>
        <r>
          <rPr>
            <sz val="12"/>
            <color theme="1"/>
            <rFont val="Aptos Narrow"/>
            <family val="2"/>
            <scheme val="minor"/>
          </rPr>
          <t>Dang Phuong Nam:
Last week was: 29.790.000</t>
        </r>
      </text>
    </comment>
    <comment ref="D5" authorId="1" shapeId="0" xr:uid="{00000000-0006-0000-0A00-000012000000}">
      <text>
        <r>
          <rPr>
            <sz val="12"/>
            <color theme="1"/>
            <rFont val="Aptos Narrow"/>
            <family val="2"/>
            <scheme val="minor"/>
          </rPr>
          <t>Đặng Thanh Vượng:
Last week was: 29.590.000</t>
        </r>
      </text>
    </comment>
    <comment ref="E5" authorId="0" shapeId="0" xr:uid="{00000000-0006-0000-0A00-000013000000}">
      <text>
        <r>
          <rPr>
            <sz val="12"/>
            <color theme="1"/>
            <rFont val="Aptos Narrow"/>
            <family val="2"/>
            <scheme val="minor"/>
          </rPr>
          <t>Microsoft Office User:
Last week was: 28.790.000đ</t>
        </r>
      </text>
    </comment>
    <comment ref="F5" authorId="2" shapeId="0" xr:uid="{00000000-0006-0000-0A00-000014000000}">
      <text>
        <r>
          <rPr>
            <sz val="12"/>
            <color theme="1"/>
            <rFont val="Aptos Narrow"/>
            <family val="2"/>
            <scheme val="minor"/>
          </rPr>
          <t>Duy Nguyen:
last week was 29,090,000</t>
        </r>
      </text>
    </comment>
    <comment ref="G5" authorId="4" shapeId="0" xr:uid="{00000000-0006-0000-0A00-000015000000}">
      <text>
        <r>
          <rPr>
            <sz val="12"/>
            <color theme="1"/>
            <rFont val="Aptos Narrow"/>
            <family val="2"/>
            <scheme val="minor"/>
          </rPr>
          <t>W12: 28.890.000</t>
        </r>
      </text>
    </comment>
    <comment ref="I5" authorId="0" shapeId="0" xr:uid="{00000000-0006-0000-0A00-000016000000}">
      <text>
        <r>
          <rPr>
            <sz val="12"/>
            <color theme="1"/>
            <rFont val="Aptos Narrow"/>
            <family val="2"/>
            <scheme val="minor"/>
          </rPr>
          <t>Microsoft Office User:
last week was 
28,755k</t>
        </r>
      </text>
    </comment>
    <comment ref="F6" authorId="2" shapeId="0" xr:uid="{00000000-0006-0000-0A00-000017000000}">
      <text>
        <r>
          <rPr>
            <sz val="12"/>
            <color theme="1"/>
            <rFont val="Aptos Narrow"/>
            <family val="2"/>
            <scheme val="minor"/>
          </rPr>
          <t>Duy Nguyen:
last week was 19,190,000</t>
        </r>
      </text>
    </comment>
    <comment ref="E7" authorId="0" shapeId="0" xr:uid="{00000000-0006-0000-0A00-000018000000}">
      <text>
        <r>
          <rPr>
            <sz val="12"/>
            <color theme="1"/>
            <rFont val="Aptos Narrow"/>
            <family val="2"/>
            <scheme val="minor"/>
          </rPr>
          <t>Microsoft Office User:
Last week was: 16.390.000đ</t>
        </r>
      </text>
    </comment>
    <comment ref="F7" authorId="2" shapeId="0" xr:uid="{00000000-0006-0000-0A00-000019000000}">
      <text>
        <r>
          <rPr>
            <sz val="12"/>
            <color theme="1"/>
            <rFont val="Aptos Narrow"/>
            <family val="2"/>
            <scheme val="minor"/>
          </rPr>
          <t>Duy Nguyen:
last week was 16,890,000</t>
        </r>
      </text>
    </comment>
    <comment ref="B8" authorId="3" shapeId="0" xr:uid="{00000000-0006-0000-0A00-00001A000000}">
      <text>
        <r>
          <rPr>
            <sz val="12"/>
            <color theme="1"/>
            <rFont val="Aptos Narrow"/>
            <family val="2"/>
            <scheme val="minor"/>
          </rPr>
          <t>pc:
Was 14,290,000</t>
        </r>
      </text>
    </comment>
    <comment ref="C8" authorId="1" shapeId="0" xr:uid="{00000000-0006-0000-0A00-00001B000000}">
      <text>
        <r>
          <rPr>
            <sz val="12"/>
            <color theme="1"/>
            <rFont val="Aptos Narrow"/>
            <family val="2"/>
            <scheme val="minor"/>
          </rPr>
          <t>Dang Phuong Nam:
Last week was: 
14.290.000</t>
        </r>
      </text>
    </comment>
    <comment ref="D8" authorId="1" shapeId="0" xr:uid="{00000000-0006-0000-0A00-00001C000000}">
      <text>
        <r>
          <rPr>
            <sz val="12"/>
            <color theme="1"/>
            <rFont val="Aptos Narrow"/>
            <family val="2"/>
            <scheme val="minor"/>
          </rPr>
          <t>Đặng Thanh Vượng:
Last week was: 13.890.000</t>
        </r>
      </text>
    </comment>
    <comment ref="E8" authorId="0" shapeId="0" xr:uid="{00000000-0006-0000-0A00-00001D000000}">
      <text>
        <r>
          <rPr>
            <sz val="12"/>
            <color theme="1"/>
            <rFont val="Aptos Narrow"/>
            <family val="2"/>
            <scheme val="minor"/>
          </rPr>
          <t>Microsoft Office User:
Last week was: 13.290.000đ</t>
        </r>
      </text>
    </comment>
    <comment ref="F8" authorId="2" shapeId="0" xr:uid="{00000000-0006-0000-0A00-00001E000000}">
      <text>
        <r>
          <rPr>
            <sz val="12"/>
            <color theme="1"/>
            <rFont val="Aptos Narrow"/>
            <family val="2"/>
            <scheme val="minor"/>
          </rPr>
          <t>Duy Nguyen:
last week was 13,590,000</t>
        </r>
      </text>
    </comment>
    <comment ref="I8" authorId="0" shapeId="0" xr:uid="{00000000-0006-0000-0A00-00001F000000}">
      <text>
        <r>
          <rPr>
            <sz val="12"/>
            <color theme="1"/>
            <rFont val="Aptos Narrow"/>
            <family val="2"/>
            <scheme val="minor"/>
          </rPr>
          <t>Microsoft Office User:
last week was
23,490k</t>
        </r>
      </text>
    </comment>
    <comment ref="F10" authorId="2" shapeId="0" xr:uid="{00000000-0006-0000-0A00-000020000000}">
      <text>
        <r>
          <rPr>
            <sz val="12"/>
            <color theme="1"/>
            <rFont val="Aptos Narrow"/>
            <family val="2"/>
            <scheme val="minor"/>
          </rPr>
          <t>Duy Nguyen:
last week was 8,490,000</t>
        </r>
      </text>
    </comment>
    <comment ref="F12" authorId="2" shapeId="0" xr:uid="{00000000-0006-0000-0A00-000021000000}">
      <text>
        <r>
          <rPr>
            <sz val="12"/>
            <color theme="1"/>
            <rFont val="Aptos Narrow"/>
            <family val="2"/>
            <scheme val="minor"/>
          </rPr>
          <t>Duy Nguyen:
last week was 14,790,000</t>
        </r>
      </text>
    </comment>
    <comment ref="F13" authorId="2" shapeId="0" xr:uid="{00000000-0006-0000-0A00-000022000000}">
      <text>
        <r>
          <rPr>
            <sz val="12"/>
            <color theme="1"/>
            <rFont val="Aptos Narrow"/>
            <family val="2"/>
            <scheme val="minor"/>
          </rPr>
          <t>Duy Nguyen:
last week was 12,490,000</t>
        </r>
      </text>
    </comment>
    <comment ref="F14" authorId="2" shapeId="0" xr:uid="{00000000-0006-0000-0A00-000023000000}">
      <text>
        <r>
          <rPr>
            <sz val="12"/>
            <color theme="1"/>
            <rFont val="Aptos Narrow"/>
            <family val="2"/>
            <scheme val="minor"/>
          </rPr>
          <t>Duy Nguyen:
last week was 9,590,000</t>
        </r>
      </text>
    </comment>
    <comment ref="I14" authorId="0" shapeId="0" xr:uid="{00000000-0006-0000-0A00-000024000000}">
      <text>
        <r>
          <rPr>
            <sz val="12"/>
            <color theme="1"/>
            <rFont val="Aptos Narrow"/>
            <family val="2"/>
            <scheme val="minor"/>
          </rPr>
          <t>Microsoft Office User:
last week was 
10,801k</t>
        </r>
      </text>
    </comment>
    <comment ref="B15" authorId="3" shapeId="0" xr:uid="{00000000-0006-0000-0A00-000025000000}">
      <text>
        <r>
          <rPr>
            <sz val="12"/>
            <color theme="1"/>
            <rFont val="Aptos Narrow"/>
            <family val="2"/>
            <scheme val="minor"/>
          </rPr>
          <t>pc:
Was 7,190,000</t>
        </r>
      </text>
    </comment>
    <comment ref="C15" authorId="1" shapeId="0" xr:uid="{00000000-0006-0000-0A00-000026000000}">
      <text>
        <r>
          <rPr>
            <sz val="12"/>
            <color theme="1"/>
            <rFont val="Aptos Narrow"/>
            <family val="2"/>
            <scheme val="minor"/>
          </rPr>
          <t>Dang Phuong Nam:
Last week was: 7.190.000</t>
        </r>
      </text>
    </comment>
    <comment ref="D15" authorId="1" shapeId="0" xr:uid="{00000000-0006-0000-0A00-000027000000}">
      <text>
        <r>
          <rPr>
            <sz val="12"/>
            <color theme="1"/>
            <rFont val="Aptos Narrow"/>
            <family val="2"/>
            <scheme val="minor"/>
          </rPr>
          <t xml:space="preserve">Đặng Thanh Vượng:
Last week was: 7.040,000	</t>
        </r>
      </text>
    </comment>
    <comment ref="F15" authorId="2" shapeId="0" xr:uid="{00000000-0006-0000-0A00-000028000000}">
      <text>
        <r>
          <rPr>
            <sz val="12"/>
            <color theme="1"/>
            <rFont val="Aptos Narrow"/>
            <family val="2"/>
            <scheme val="minor"/>
          </rPr>
          <t>Duy Nguyen:
last week was 6,750,000</t>
        </r>
      </text>
    </comment>
    <comment ref="G15" authorId="4" shapeId="0" xr:uid="{00000000-0006-0000-0A00-000029000000}">
      <text>
        <r>
          <rPr>
            <sz val="12"/>
            <color theme="1"/>
            <rFont val="Aptos Narrow"/>
            <family val="2"/>
            <scheme val="minor"/>
          </rPr>
          <t>W12: 6.890.000</t>
        </r>
      </text>
    </comment>
    <comment ref="I15" authorId="0" shapeId="0" xr:uid="{00000000-0006-0000-0A00-00002A000000}">
      <text>
        <r>
          <rPr>
            <sz val="12"/>
            <color theme="1"/>
            <rFont val="Aptos Narrow"/>
            <family val="2"/>
            <scheme val="minor"/>
          </rPr>
          <t>Microsoft Office User:
last week was 
6,853k</t>
        </r>
      </text>
    </comment>
    <comment ref="F16" authorId="2" shapeId="0" xr:uid="{00000000-0006-0000-0A00-00002B000000}">
      <text>
        <r>
          <rPr>
            <sz val="12"/>
            <color theme="1"/>
            <rFont val="Aptos Narrow"/>
            <family val="2"/>
            <scheme val="minor"/>
          </rPr>
          <t>Duy Nguyen:
last week was 5,790,000</t>
        </r>
      </text>
    </comment>
    <comment ref="B17" authorId="3" shapeId="0" xr:uid="{00000000-0006-0000-0A00-00002C000000}">
      <text>
        <r>
          <rPr>
            <sz val="12"/>
            <color theme="1"/>
            <rFont val="Aptos Narrow"/>
            <family val="2"/>
            <scheme val="minor"/>
          </rPr>
          <t>pc:
Was 7,490,000</t>
        </r>
      </text>
    </comment>
    <comment ref="F17" authorId="2" shapeId="0" xr:uid="{00000000-0006-0000-0A00-00002D000000}">
      <text>
        <r>
          <rPr>
            <sz val="12"/>
            <color theme="1"/>
            <rFont val="Aptos Narrow"/>
            <family val="2"/>
            <scheme val="minor"/>
          </rPr>
          <t>Duy Nguyen:
last week was 7,190,000</t>
        </r>
      </text>
    </comment>
    <comment ref="F18" authorId="2" shapeId="0" xr:uid="{00000000-0006-0000-0A00-00002E000000}">
      <text>
        <r>
          <rPr>
            <sz val="12"/>
            <color theme="1"/>
            <rFont val="Aptos Narrow"/>
            <family val="2"/>
            <scheme val="minor"/>
          </rPr>
          <t>Duy Nguyen:
last week was 6,690,000</t>
        </r>
      </text>
    </comment>
    <comment ref="I18" authorId="0" shapeId="0" xr:uid="{00000000-0006-0000-0A00-00002F000000}">
      <text>
        <r>
          <rPr>
            <sz val="12"/>
            <color theme="1"/>
            <rFont val="Aptos Narrow"/>
            <family val="2"/>
            <scheme val="minor"/>
          </rPr>
          <t>Microsoft Office User:
last week was 
7,071k</t>
        </r>
      </text>
    </comment>
    <comment ref="B19" authorId="3" shapeId="0" xr:uid="{00000000-0006-0000-0A00-000030000000}">
      <text>
        <r>
          <rPr>
            <sz val="12"/>
            <color theme="1"/>
            <rFont val="Aptos Narrow"/>
            <family val="2"/>
            <scheme val="minor"/>
          </rPr>
          <t>pc:
Was 8,290,000</t>
        </r>
      </text>
    </comment>
    <comment ref="C19" authorId="1" shapeId="0" xr:uid="{00000000-0006-0000-0A00-000031000000}">
      <text>
        <r>
          <rPr>
            <sz val="12"/>
            <color theme="1"/>
            <rFont val="Aptos Narrow"/>
            <family val="2"/>
            <scheme val="minor"/>
          </rPr>
          <t>Dang Phuong Nam:
Last week was: 8.290.000</t>
        </r>
      </text>
    </comment>
    <comment ref="D19" authorId="1" shapeId="0" xr:uid="{00000000-0006-0000-0A00-000032000000}">
      <text>
        <r>
          <rPr>
            <sz val="12"/>
            <color theme="1"/>
            <rFont val="Aptos Narrow"/>
            <family val="2"/>
            <scheme val="minor"/>
          </rPr>
          <t xml:space="preserve">Đặng Thanh Vượng:
Last week was: 7.590,000	</t>
        </r>
      </text>
    </comment>
    <comment ref="F19" authorId="2" shapeId="0" xr:uid="{00000000-0006-0000-0A00-000033000000}">
      <text>
        <r>
          <rPr>
            <sz val="12"/>
            <color theme="1"/>
            <rFont val="Aptos Narrow"/>
            <family val="2"/>
            <scheme val="minor"/>
          </rPr>
          <t>Duy Nguyen:
last week was 8,090,000</t>
        </r>
      </text>
    </comment>
    <comment ref="B20" authorId="3" shapeId="0" xr:uid="{00000000-0006-0000-0A00-000034000000}">
      <text>
        <r>
          <rPr>
            <sz val="12"/>
            <color theme="1"/>
            <rFont val="Aptos Narrow"/>
            <family val="2"/>
            <scheme val="minor"/>
          </rPr>
          <t>pc:
Was 9,790,000</t>
        </r>
      </text>
    </comment>
    <comment ref="F20" authorId="2" shapeId="0" xr:uid="{00000000-0006-0000-0A00-000035000000}">
      <text>
        <r>
          <rPr>
            <sz val="12"/>
            <color theme="1"/>
            <rFont val="Aptos Narrow"/>
            <family val="2"/>
            <scheme val="minor"/>
          </rPr>
          <t>Duy Nguyen:
last week was 8,690,000</t>
        </r>
      </text>
    </comment>
    <comment ref="H20" authorId="5" shapeId="0" xr:uid="{00000000-0006-0000-0A00-000036000000}">
      <text>
        <r>
          <rPr>
            <sz val="12"/>
            <color theme="1"/>
            <rFont val="Aptos Narrow"/>
            <family val="2"/>
            <scheme val="minor"/>
          </rPr>
          <t xml:space="preserve">Windows User:
8890000
</t>
        </r>
      </text>
    </comment>
    <comment ref="I20" authorId="0" shapeId="0" xr:uid="{00000000-0006-0000-0A00-000037000000}">
      <text>
        <r>
          <rPr>
            <sz val="12"/>
            <color theme="1"/>
            <rFont val="Aptos Narrow"/>
            <family val="2"/>
            <scheme val="minor"/>
          </rPr>
          <t>Microsoft Office User:
last week was 
9,467k</t>
        </r>
      </text>
    </comment>
    <comment ref="F21" authorId="2" shapeId="0" xr:uid="{00000000-0006-0000-0A00-000038000000}">
      <text>
        <r>
          <rPr>
            <sz val="12"/>
            <color theme="1"/>
            <rFont val="Aptos Narrow"/>
            <family val="2"/>
            <scheme val="minor"/>
          </rPr>
          <t>Duy Nguyen:
last week was 11,890,000</t>
        </r>
      </text>
    </comment>
    <comment ref="G21" authorId="4" shapeId="0" xr:uid="{00000000-0006-0000-0A00-000039000000}">
      <text>
        <r>
          <rPr>
            <sz val="12"/>
            <color theme="1"/>
            <rFont val="Aptos Narrow"/>
            <family val="2"/>
            <scheme val="minor"/>
          </rPr>
          <t>W12: 11.890.000</t>
        </r>
      </text>
    </comment>
    <comment ref="F22" authorId="2" shapeId="0" xr:uid="{00000000-0006-0000-0A00-00003A000000}">
      <text>
        <r>
          <rPr>
            <sz val="12"/>
            <color theme="1"/>
            <rFont val="Aptos Narrow"/>
            <family val="2"/>
            <scheme val="minor"/>
          </rPr>
          <t>Duy Nguyen:
last week was 9,990,000</t>
        </r>
      </text>
    </comment>
    <comment ref="F23" authorId="2" shapeId="0" xr:uid="{00000000-0006-0000-0A00-00003B000000}">
      <text>
        <r>
          <rPr>
            <sz val="12"/>
            <color theme="1"/>
            <rFont val="Aptos Narrow"/>
            <family val="2"/>
            <scheme val="minor"/>
          </rPr>
          <t>Duy Nguyen:
last week was 12,990,000</t>
        </r>
      </text>
    </comment>
    <comment ref="C24" authorId="1" shapeId="0" xr:uid="{00000000-0006-0000-0A00-00003C000000}">
      <text>
        <r>
          <rPr>
            <sz val="12"/>
            <color theme="1"/>
            <rFont val="Aptos Narrow"/>
            <family val="2"/>
            <scheme val="minor"/>
          </rPr>
          <t>Dang Phuong Nam:
Last week was: 21.290.000</t>
        </r>
      </text>
    </comment>
    <comment ref="F24" authorId="2" shapeId="0" xr:uid="{00000000-0006-0000-0A00-00003D000000}">
      <text>
        <r>
          <rPr>
            <sz val="12"/>
            <color theme="1"/>
            <rFont val="Aptos Narrow"/>
            <family val="2"/>
            <scheme val="minor"/>
          </rPr>
          <t>Duy Nguyen:
last week was 19,990,000</t>
        </r>
      </text>
    </comment>
    <comment ref="F25" authorId="2" shapeId="0" xr:uid="{00000000-0006-0000-0A00-00003E000000}">
      <text>
        <r>
          <rPr>
            <sz val="12"/>
            <color theme="1"/>
            <rFont val="Aptos Narrow"/>
            <family val="2"/>
            <scheme val="minor"/>
          </rPr>
          <t>Duy Nguyen:
last week was 5,450,000</t>
        </r>
      </text>
    </comment>
    <comment ref="F26" authorId="2" shapeId="0" xr:uid="{00000000-0006-0000-0A00-00003F000000}">
      <text>
        <r>
          <rPr>
            <sz val="12"/>
            <color theme="1"/>
            <rFont val="Aptos Narrow"/>
            <family val="2"/>
            <scheme val="minor"/>
          </rPr>
          <t>Duy Nguyen:
last week was 3,890,000</t>
        </r>
      </text>
    </comment>
    <comment ref="F27" authorId="2" shapeId="0" xr:uid="{00000000-0006-0000-0A00-000040000000}">
      <text>
        <r>
          <rPr>
            <sz val="12"/>
            <color theme="1"/>
            <rFont val="Aptos Narrow"/>
            <family val="2"/>
            <scheme val="minor"/>
          </rPr>
          <t>Duy Nguyen:
last week was 2,690,000</t>
        </r>
      </text>
    </comment>
    <comment ref="I27" authorId="0" shapeId="0" xr:uid="{00000000-0006-0000-0A00-000041000000}">
      <text>
        <r>
          <rPr>
            <sz val="12"/>
            <color theme="1"/>
            <rFont val="Aptos Narrow"/>
            <family val="2"/>
            <scheme val="minor"/>
          </rPr>
          <t>Microsoft Office User:
last week was 
2,790k</t>
        </r>
      </text>
    </comment>
    <comment ref="F28" authorId="2" shapeId="0" xr:uid="{00000000-0006-0000-0A00-000042000000}">
      <text>
        <r>
          <rPr>
            <sz val="12"/>
            <color theme="1"/>
            <rFont val="Aptos Narrow"/>
            <family val="2"/>
            <scheme val="minor"/>
          </rPr>
          <t>Duy Nguyen:
last week was 18,690,000</t>
        </r>
      </text>
    </comment>
    <comment ref="I28" authorId="0" shapeId="0" xr:uid="{00000000-0006-0000-0A00-000043000000}">
      <text>
        <r>
          <rPr>
            <sz val="12"/>
            <color theme="1"/>
            <rFont val="Aptos Narrow"/>
            <family val="2"/>
            <scheme val="minor"/>
          </rPr>
          <t>Microsoft Office User:
last week was 
27,251k</t>
        </r>
      </text>
    </comment>
    <comment ref="F29" authorId="2" shapeId="0" xr:uid="{00000000-0006-0000-0A00-000044000000}">
      <text>
        <r>
          <rPr>
            <sz val="12"/>
            <color theme="1"/>
            <rFont val="Aptos Narrow"/>
            <family val="2"/>
            <scheme val="minor"/>
          </rPr>
          <t>Duy Nguyen:
last week was 24,090,000</t>
        </r>
      </text>
    </comment>
    <comment ref="I29" authorId="0" shapeId="0" xr:uid="{00000000-0006-0000-0A00-000045000000}">
      <text>
        <r>
          <rPr>
            <sz val="12"/>
            <color theme="1"/>
            <rFont val="Aptos Narrow"/>
            <family val="2"/>
            <scheme val="minor"/>
          </rPr>
          <t>Microsoft Office User:
last week was 
23,276k</t>
        </r>
      </text>
    </comment>
    <comment ref="F30" authorId="2" shapeId="0" xr:uid="{00000000-0006-0000-0A00-000046000000}">
      <text>
        <r>
          <rPr>
            <sz val="12"/>
            <color theme="1"/>
            <rFont val="Aptos Narrow"/>
            <family val="2"/>
            <scheme val="minor"/>
          </rPr>
          <t>Duy Nguyen:
last week was 26,490,000</t>
        </r>
      </text>
    </comment>
    <comment ref="F31" authorId="2" shapeId="0" xr:uid="{00000000-0006-0000-0A00-000047000000}">
      <text>
        <r>
          <rPr>
            <sz val="12"/>
            <color theme="1"/>
            <rFont val="Aptos Narrow"/>
            <family val="2"/>
            <scheme val="minor"/>
          </rPr>
          <t>Duy Nguyen:
last week was 31,290,000</t>
        </r>
      </text>
    </comment>
    <comment ref="F32" authorId="2" shapeId="0" xr:uid="{00000000-0006-0000-0A00-000048000000}">
      <text>
        <r>
          <rPr>
            <sz val="12"/>
            <color theme="1"/>
            <rFont val="Aptos Narrow"/>
            <family val="2"/>
            <scheme val="minor"/>
          </rPr>
          <t>Duy Nguyen:
last week was 37,590,000</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Microsoft Office User</author>
    <author>Dang Phuong Nam</author>
    <author>Duy Nguyen</author>
    <author>Nam Khánh</author>
    <author>Sơn Nguyễn</author>
    <author>pc</author>
    <author>Windows User</author>
  </authors>
  <commentList>
    <comment ref="B2" authorId="0" shapeId="0" xr:uid="{00000000-0006-0000-0B00-000001000000}">
      <text>
        <r>
          <rPr>
            <sz val="12"/>
            <color theme="1"/>
            <rFont val="Aptos Narrow"/>
            <family val="2"/>
            <scheme val="minor"/>
          </rPr>
          <t>Microsoft Office User:
last week was 19,190,000</t>
        </r>
      </text>
    </comment>
    <comment ref="C2" authorId="1" shapeId="0" xr:uid="{00000000-0006-0000-0B00-000002000000}">
      <text>
        <r>
          <rPr>
            <sz val="12"/>
            <color theme="1"/>
            <rFont val="Aptos Narrow"/>
            <family val="2"/>
            <scheme val="minor"/>
          </rPr>
          <t>Dang Phuong Nam:
Last week was: 19.190.000</t>
        </r>
      </text>
    </comment>
    <comment ref="D2" authorId="1" shapeId="0" xr:uid="{00000000-0006-0000-0B00-000003000000}">
      <text>
        <r>
          <rPr>
            <sz val="12"/>
            <color theme="1"/>
            <rFont val="Aptos Narrow"/>
            <family val="2"/>
            <scheme val="minor"/>
          </rPr>
          <t>Đặng Thanh Vượng:
Last week was: 19.190.000</t>
        </r>
      </text>
    </comment>
    <comment ref="E2" authorId="0" shapeId="0" xr:uid="{00000000-0006-0000-0B00-000004000000}">
      <text>
        <r>
          <rPr>
            <sz val="12"/>
            <color theme="1"/>
            <rFont val="Aptos Narrow"/>
            <family val="2"/>
            <scheme val="minor"/>
          </rPr>
          <t>Microsoft Office User:
Last week was: 18.490.000đ</t>
        </r>
      </text>
    </comment>
    <comment ref="F2" authorId="2" shapeId="0" xr:uid="{00000000-0006-0000-0B00-000005000000}">
      <text>
        <r>
          <rPr>
            <sz val="12"/>
            <color theme="1"/>
            <rFont val="Aptos Narrow"/>
            <family val="2"/>
            <scheme val="minor"/>
          </rPr>
          <t>Duy Nguyen:
last week was 18,690,000</t>
        </r>
      </text>
    </comment>
    <comment ref="G2" authorId="3" shapeId="0" xr:uid="{00000000-0006-0000-0B00-000006000000}">
      <text>
        <r>
          <rPr>
            <sz val="12"/>
            <color theme="1"/>
            <rFont val="Aptos Narrow"/>
            <family val="2"/>
            <scheme val="minor"/>
          </rPr>
          <t>W13Q3: 18.690.000</t>
        </r>
      </text>
    </comment>
    <comment ref="H2" authorId="4" shapeId="0" xr:uid="{00000000-0006-0000-0B00-000007000000}">
      <text>
        <r>
          <rPr>
            <sz val="12"/>
            <color theme="1"/>
            <rFont val="Aptos Narrow"/>
            <family val="2"/>
            <scheme val="minor"/>
          </rPr>
          <t xml:space="preserve">Sơn Nguyễn:
18740000
</t>
        </r>
      </text>
    </comment>
    <comment ref="I2" authorId="0" shapeId="0" xr:uid="{00000000-0006-0000-0B00-000008000000}">
      <text>
        <r>
          <rPr>
            <sz val="12"/>
            <color theme="1"/>
            <rFont val="Aptos Narrow"/>
            <family val="2"/>
            <scheme val="minor"/>
          </rPr>
          <t>Microsoft Office User:
last week was 
21,610k</t>
        </r>
      </text>
    </comment>
    <comment ref="B3" authorId="5" shapeId="0" xr:uid="{00000000-0006-0000-0B00-000009000000}">
      <text>
        <r>
          <rPr>
            <sz val="12"/>
            <color theme="1"/>
            <rFont val="Aptos Narrow"/>
            <family val="2"/>
            <scheme val="minor"/>
          </rPr>
          <t>pc:
Was 22,390,000</t>
        </r>
      </text>
    </comment>
    <comment ref="C3" authorId="1" shapeId="0" xr:uid="{00000000-0006-0000-0B00-00000A000000}">
      <text>
        <r>
          <rPr>
            <sz val="12"/>
            <color theme="1"/>
            <rFont val="Aptos Narrow"/>
            <family val="2"/>
            <scheme val="minor"/>
          </rPr>
          <t>Dang Phuong Nam:
Last week was: 
22.390.000</t>
        </r>
      </text>
    </comment>
    <comment ref="D3" authorId="1" shapeId="0" xr:uid="{00000000-0006-0000-0B00-00000B000000}">
      <text>
        <r>
          <rPr>
            <sz val="12"/>
            <color theme="1"/>
            <rFont val="Aptos Narrow"/>
            <family val="2"/>
            <scheme val="minor"/>
          </rPr>
          <t>Đặng Thanh Vượng:
Last week was: 22.090.000</t>
        </r>
      </text>
    </comment>
    <comment ref="F3" authorId="2" shapeId="0" xr:uid="{00000000-0006-0000-0B00-00000C000000}">
      <text>
        <r>
          <rPr>
            <sz val="12"/>
            <color theme="1"/>
            <rFont val="Aptos Narrow"/>
            <family val="2"/>
            <scheme val="minor"/>
          </rPr>
          <t>Duy Nguyen:
last week was 21,590,000</t>
        </r>
      </text>
    </comment>
    <comment ref="G3" authorId="3" shapeId="0" xr:uid="{00000000-0006-0000-0B00-00000D000000}">
      <text>
        <r>
          <rPr>
            <sz val="12"/>
            <color theme="1"/>
            <rFont val="Aptos Narrow"/>
            <family val="2"/>
            <scheme val="minor"/>
          </rPr>
          <t>W13Q3: 21.790.000</t>
        </r>
      </text>
    </comment>
    <comment ref="H3" authorId="6" shapeId="0" xr:uid="{00000000-0006-0000-0B00-00000E000000}">
      <text>
        <r>
          <rPr>
            <sz val="12"/>
            <color theme="1"/>
            <rFont val="Aptos Narrow"/>
            <family val="2"/>
            <scheme val="minor"/>
          </rPr>
          <t>Windows User:
21940000</t>
        </r>
      </text>
    </comment>
    <comment ref="B4" authorId="0" shapeId="0" xr:uid="{00000000-0006-0000-0B00-00000F000000}">
      <text>
        <r>
          <rPr>
            <sz val="12"/>
            <color theme="1"/>
            <rFont val="Aptos Narrow"/>
            <family val="2"/>
            <scheme val="minor"/>
          </rPr>
          <t>Microsoft Office User:
pc
was 24,990,000</t>
        </r>
      </text>
    </comment>
    <comment ref="C4" authorId="1" shapeId="0" xr:uid="{00000000-0006-0000-0B00-000010000000}">
      <text>
        <r>
          <rPr>
            <sz val="12"/>
            <color theme="1"/>
            <rFont val="Aptos Narrow"/>
            <family val="2"/>
            <scheme val="minor"/>
          </rPr>
          <t>Dang Phuong Nam:
Last week was: 25.190.000</t>
        </r>
      </text>
    </comment>
    <comment ref="D4" authorId="1" shapeId="0" xr:uid="{00000000-0006-0000-0B00-000011000000}">
      <text>
        <r>
          <rPr>
            <sz val="12"/>
            <color theme="1"/>
            <rFont val="Aptos Narrow"/>
            <family val="2"/>
            <scheme val="minor"/>
          </rPr>
          <t>Đặng Thanh Vượng:
Last week was: 24.890.000</t>
        </r>
      </text>
    </comment>
    <comment ref="F4" authorId="2" shapeId="0" xr:uid="{00000000-0006-0000-0B00-000012000000}">
      <text>
        <r>
          <rPr>
            <sz val="12"/>
            <color theme="1"/>
            <rFont val="Aptos Narrow"/>
            <family val="2"/>
            <scheme val="minor"/>
          </rPr>
          <t>Duy Nguyen:
last week was 24,490,000</t>
        </r>
      </text>
    </comment>
    <comment ref="G4" authorId="3" shapeId="0" xr:uid="{00000000-0006-0000-0B00-000013000000}">
      <text>
        <r>
          <rPr>
            <sz val="12"/>
            <color theme="1"/>
            <rFont val="Aptos Narrow"/>
            <family val="2"/>
            <scheme val="minor"/>
          </rPr>
          <t>W13Q3: 24.090.000</t>
        </r>
      </text>
    </comment>
    <comment ref="H4" authorId="4" shapeId="0" xr:uid="{00000000-0006-0000-0B00-000014000000}">
      <text>
        <r>
          <rPr>
            <sz val="12"/>
            <color theme="1"/>
            <rFont val="Aptos Narrow"/>
            <family val="2"/>
            <scheme val="minor"/>
          </rPr>
          <t>Sơn Nguyễn:
24290000</t>
        </r>
      </text>
    </comment>
    <comment ref="I4" authorId="0" shapeId="0" xr:uid="{00000000-0006-0000-0B00-000015000000}">
      <text>
        <r>
          <rPr>
            <sz val="12"/>
            <color theme="1"/>
            <rFont val="Aptos Narrow"/>
            <family val="2"/>
            <scheme val="minor"/>
          </rPr>
          <t>Microsoft Office User:
last week was 
23,773k</t>
        </r>
      </text>
    </comment>
    <comment ref="B5" authorId="5" shapeId="0" xr:uid="{00000000-0006-0000-0B00-000016000000}">
      <text>
        <r>
          <rPr>
            <sz val="12"/>
            <color theme="1"/>
            <rFont val="Aptos Narrow"/>
            <family val="2"/>
            <scheme val="minor"/>
          </rPr>
          <t>pc:
Was 29,390,000</t>
        </r>
      </text>
    </comment>
    <comment ref="C5" authorId="1" shapeId="0" xr:uid="{00000000-0006-0000-0B00-000017000000}">
      <text>
        <r>
          <rPr>
            <sz val="12"/>
            <color theme="1"/>
            <rFont val="Aptos Narrow"/>
            <family val="2"/>
            <scheme val="minor"/>
          </rPr>
          <t>Dang Phuong Nam:
Last week was: 29.390.000</t>
        </r>
      </text>
    </comment>
    <comment ref="F5" authorId="2" shapeId="0" xr:uid="{00000000-0006-0000-0B00-000018000000}">
      <text>
        <r>
          <rPr>
            <sz val="12"/>
            <color theme="1"/>
            <rFont val="Aptos Narrow"/>
            <family val="2"/>
            <scheme val="minor"/>
          </rPr>
          <t>Duy Nguyen:
last week was 28,890,000</t>
        </r>
      </text>
    </comment>
    <comment ref="G5" authorId="3" shapeId="0" xr:uid="{00000000-0006-0000-0B00-000019000000}">
      <text>
        <r>
          <rPr>
            <sz val="12"/>
            <color theme="1"/>
            <rFont val="Aptos Narrow"/>
            <family val="2"/>
            <scheme val="minor"/>
          </rPr>
          <t>W13Q3: 28.790.000</t>
        </r>
      </text>
    </comment>
    <comment ref="H5" authorId="4" shapeId="0" xr:uid="{00000000-0006-0000-0B00-00001A000000}">
      <text>
        <r>
          <rPr>
            <sz val="12"/>
            <color theme="1"/>
            <rFont val="Aptos Narrow"/>
            <family val="2"/>
            <scheme val="minor"/>
          </rPr>
          <t xml:space="preserve">Sơn Nguyễn:
28890000
</t>
        </r>
      </text>
    </comment>
    <comment ref="I5" authorId="0" shapeId="0" xr:uid="{00000000-0006-0000-0B00-00001B000000}">
      <text>
        <r>
          <rPr>
            <sz val="12"/>
            <color theme="1"/>
            <rFont val="Aptos Narrow"/>
            <family val="2"/>
            <scheme val="minor"/>
          </rPr>
          <t>Microsoft Office User:
last week was 
28,755k</t>
        </r>
      </text>
    </comment>
    <comment ref="C6" authorId="1" shapeId="0" xr:uid="{00000000-0006-0000-0B00-00001C000000}">
      <text>
        <r>
          <rPr>
            <sz val="12"/>
            <color theme="1"/>
            <rFont val="Aptos Narrow"/>
            <family val="2"/>
            <scheme val="minor"/>
          </rPr>
          <t>Dang Phuong Nam:
Last week was: 19.690.000</t>
        </r>
      </text>
    </comment>
    <comment ref="D6" authorId="1" shapeId="0" xr:uid="{00000000-0006-0000-0B00-00001D000000}">
      <text>
        <r>
          <rPr>
            <sz val="12"/>
            <color theme="1"/>
            <rFont val="Aptos Narrow"/>
            <family val="2"/>
            <scheme val="minor"/>
          </rPr>
          <t>Đặng Thanh Vượng:
Last week was: 19.390.000</t>
        </r>
      </text>
    </comment>
    <comment ref="E6" authorId="0" shapeId="0" xr:uid="{00000000-0006-0000-0B00-00001E000000}">
      <text>
        <r>
          <rPr>
            <sz val="12"/>
            <color theme="1"/>
            <rFont val="Aptos Narrow"/>
            <family val="2"/>
            <scheme val="minor"/>
          </rPr>
          <t>Microsoft Office User:
Last week was:
19.490.000đ</t>
        </r>
      </text>
    </comment>
    <comment ref="F6" authorId="2" shapeId="0" xr:uid="{00000000-0006-0000-0B00-00001F000000}">
      <text>
        <r>
          <rPr>
            <sz val="12"/>
            <color theme="1"/>
            <rFont val="Aptos Narrow"/>
            <family val="2"/>
            <scheme val="minor"/>
          </rPr>
          <t>Duy Nguyen:
last week was 19,190,000</t>
        </r>
      </text>
    </comment>
    <comment ref="G6" authorId="3" shapeId="0" xr:uid="{00000000-0006-0000-0B00-000020000000}">
      <text>
        <r>
          <rPr>
            <sz val="12"/>
            <color theme="1"/>
            <rFont val="Aptos Narrow"/>
            <family val="2"/>
            <scheme val="minor"/>
          </rPr>
          <t xml:space="preserve">W13Q3: 18.990.000
</t>
        </r>
      </text>
    </comment>
    <comment ref="E7" authorId="0" shapeId="0" xr:uid="{00000000-0006-0000-0B00-000021000000}">
      <text>
        <r>
          <rPr>
            <sz val="12"/>
            <color theme="1"/>
            <rFont val="Aptos Narrow"/>
            <family val="2"/>
            <scheme val="minor"/>
          </rPr>
          <t>Microsoft Office User:
Last week was:
17.590.000đ</t>
        </r>
      </text>
    </comment>
    <comment ref="F7" authorId="2" shapeId="0" xr:uid="{00000000-0006-0000-0B00-000022000000}">
      <text>
        <r>
          <rPr>
            <sz val="12"/>
            <color theme="1"/>
            <rFont val="Aptos Narrow"/>
            <family val="2"/>
            <scheme val="minor"/>
          </rPr>
          <t>Duy Nguyen:
last week was 16,990,000</t>
        </r>
      </text>
    </comment>
    <comment ref="G7" authorId="3" shapeId="0" xr:uid="{00000000-0006-0000-0B00-000023000000}">
      <text>
        <r>
          <rPr>
            <sz val="12"/>
            <color theme="1"/>
            <rFont val="Aptos Narrow"/>
            <family val="2"/>
            <scheme val="minor"/>
          </rPr>
          <t>W13Q3: 16.290.000</t>
        </r>
      </text>
    </comment>
    <comment ref="H7" authorId="4" shapeId="0" xr:uid="{00000000-0006-0000-0B00-000024000000}">
      <text>
        <r>
          <rPr>
            <sz val="12"/>
            <color theme="1"/>
            <rFont val="Aptos Narrow"/>
            <family val="2"/>
            <scheme val="minor"/>
          </rPr>
          <t>Sơn Nguyễn:
16290000</t>
        </r>
      </text>
    </comment>
    <comment ref="B8" authorId="5" shapeId="0" xr:uid="{00000000-0006-0000-0B00-000025000000}">
      <text>
        <r>
          <rPr>
            <sz val="12"/>
            <color theme="1"/>
            <rFont val="Aptos Narrow"/>
            <family val="2"/>
            <scheme val="minor"/>
          </rPr>
          <t>pc:
Was 13,890,000</t>
        </r>
      </text>
    </comment>
    <comment ref="C8" authorId="1" shapeId="0" xr:uid="{00000000-0006-0000-0B00-000026000000}">
      <text>
        <r>
          <rPr>
            <sz val="12"/>
            <color theme="1"/>
            <rFont val="Aptos Narrow"/>
            <family val="2"/>
            <scheme val="minor"/>
          </rPr>
          <t>Dang Phuong Nam:
Last week was: 
13.890.000</t>
        </r>
      </text>
    </comment>
    <comment ref="D8" authorId="1" shapeId="0" xr:uid="{00000000-0006-0000-0B00-000027000000}">
      <text>
        <r>
          <rPr>
            <sz val="12"/>
            <color theme="1"/>
            <rFont val="Aptos Narrow"/>
            <family val="2"/>
            <scheme val="minor"/>
          </rPr>
          <t>Đặng Thanh Vượng:
Last week was: 13.590.000</t>
        </r>
      </text>
    </comment>
    <comment ref="F8" authorId="2" shapeId="0" xr:uid="{00000000-0006-0000-0B00-000028000000}">
      <text>
        <r>
          <rPr>
            <sz val="12"/>
            <color theme="1"/>
            <rFont val="Aptos Narrow"/>
            <family val="2"/>
            <scheme val="minor"/>
          </rPr>
          <t>Duy Nguyen:
last week was 13,590,000</t>
        </r>
      </text>
    </comment>
    <comment ref="G8" authorId="3" shapeId="0" xr:uid="{00000000-0006-0000-0B00-000029000000}">
      <text>
        <r>
          <rPr>
            <sz val="12"/>
            <color theme="1"/>
            <rFont val="Aptos Narrow"/>
            <family val="2"/>
            <scheme val="minor"/>
          </rPr>
          <t>W13Q3: 13.690.000</t>
        </r>
      </text>
    </comment>
    <comment ref="I8" authorId="0" shapeId="0" xr:uid="{00000000-0006-0000-0B00-00002A000000}">
      <text>
        <r>
          <rPr>
            <sz val="12"/>
            <color theme="1"/>
            <rFont val="Aptos Narrow"/>
            <family val="2"/>
            <scheme val="minor"/>
          </rPr>
          <t>Microsoft Office User:
last week was
23,490k</t>
        </r>
      </text>
    </comment>
    <comment ref="D9" authorId="1" shapeId="0" xr:uid="{00000000-0006-0000-0B00-00002B000000}">
      <text>
        <r>
          <rPr>
            <sz val="12"/>
            <color theme="1"/>
            <rFont val="Aptos Narrow"/>
            <family val="2"/>
            <scheme val="minor"/>
          </rPr>
          <t>Đặng Thanh Vượng:
Last week was: 11.890.000</t>
        </r>
      </text>
    </comment>
    <comment ref="F9" authorId="2" shapeId="0" xr:uid="{00000000-0006-0000-0B00-00002C000000}">
      <text>
        <r>
          <rPr>
            <sz val="12"/>
            <color theme="1"/>
            <rFont val="Aptos Narrow"/>
            <family val="2"/>
            <scheme val="minor"/>
          </rPr>
          <t>Duy Nguyen:
last week was OOS</t>
        </r>
      </text>
    </comment>
    <comment ref="G9" authorId="3" shapeId="0" xr:uid="{00000000-0006-0000-0B00-00002D000000}">
      <text>
        <r>
          <rPr>
            <sz val="12"/>
            <color theme="1"/>
            <rFont val="Aptos Narrow"/>
            <family val="2"/>
            <scheme val="minor"/>
          </rPr>
          <t>W13Q3: 11.790.000</t>
        </r>
      </text>
    </comment>
    <comment ref="B10" authorId="5" shapeId="0" xr:uid="{00000000-0006-0000-0B00-00002E000000}">
      <text>
        <r>
          <rPr>
            <sz val="12"/>
            <color theme="1"/>
            <rFont val="Aptos Narrow"/>
            <family val="2"/>
            <scheme val="minor"/>
          </rPr>
          <t>pc:
Was 8,590,000</t>
        </r>
      </text>
    </comment>
    <comment ref="C10" authorId="1" shapeId="0" xr:uid="{00000000-0006-0000-0B00-00002F000000}">
      <text>
        <r>
          <rPr>
            <sz val="12"/>
            <color theme="1"/>
            <rFont val="Aptos Narrow"/>
            <family val="2"/>
            <scheme val="minor"/>
          </rPr>
          <t>Dang Phuong Nam:
Last week was: 8.590.000</t>
        </r>
      </text>
    </comment>
    <comment ref="D10" authorId="1" shapeId="0" xr:uid="{00000000-0006-0000-0B00-000030000000}">
      <text>
        <r>
          <rPr>
            <sz val="12"/>
            <color theme="1"/>
            <rFont val="Aptos Narrow"/>
            <family val="2"/>
            <scheme val="minor"/>
          </rPr>
          <t>Đặng Thanh Vượng:
Last week was: 8.540.000</t>
        </r>
      </text>
    </comment>
    <comment ref="E10" authorId="0" shapeId="0" xr:uid="{00000000-0006-0000-0B00-000031000000}">
      <text>
        <r>
          <rPr>
            <sz val="12"/>
            <color theme="1"/>
            <rFont val="Aptos Narrow"/>
            <family val="2"/>
            <scheme val="minor"/>
          </rPr>
          <t>Microsoft Office User:
Last week was:
8.590.000đ</t>
        </r>
      </text>
    </comment>
    <comment ref="F10" authorId="2" shapeId="0" xr:uid="{00000000-0006-0000-0B00-000032000000}">
      <text>
        <r>
          <rPr>
            <sz val="12"/>
            <color theme="1"/>
            <rFont val="Aptos Narrow"/>
            <family val="2"/>
            <scheme val="minor"/>
          </rPr>
          <t>Duy Nguyen:
last week was 8,490,000</t>
        </r>
      </text>
    </comment>
    <comment ref="G10" authorId="3" shapeId="0" xr:uid="{00000000-0006-0000-0B00-000033000000}">
      <text>
        <r>
          <rPr>
            <sz val="12"/>
            <color theme="1"/>
            <rFont val="Aptos Narrow"/>
            <family val="2"/>
            <scheme val="minor"/>
          </rPr>
          <t>W13Q3: 8.390.000</t>
        </r>
      </text>
    </comment>
    <comment ref="G11" authorId="3" shapeId="0" xr:uid="{00000000-0006-0000-0B00-000034000000}">
      <text>
        <r>
          <rPr>
            <sz val="12"/>
            <color theme="1"/>
            <rFont val="Aptos Narrow"/>
            <family val="2"/>
            <scheme val="minor"/>
          </rPr>
          <t xml:space="preserve">W13Q3: 19.990.000
</t>
        </r>
      </text>
    </comment>
    <comment ref="E12" authorId="0" shapeId="0" xr:uid="{00000000-0006-0000-0B00-000035000000}">
      <text>
        <r>
          <rPr>
            <sz val="12"/>
            <color theme="1"/>
            <rFont val="Aptos Narrow"/>
            <family val="2"/>
            <scheme val="minor"/>
          </rPr>
          <t>Microsoft Office User:
Last week was:
14.290.000đ</t>
        </r>
      </text>
    </comment>
    <comment ref="F12" authorId="2" shapeId="0" xr:uid="{00000000-0006-0000-0B00-000036000000}">
      <text>
        <r>
          <rPr>
            <sz val="12"/>
            <color theme="1"/>
            <rFont val="Aptos Narrow"/>
            <family val="2"/>
            <scheme val="minor"/>
          </rPr>
          <t>Duy Nguyen:
last week was 14,590,000</t>
        </r>
      </text>
    </comment>
    <comment ref="G12" authorId="3" shapeId="0" xr:uid="{00000000-0006-0000-0B00-000037000000}">
      <text>
        <r>
          <rPr>
            <sz val="12"/>
            <color theme="1"/>
            <rFont val="Aptos Narrow"/>
            <family val="2"/>
            <scheme val="minor"/>
          </rPr>
          <t xml:space="preserve">W13Q3: 13.990.000
</t>
        </r>
      </text>
    </comment>
    <comment ref="D13" authorId="1" shapeId="0" xr:uid="{00000000-0006-0000-0B00-000038000000}">
      <text>
        <r>
          <rPr>
            <sz val="12"/>
            <color theme="1"/>
            <rFont val="Aptos Narrow"/>
            <family val="2"/>
            <scheme val="minor"/>
          </rPr>
          <t>Đặng Thanh Vượng:
Last week was: 12.690.000</t>
        </r>
      </text>
    </comment>
    <comment ref="E13" authorId="0" shapeId="0" xr:uid="{00000000-0006-0000-0B00-000039000000}">
      <text>
        <r>
          <rPr>
            <sz val="12"/>
            <color theme="1"/>
            <rFont val="Aptos Narrow"/>
            <family val="2"/>
            <scheme val="minor"/>
          </rPr>
          <t>Microsoft Office User:
Last week was:
12.190.000đ</t>
        </r>
      </text>
    </comment>
    <comment ref="F13" authorId="2" shapeId="0" xr:uid="{00000000-0006-0000-0B00-00003A000000}">
      <text>
        <r>
          <rPr>
            <sz val="12"/>
            <color theme="1"/>
            <rFont val="Aptos Narrow"/>
            <family val="2"/>
            <scheme val="minor"/>
          </rPr>
          <t>Duy Nguyen:
last week was 12,490,000</t>
        </r>
      </text>
    </comment>
    <comment ref="G13" authorId="3" shapeId="0" xr:uid="{00000000-0006-0000-0B00-00003B000000}">
      <text>
        <r>
          <rPr>
            <sz val="12"/>
            <color theme="1"/>
            <rFont val="Aptos Narrow"/>
            <family val="2"/>
            <scheme val="minor"/>
          </rPr>
          <t xml:space="preserve">W13Q3: 11.690.000
</t>
        </r>
      </text>
    </comment>
    <comment ref="D14" authorId="1" shapeId="0" xr:uid="{00000000-0006-0000-0B00-00003C000000}">
      <text>
        <r>
          <rPr>
            <sz val="12"/>
            <color theme="1"/>
            <rFont val="Aptos Narrow"/>
            <family val="2"/>
            <scheme val="minor"/>
          </rPr>
          <t xml:space="preserve">Đặng Thanh Vượng:
Last week was: 9.940,000	</t>
        </r>
      </text>
    </comment>
    <comment ref="E14" authorId="0" shapeId="0" xr:uid="{00000000-0006-0000-0B00-00003D000000}">
      <text>
        <r>
          <rPr>
            <sz val="12"/>
            <color theme="1"/>
            <rFont val="Aptos Narrow"/>
            <family val="2"/>
            <scheme val="minor"/>
          </rPr>
          <t>Microsoft Office User:
Last week was:
9.490.000đ</t>
        </r>
      </text>
    </comment>
    <comment ref="F14" authorId="2" shapeId="0" xr:uid="{00000000-0006-0000-0B00-00003E000000}">
      <text>
        <r>
          <rPr>
            <sz val="12"/>
            <color theme="1"/>
            <rFont val="Aptos Narrow"/>
            <family val="2"/>
            <scheme val="minor"/>
          </rPr>
          <t>Duy Nguyen:
last week was 9,590,000</t>
        </r>
      </text>
    </comment>
    <comment ref="G14" authorId="3" shapeId="0" xr:uid="{00000000-0006-0000-0B00-00003F000000}">
      <text>
        <r>
          <rPr>
            <sz val="12"/>
            <color theme="1"/>
            <rFont val="Aptos Narrow"/>
            <family val="2"/>
            <scheme val="minor"/>
          </rPr>
          <t>W13Q3: 9.490.000</t>
        </r>
      </text>
    </comment>
    <comment ref="I14" authorId="0" shapeId="0" xr:uid="{00000000-0006-0000-0B00-000040000000}">
      <text>
        <r>
          <rPr>
            <sz val="12"/>
            <color theme="1"/>
            <rFont val="Aptos Narrow"/>
            <family val="2"/>
            <scheme val="minor"/>
          </rPr>
          <t>Microsoft Office User:
last week was 
10,801k</t>
        </r>
      </text>
    </comment>
    <comment ref="B15" authorId="5" shapeId="0" xr:uid="{00000000-0006-0000-0B00-000041000000}">
      <text>
        <r>
          <rPr>
            <sz val="12"/>
            <color theme="1"/>
            <rFont val="Aptos Narrow"/>
            <family val="2"/>
            <scheme val="minor"/>
          </rPr>
          <t>pc:
Was 7,090,000</t>
        </r>
      </text>
    </comment>
    <comment ref="C15" authorId="1" shapeId="0" xr:uid="{00000000-0006-0000-0B00-000042000000}">
      <text>
        <r>
          <rPr>
            <sz val="12"/>
            <color theme="1"/>
            <rFont val="Aptos Narrow"/>
            <family val="2"/>
            <scheme val="minor"/>
          </rPr>
          <t>Dang Phuong Nam:
Last week was: 7.090.000</t>
        </r>
      </text>
    </comment>
    <comment ref="D15" authorId="1" shapeId="0" xr:uid="{00000000-0006-0000-0B00-000043000000}">
      <text>
        <r>
          <rPr>
            <sz val="12"/>
            <color theme="1"/>
            <rFont val="Aptos Narrow"/>
            <family val="2"/>
            <scheme val="minor"/>
          </rPr>
          <t xml:space="preserve">Đặng Thanh Vượng:
Last week was: 7.140,000	</t>
        </r>
      </text>
    </comment>
    <comment ref="E15" authorId="0" shapeId="0" xr:uid="{00000000-0006-0000-0B00-000044000000}">
      <text>
        <r>
          <rPr>
            <sz val="12"/>
            <color theme="1"/>
            <rFont val="Aptos Narrow"/>
            <family val="2"/>
            <scheme val="minor"/>
          </rPr>
          <t>Microsoft Office User:
Last week was:
6.790.000đ</t>
        </r>
      </text>
    </comment>
    <comment ref="F15" authorId="2" shapeId="0" xr:uid="{00000000-0006-0000-0B00-000045000000}">
      <text>
        <r>
          <rPr>
            <sz val="12"/>
            <color theme="1"/>
            <rFont val="Aptos Narrow"/>
            <family val="2"/>
            <scheme val="minor"/>
          </rPr>
          <t>Duy Nguyen:
last week was 6,790,000</t>
        </r>
      </text>
    </comment>
    <comment ref="G15" authorId="3" shapeId="0" xr:uid="{00000000-0006-0000-0B00-000046000000}">
      <text>
        <r>
          <rPr>
            <sz val="12"/>
            <color theme="1"/>
            <rFont val="Aptos Narrow"/>
            <family val="2"/>
            <scheme val="minor"/>
          </rPr>
          <t>W13Q3: 6.850.000</t>
        </r>
      </text>
    </comment>
    <comment ref="H15" authorId="4" shapeId="0" xr:uid="{00000000-0006-0000-0B00-000047000000}">
      <text>
        <r>
          <rPr>
            <sz val="12"/>
            <color theme="1"/>
            <rFont val="Aptos Narrow"/>
            <family val="2"/>
            <scheme val="minor"/>
          </rPr>
          <t>Sơn Nguyễn:
6890000</t>
        </r>
      </text>
    </comment>
    <comment ref="I15" authorId="0" shapeId="0" xr:uid="{00000000-0006-0000-0B00-000048000000}">
      <text>
        <r>
          <rPr>
            <sz val="12"/>
            <color theme="1"/>
            <rFont val="Aptos Narrow"/>
            <family val="2"/>
            <scheme val="minor"/>
          </rPr>
          <t>Microsoft Office User:
last week was 
6,853k</t>
        </r>
      </text>
    </comment>
    <comment ref="C20" authorId="1" shapeId="0" xr:uid="{00000000-0006-0000-0B00-000049000000}">
      <text>
        <r>
          <rPr>
            <sz val="12"/>
            <color theme="1"/>
            <rFont val="Aptos Narrow"/>
            <family val="2"/>
            <scheme val="minor"/>
          </rPr>
          <t>Dang Phuong Nam:
Last week was: 5.990.000</t>
        </r>
      </text>
    </comment>
    <comment ref="D20" authorId="1" shapeId="0" xr:uid="{00000000-0006-0000-0B00-00004A000000}">
      <text>
        <r>
          <rPr>
            <sz val="12"/>
            <color theme="1"/>
            <rFont val="Aptos Narrow"/>
            <family val="2"/>
            <scheme val="minor"/>
          </rPr>
          <t xml:space="preserve">Đặng Thanh Vượng:
Last week was: 5.740,000	</t>
        </r>
      </text>
    </comment>
    <comment ref="E20" authorId="0" shapeId="0" xr:uid="{00000000-0006-0000-0B00-00004B000000}">
      <text>
        <r>
          <rPr>
            <sz val="12"/>
            <color theme="1"/>
            <rFont val="Aptos Narrow"/>
            <family val="2"/>
            <scheme val="minor"/>
          </rPr>
          <t>Microsoft Office User:
Last week was:
5.890.000đ</t>
        </r>
      </text>
    </comment>
    <comment ref="F20" authorId="2" shapeId="0" xr:uid="{00000000-0006-0000-0B00-00004C000000}">
      <text>
        <r>
          <rPr>
            <sz val="12"/>
            <color theme="1"/>
            <rFont val="Aptos Narrow"/>
            <family val="2"/>
            <scheme val="minor"/>
          </rPr>
          <t>Duy Nguyen:
last week was 5,790,000</t>
        </r>
      </text>
    </comment>
    <comment ref="G20" authorId="3" shapeId="0" xr:uid="{00000000-0006-0000-0B00-00004D000000}">
      <text>
        <r>
          <rPr>
            <sz val="12"/>
            <color theme="1"/>
            <rFont val="Aptos Narrow"/>
            <family val="2"/>
            <scheme val="minor"/>
          </rPr>
          <t>W13Q3: 5.790.000</t>
        </r>
      </text>
    </comment>
    <comment ref="H20" authorId="4" shapeId="0" xr:uid="{00000000-0006-0000-0B00-00004E000000}">
      <text>
        <r>
          <rPr>
            <sz val="12"/>
            <color theme="1"/>
            <rFont val="Aptos Narrow"/>
            <family val="2"/>
            <scheme val="minor"/>
          </rPr>
          <t>Sơn Nguyễn:
5790000</t>
        </r>
      </text>
    </comment>
    <comment ref="B21" authorId="5" shapeId="0" xr:uid="{00000000-0006-0000-0B00-00004F000000}">
      <text>
        <r>
          <rPr>
            <sz val="12"/>
            <color theme="1"/>
            <rFont val="Aptos Narrow"/>
            <family val="2"/>
            <scheme val="minor"/>
          </rPr>
          <t>pc:
Was 7,290,000</t>
        </r>
      </text>
    </comment>
    <comment ref="C21" authorId="1" shapeId="0" xr:uid="{00000000-0006-0000-0B00-000050000000}">
      <text>
        <r>
          <rPr>
            <sz val="12"/>
            <color theme="1"/>
            <rFont val="Aptos Narrow"/>
            <family val="2"/>
            <scheme val="minor"/>
          </rPr>
          <t>Dang Phuong Nam:
Last week was: 7.490.000</t>
        </r>
      </text>
    </comment>
    <comment ref="E21" authorId="0" shapeId="0" xr:uid="{00000000-0006-0000-0B00-000051000000}">
      <text>
        <r>
          <rPr>
            <sz val="12"/>
            <color theme="1"/>
            <rFont val="Aptos Narrow"/>
            <family val="2"/>
            <scheme val="minor"/>
          </rPr>
          <t>Microsoft Office User:
Last week was:
7.390.000đ</t>
        </r>
      </text>
    </comment>
    <comment ref="F21" authorId="2" shapeId="0" xr:uid="{00000000-0006-0000-0B00-000052000000}">
      <text>
        <r>
          <rPr>
            <sz val="12"/>
            <color theme="1"/>
            <rFont val="Aptos Narrow"/>
            <family val="2"/>
            <scheme val="minor"/>
          </rPr>
          <t>Duy Nguyen:
last week was 7,190,000</t>
        </r>
      </text>
    </comment>
    <comment ref="G21" authorId="3" shapeId="0" xr:uid="{00000000-0006-0000-0B00-000053000000}">
      <text>
        <r>
          <rPr>
            <sz val="12"/>
            <color theme="1"/>
            <rFont val="Aptos Narrow"/>
            <family val="2"/>
            <scheme val="minor"/>
          </rPr>
          <t xml:space="preserve">W13Q3: 7.190.000
</t>
        </r>
      </text>
    </comment>
    <comment ref="H21" authorId="4" shapeId="0" xr:uid="{00000000-0006-0000-0B00-000054000000}">
      <text>
        <r>
          <rPr>
            <sz val="12"/>
            <color theme="1"/>
            <rFont val="Aptos Narrow"/>
            <family val="2"/>
            <scheme val="minor"/>
          </rPr>
          <t>Sơn Nguyễn:
7190000</t>
        </r>
      </text>
    </comment>
    <comment ref="D22" authorId="1" shapeId="0" xr:uid="{00000000-0006-0000-0B00-000055000000}">
      <text>
        <r>
          <rPr>
            <sz val="12"/>
            <color theme="1"/>
            <rFont val="Aptos Narrow"/>
            <family val="2"/>
            <scheme val="minor"/>
          </rPr>
          <t xml:space="preserve">Đặng Thanh Vượng:
Last week was: 6.740,000	</t>
        </r>
      </text>
    </comment>
    <comment ref="E22" authorId="0" shapeId="0" xr:uid="{00000000-0006-0000-0B00-000056000000}">
      <text>
        <r>
          <rPr>
            <sz val="12"/>
            <color theme="1"/>
            <rFont val="Aptos Narrow"/>
            <family val="2"/>
            <scheme val="minor"/>
          </rPr>
          <t>Microsoft Office User:
Last week was:
6.690.000đ</t>
        </r>
      </text>
    </comment>
    <comment ref="F22" authorId="2" shapeId="0" xr:uid="{00000000-0006-0000-0B00-000057000000}">
      <text>
        <r>
          <rPr>
            <sz val="12"/>
            <color theme="1"/>
            <rFont val="Aptos Narrow"/>
            <family val="2"/>
            <scheme val="minor"/>
          </rPr>
          <t>Duy Nguyen:
last week was 6,690,000</t>
        </r>
      </text>
    </comment>
    <comment ref="G22" authorId="3" shapeId="0" xr:uid="{00000000-0006-0000-0B00-000058000000}">
      <text>
        <r>
          <rPr>
            <sz val="12"/>
            <color theme="1"/>
            <rFont val="Aptos Narrow"/>
            <family val="2"/>
            <scheme val="minor"/>
          </rPr>
          <t xml:space="preserve">W13Q3: 6.590.000
</t>
        </r>
      </text>
    </comment>
    <comment ref="H22" authorId="4" shapeId="0" xr:uid="{00000000-0006-0000-0B00-000059000000}">
      <text>
        <r>
          <rPr>
            <sz val="12"/>
            <color theme="1"/>
            <rFont val="Aptos Narrow"/>
            <family val="2"/>
            <scheme val="minor"/>
          </rPr>
          <t xml:space="preserve">Sơn Nguyễn:
6590000
</t>
        </r>
      </text>
    </comment>
    <comment ref="I22" authorId="0" shapeId="0" xr:uid="{00000000-0006-0000-0B00-00005A000000}">
      <text>
        <r>
          <rPr>
            <sz val="12"/>
            <color theme="1"/>
            <rFont val="Aptos Narrow"/>
            <family val="2"/>
            <scheme val="minor"/>
          </rPr>
          <t>Microsoft Office User:
last week was 
7,071k</t>
        </r>
      </text>
    </comment>
    <comment ref="B23" authorId="5" shapeId="0" xr:uid="{00000000-0006-0000-0B00-00005B000000}">
      <text>
        <r>
          <rPr>
            <sz val="12"/>
            <color theme="1"/>
            <rFont val="Aptos Narrow"/>
            <family val="2"/>
            <scheme val="minor"/>
          </rPr>
          <t>pc:
Was OOS</t>
        </r>
      </text>
    </comment>
    <comment ref="D23" authorId="1" shapeId="0" xr:uid="{00000000-0006-0000-0B00-00005C000000}">
      <text>
        <r>
          <rPr>
            <sz val="12"/>
            <color theme="1"/>
            <rFont val="Aptos Narrow"/>
            <family val="2"/>
            <scheme val="minor"/>
          </rPr>
          <t xml:space="preserve">Đặng Thanh Vượng:
Last week was: 7.940,000	</t>
        </r>
      </text>
    </comment>
    <comment ref="E23" authorId="0" shapeId="0" xr:uid="{00000000-0006-0000-0B00-00005D000000}">
      <text>
        <r>
          <rPr>
            <sz val="12"/>
            <color theme="1"/>
            <rFont val="Aptos Narrow"/>
            <family val="2"/>
            <scheme val="minor"/>
          </rPr>
          <t>Microsoft Office User:
Last week was:
8.090.000đ</t>
        </r>
      </text>
    </comment>
    <comment ref="F23" authorId="2" shapeId="0" xr:uid="{00000000-0006-0000-0B00-00005E000000}">
      <text>
        <r>
          <rPr>
            <sz val="12"/>
            <color theme="1"/>
            <rFont val="Aptos Narrow"/>
            <family val="2"/>
            <scheme val="minor"/>
          </rPr>
          <t>Duy Nguyen:
last week was 8,090,000</t>
        </r>
      </text>
    </comment>
    <comment ref="G23" authorId="3" shapeId="0" xr:uid="{00000000-0006-0000-0B00-00005F000000}">
      <text>
        <r>
          <rPr>
            <sz val="12"/>
            <color theme="1"/>
            <rFont val="Aptos Narrow"/>
            <family val="2"/>
            <scheme val="minor"/>
          </rPr>
          <t>W13Q3: 7.890.000</t>
        </r>
      </text>
    </comment>
    <comment ref="H23" authorId="4" shapeId="0" xr:uid="{00000000-0006-0000-0B00-000060000000}">
      <text>
        <r>
          <rPr>
            <sz val="12"/>
            <color theme="1"/>
            <rFont val="Aptos Narrow"/>
            <family val="2"/>
            <scheme val="minor"/>
          </rPr>
          <t>Sơn Nguyễn:
7690000</t>
        </r>
      </text>
    </comment>
    <comment ref="B24" authorId="5" shapeId="0" xr:uid="{00000000-0006-0000-0B00-000061000000}">
      <text>
        <r>
          <rPr>
            <sz val="12"/>
            <color theme="1"/>
            <rFont val="Aptos Narrow"/>
            <family val="2"/>
            <scheme val="minor"/>
          </rPr>
          <t>pc:
Was 9,890,000</t>
        </r>
      </text>
    </comment>
    <comment ref="D24" authorId="1" shapeId="0" xr:uid="{00000000-0006-0000-0B00-000062000000}">
      <text>
        <r>
          <rPr>
            <sz val="12"/>
            <color theme="1"/>
            <rFont val="Aptos Narrow"/>
            <family val="2"/>
            <scheme val="minor"/>
          </rPr>
          <t xml:space="preserve">Đặng Thanh Vượng:
Last week was: 9.440,000	</t>
        </r>
      </text>
    </comment>
    <comment ref="E24" authorId="0" shapeId="0" xr:uid="{00000000-0006-0000-0B00-000063000000}">
      <text>
        <r>
          <rPr>
            <sz val="12"/>
            <color theme="1"/>
            <rFont val="Aptos Narrow"/>
            <family val="2"/>
            <scheme val="minor"/>
          </rPr>
          <t>Microsoft Office User:
Last week was:
9.690.000đ</t>
        </r>
      </text>
    </comment>
    <comment ref="F24" authorId="2" shapeId="0" xr:uid="{00000000-0006-0000-0B00-000064000000}">
      <text>
        <r>
          <rPr>
            <sz val="12"/>
            <color theme="1"/>
            <rFont val="Aptos Narrow"/>
            <family val="2"/>
            <scheme val="minor"/>
          </rPr>
          <t>Duy Nguyen:
last week was 8,690,000</t>
        </r>
      </text>
    </comment>
    <comment ref="H24" authorId="6" shapeId="0" xr:uid="{00000000-0006-0000-0B00-000065000000}">
      <text>
        <r>
          <rPr>
            <sz val="12"/>
            <color theme="1"/>
            <rFont val="Aptos Narrow"/>
            <family val="2"/>
            <scheme val="minor"/>
          </rPr>
          <t xml:space="preserve">Windows User:
8890000
</t>
        </r>
      </text>
    </comment>
    <comment ref="I24" authorId="0" shapeId="0" xr:uid="{00000000-0006-0000-0B00-000066000000}">
      <text>
        <r>
          <rPr>
            <sz val="12"/>
            <color theme="1"/>
            <rFont val="Aptos Narrow"/>
            <family val="2"/>
            <scheme val="minor"/>
          </rPr>
          <t>Microsoft Office User:
last week was 
9,467k</t>
        </r>
      </text>
    </comment>
    <comment ref="B25" authorId="5" shapeId="0" xr:uid="{00000000-0006-0000-0B00-000067000000}">
      <text>
        <r>
          <rPr>
            <sz val="12"/>
            <color theme="1"/>
            <rFont val="Aptos Narrow"/>
            <family val="2"/>
            <scheme val="minor"/>
          </rPr>
          <t>pc:
Was 12,290,000</t>
        </r>
      </text>
    </comment>
    <comment ref="C25" authorId="1" shapeId="0" xr:uid="{00000000-0006-0000-0B00-000068000000}">
      <text>
        <r>
          <rPr>
            <sz val="12"/>
            <color theme="1"/>
            <rFont val="Aptos Narrow"/>
            <family val="2"/>
            <scheme val="minor"/>
          </rPr>
          <t>Dang Phuong Nam:
Last week was: 12.290.000</t>
        </r>
      </text>
    </comment>
    <comment ref="D25" authorId="1" shapeId="0" xr:uid="{00000000-0006-0000-0B00-000069000000}">
      <text>
        <r>
          <rPr>
            <sz val="12"/>
            <color theme="1"/>
            <rFont val="Aptos Narrow"/>
            <family val="2"/>
            <scheme val="minor"/>
          </rPr>
          <t xml:space="preserve">Đặng Thanh Vượng:
Last week was: 11.990,000	</t>
        </r>
      </text>
    </comment>
    <comment ref="E25" authorId="0" shapeId="0" xr:uid="{00000000-0006-0000-0B00-00006A000000}">
      <text>
        <r>
          <rPr>
            <sz val="12"/>
            <color theme="1"/>
            <rFont val="Aptos Narrow"/>
            <family val="2"/>
            <scheme val="minor"/>
          </rPr>
          <t>Microsoft Office User:
Last week was:
12.390.000đ</t>
        </r>
      </text>
    </comment>
    <comment ref="F25" authorId="2" shapeId="0" xr:uid="{00000000-0006-0000-0B00-00006B000000}">
      <text>
        <r>
          <rPr>
            <sz val="12"/>
            <color theme="1"/>
            <rFont val="Aptos Narrow"/>
            <family val="2"/>
            <scheme val="minor"/>
          </rPr>
          <t>Duy Nguyen:
last week was 11,890,000</t>
        </r>
      </text>
    </comment>
    <comment ref="G25" authorId="3" shapeId="0" xr:uid="{00000000-0006-0000-0B00-00006C000000}">
      <text>
        <r>
          <rPr>
            <sz val="12"/>
            <color theme="1"/>
            <rFont val="Aptos Narrow"/>
            <family val="2"/>
            <scheme val="minor"/>
          </rPr>
          <t>W13Q3: 10.290.000</t>
        </r>
      </text>
    </comment>
    <comment ref="H25" authorId="4" shapeId="0" xr:uid="{00000000-0006-0000-0B00-00006D000000}">
      <text>
        <r>
          <rPr>
            <sz val="12"/>
            <color theme="1"/>
            <rFont val="Aptos Narrow"/>
            <family val="2"/>
            <scheme val="minor"/>
          </rPr>
          <t xml:space="preserve">Sơn Nguyễn:
11540000
</t>
        </r>
      </text>
    </comment>
    <comment ref="C26" authorId="1" shapeId="0" xr:uid="{00000000-0006-0000-0B00-00006E000000}">
      <text>
        <r>
          <rPr>
            <sz val="12"/>
            <color theme="1"/>
            <rFont val="Aptos Narrow"/>
            <family val="2"/>
            <scheme val="minor"/>
          </rPr>
          <t>Dang Phuong Nam:
Last week was: 10.690.000</t>
        </r>
      </text>
    </comment>
    <comment ref="D26" authorId="1" shapeId="0" xr:uid="{00000000-0006-0000-0B00-00006F000000}">
      <text>
        <r>
          <rPr>
            <sz val="12"/>
            <color theme="1"/>
            <rFont val="Aptos Narrow"/>
            <family val="2"/>
            <scheme val="minor"/>
          </rPr>
          <t xml:space="preserve">Đặng Thanh Vượng:
Last week was: 10.490,000	</t>
        </r>
      </text>
    </comment>
    <comment ref="E26" authorId="0" shapeId="0" xr:uid="{00000000-0006-0000-0B00-000070000000}">
      <text>
        <r>
          <rPr>
            <sz val="12"/>
            <color theme="1"/>
            <rFont val="Aptos Narrow"/>
            <family val="2"/>
            <scheme val="minor"/>
          </rPr>
          <t>Microsoft Office User:
Last week was:
10.490.000đ</t>
        </r>
      </text>
    </comment>
    <comment ref="F26" authorId="2" shapeId="0" xr:uid="{00000000-0006-0000-0B00-000071000000}">
      <text>
        <r>
          <rPr>
            <sz val="12"/>
            <color theme="1"/>
            <rFont val="Aptos Narrow"/>
            <family val="2"/>
            <scheme val="minor"/>
          </rPr>
          <t>Duy Nguyen:
last week was 9,990,000</t>
        </r>
      </text>
    </comment>
    <comment ref="G26" authorId="3" shapeId="0" xr:uid="{00000000-0006-0000-0B00-000072000000}">
      <text>
        <r>
          <rPr>
            <sz val="12"/>
            <color theme="1"/>
            <rFont val="Aptos Narrow"/>
            <family val="2"/>
            <scheme val="minor"/>
          </rPr>
          <t>W13Q3: 9.990.000</t>
        </r>
      </text>
    </comment>
    <comment ref="H26" authorId="4" shapeId="0" xr:uid="{00000000-0006-0000-0B00-000073000000}">
      <text>
        <r>
          <rPr>
            <sz val="12"/>
            <color theme="1"/>
            <rFont val="Aptos Narrow"/>
            <family val="2"/>
            <scheme val="minor"/>
          </rPr>
          <t>Sơn Nguyễn:
9940000</t>
        </r>
      </text>
    </comment>
    <comment ref="B27" authorId="5" shapeId="0" xr:uid="{00000000-0006-0000-0B00-000074000000}">
      <text>
        <r>
          <rPr>
            <sz val="12"/>
            <color theme="1"/>
            <rFont val="Aptos Narrow"/>
            <family val="2"/>
            <scheme val="minor"/>
          </rPr>
          <t>pc:
Was 13,690,000</t>
        </r>
      </text>
    </comment>
    <comment ref="C27" authorId="1" shapeId="0" xr:uid="{00000000-0006-0000-0B00-000075000000}">
      <text>
        <r>
          <rPr>
            <sz val="12"/>
            <color theme="1"/>
            <rFont val="Aptos Narrow"/>
            <family val="2"/>
            <scheme val="minor"/>
          </rPr>
          <t>Dang Phuong Nam:
Last week was: 13.690.000</t>
        </r>
      </text>
    </comment>
    <comment ref="D27" authorId="1" shapeId="0" xr:uid="{00000000-0006-0000-0B00-000076000000}">
      <text>
        <r>
          <rPr>
            <sz val="12"/>
            <color theme="1"/>
            <rFont val="Aptos Narrow"/>
            <family val="2"/>
            <scheme val="minor"/>
          </rPr>
          <t xml:space="preserve">Đặng Thanh Vượng:
Last week was: 13.490,000	</t>
        </r>
      </text>
    </comment>
    <comment ref="E27" authorId="0" shapeId="0" xr:uid="{00000000-0006-0000-0B00-000077000000}">
      <text>
        <r>
          <rPr>
            <sz val="12"/>
            <color theme="1"/>
            <rFont val="Aptos Narrow"/>
            <family val="2"/>
            <scheme val="minor"/>
          </rPr>
          <t>Microsoft Office User:
Last week was:
13.090.000đ</t>
        </r>
      </text>
    </comment>
    <comment ref="F27" authorId="2" shapeId="0" xr:uid="{00000000-0006-0000-0B00-000078000000}">
      <text>
        <r>
          <rPr>
            <sz val="12"/>
            <color theme="1"/>
            <rFont val="Aptos Narrow"/>
            <family val="2"/>
            <scheme val="minor"/>
          </rPr>
          <t>Duy Nguyen:
last week was OOS</t>
        </r>
      </text>
    </comment>
    <comment ref="G27" authorId="3" shapeId="0" xr:uid="{00000000-0006-0000-0B00-000079000000}">
      <text>
        <r>
          <rPr>
            <sz val="12"/>
            <color theme="1"/>
            <rFont val="Aptos Narrow"/>
            <family val="2"/>
            <scheme val="minor"/>
          </rPr>
          <t xml:space="preserve">W13Q3: 12.890.000
</t>
        </r>
      </text>
    </comment>
    <comment ref="H27" authorId="4" shapeId="0" xr:uid="{00000000-0006-0000-0B00-00007A000000}">
      <text>
        <r>
          <rPr>
            <sz val="12"/>
            <color theme="1"/>
            <rFont val="Aptos Narrow"/>
            <family val="2"/>
            <scheme val="minor"/>
          </rPr>
          <t>Sơn Nguyễn:
12640000</t>
        </r>
      </text>
    </comment>
    <comment ref="C28" authorId="1" shapeId="0" xr:uid="{00000000-0006-0000-0B00-00007B000000}">
      <text>
        <r>
          <rPr>
            <sz val="12"/>
            <color theme="1"/>
            <rFont val="Aptos Narrow"/>
            <family val="2"/>
            <scheme val="minor"/>
          </rPr>
          <t>Dang Phuong Nam:
Last week was: 21.190.000</t>
        </r>
      </text>
    </comment>
    <comment ref="D28" authorId="1" shapeId="0" xr:uid="{00000000-0006-0000-0B00-00007C000000}">
      <text>
        <r>
          <rPr>
            <sz val="12"/>
            <color theme="1"/>
            <rFont val="Aptos Narrow"/>
            <family val="2"/>
            <scheme val="minor"/>
          </rPr>
          <t xml:space="preserve">Đặng Thanh Vượng:
Last week was: 20.890,000	</t>
        </r>
      </text>
    </comment>
    <comment ref="E28" authorId="0" shapeId="0" xr:uid="{00000000-0006-0000-0B00-00007D000000}">
      <text>
        <r>
          <rPr>
            <sz val="12"/>
            <color theme="1"/>
            <rFont val="Aptos Narrow"/>
            <family val="2"/>
            <scheme val="minor"/>
          </rPr>
          <t>Microsoft Office User:
Last week was:
19.990.000đ</t>
        </r>
      </text>
    </comment>
    <comment ref="F28" authorId="2" shapeId="0" xr:uid="{00000000-0006-0000-0B00-00007E000000}">
      <text>
        <r>
          <rPr>
            <sz val="12"/>
            <color theme="1"/>
            <rFont val="Aptos Narrow"/>
            <family val="2"/>
            <scheme val="minor"/>
          </rPr>
          <t>Duy Nguyen:
last week was OOS</t>
        </r>
      </text>
    </comment>
    <comment ref="G28" authorId="3" shapeId="0" xr:uid="{00000000-0006-0000-0B00-00007F000000}">
      <text>
        <r>
          <rPr>
            <sz val="12"/>
            <color theme="1"/>
            <rFont val="Aptos Narrow"/>
            <family val="2"/>
            <scheme val="minor"/>
          </rPr>
          <t xml:space="preserve">W13Q3: 20.890.000
</t>
        </r>
      </text>
    </comment>
    <comment ref="C29" authorId="1" shapeId="0" xr:uid="{00000000-0006-0000-0B00-000080000000}">
      <text>
        <r>
          <rPr>
            <sz val="12"/>
            <color theme="1"/>
            <rFont val="Aptos Narrow"/>
            <family val="2"/>
            <scheme val="minor"/>
          </rPr>
          <t>Dang Phuong Nam:
Last week was: 5.690.000</t>
        </r>
      </text>
    </comment>
    <comment ref="D29" authorId="1" shapeId="0" xr:uid="{00000000-0006-0000-0B00-000081000000}">
      <text>
        <r>
          <rPr>
            <sz val="12"/>
            <color theme="1"/>
            <rFont val="Aptos Narrow"/>
            <family val="2"/>
            <scheme val="minor"/>
          </rPr>
          <t xml:space="preserve">Đặng Thanh Vượng:
Last week was: 5.640,000	</t>
        </r>
      </text>
    </comment>
    <comment ref="E29" authorId="0" shapeId="0" xr:uid="{00000000-0006-0000-0B00-000082000000}">
      <text>
        <r>
          <rPr>
            <sz val="12"/>
            <color theme="1"/>
            <rFont val="Aptos Narrow"/>
            <family val="2"/>
            <scheme val="minor"/>
          </rPr>
          <t>Microsoft Office User:
Last week was:
5.690.000đ</t>
        </r>
      </text>
    </comment>
    <comment ref="F29" authorId="2" shapeId="0" xr:uid="{00000000-0006-0000-0B00-000083000000}">
      <text>
        <r>
          <rPr>
            <sz val="12"/>
            <color theme="1"/>
            <rFont val="Aptos Narrow"/>
            <family val="2"/>
            <scheme val="minor"/>
          </rPr>
          <t>Duy Nguyen:
last week was 5,450,000</t>
        </r>
      </text>
    </comment>
    <comment ref="G29" authorId="3" shapeId="0" xr:uid="{00000000-0006-0000-0B00-000084000000}">
      <text>
        <r>
          <rPr>
            <sz val="12"/>
            <color theme="1"/>
            <rFont val="Aptos Narrow"/>
            <family val="2"/>
            <scheme val="minor"/>
          </rPr>
          <t>W13Q3: 5.590.000</t>
        </r>
      </text>
    </comment>
    <comment ref="H29" authorId="4" shapeId="0" xr:uid="{00000000-0006-0000-0B00-000085000000}">
      <text>
        <r>
          <rPr>
            <sz val="12"/>
            <color theme="1"/>
            <rFont val="Aptos Narrow"/>
            <family val="2"/>
            <scheme val="minor"/>
          </rPr>
          <t>Sơn Nguyễn:
5450000</t>
        </r>
      </text>
    </comment>
    <comment ref="I29" authorId="0" shapeId="0" xr:uid="{00000000-0006-0000-0B00-000086000000}">
      <text>
        <r>
          <rPr>
            <sz val="12"/>
            <color theme="1"/>
            <rFont val="Aptos Narrow"/>
            <family val="2"/>
            <scheme val="minor"/>
          </rPr>
          <t>Microsoft Office User:
last week was 
27,251k</t>
        </r>
      </text>
    </comment>
    <comment ref="B30" authorId="5" shapeId="0" xr:uid="{00000000-0006-0000-0B00-000087000000}">
      <text>
        <r>
          <rPr>
            <sz val="12"/>
            <color theme="1"/>
            <rFont val="Aptos Narrow"/>
            <family val="2"/>
            <scheme val="minor"/>
          </rPr>
          <t>pc:
Was 4,090,000</t>
        </r>
      </text>
    </comment>
    <comment ref="C30" authorId="1" shapeId="0" xr:uid="{00000000-0006-0000-0B00-000088000000}">
      <text>
        <r>
          <rPr>
            <sz val="12"/>
            <color theme="1"/>
            <rFont val="Aptos Narrow"/>
            <family val="2"/>
            <scheme val="minor"/>
          </rPr>
          <t>Dang Phuong Nam:
Last week was: 4.090.000</t>
        </r>
      </text>
    </comment>
    <comment ref="D30" authorId="1" shapeId="0" xr:uid="{00000000-0006-0000-0B00-000089000000}">
      <text>
        <r>
          <rPr>
            <sz val="12"/>
            <color theme="1"/>
            <rFont val="Aptos Narrow"/>
            <family val="2"/>
            <scheme val="minor"/>
          </rPr>
          <t xml:space="preserve">Đặng Thanh Vượng:
Last week was: 4.090,000	</t>
        </r>
      </text>
    </comment>
    <comment ref="E30" authorId="0" shapeId="0" xr:uid="{00000000-0006-0000-0B00-00008A000000}">
      <text>
        <r>
          <rPr>
            <sz val="12"/>
            <color theme="1"/>
            <rFont val="Aptos Narrow"/>
            <family val="2"/>
            <scheme val="minor"/>
          </rPr>
          <t>Microsoft Office User:
Last week was:
4.090.000đ</t>
        </r>
      </text>
    </comment>
    <comment ref="F30" authorId="2" shapeId="0" xr:uid="{00000000-0006-0000-0B00-00008B000000}">
      <text>
        <r>
          <rPr>
            <sz val="12"/>
            <color theme="1"/>
            <rFont val="Aptos Narrow"/>
            <family val="2"/>
            <scheme val="minor"/>
          </rPr>
          <t>Duy Nguyen:
last week was 3,890,000</t>
        </r>
      </text>
    </comment>
    <comment ref="G30" authorId="3" shapeId="0" xr:uid="{00000000-0006-0000-0B00-00008C000000}">
      <text>
        <r>
          <rPr>
            <sz val="12"/>
            <color theme="1"/>
            <rFont val="Aptos Narrow"/>
            <family val="2"/>
            <scheme val="minor"/>
          </rPr>
          <t xml:space="preserve">W13Q3: 3.890.000
</t>
        </r>
      </text>
    </comment>
    <comment ref="E31" authorId="0" shapeId="0" xr:uid="{00000000-0006-0000-0B00-00008D000000}">
      <text>
        <r>
          <rPr>
            <sz val="12"/>
            <color theme="1"/>
            <rFont val="Aptos Narrow"/>
            <family val="2"/>
            <scheme val="minor"/>
          </rPr>
          <t>Microsoft Office User:
Last week was:
2.690.000đ</t>
        </r>
      </text>
    </comment>
    <comment ref="F31" authorId="2" shapeId="0" xr:uid="{00000000-0006-0000-0B00-00008E000000}">
      <text>
        <r>
          <rPr>
            <sz val="12"/>
            <color theme="1"/>
            <rFont val="Aptos Narrow"/>
            <family val="2"/>
            <scheme val="minor"/>
          </rPr>
          <t>Duy Nguyen:
last week was 2,690,000</t>
        </r>
      </text>
    </comment>
    <comment ref="G31" authorId="3" shapeId="0" xr:uid="{00000000-0006-0000-0B00-00008F000000}">
      <text>
        <r>
          <rPr>
            <sz val="12"/>
            <color theme="1"/>
            <rFont val="Aptos Narrow"/>
            <family val="2"/>
            <scheme val="minor"/>
          </rPr>
          <t xml:space="preserve">W13Q3: 2.590.000
</t>
        </r>
      </text>
    </comment>
    <comment ref="H31" authorId="4" shapeId="0" xr:uid="{00000000-0006-0000-0B00-000090000000}">
      <text>
        <r>
          <rPr>
            <sz val="12"/>
            <color theme="1"/>
            <rFont val="Aptos Narrow"/>
            <family val="2"/>
            <scheme val="minor"/>
          </rPr>
          <t>Sơn Nguyễn:
2690000</t>
        </r>
      </text>
    </comment>
    <comment ref="C32" authorId="1" shapeId="0" xr:uid="{00000000-0006-0000-0B00-000091000000}">
      <text>
        <r>
          <rPr>
            <sz val="12"/>
            <color theme="1"/>
            <rFont val="Aptos Narrow"/>
            <family val="2"/>
            <scheme val="minor"/>
          </rPr>
          <t>Dang Phuong Nam:
Last week was: 19.090.000</t>
        </r>
      </text>
    </comment>
    <comment ref="F32" authorId="2" shapeId="0" xr:uid="{00000000-0006-0000-0B00-000092000000}">
      <text>
        <r>
          <rPr>
            <sz val="12"/>
            <color theme="1"/>
            <rFont val="Aptos Narrow"/>
            <family val="2"/>
            <scheme val="minor"/>
          </rPr>
          <t>Duy Nguyen:
last week was 18,590,000</t>
        </r>
      </text>
    </comment>
    <comment ref="G32" authorId="3" shapeId="0" xr:uid="{00000000-0006-0000-0B00-000093000000}">
      <text>
        <r>
          <rPr>
            <sz val="12"/>
            <color theme="1"/>
            <rFont val="Aptos Narrow"/>
            <family val="2"/>
            <scheme val="minor"/>
          </rPr>
          <t xml:space="preserve">W13Q3: 18.390.000
</t>
        </r>
      </text>
    </comment>
    <comment ref="B33" authorId="5" shapeId="0" xr:uid="{00000000-0006-0000-0B00-000094000000}">
      <text>
        <r>
          <rPr>
            <sz val="12"/>
            <color theme="1"/>
            <rFont val="Aptos Narrow"/>
            <family val="2"/>
            <scheme val="minor"/>
          </rPr>
          <t>pc:
Was 24,390,000</t>
        </r>
      </text>
    </comment>
    <comment ref="C33" authorId="1" shapeId="0" xr:uid="{00000000-0006-0000-0B00-000095000000}">
      <text>
        <r>
          <rPr>
            <sz val="12"/>
            <color theme="1"/>
            <rFont val="Aptos Narrow"/>
            <family val="2"/>
            <scheme val="minor"/>
          </rPr>
          <t>Dang Phuong Nam:
Last week was: 24.390.000</t>
        </r>
      </text>
    </comment>
    <comment ref="D33" authorId="1" shapeId="0" xr:uid="{00000000-0006-0000-0B00-000096000000}">
      <text>
        <r>
          <rPr>
            <sz val="12"/>
            <color theme="1"/>
            <rFont val="Aptos Narrow"/>
            <family val="2"/>
            <scheme val="minor"/>
          </rPr>
          <t xml:space="preserve">Đặng Thanh Vượng:
Last week was: 24.290,000	</t>
        </r>
      </text>
    </comment>
    <comment ref="F33" authorId="2" shapeId="0" xr:uid="{00000000-0006-0000-0B00-000097000000}">
      <text>
        <r>
          <rPr>
            <sz val="12"/>
            <color theme="1"/>
            <rFont val="Aptos Narrow"/>
            <family val="2"/>
            <scheme val="minor"/>
          </rPr>
          <t>Duy Nguyen:
last week was 23,990,000</t>
        </r>
      </text>
    </comment>
    <comment ref="G33" authorId="3" shapeId="0" xr:uid="{00000000-0006-0000-0B00-000098000000}">
      <text>
        <r>
          <rPr>
            <sz val="12"/>
            <color theme="1"/>
            <rFont val="Aptos Narrow"/>
            <family val="2"/>
            <scheme val="minor"/>
          </rPr>
          <t xml:space="preserve">W13Q3: 23.990.000
</t>
        </r>
      </text>
    </comment>
    <comment ref="I33" authorId="0" shapeId="0" xr:uid="{00000000-0006-0000-0B00-000099000000}">
      <text>
        <r>
          <rPr>
            <sz val="12"/>
            <color theme="1"/>
            <rFont val="Aptos Narrow"/>
            <family val="2"/>
            <scheme val="minor"/>
          </rPr>
          <t>Microsoft Office User:
last week was 
23,276k</t>
        </r>
      </text>
    </comment>
    <comment ref="D34" authorId="1" shapeId="0" xr:uid="{00000000-0006-0000-0B00-00009A000000}">
      <text>
        <r>
          <rPr>
            <sz val="12"/>
            <color theme="1"/>
            <rFont val="Aptos Narrow"/>
            <family val="2"/>
            <scheme val="minor"/>
          </rPr>
          <t xml:space="preserve">Đặng Thanh Vượng:
Last week was: 27.390,000	</t>
        </r>
      </text>
    </comment>
    <comment ref="F34" authorId="2" shapeId="0" xr:uid="{00000000-0006-0000-0B00-00009B000000}">
      <text>
        <r>
          <rPr>
            <sz val="12"/>
            <color theme="1"/>
            <rFont val="Aptos Narrow"/>
            <family val="2"/>
            <scheme val="minor"/>
          </rPr>
          <t>Duy Nguyen:
last week was 26,390,000</t>
        </r>
      </text>
    </comment>
    <comment ref="G34" authorId="3" shapeId="0" xr:uid="{00000000-0006-0000-0B00-00009C000000}">
      <text>
        <r>
          <rPr>
            <sz val="12"/>
            <color theme="1"/>
            <rFont val="Aptos Narrow"/>
            <family val="2"/>
            <scheme val="minor"/>
          </rPr>
          <t xml:space="preserve">W13Q3: 26.890.000
</t>
        </r>
      </text>
    </comment>
    <comment ref="H34" authorId="4" shapeId="0" xr:uid="{00000000-0006-0000-0B00-00009D000000}">
      <text>
        <r>
          <rPr>
            <sz val="12"/>
            <color theme="1"/>
            <rFont val="Aptos Narrow"/>
            <family val="2"/>
            <scheme val="minor"/>
          </rPr>
          <t>Sơn Nguyễn:
26840000</t>
        </r>
      </text>
    </comment>
    <comment ref="C35" authorId="1" shapeId="0" xr:uid="{00000000-0006-0000-0B00-00009E000000}">
      <text>
        <r>
          <rPr>
            <sz val="12"/>
            <color theme="1"/>
            <rFont val="Aptos Narrow"/>
            <family val="2"/>
            <scheme val="minor"/>
          </rPr>
          <t>Dang Phuong Nam:
Last week was: 31.690.000</t>
        </r>
      </text>
    </comment>
    <comment ref="D35" authorId="1" shapeId="0" xr:uid="{00000000-0006-0000-0B00-00009F000000}">
      <text>
        <r>
          <rPr>
            <sz val="12"/>
            <color theme="1"/>
            <rFont val="Aptos Narrow"/>
            <family val="2"/>
            <scheme val="minor"/>
          </rPr>
          <t xml:space="preserve">Đặng Thanh Vượng:
Last week was: 31.190,000	</t>
        </r>
      </text>
    </comment>
    <comment ref="F35" authorId="2" shapeId="0" xr:uid="{00000000-0006-0000-0B00-0000A0000000}">
      <text>
        <r>
          <rPr>
            <sz val="12"/>
            <color theme="1"/>
            <rFont val="Aptos Narrow"/>
            <family val="2"/>
            <scheme val="minor"/>
          </rPr>
          <t>Duy Nguyen:
last week was 31,290,000</t>
        </r>
      </text>
    </comment>
    <comment ref="G35" authorId="3" shapeId="0" xr:uid="{00000000-0006-0000-0B00-0000A1000000}">
      <text>
        <r>
          <rPr>
            <sz val="12"/>
            <color theme="1"/>
            <rFont val="Aptos Narrow"/>
            <family val="2"/>
            <scheme val="minor"/>
          </rPr>
          <t xml:space="preserve">W13Q3: 31.990.000
</t>
        </r>
      </text>
    </comment>
    <comment ref="H35" authorId="4" shapeId="0" xr:uid="{00000000-0006-0000-0B00-0000A2000000}">
      <text>
        <r>
          <rPr>
            <sz val="12"/>
            <color theme="1"/>
            <rFont val="Aptos Narrow"/>
            <family val="2"/>
            <scheme val="minor"/>
          </rPr>
          <t>Sơn Nguyễn:
31490000</t>
        </r>
      </text>
    </comment>
    <comment ref="C36" authorId="1" shapeId="0" xr:uid="{00000000-0006-0000-0B00-0000A3000000}">
      <text>
        <r>
          <rPr>
            <sz val="12"/>
            <color theme="1"/>
            <rFont val="Aptos Narrow"/>
            <family val="2"/>
            <scheme val="minor"/>
          </rPr>
          <t>Dang Phuong Nam:
Last week was: 38.690.000</t>
        </r>
      </text>
    </comment>
    <comment ref="D36" authorId="1" shapeId="0" xr:uid="{00000000-0006-0000-0B00-0000A4000000}">
      <text>
        <r>
          <rPr>
            <sz val="12"/>
            <color theme="1"/>
            <rFont val="Aptos Narrow"/>
            <family val="2"/>
            <scheme val="minor"/>
          </rPr>
          <t xml:space="preserve">Đặng Thanh Vượng:
Last week was: 38.190,000	</t>
        </r>
      </text>
    </comment>
    <comment ref="F36" authorId="2" shapeId="0" xr:uid="{00000000-0006-0000-0B00-0000A5000000}">
      <text>
        <r>
          <rPr>
            <sz val="12"/>
            <color theme="1"/>
            <rFont val="Aptos Narrow"/>
            <family val="2"/>
            <scheme val="minor"/>
          </rPr>
          <t>Duy Nguyen:
last week was 37,590,000</t>
        </r>
      </text>
    </comment>
    <comment ref="G36" authorId="3" shapeId="0" xr:uid="{00000000-0006-0000-0B00-0000A6000000}">
      <text>
        <r>
          <rPr>
            <sz val="12"/>
            <color theme="1"/>
            <rFont val="Aptos Narrow"/>
            <family val="2"/>
            <scheme val="minor"/>
          </rPr>
          <t xml:space="preserve">W13Q3: 36.990.000
</t>
        </r>
      </text>
    </comment>
    <comment ref="H36" authorId="4" shapeId="0" xr:uid="{00000000-0006-0000-0B00-0000A7000000}">
      <text>
        <r>
          <rPr>
            <sz val="12"/>
            <color theme="1"/>
            <rFont val="Aptos Narrow"/>
            <family val="2"/>
            <scheme val="minor"/>
          </rPr>
          <t>Sơn Nguyễn:
37490000</t>
        </r>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Dang Phuong Nam</author>
    <author>Duy Nguyen</author>
    <author>Sơn Nguyễn</author>
    <author>Microsoft Office User</author>
    <author>pc</author>
    <author>KHANHVD</author>
    <author>Nam Khánh</author>
  </authors>
  <commentList>
    <comment ref="D2" authorId="0" shapeId="0" xr:uid="{00000000-0006-0000-0C00-000001000000}">
      <text>
        <r>
          <rPr>
            <sz val="12"/>
            <color theme="1"/>
            <rFont val="Aptos Narrow"/>
            <family val="2"/>
            <scheme val="minor"/>
          </rPr>
          <t>Đặng Thanh Vượng:
Last week was: 19.590.000</t>
        </r>
      </text>
    </comment>
    <comment ref="F2" authorId="1" shapeId="0" xr:uid="{00000000-0006-0000-0C00-000002000000}">
      <text>
        <r>
          <rPr>
            <sz val="12"/>
            <color theme="1"/>
            <rFont val="Aptos Narrow"/>
            <family val="2"/>
            <scheme val="minor"/>
          </rPr>
          <t>Duy Nguyen:
last week was 18,290,000</t>
        </r>
      </text>
    </comment>
    <comment ref="H2" authorId="2" shapeId="0" xr:uid="{00000000-0006-0000-0C00-000003000000}">
      <text>
        <r>
          <rPr>
            <sz val="12"/>
            <color theme="1"/>
            <rFont val="Aptos Narrow"/>
            <family val="2"/>
            <scheme val="minor"/>
          </rPr>
          <t xml:space="preserve">Sơn Nguyễn:
18890000
</t>
        </r>
      </text>
    </comment>
    <comment ref="I2" authorId="3" shapeId="0" xr:uid="{00000000-0006-0000-0C00-000004000000}">
      <text>
        <r>
          <rPr>
            <sz val="12"/>
            <color theme="1"/>
            <rFont val="Aptos Narrow"/>
            <family val="2"/>
            <scheme val="minor"/>
          </rPr>
          <t>Microsoft Office User:
last week was 
21,610k</t>
        </r>
      </text>
    </comment>
    <comment ref="B3" authorId="4" shapeId="0" xr:uid="{00000000-0006-0000-0C00-000005000000}">
      <text>
        <r>
          <rPr>
            <sz val="12"/>
            <color theme="1"/>
            <rFont val="Aptos Narrow"/>
            <family val="2"/>
            <scheme val="minor"/>
          </rPr>
          <t>pc:
Was 22,590,000</t>
        </r>
      </text>
    </comment>
    <comment ref="C3" authorId="0" shapeId="0" xr:uid="{00000000-0006-0000-0C00-000006000000}">
      <text>
        <r>
          <rPr>
            <sz val="12"/>
            <color theme="1"/>
            <rFont val="Aptos Narrow"/>
            <family val="2"/>
            <scheme val="minor"/>
          </rPr>
          <t>Dang Phuong Nam:
Last week was: 
22.590.000</t>
        </r>
      </text>
    </comment>
    <comment ref="D3" authorId="0" shapeId="0" xr:uid="{00000000-0006-0000-0C00-000007000000}">
      <text>
        <r>
          <rPr>
            <sz val="12"/>
            <color theme="1"/>
            <rFont val="Aptos Narrow"/>
            <family val="2"/>
            <scheme val="minor"/>
          </rPr>
          <t>Đặng Thanh Vượng:
Last week was: 22.290.000</t>
        </r>
      </text>
    </comment>
    <comment ref="F3" authorId="1" shapeId="0" xr:uid="{00000000-0006-0000-0C00-000008000000}">
      <text>
        <r>
          <rPr>
            <sz val="12"/>
            <color theme="1"/>
            <rFont val="Aptos Narrow"/>
            <family val="2"/>
            <scheme val="minor"/>
          </rPr>
          <t>Duy Nguyen:
last week was 22,190,000</t>
        </r>
      </text>
    </comment>
    <comment ref="H3" authorId="5" shapeId="0" xr:uid="{00000000-0006-0000-0C00-000009000000}">
      <text>
        <r>
          <rPr>
            <sz val="12"/>
            <color theme="1"/>
            <rFont val="Aptos Narrow"/>
            <family val="2"/>
            <scheme val="minor"/>
          </rPr>
          <t xml:space="preserve">KHANHVD:
22190000
</t>
        </r>
      </text>
    </comment>
    <comment ref="B4" authorId="3" shapeId="0" xr:uid="{00000000-0006-0000-0C00-00000A000000}">
      <text>
        <r>
          <rPr>
            <sz val="12"/>
            <color theme="1"/>
            <rFont val="Aptos Narrow"/>
            <family val="2"/>
            <scheme val="minor"/>
          </rPr>
          <t>Microsoft Office User:
pc
was 25,190,000</t>
        </r>
      </text>
    </comment>
    <comment ref="C4" authorId="0" shapeId="0" xr:uid="{00000000-0006-0000-0C00-00000B000000}">
      <text>
        <r>
          <rPr>
            <sz val="12"/>
            <color theme="1"/>
            <rFont val="Aptos Narrow"/>
            <family val="2"/>
            <scheme val="minor"/>
          </rPr>
          <t>Dang Phuong Nam:
Last week was: 25.290.000</t>
        </r>
      </text>
    </comment>
    <comment ref="F4" authorId="1" shapeId="0" xr:uid="{00000000-0006-0000-0C00-00000C000000}">
      <text>
        <r>
          <rPr>
            <sz val="12"/>
            <color theme="1"/>
            <rFont val="Aptos Narrow"/>
            <family val="2"/>
            <scheme val="minor"/>
          </rPr>
          <t>Duy Nguyen:
last week was 25,090,000</t>
        </r>
      </text>
    </comment>
    <comment ref="B5" authorId="4" shapeId="0" xr:uid="{00000000-0006-0000-0C00-00000D000000}">
      <text>
        <r>
          <rPr>
            <sz val="12"/>
            <color theme="1"/>
            <rFont val="Aptos Narrow"/>
            <family val="2"/>
            <scheme val="minor"/>
          </rPr>
          <t>pc:
Was 29,490,000</t>
        </r>
      </text>
    </comment>
    <comment ref="C5" authorId="0" shapeId="0" xr:uid="{00000000-0006-0000-0C00-00000E000000}">
      <text>
        <r>
          <rPr>
            <sz val="12"/>
            <color theme="1"/>
            <rFont val="Aptos Narrow"/>
            <family val="2"/>
            <scheme val="minor"/>
          </rPr>
          <t>Dang Phuong Nam:
Last week was: 29.490.000</t>
        </r>
      </text>
    </comment>
    <comment ref="D5" authorId="0" shapeId="0" xr:uid="{00000000-0006-0000-0C00-00000F000000}">
      <text>
        <r>
          <rPr>
            <sz val="12"/>
            <color theme="1"/>
            <rFont val="Aptos Narrow"/>
            <family val="2"/>
            <scheme val="minor"/>
          </rPr>
          <t>Đặng Thanh Vượng:
Last week was: 29.290.000</t>
        </r>
      </text>
    </comment>
    <comment ref="F5" authorId="1" shapeId="0" xr:uid="{00000000-0006-0000-0C00-000010000000}">
      <text>
        <r>
          <rPr>
            <sz val="12"/>
            <color theme="1"/>
            <rFont val="Aptos Narrow"/>
            <family val="2"/>
            <scheme val="minor"/>
          </rPr>
          <t>Duy Nguyen:
last week was 29,190,000</t>
        </r>
      </text>
    </comment>
    <comment ref="I5" authorId="3" shapeId="0" xr:uid="{00000000-0006-0000-0C00-000011000000}">
      <text>
        <r>
          <rPr>
            <sz val="12"/>
            <color theme="1"/>
            <rFont val="Aptos Narrow"/>
            <family val="2"/>
            <scheme val="minor"/>
          </rPr>
          <t>Microsoft Office User:
last week was 
28,755k</t>
        </r>
      </text>
    </comment>
    <comment ref="B6" authorId="4" shapeId="0" xr:uid="{00000000-0006-0000-0C00-000012000000}">
      <text>
        <r>
          <rPr>
            <sz val="12"/>
            <color theme="1"/>
            <rFont val="Aptos Narrow"/>
            <family val="2"/>
            <scheme val="minor"/>
          </rPr>
          <t>pc:
Was 19,890,000</t>
        </r>
      </text>
    </comment>
    <comment ref="C6" authorId="0" shapeId="0" xr:uid="{00000000-0006-0000-0C00-000013000000}">
      <text>
        <r>
          <rPr>
            <sz val="12"/>
            <color theme="1"/>
            <rFont val="Aptos Narrow"/>
            <family val="2"/>
            <scheme val="minor"/>
          </rPr>
          <t>Dang Phuong Nam:
Last week was: 19.990.000</t>
        </r>
      </text>
    </comment>
    <comment ref="F6" authorId="1" shapeId="0" xr:uid="{00000000-0006-0000-0C00-000014000000}">
      <text>
        <r>
          <rPr>
            <sz val="12"/>
            <color theme="1"/>
            <rFont val="Aptos Narrow"/>
            <family val="2"/>
            <scheme val="minor"/>
          </rPr>
          <t>Duy Nguyen:
last week was 19,590,000</t>
        </r>
      </text>
    </comment>
    <comment ref="B7" authorId="4" shapeId="0" xr:uid="{00000000-0006-0000-0C00-000015000000}">
      <text>
        <r>
          <rPr>
            <sz val="12"/>
            <color theme="1"/>
            <rFont val="Aptos Narrow"/>
            <family val="2"/>
            <scheme val="minor"/>
          </rPr>
          <t>pc:
Was 17,790,000</t>
        </r>
      </text>
    </comment>
    <comment ref="C7" authorId="0" shapeId="0" xr:uid="{00000000-0006-0000-0C00-000016000000}">
      <text>
        <r>
          <rPr>
            <sz val="12"/>
            <color theme="1"/>
            <rFont val="Aptos Narrow"/>
            <family val="2"/>
            <scheme val="minor"/>
          </rPr>
          <t>Dang Phuong Nam:
Last week was: 17.790.000</t>
        </r>
      </text>
    </comment>
    <comment ref="D7" authorId="0" shapeId="0" xr:uid="{00000000-0006-0000-0C00-000017000000}">
      <text>
        <r>
          <rPr>
            <sz val="12"/>
            <color theme="1"/>
            <rFont val="Aptos Narrow"/>
            <family val="2"/>
            <scheme val="minor"/>
          </rPr>
          <t>Đặng Thanh Vượng:
Last week was: 17.490.000</t>
        </r>
      </text>
    </comment>
    <comment ref="F7" authorId="1" shapeId="0" xr:uid="{00000000-0006-0000-0C00-000018000000}">
      <text>
        <r>
          <rPr>
            <sz val="12"/>
            <color theme="1"/>
            <rFont val="Aptos Narrow"/>
            <family val="2"/>
            <scheme val="minor"/>
          </rPr>
          <t>Duy Nguyen:
last week was 17,290,000</t>
        </r>
      </text>
    </comment>
    <comment ref="F8" authorId="1" shapeId="0" xr:uid="{00000000-0006-0000-0C00-000019000000}">
      <text>
        <r>
          <rPr>
            <sz val="12"/>
            <color theme="1"/>
            <rFont val="Aptos Narrow"/>
            <family val="2"/>
            <scheme val="minor"/>
          </rPr>
          <t>Duy Nguyen:
last week was 13,790,000</t>
        </r>
      </text>
    </comment>
    <comment ref="G8" authorId="6" shapeId="0" xr:uid="{00000000-0006-0000-0C00-00001A000000}">
      <text>
        <r>
          <rPr>
            <sz val="12"/>
            <color theme="1"/>
            <rFont val="Aptos Narrow"/>
            <family val="2"/>
            <scheme val="minor"/>
          </rPr>
          <t>W1: 13.490.000</t>
        </r>
      </text>
    </comment>
    <comment ref="I8" authorId="3" shapeId="0" xr:uid="{00000000-0006-0000-0C00-00001B000000}">
      <text>
        <r>
          <rPr>
            <sz val="12"/>
            <color theme="1"/>
            <rFont val="Aptos Narrow"/>
            <family val="2"/>
            <scheme val="minor"/>
          </rPr>
          <t>Microsoft Office User:
last week was
23,490k</t>
        </r>
      </text>
    </comment>
    <comment ref="B9" authorId="4" shapeId="0" xr:uid="{00000000-0006-0000-0C00-00001C000000}">
      <text>
        <r>
          <rPr>
            <sz val="12"/>
            <color theme="1"/>
            <rFont val="Aptos Narrow"/>
            <family val="2"/>
            <scheme val="minor"/>
          </rPr>
          <t>pc:
Was 11,990,000</t>
        </r>
      </text>
    </comment>
    <comment ref="C9" authorId="0" shapeId="0" xr:uid="{00000000-0006-0000-0C00-00001D000000}">
      <text>
        <r>
          <rPr>
            <sz val="12"/>
            <color theme="1"/>
            <rFont val="Aptos Narrow"/>
            <family val="2"/>
            <scheme val="minor"/>
          </rPr>
          <t>Dang Phuong Nam:
Last week was: 11.990.000</t>
        </r>
      </text>
    </comment>
    <comment ref="F9" authorId="1" shapeId="0" xr:uid="{00000000-0006-0000-0C00-00001E000000}">
      <text>
        <r>
          <rPr>
            <sz val="12"/>
            <color theme="1"/>
            <rFont val="Aptos Narrow"/>
            <family val="2"/>
            <scheme val="minor"/>
          </rPr>
          <t>Duy Nguyen:
last week was 11,550,000</t>
        </r>
      </text>
    </comment>
    <comment ref="B10" authorId="4" shapeId="0" xr:uid="{00000000-0006-0000-0C00-00001F000000}">
      <text>
        <r>
          <rPr>
            <sz val="12"/>
            <color theme="1"/>
            <rFont val="Aptos Narrow"/>
            <family val="2"/>
            <scheme val="minor"/>
          </rPr>
          <t>pc:
Was 8,790,000</t>
        </r>
      </text>
    </comment>
    <comment ref="C10" authorId="0" shapeId="0" xr:uid="{00000000-0006-0000-0C00-000020000000}">
      <text>
        <r>
          <rPr>
            <sz val="12"/>
            <color theme="1"/>
            <rFont val="Aptos Narrow"/>
            <family val="2"/>
            <scheme val="minor"/>
          </rPr>
          <t>Dang Phuong Nam:
Last week was: 8.790.000</t>
        </r>
      </text>
    </comment>
    <comment ref="F10" authorId="1" shapeId="0" xr:uid="{00000000-0006-0000-0C00-000021000000}">
      <text>
        <r>
          <rPr>
            <sz val="12"/>
            <color theme="1"/>
            <rFont val="Aptos Narrow"/>
            <family val="2"/>
            <scheme val="minor"/>
          </rPr>
          <t>Duy Nguyen:
last week was 8,550,000</t>
        </r>
      </text>
    </comment>
    <comment ref="H11" authorId="5" shapeId="0" xr:uid="{00000000-0006-0000-0C00-000022000000}">
      <text>
        <r>
          <rPr>
            <sz val="12"/>
            <color theme="1"/>
            <rFont val="Aptos Narrow"/>
            <family val="2"/>
            <scheme val="minor"/>
          </rPr>
          <t>KHANHVD:
20790000</t>
        </r>
      </text>
    </comment>
    <comment ref="B12" authorId="4" shapeId="0" xr:uid="{00000000-0006-0000-0C00-000023000000}">
      <text>
        <r>
          <rPr>
            <sz val="12"/>
            <color theme="1"/>
            <rFont val="Aptos Narrow"/>
            <family val="2"/>
            <scheme val="minor"/>
          </rPr>
          <t>pc:
Was 14,090,000</t>
        </r>
      </text>
    </comment>
    <comment ref="C12" authorId="0" shapeId="0" xr:uid="{00000000-0006-0000-0C00-000024000000}">
      <text>
        <r>
          <rPr>
            <sz val="12"/>
            <color theme="1"/>
            <rFont val="Aptos Narrow"/>
            <family val="2"/>
            <scheme val="minor"/>
          </rPr>
          <t>Dang Phuong Nam:
Last week was: 14.090.000</t>
        </r>
      </text>
    </comment>
    <comment ref="F12" authorId="1" shapeId="0" xr:uid="{00000000-0006-0000-0C00-000025000000}">
      <text>
        <r>
          <rPr>
            <sz val="12"/>
            <color theme="1"/>
            <rFont val="Aptos Narrow"/>
            <family val="2"/>
            <scheme val="minor"/>
          </rPr>
          <t>Duy Nguyen:
last week was OOS</t>
        </r>
      </text>
    </comment>
    <comment ref="C13" authorId="0" shapeId="0" xr:uid="{00000000-0006-0000-0C00-000026000000}">
      <text>
        <r>
          <rPr>
            <sz val="12"/>
            <color theme="1"/>
            <rFont val="Aptos Narrow"/>
            <family val="2"/>
            <scheme val="minor"/>
          </rPr>
          <t>Dang Phuong Nam:
Last week was: 12.390.000</t>
        </r>
      </text>
    </comment>
    <comment ref="F13" authorId="1" shapeId="0" xr:uid="{00000000-0006-0000-0C00-000027000000}">
      <text>
        <r>
          <rPr>
            <sz val="12"/>
            <color theme="1"/>
            <rFont val="Aptos Narrow"/>
            <family val="2"/>
            <scheme val="minor"/>
          </rPr>
          <t>Duy Nguyen:
last week was 12,690,000</t>
        </r>
      </text>
    </comment>
    <comment ref="H13" authorId="5" shapeId="0" xr:uid="{00000000-0006-0000-0C00-000028000000}">
      <text>
        <r>
          <rPr>
            <sz val="12"/>
            <color theme="1"/>
            <rFont val="Aptos Narrow"/>
            <family val="2"/>
            <scheme val="minor"/>
          </rPr>
          <t xml:space="preserve">KHANHVD:
12190000
</t>
        </r>
      </text>
    </comment>
    <comment ref="B14" authorId="4" shapeId="0" xr:uid="{00000000-0006-0000-0C00-000029000000}">
      <text>
        <r>
          <rPr>
            <sz val="12"/>
            <color theme="1"/>
            <rFont val="Aptos Narrow"/>
            <family val="2"/>
            <scheme val="minor"/>
          </rPr>
          <t>pc:
Was 10,290,000</t>
        </r>
      </text>
    </comment>
    <comment ref="C14" authorId="0" shapeId="0" xr:uid="{00000000-0006-0000-0C00-00002A000000}">
      <text>
        <r>
          <rPr>
            <sz val="12"/>
            <color theme="1"/>
            <rFont val="Aptos Narrow"/>
            <family val="2"/>
            <scheme val="minor"/>
          </rPr>
          <t>Dang Phuong Nam:
Last week was: 10.290.000</t>
        </r>
      </text>
    </comment>
    <comment ref="F14" authorId="1" shapeId="0" xr:uid="{00000000-0006-0000-0C00-00002B000000}">
      <text>
        <r>
          <rPr>
            <sz val="12"/>
            <color theme="1"/>
            <rFont val="Aptos Narrow"/>
            <family val="2"/>
            <scheme val="minor"/>
          </rPr>
          <t>Duy Nguyen:
last week was 9,690,000</t>
        </r>
      </text>
    </comment>
    <comment ref="I14" authorId="3" shapeId="0" xr:uid="{00000000-0006-0000-0C00-00002C000000}">
      <text>
        <r>
          <rPr>
            <sz val="12"/>
            <color theme="1"/>
            <rFont val="Aptos Narrow"/>
            <family val="2"/>
            <scheme val="minor"/>
          </rPr>
          <t>Microsoft Office User:
last week was 
10,801k</t>
        </r>
      </text>
    </comment>
    <comment ref="B15" authorId="4" shapeId="0" xr:uid="{00000000-0006-0000-0C00-00002D000000}">
      <text>
        <r>
          <rPr>
            <sz val="12"/>
            <color theme="1"/>
            <rFont val="Aptos Narrow"/>
            <family val="2"/>
            <scheme val="minor"/>
          </rPr>
          <t>pc:
Was 7,490,000</t>
        </r>
      </text>
    </comment>
    <comment ref="C15" authorId="0" shapeId="0" xr:uid="{00000000-0006-0000-0C00-00002E000000}">
      <text>
        <r>
          <rPr>
            <sz val="12"/>
            <color theme="1"/>
            <rFont val="Aptos Narrow"/>
            <family val="2"/>
            <scheme val="minor"/>
          </rPr>
          <t>Dang Phuong Nam:
Last week was: 7.490.000</t>
        </r>
      </text>
    </comment>
    <comment ref="D15" authorId="0" shapeId="0" xr:uid="{00000000-0006-0000-0C00-00002F000000}">
      <text>
        <r>
          <rPr>
            <sz val="12"/>
            <color theme="1"/>
            <rFont val="Aptos Narrow"/>
            <family val="2"/>
            <scheme val="minor"/>
          </rPr>
          <t xml:space="preserve">Đặng Thanh Vượng:
Last week was: 7.290,000	</t>
        </r>
      </text>
    </comment>
    <comment ref="F15" authorId="1" shapeId="0" xr:uid="{00000000-0006-0000-0C00-000030000000}">
      <text>
        <r>
          <rPr>
            <sz val="12"/>
            <color theme="1"/>
            <rFont val="Aptos Narrow"/>
            <family val="2"/>
            <scheme val="minor"/>
          </rPr>
          <t>Duy Nguyen:
last week was 7,090,000</t>
        </r>
      </text>
    </comment>
    <comment ref="H15" authorId="2" shapeId="0" xr:uid="{00000000-0006-0000-0C00-000031000000}">
      <text>
        <r>
          <rPr>
            <sz val="12"/>
            <color theme="1"/>
            <rFont val="Aptos Narrow"/>
            <family val="2"/>
            <scheme val="minor"/>
          </rPr>
          <t>Sơn Nguyễn:
6990000</t>
        </r>
      </text>
    </comment>
    <comment ref="I15" authorId="3" shapeId="0" xr:uid="{00000000-0006-0000-0C00-000032000000}">
      <text>
        <r>
          <rPr>
            <sz val="12"/>
            <color theme="1"/>
            <rFont val="Aptos Narrow"/>
            <family val="2"/>
            <scheme val="minor"/>
          </rPr>
          <t>Microsoft Office User:
last week was 
6,853k</t>
        </r>
      </text>
    </comment>
    <comment ref="B16" authorId="4" shapeId="0" xr:uid="{00000000-0006-0000-0C00-000033000000}">
      <text>
        <r>
          <rPr>
            <sz val="12"/>
            <color theme="1"/>
            <rFont val="Aptos Narrow"/>
            <family val="2"/>
            <scheme val="minor"/>
          </rPr>
          <t>pc:
Was OOS</t>
        </r>
      </text>
    </comment>
    <comment ref="C16" authorId="0" shapeId="0" xr:uid="{00000000-0006-0000-0C00-000034000000}">
      <text>
        <r>
          <rPr>
            <sz val="12"/>
            <color theme="1"/>
            <rFont val="Aptos Narrow"/>
            <family val="2"/>
            <scheme val="minor"/>
          </rPr>
          <t>Dang Phuong Nam:
Last week was: 16.990.000</t>
        </r>
      </text>
    </comment>
    <comment ref="B17" authorId="4" shapeId="0" xr:uid="{00000000-0006-0000-0C00-000035000000}">
      <text>
        <r>
          <rPr>
            <sz val="12"/>
            <color theme="1"/>
            <rFont val="Aptos Narrow"/>
            <family val="2"/>
            <scheme val="minor"/>
          </rPr>
          <t>pc:
Was 22,490,000</t>
        </r>
      </text>
    </comment>
    <comment ref="C17" authorId="0" shapeId="0" xr:uid="{00000000-0006-0000-0C00-000036000000}">
      <text>
        <r>
          <rPr>
            <sz val="12"/>
            <color theme="1"/>
            <rFont val="Aptos Narrow"/>
            <family val="2"/>
            <scheme val="minor"/>
          </rPr>
          <t>Dang Phuong Nam:
Last week was: 22.490.000</t>
        </r>
      </text>
    </comment>
    <comment ref="F17" authorId="1" shapeId="0" xr:uid="{00000000-0006-0000-0C00-000037000000}">
      <text>
        <r>
          <rPr>
            <sz val="12"/>
            <color theme="1"/>
            <rFont val="Aptos Narrow"/>
            <family val="2"/>
            <scheme val="minor"/>
          </rPr>
          <t>Duy Nguyen:
last week was OOS</t>
        </r>
      </text>
    </comment>
    <comment ref="B18" authorId="4" shapeId="0" xr:uid="{00000000-0006-0000-0C00-000038000000}">
      <text>
        <r>
          <rPr>
            <sz val="12"/>
            <color theme="1"/>
            <rFont val="Aptos Narrow"/>
            <family val="2"/>
            <scheme val="minor"/>
          </rPr>
          <t>pc:
Was 28,990,000</t>
        </r>
      </text>
    </comment>
    <comment ref="C18" authorId="0" shapeId="0" xr:uid="{00000000-0006-0000-0C00-000039000000}">
      <text>
        <r>
          <rPr>
            <sz val="12"/>
            <color theme="1"/>
            <rFont val="Aptos Narrow"/>
            <family val="2"/>
            <scheme val="minor"/>
          </rPr>
          <t>Dang Phuong Nam:
Last week was: 28.990.000</t>
        </r>
      </text>
    </comment>
    <comment ref="D18" authorId="0" shapeId="0" xr:uid="{00000000-0006-0000-0C00-00003A000000}">
      <text>
        <r>
          <rPr>
            <sz val="12"/>
            <color theme="1"/>
            <rFont val="Aptos Narrow"/>
            <family val="2"/>
            <scheme val="minor"/>
          </rPr>
          <t xml:space="preserve">Đặng Thanh Vượng:
Last week was: 28.990,000	</t>
        </r>
      </text>
    </comment>
    <comment ref="H18" authorId="5" shapeId="0" xr:uid="{00000000-0006-0000-0C00-00003B000000}">
      <text>
        <r>
          <rPr>
            <sz val="12"/>
            <color theme="1"/>
            <rFont val="Aptos Narrow"/>
            <family val="2"/>
            <scheme val="minor"/>
          </rPr>
          <t>KHANHVD:
28990000</t>
        </r>
      </text>
    </comment>
    <comment ref="B19" authorId="4" shapeId="0" xr:uid="{00000000-0006-0000-0C00-00003C000000}">
      <text>
        <r>
          <rPr>
            <sz val="12"/>
            <color theme="1"/>
            <rFont val="Aptos Narrow"/>
            <family val="2"/>
            <scheme val="minor"/>
          </rPr>
          <t>pc:
Was 37,990,000</t>
        </r>
      </text>
    </comment>
    <comment ref="C19" authorId="0" shapeId="0" xr:uid="{00000000-0006-0000-0C00-00003D000000}">
      <text>
        <r>
          <rPr>
            <sz val="12"/>
            <color theme="1"/>
            <rFont val="Aptos Narrow"/>
            <family val="2"/>
            <scheme val="minor"/>
          </rPr>
          <t>Dang Phuong Nam:
Last week was: 37.990.000</t>
        </r>
      </text>
    </comment>
    <comment ref="F19" authorId="1" shapeId="0" xr:uid="{00000000-0006-0000-0C00-00003E000000}">
      <text>
        <r>
          <rPr>
            <sz val="12"/>
            <color theme="1"/>
            <rFont val="Aptos Narrow"/>
            <family val="2"/>
            <scheme val="minor"/>
          </rPr>
          <t>Duy Nguyen:
last week was 27,990,000</t>
        </r>
      </text>
    </comment>
    <comment ref="B20" authorId="4" shapeId="0" xr:uid="{00000000-0006-0000-0C00-00003F000000}">
      <text>
        <r>
          <rPr>
            <sz val="12"/>
            <color theme="1"/>
            <rFont val="Aptos Narrow"/>
            <family val="2"/>
            <scheme val="minor"/>
          </rPr>
          <t>pc:
Was 6,190,000</t>
        </r>
      </text>
    </comment>
    <comment ref="C20" authorId="0" shapeId="0" xr:uid="{00000000-0006-0000-0C00-000040000000}">
      <text>
        <r>
          <rPr>
            <sz val="12"/>
            <color theme="1"/>
            <rFont val="Aptos Narrow"/>
            <family val="2"/>
            <scheme val="minor"/>
          </rPr>
          <t>Dang Phuong Nam:
Last week was: 6.190.000</t>
        </r>
      </text>
    </comment>
    <comment ref="E20" authorId="3" shapeId="0" xr:uid="{00000000-0006-0000-0C00-000041000000}">
      <text>
        <r>
          <rPr>
            <sz val="12"/>
            <color theme="1"/>
            <rFont val="Aptos Narrow"/>
            <family val="2"/>
            <scheme val="minor"/>
          </rPr>
          <t>Microsoft Office User:
Last week was:
5.930.100đ</t>
        </r>
      </text>
    </comment>
    <comment ref="F20" authorId="1" shapeId="0" xr:uid="{00000000-0006-0000-0C00-000042000000}">
      <text>
        <r>
          <rPr>
            <sz val="12"/>
            <color theme="1"/>
            <rFont val="Aptos Narrow"/>
            <family val="2"/>
            <scheme val="minor"/>
          </rPr>
          <t>Duy Nguyen:
last week was 5,890,000</t>
        </r>
      </text>
    </comment>
    <comment ref="B21" authorId="4" shapeId="0" xr:uid="{00000000-0006-0000-0C00-000043000000}">
      <text>
        <r>
          <rPr>
            <sz val="12"/>
            <color theme="1"/>
            <rFont val="Aptos Narrow"/>
            <family val="2"/>
            <scheme val="minor"/>
          </rPr>
          <t>pc:
Was OOS</t>
        </r>
      </text>
    </comment>
    <comment ref="C21" authorId="0" shapeId="0" xr:uid="{00000000-0006-0000-0C00-000044000000}">
      <text>
        <r>
          <rPr>
            <sz val="12"/>
            <color theme="1"/>
            <rFont val="Aptos Narrow"/>
            <family val="2"/>
            <scheme val="minor"/>
          </rPr>
          <t>Dang Phuong Nam:
Last week was: OOS</t>
        </r>
      </text>
    </comment>
    <comment ref="E21" authorId="3" shapeId="0" xr:uid="{00000000-0006-0000-0C00-000045000000}">
      <text>
        <r>
          <rPr>
            <sz val="12"/>
            <color theme="1"/>
            <rFont val="Aptos Narrow"/>
            <family val="2"/>
            <scheme val="minor"/>
          </rPr>
          <t>Microsoft Office User:
Last week was:
7.217.000đ</t>
        </r>
      </text>
    </comment>
    <comment ref="F21" authorId="1" shapeId="0" xr:uid="{00000000-0006-0000-0C00-000046000000}">
      <text>
        <r>
          <rPr>
            <sz val="12"/>
            <color theme="1"/>
            <rFont val="Aptos Narrow"/>
            <family val="2"/>
            <scheme val="minor"/>
          </rPr>
          <t>Duy Nguyen:
last week was 7,290,000</t>
        </r>
      </text>
    </comment>
    <comment ref="B22" authorId="4" shapeId="0" xr:uid="{00000000-0006-0000-0C00-000047000000}">
      <text>
        <r>
          <rPr>
            <sz val="12"/>
            <color theme="1"/>
            <rFont val="Aptos Narrow"/>
            <family val="2"/>
            <scheme val="minor"/>
          </rPr>
          <t>pc:
Was 7,090,000</t>
        </r>
      </text>
    </comment>
    <comment ref="C22" authorId="0" shapeId="0" xr:uid="{00000000-0006-0000-0C00-000048000000}">
      <text>
        <r>
          <rPr>
            <sz val="12"/>
            <color theme="1"/>
            <rFont val="Aptos Narrow"/>
            <family val="2"/>
            <scheme val="minor"/>
          </rPr>
          <t>Dang Phuong Nam:
Last week was: 6.890.000</t>
        </r>
      </text>
    </comment>
    <comment ref="E22" authorId="3" shapeId="0" xr:uid="{00000000-0006-0000-0C00-000049000000}">
      <text>
        <r>
          <rPr>
            <sz val="12"/>
            <color theme="1"/>
            <rFont val="Aptos Narrow"/>
            <family val="2"/>
            <scheme val="minor"/>
          </rPr>
          <t>Microsoft Office User:
Last week was:
6.623.100đ</t>
        </r>
      </text>
    </comment>
    <comment ref="G22" authorId="6" shapeId="0" xr:uid="{00000000-0006-0000-0C00-00004A000000}">
      <text>
        <r>
          <rPr>
            <sz val="12"/>
            <color theme="1"/>
            <rFont val="Aptos Narrow"/>
            <family val="2"/>
            <scheme val="minor"/>
          </rPr>
          <t xml:space="preserve">W1: 6.390.000
</t>
        </r>
      </text>
    </comment>
    <comment ref="B23" authorId="4" shapeId="0" xr:uid="{00000000-0006-0000-0C00-00004B000000}">
      <text>
        <r>
          <rPr>
            <sz val="12"/>
            <color theme="1"/>
            <rFont val="Aptos Narrow"/>
            <family val="2"/>
            <scheme val="minor"/>
          </rPr>
          <t>pc:
Was 8,290,000</t>
        </r>
      </text>
    </comment>
    <comment ref="C23" authorId="0" shapeId="0" xr:uid="{00000000-0006-0000-0C00-00004C000000}">
      <text>
        <r>
          <rPr>
            <sz val="12"/>
            <color theme="1"/>
            <rFont val="Aptos Narrow"/>
            <family val="2"/>
            <scheme val="minor"/>
          </rPr>
          <t>Dang Phuong Nam:
Last week was: 8.290.000</t>
        </r>
      </text>
    </comment>
    <comment ref="D23" authorId="0" shapeId="0" xr:uid="{00000000-0006-0000-0C00-00004D000000}">
      <text>
        <r>
          <rPr>
            <sz val="12"/>
            <color theme="1"/>
            <rFont val="Aptos Narrow"/>
            <family val="2"/>
            <scheme val="minor"/>
          </rPr>
          <t xml:space="preserve">Đặng Thanh Vượng:
Last week was: 7.590,000	</t>
        </r>
      </text>
    </comment>
    <comment ref="E23" authorId="3" shapeId="0" xr:uid="{00000000-0006-0000-0C00-00004E000000}">
      <text>
        <r>
          <rPr>
            <sz val="12"/>
            <color theme="1"/>
            <rFont val="Aptos Narrow"/>
            <family val="2"/>
            <scheme val="minor"/>
          </rPr>
          <t>Microsoft Office User:
Last week was:
8.009.100đ</t>
        </r>
      </text>
    </comment>
    <comment ref="H23" authorId="5" shapeId="0" xr:uid="{00000000-0006-0000-0C00-00004F000000}">
      <text>
        <r>
          <rPr>
            <sz val="12"/>
            <color theme="1"/>
            <rFont val="Aptos Narrow"/>
            <family val="2"/>
            <scheme val="minor"/>
          </rPr>
          <t>KHANHVD:
7890000</t>
        </r>
      </text>
    </comment>
    <comment ref="C24" authorId="0" shapeId="0" xr:uid="{00000000-0006-0000-0C00-000050000000}">
      <text>
        <r>
          <rPr>
            <sz val="12"/>
            <color theme="1"/>
            <rFont val="Aptos Narrow"/>
            <family val="2"/>
            <scheme val="minor"/>
          </rPr>
          <t>Dang Phuong Nam:
Last week was: 9.890.000</t>
        </r>
      </text>
    </comment>
    <comment ref="D24" authorId="0" shapeId="0" xr:uid="{00000000-0006-0000-0C00-000051000000}">
      <text>
        <r>
          <rPr>
            <sz val="12"/>
            <color theme="1"/>
            <rFont val="Aptos Narrow"/>
            <family val="2"/>
            <scheme val="minor"/>
          </rPr>
          <t xml:space="preserve">Đặng Thanh Vượng:
Last week was: 9.590,000	</t>
        </r>
      </text>
    </comment>
    <comment ref="E24" authorId="3" shapeId="0" xr:uid="{00000000-0006-0000-0C00-000052000000}">
      <text>
        <r>
          <rPr>
            <sz val="12"/>
            <color theme="1"/>
            <rFont val="Aptos Narrow"/>
            <family val="2"/>
            <scheme val="minor"/>
          </rPr>
          <t>Microsoft Office User:
Last week was:
9.692.100đ</t>
        </r>
      </text>
    </comment>
    <comment ref="F24" authorId="1" shapeId="0" xr:uid="{00000000-0006-0000-0C00-000053000000}">
      <text>
        <r>
          <rPr>
            <sz val="12"/>
            <color theme="1"/>
            <rFont val="Aptos Narrow"/>
            <family val="2"/>
            <scheme val="minor"/>
          </rPr>
          <t>Duy Nguyen:
last week was 9,190,000</t>
        </r>
      </text>
    </comment>
    <comment ref="G24" authorId="6" shapeId="0" xr:uid="{00000000-0006-0000-0C00-000054000000}">
      <text>
        <r>
          <rPr>
            <sz val="12"/>
            <color theme="1"/>
            <rFont val="Aptos Narrow"/>
            <family val="2"/>
            <scheme val="minor"/>
          </rPr>
          <t>W1: 8.690.000</t>
        </r>
      </text>
    </comment>
    <comment ref="H24" authorId="5" shapeId="0" xr:uid="{00000000-0006-0000-0C00-000055000000}">
      <text>
        <r>
          <rPr>
            <sz val="12"/>
            <color theme="1"/>
            <rFont val="Aptos Narrow"/>
            <family val="2"/>
            <scheme val="minor"/>
          </rPr>
          <t>KHANHVD:
9040000</t>
        </r>
      </text>
    </comment>
    <comment ref="I24" authorId="3" shapeId="0" xr:uid="{00000000-0006-0000-0C00-000056000000}">
      <text>
        <r>
          <rPr>
            <sz val="12"/>
            <color theme="1"/>
            <rFont val="Aptos Narrow"/>
            <family val="2"/>
            <scheme val="minor"/>
          </rPr>
          <t>Microsoft Office User:
last week was 
9,467k</t>
        </r>
      </text>
    </comment>
    <comment ref="B25" authorId="4" shapeId="0" xr:uid="{00000000-0006-0000-0C00-000057000000}">
      <text>
        <r>
          <rPr>
            <sz val="12"/>
            <color theme="1"/>
            <rFont val="Aptos Narrow"/>
            <family val="2"/>
            <scheme val="minor"/>
          </rPr>
          <t>pc:
Was 12,390,000</t>
        </r>
      </text>
    </comment>
    <comment ref="C25" authorId="0" shapeId="0" xr:uid="{00000000-0006-0000-0C00-000058000000}">
      <text>
        <r>
          <rPr>
            <sz val="12"/>
            <color theme="1"/>
            <rFont val="Aptos Narrow"/>
            <family val="2"/>
            <scheme val="minor"/>
          </rPr>
          <t>Dang Phuong Nam:
Last week was: OOS</t>
        </r>
      </text>
    </comment>
    <comment ref="D25" authorId="0" shapeId="0" xr:uid="{00000000-0006-0000-0C00-000059000000}">
      <text>
        <r>
          <rPr>
            <sz val="12"/>
            <color theme="1"/>
            <rFont val="Aptos Narrow"/>
            <family val="2"/>
            <scheme val="minor"/>
          </rPr>
          <t xml:space="preserve">Đặng Thanh Vượng:
Last week was: 12.390,000	</t>
        </r>
      </text>
    </comment>
    <comment ref="E25" authorId="3" shapeId="0" xr:uid="{00000000-0006-0000-0C00-00005A000000}">
      <text>
        <r>
          <rPr>
            <sz val="12"/>
            <color theme="1"/>
            <rFont val="Aptos Narrow"/>
            <family val="2"/>
            <scheme val="minor"/>
          </rPr>
          <t>Microsoft Office User:
Last week was:
12.270.000đ</t>
        </r>
      </text>
    </comment>
    <comment ref="F25" authorId="1" shapeId="0" xr:uid="{00000000-0006-0000-0C00-00005B000000}">
      <text>
        <r>
          <rPr>
            <sz val="12"/>
            <color theme="1"/>
            <rFont val="Aptos Narrow"/>
            <family val="2"/>
            <scheme val="minor"/>
          </rPr>
          <t>Duy Nguyen:
last week was 12,590,000</t>
        </r>
      </text>
    </comment>
    <comment ref="G25" authorId="6" shapeId="0" xr:uid="{00000000-0006-0000-0C00-00005C000000}">
      <text>
        <r>
          <rPr>
            <sz val="12"/>
            <color theme="1"/>
            <rFont val="Aptos Narrow"/>
            <family val="2"/>
            <scheme val="minor"/>
          </rPr>
          <t>W1: 11.490.000</t>
        </r>
      </text>
    </comment>
    <comment ref="B26" authorId="4" shapeId="0" xr:uid="{00000000-0006-0000-0C00-00005D000000}">
      <text>
        <r>
          <rPr>
            <sz val="12"/>
            <color theme="1"/>
            <rFont val="Aptos Narrow"/>
            <family val="2"/>
            <scheme val="minor"/>
          </rPr>
          <t>pc:
Was 10,890,000</t>
        </r>
      </text>
    </comment>
    <comment ref="C26" authorId="0" shapeId="0" xr:uid="{00000000-0006-0000-0C00-00005E000000}">
      <text>
        <r>
          <rPr>
            <sz val="12"/>
            <color theme="1"/>
            <rFont val="Aptos Narrow"/>
            <family val="2"/>
            <scheme val="minor"/>
          </rPr>
          <t>Dang Phuong Nam:
Last week was: 10.890.000</t>
        </r>
      </text>
    </comment>
    <comment ref="E26" authorId="3" shapeId="0" xr:uid="{00000000-0006-0000-0C00-00005F000000}">
      <text>
        <r>
          <rPr>
            <sz val="12"/>
            <color theme="1"/>
            <rFont val="Aptos Narrow"/>
            <family val="2"/>
            <scheme val="minor"/>
          </rPr>
          <t>Microsoft Office User:
Last week was:
10.385.100đ</t>
        </r>
      </text>
    </comment>
    <comment ref="G26" authorId="6" shapeId="0" xr:uid="{00000000-0006-0000-0C00-000060000000}">
      <text>
        <r>
          <rPr>
            <sz val="12"/>
            <color theme="1"/>
            <rFont val="Aptos Narrow"/>
            <family val="2"/>
            <scheme val="minor"/>
          </rPr>
          <t>W1: 9.790.000</t>
        </r>
      </text>
    </comment>
    <comment ref="H26" authorId="5" shapeId="0" xr:uid="{00000000-0006-0000-0C00-000061000000}">
      <text>
        <r>
          <rPr>
            <sz val="12"/>
            <color theme="1"/>
            <rFont val="Aptos Narrow"/>
            <family val="2"/>
            <scheme val="minor"/>
          </rPr>
          <t>KHANHVD:
10190000</t>
        </r>
      </text>
    </comment>
    <comment ref="B27" authorId="4" shapeId="0" xr:uid="{00000000-0006-0000-0C00-000062000000}">
      <text>
        <r>
          <rPr>
            <sz val="12"/>
            <color theme="1"/>
            <rFont val="Aptos Narrow"/>
            <family val="2"/>
            <scheme val="minor"/>
          </rPr>
          <t>pc:
Was 13,790,000</t>
        </r>
      </text>
    </comment>
    <comment ref="C27" authorId="0" shapeId="0" xr:uid="{00000000-0006-0000-0C00-000063000000}">
      <text>
        <r>
          <rPr>
            <sz val="12"/>
            <color theme="1"/>
            <rFont val="Aptos Narrow"/>
            <family val="2"/>
            <scheme val="minor"/>
          </rPr>
          <t>Dang Phuong Nam:
Last week was: 13.790.000</t>
        </r>
      </text>
    </comment>
    <comment ref="E27" authorId="3" shapeId="0" xr:uid="{00000000-0006-0000-0C00-000064000000}">
      <text>
        <r>
          <rPr>
            <sz val="12"/>
            <color theme="1"/>
            <rFont val="Aptos Narrow"/>
            <family val="2"/>
            <scheme val="minor"/>
          </rPr>
          <t>Microsoft Office User:
Last week was:
13.070.000đ</t>
        </r>
      </text>
    </comment>
    <comment ref="G27" authorId="6" shapeId="0" xr:uid="{00000000-0006-0000-0C00-000065000000}">
      <text>
        <r>
          <rPr>
            <sz val="12"/>
            <color theme="1"/>
            <rFont val="Aptos Narrow"/>
            <family val="2"/>
            <scheme val="minor"/>
          </rPr>
          <t>W1: 12.690.000</t>
        </r>
      </text>
    </comment>
    <comment ref="B28" authorId="4" shapeId="0" xr:uid="{00000000-0006-0000-0C00-000066000000}">
      <text>
        <r>
          <rPr>
            <sz val="12"/>
            <color theme="1"/>
            <rFont val="Aptos Narrow"/>
            <family val="2"/>
            <scheme val="minor"/>
          </rPr>
          <t>pc:
Was OOS</t>
        </r>
      </text>
    </comment>
    <comment ref="C28" authorId="0" shapeId="0" xr:uid="{00000000-0006-0000-0C00-000067000000}">
      <text>
        <r>
          <rPr>
            <sz val="12"/>
            <color theme="1"/>
            <rFont val="Aptos Narrow"/>
            <family val="2"/>
            <scheme val="minor"/>
          </rPr>
          <t>Dang Phuong Nam:
Last week was: OOS</t>
        </r>
      </text>
    </comment>
    <comment ref="G28" authorId="6" shapeId="0" xr:uid="{00000000-0006-0000-0C00-000068000000}">
      <text>
        <r>
          <rPr>
            <sz val="12"/>
            <color theme="1"/>
            <rFont val="Aptos Narrow"/>
            <family val="2"/>
            <scheme val="minor"/>
          </rPr>
          <t>W1: 20.690.000</t>
        </r>
      </text>
    </comment>
    <comment ref="C29" authorId="0" shapeId="0" xr:uid="{00000000-0006-0000-0C00-000069000000}">
      <text>
        <r>
          <rPr>
            <sz val="12"/>
            <color theme="1"/>
            <rFont val="Aptos Narrow"/>
            <family val="2"/>
            <scheme val="minor"/>
          </rPr>
          <t>Dang Phuong Nam:
Last week was: 5.790.000</t>
        </r>
      </text>
    </comment>
    <comment ref="E29" authorId="3" shapeId="0" xr:uid="{00000000-0006-0000-0C00-00006A000000}">
      <text>
        <r>
          <rPr>
            <sz val="12"/>
            <color theme="1"/>
            <rFont val="Aptos Narrow"/>
            <family val="2"/>
            <scheme val="minor"/>
          </rPr>
          <t>Microsoft Office User:
Last week was:
5.663.100đ</t>
        </r>
      </text>
    </comment>
    <comment ref="I29" authorId="3" shapeId="0" xr:uid="{00000000-0006-0000-0C00-00006B000000}">
      <text>
        <r>
          <rPr>
            <sz val="12"/>
            <color theme="1"/>
            <rFont val="Aptos Narrow"/>
            <family val="2"/>
            <scheme val="minor"/>
          </rPr>
          <t>Microsoft Office User:
last week was 
27,251k</t>
        </r>
      </text>
    </comment>
    <comment ref="B32" authorId="4" shapeId="0" xr:uid="{00000000-0006-0000-0C00-00006C000000}">
      <text>
        <r>
          <rPr>
            <sz val="12"/>
            <color theme="1"/>
            <rFont val="Aptos Narrow"/>
            <family val="2"/>
            <scheme val="minor"/>
          </rPr>
          <t>pc:
Was 19,090,000</t>
        </r>
      </text>
    </comment>
    <comment ref="C32" authorId="0" shapeId="0" xr:uid="{00000000-0006-0000-0C00-00006D000000}">
      <text>
        <r>
          <rPr>
            <sz val="12"/>
            <color theme="1"/>
            <rFont val="Aptos Narrow"/>
            <family val="2"/>
            <scheme val="minor"/>
          </rPr>
          <t>Dang Phuong Nam:
Last week was: 18.790.000</t>
        </r>
      </text>
    </comment>
    <comment ref="D32" authorId="0" shapeId="0" xr:uid="{00000000-0006-0000-0C00-00006E000000}">
      <text>
        <r>
          <rPr>
            <sz val="12"/>
            <color theme="1"/>
            <rFont val="Aptos Narrow"/>
            <family val="2"/>
            <scheme val="minor"/>
          </rPr>
          <t xml:space="preserve">Đặng Thanh Vượng:
Last week was: 18.890,000	</t>
        </r>
      </text>
    </comment>
    <comment ref="G32" authorId="6" shapeId="0" xr:uid="{00000000-0006-0000-0C00-00006F000000}">
      <text>
        <r>
          <rPr>
            <sz val="12"/>
            <color theme="1"/>
            <rFont val="Aptos Narrow"/>
            <family val="2"/>
            <scheme val="minor"/>
          </rPr>
          <t xml:space="preserve">W1: 18.190.000
</t>
        </r>
      </text>
    </comment>
    <comment ref="H32" authorId="5" shapeId="0" xr:uid="{00000000-0006-0000-0C00-000070000000}">
      <text>
        <r>
          <rPr>
            <sz val="12"/>
            <color theme="1"/>
            <rFont val="Aptos Narrow"/>
            <family val="2"/>
            <scheme val="minor"/>
          </rPr>
          <t>KHANHVD:
18390000</t>
        </r>
      </text>
    </comment>
    <comment ref="B33" authorId="4" shapeId="0" xr:uid="{00000000-0006-0000-0C00-000071000000}">
      <text>
        <r>
          <rPr>
            <sz val="12"/>
            <color theme="1"/>
            <rFont val="Aptos Narrow"/>
            <family val="2"/>
            <scheme val="minor"/>
          </rPr>
          <t>pc:
Was 24,490,000</t>
        </r>
      </text>
    </comment>
    <comment ref="C33" authorId="0" shapeId="0" xr:uid="{00000000-0006-0000-0C00-000072000000}">
      <text>
        <r>
          <rPr>
            <sz val="12"/>
            <color theme="1"/>
            <rFont val="Aptos Narrow"/>
            <family val="2"/>
            <scheme val="minor"/>
          </rPr>
          <t>Dang Phuong Nam:
Last week was: 24.290.000</t>
        </r>
      </text>
    </comment>
    <comment ref="D33" authorId="0" shapeId="0" xr:uid="{00000000-0006-0000-0C00-000073000000}">
      <text>
        <r>
          <rPr>
            <sz val="12"/>
            <color theme="1"/>
            <rFont val="Aptos Narrow"/>
            <family val="2"/>
            <scheme val="minor"/>
          </rPr>
          <t xml:space="preserve">Đặng Thanh Vượng:
Last week was: 23.990,000	</t>
        </r>
      </text>
    </comment>
    <comment ref="G33" authorId="6" shapeId="0" xr:uid="{00000000-0006-0000-0C00-000074000000}">
      <text>
        <r>
          <rPr>
            <sz val="12"/>
            <color theme="1"/>
            <rFont val="Aptos Narrow"/>
            <family val="2"/>
            <scheme val="minor"/>
          </rPr>
          <t xml:space="preserve">W1: 23.790.000
</t>
        </r>
      </text>
    </comment>
    <comment ref="I33" authorId="3" shapeId="0" xr:uid="{00000000-0006-0000-0C00-000075000000}">
      <text>
        <r>
          <rPr>
            <sz val="12"/>
            <color theme="1"/>
            <rFont val="Aptos Narrow"/>
            <family val="2"/>
            <scheme val="minor"/>
          </rPr>
          <t>Microsoft Office User:
last week was 
23,276k</t>
        </r>
      </text>
    </comment>
    <comment ref="B34" authorId="4" shapeId="0" xr:uid="{00000000-0006-0000-0C00-000076000000}">
      <text>
        <r>
          <rPr>
            <sz val="12"/>
            <color theme="1"/>
            <rFont val="Aptos Narrow"/>
            <family val="2"/>
            <scheme val="minor"/>
          </rPr>
          <t>pc:
Was 27,690,000</t>
        </r>
      </text>
    </comment>
    <comment ref="C34" authorId="0" shapeId="0" xr:uid="{00000000-0006-0000-0C00-000077000000}">
      <text>
        <r>
          <rPr>
            <sz val="12"/>
            <color theme="1"/>
            <rFont val="Aptos Narrow"/>
            <family val="2"/>
            <scheme val="minor"/>
          </rPr>
          <t>Dang Phuong Nam:
Last week was: 27.690.000</t>
        </r>
      </text>
    </comment>
    <comment ref="D34" authorId="0" shapeId="0" xr:uid="{00000000-0006-0000-0C00-000078000000}">
      <text>
        <r>
          <rPr>
            <sz val="12"/>
            <color theme="1"/>
            <rFont val="Aptos Narrow"/>
            <family val="2"/>
            <scheme val="minor"/>
          </rPr>
          <t xml:space="preserve">Đặng Thanh Vượng:
Last week was: 27.490,000	</t>
        </r>
      </text>
    </comment>
    <comment ref="G34" authorId="6" shapeId="0" xr:uid="{00000000-0006-0000-0C00-000079000000}">
      <text>
        <r>
          <rPr>
            <sz val="12"/>
            <color theme="1"/>
            <rFont val="Aptos Narrow"/>
            <family val="2"/>
            <scheme val="minor"/>
          </rPr>
          <t xml:space="preserve">W1: 26.690.000
</t>
        </r>
      </text>
    </comment>
    <comment ref="B35" authorId="4" shapeId="0" xr:uid="{00000000-0006-0000-0C00-00007A000000}">
      <text>
        <r>
          <rPr>
            <sz val="12"/>
            <color theme="1"/>
            <rFont val="Aptos Narrow"/>
            <family val="2"/>
            <scheme val="minor"/>
          </rPr>
          <t>pc:
Was 31,690,000</t>
        </r>
      </text>
    </comment>
    <comment ref="C35" authorId="0" shapeId="0" xr:uid="{00000000-0006-0000-0C00-00007B000000}">
      <text>
        <r>
          <rPr>
            <sz val="12"/>
            <color theme="1"/>
            <rFont val="Aptos Narrow"/>
            <family val="2"/>
            <scheme val="minor"/>
          </rPr>
          <t>Dang Phuong Nam:
Last week was: 31.690.000</t>
        </r>
      </text>
    </comment>
    <comment ref="G35" authorId="6" shapeId="0" xr:uid="{00000000-0006-0000-0C00-00007C000000}">
      <text>
        <r>
          <rPr>
            <sz val="12"/>
            <color theme="1"/>
            <rFont val="Aptos Narrow"/>
            <family val="2"/>
            <scheme val="minor"/>
          </rPr>
          <t xml:space="preserve">W1: 31.790.000
</t>
        </r>
      </text>
    </comment>
    <comment ref="B36" authorId="4" shapeId="0" xr:uid="{00000000-0006-0000-0C00-00007D000000}">
      <text>
        <r>
          <rPr>
            <sz val="12"/>
            <color theme="1"/>
            <rFont val="Aptos Narrow"/>
            <family val="2"/>
            <scheme val="minor"/>
          </rPr>
          <t>pc:
Was 38,690,000</t>
        </r>
      </text>
    </comment>
    <comment ref="C36" authorId="0" shapeId="0" xr:uid="{00000000-0006-0000-0C00-00007E000000}">
      <text>
        <r>
          <rPr>
            <sz val="12"/>
            <color theme="1"/>
            <rFont val="Aptos Narrow"/>
            <family val="2"/>
            <scheme val="minor"/>
          </rPr>
          <t>Dang Phuong Nam:
Last week was: 38.490.000</t>
        </r>
      </text>
    </comment>
    <comment ref="F36" authorId="1" shapeId="0" xr:uid="{00000000-0006-0000-0C00-00007F000000}">
      <text>
        <r>
          <rPr>
            <sz val="12"/>
            <color theme="1"/>
            <rFont val="Aptos Narrow"/>
            <family val="2"/>
            <scheme val="minor"/>
          </rPr>
          <t>Duy Nguyen:
last week was 38,590,000</t>
        </r>
      </text>
    </comment>
  </commentList>
</comments>
</file>

<file path=xl/comments14.xml><?xml version="1.0" encoding="utf-8"?>
<comments xmlns="http://schemas.openxmlformats.org/spreadsheetml/2006/main" xmlns:mc="http://schemas.openxmlformats.org/markup-compatibility/2006" xmlns:xr="http://schemas.microsoft.com/office/spreadsheetml/2014/revision" mc:Ignorable="xr">
  <authors>
    <author>pc</author>
    <author>Dang Phuong Nam</author>
    <author>Microsoft Office User</author>
    <author>Duy Nguyen</author>
    <author>Nam Khánh</author>
    <author>Administrator</author>
  </authors>
  <commentList>
    <comment ref="B2" authorId="0" shapeId="0" xr:uid="{00000000-0006-0000-0D00-000001000000}">
      <text>
        <r>
          <rPr>
            <sz val="12"/>
            <color theme="1"/>
            <rFont val="Aptos Narrow"/>
            <family val="2"/>
            <scheme val="minor"/>
          </rPr>
          <t>pc:
Was 19,590,000</t>
        </r>
      </text>
    </comment>
    <comment ref="C2" authorId="1" shapeId="0" xr:uid="{00000000-0006-0000-0D00-000002000000}">
      <text>
        <r>
          <rPr>
            <sz val="12"/>
            <color theme="1"/>
            <rFont val="Aptos Narrow"/>
            <family val="2"/>
            <scheme val="minor"/>
          </rPr>
          <t>Dang Phuong Nam:
Last week was: 19.590.000</t>
        </r>
      </text>
    </comment>
    <comment ref="D2" authorId="1" shapeId="0" xr:uid="{00000000-0006-0000-0D00-000003000000}">
      <text>
        <r>
          <rPr>
            <sz val="12"/>
            <color theme="1"/>
            <rFont val="Aptos Narrow"/>
            <family val="2"/>
            <scheme val="minor"/>
          </rPr>
          <t>Đặng Thanh Vượng:
Last week was: 19.790.000</t>
        </r>
      </text>
    </comment>
    <comment ref="E2" authorId="2" shapeId="0" xr:uid="{00000000-0006-0000-0D00-000004000000}">
      <text>
        <r>
          <rPr>
            <sz val="12"/>
            <color theme="1"/>
            <rFont val="Aptos Narrow"/>
            <family val="2"/>
            <scheme val="minor"/>
          </rPr>
          <t>Microsoft Office User:
Last week was:
18.990.000đ</t>
        </r>
      </text>
    </comment>
    <comment ref="F2" authorId="3" shapeId="0" xr:uid="{00000000-0006-0000-0D00-000005000000}">
      <text>
        <r>
          <rPr>
            <sz val="12"/>
            <color theme="1"/>
            <rFont val="Aptos Narrow"/>
            <family val="2"/>
            <scheme val="minor"/>
          </rPr>
          <t>Duy Nguyen:
last week was 19,050,000</t>
        </r>
      </text>
    </comment>
    <comment ref="G2" authorId="4" shapeId="0" xr:uid="{00000000-0006-0000-0D00-000006000000}">
      <text>
        <r>
          <rPr>
            <sz val="12"/>
            <color theme="1"/>
            <rFont val="Aptos Narrow"/>
            <family val="2"/>
            <scheme val="minor"/>
          </rPr>
          <t>W2: 18.990.000</t>
        </r>
      </text>
    </comment>
    <comment ref="I2" authorId="2" shapeId="0" xr:uid="{00000000-0006-0000-0D00-000007000000}">
      <text>
        <r>
          <rPr>
            <sz val="12"/>
            <color theme="1"/>
            <rFont val="Aptos Narrow"/>
            <family val="2"/>
            <scheme val="minor"/>
          </rPr>
          <t>Microsoft Office User:
last week was 
21,610k</t>
        </r>
      </text>
    </comment>
    <comment ref="B3" authorId="0" shapeId="0" xr:uid="{00000000-0006-0000-0D00-000008000000}">
      <text>
        <r>
          <rPr>
            <sz val="12"/>
            <color theme="1"/>
            <rFont val="Aptos Narrow"/>
            <family val="2"/>
            <scheme val="minor"/>
          </rPr>
          <t>pc:
Was 22,790,000</t>
        </r>
      </text>
    </comment>
    <comment ref="C3" authorId="1" shapeId="0" xr:uid="{00000000-0006-0000-0D00-000009000000}">
      <text>
        <r>
          <rPr>
            <sz val="12"/>
            <color theme="1"/>
            <rFont val="Aptos Narrow"/>
            <family val="2"/>
            <scheme val="minor"/>
          </rPr>
          <t>Dang Phuong Nam:
Last week was: 
22.790.000</t>
        </r>
      </text>
    </comment>
    <comment ref="D3" authorId="1" shapeId="0" xr:uid="{00000000-0006-0000-0D00-00000A000000}">
      <text>
        <r>
          <rPr>
            <sz val="12"/>
            <color theme="1"/>
            <rFont val="Aptos Narrow"/>
            <family val="2"/>
            <scheme val="minor"/>
          </rPr>
          <t>Đặng Thanh Vượng:
Last week was: 22.590.000</t>
        </r>
      </text>
    </comment>
    <comment ref="F3" authorId="3" shapeId="0" xr:uid="{00000000-0006-0000-0D00-00000B000000}">
      <text>
        <r>
          <rPr>
            <sz val="12"/>
            <color theme="1"/>
            <rFont val="Aptos Narrow"/>
            <family val="2"/>
            <scheme val="minor"/>
          </rPr>
          <t>Duy Nguyen:
last week was 21,890,000</t>
        </r>
      </text>
    </comment>
    <comment ref="G3" authorId="4" shapeId="0" xr:uid="{00000000-0006-0000-0D00-00000C000000}">
      <text>
        <r>
          <rPr>
            <sz val="12"/>
            <color theme="1"/>
            <rFont val="Aptos Narrow"/>
            <family val="2"/>
            <scheme val="minor"/>
          </rPr>
          <t>W2: 21.690.000</t>
        </r>
      </text>
    </comment>
    <comment ref="F4" authorId="3" shapeId="0" xr:uid="{00000000-0006-0000-0D00-00000D000000}">
      <text>
        <r>
          <rPr>
            <sz val="12"/>
            <color theme="1"/>
            <rFont val="Aptos Narrow"/>
            <family val="2"/>
            <scheme val="minor"/>
          </rPr>
          <t>Duy Nguyen:
last week was 24,490,000</t>
        </r>
      </text>
    </comment>
    <comment ref="D5" authorId="1" shapeId="0" xr:uid="{00000000-0006-0000-0D00-00000E000000}">
      <text>
        <r>
          <rPr>
            <sz val="12"/>
            <color theme="1"/>
            <rFont val="Aptos Narrow"/>
            <family val="2"/>
            <scheme val="minor"/>
          </rPr>
          <t>Đặng Thanh Vượng:
Last week was: 29.390.000</t>
        </r>
      </text>
    </comment>
    <comment ref="F5" authorId="3" shapeId="0" xr:uid="{00000000-0006-0000-0D00-00000F000000}">
      <text>
        <r>
          <rPr>
            <sz val="12"/>
            <color theme="1"/>
            <rFont val="Aptos Narrow"/>
            <family val="2"/>
            <scheme val="minor"/>
          </rPr>
          <t>Duy Nguyen:
last week was 28,890,000</t>
        </r>
      </text>
    </comment>
    <comment ref="I5" authorId="2" shapeId="0" xr:uid="{00000000-0006-0000-0D00-000010000000}">
      <text>
        <r>
          <rPr>
            <sz val="12"/>
            <color theme="1"/>
            <rFont val="Aptos Narrow"/>
            <family val="2"/>
            <scheme val="minor"/>
          </rPr>
          <t>Microsoft Office User:
last week was 
28,755k</t>
        </r>
      </text>
    </comment>
    <comment ref="F6" authorId="3" shapeId="0" xr:uid="{00000000-0006-0000-0D00-000011000000}">
      <text>
        <r>
          <rPr>
            <sz val="12"/>
            <color theme="1"/>
            <rFont val="Aptos Narrow"/>
            <family val="2"/>
            <scheme val="minor"/>
          </rPr>
          <t>Duy Nguyen:
last week was 19,690,000</t>
        </r>
      </text>
    </comment>
    <comment ref="H6" authorId="5" shapeId="0" xr:uid="{00000000-0006-0000-0D00-000012000000}">
      <text>
        <r>
          <rPr>
            <sz val="12"/>
            <color theme="1"/>
            <rFont val="Aptos Narrow"/>
            <family val="2"/>
            <scheme val="minor"/>
          </rPr>
          <t>Administrator:
18990000</t>
        </r>
      </text>
    </comment>
    <comment ref="B7" authorId="0" shapeId="0" xr:uid="{00000000-0006-0000-0D00-000013000000}">
      <text>
        <r>
          <rPr>
            <sz val="12"/>
            <color theme="1"/>
            <rFont val="Aptos Narrow"/>
            <family val="2"/>
            <scheme val="minor"/>
          </rPr>
          <t>pc:
Was 17,490,000</t>
        </r>
      </text>
    </comment>
    <comment ref="C7" authorId="1" shapeId="0" xr:uid="{00000000-0006-0000-0D00-000014000000}">
      <text>
        <r>
          <rPr>
            <sz val="12"/>
            <color theme="1"/>
            <rFont val="Aptos Narrow"/>
            <family val="2"/>
            <scheme val="minor"/>
          </rPr>
          <t>Dang Phuong Nam:
Last week was: 17.590.000</t>
        </r>
      </text>
    </comment>
    <comment ref="D7" authorId="1" shapeId="0" xr:uid="{00000000-0006-0000-0D00-000015000000}">
      <text>
        <r>
          <rPr>
            <sz val="12"/>
            <color theme="1"/>
            <rFont val="Aptos Narrow"/>
            <family val="2"/>
            <scheme val="minor"/>
          </rPr>
          <t>Đặng Thanh Vượng:
Last week was: 17.590.000</t>
        </r>
      </text>
    </comment>
    <comment ref="B8" authorId="0" shapeId="0" xr:uid="{00000000-0006-0000-0D00-000016000000}">
      <text>
        <r>
          <rPr>
            <sz val="12"/>
            <color theme="1"/>
            <rFont val="Aptos Narrow"/>
            <family val="2"/>
            <scheme val="minor"/>
          </rPr>
          <t>pc:
Was 14,090,000</t>
        </r>
      </text>
    </comment>
    <comment ref="C8" authorId="1" shapeId="0" xr:uid="{00000000-0006-0000-0D00-000017000000}">
      <text>
        <r>
          <rPr>
            <sz val="12"/>
            <color theme="1"/>
            <rFont val="Aptos Narrow"/>
            <family val="2"/>
            <scheme val="minor"/>
          </rPr>
          <t>Dang Phuong Nam:
Last week was: 14.090.000</t>
        </r>
      </text>
    </comment>
    <comment ref="D8" authorId="1" shapeId="0" xr:uid="{00000000-0006-0000-0D00-000018000000}">
      <text>
        <r>
          <rPr>
            <sz val="12"/>
            <color theme="1"/>
            <rFont val="Aptos Narrow"/>
            <family val="2"/>
            <scheme val="minor"/>
          </rPr>
          <t>Đặng Thanh Vượng:
Last week was: 13.990.000</t>
        </r>
      </text>
    </comment>
    <comment ref="E8" authorId="2" shapeId="0" xr:uid="{00000000-0006-0000-0D00-000019000000}">
      <text>
        <r>
          <rPr>
            <sz val="12"/>
            <color theme="1"/>
            <rFont val="Aptos Narrow"/>
            <family val="2"/>
            <scheme val="minor"/>
          </rPr>
          <t>Microsoft Office User:
Last week was:
13.490.000đ</t>
        </r>
      </text>
    </comment>
    <comment ref="I8" authorId="2" shapeId="0" xr:uid="{00000000-0006-0000-0D00-00001A000000}">
      <text>
        <r>
          <rPr>
            <sz val="12"/>
            <color theme="1"/>
            <rFont val="Aptos Narrow"/>
            <family val="2"/>
            <scheme val="minor"/>
          </rPr>
          <t>Microsoft Office User:
last week was
23,490k</t>
        </r>
      </text>
    </comment>
    <comment ref="D9" authorId="1" shapeId="0" xr:uid="{00000000-0006-0000-0D00-00001B000000}">
      <text>
        <r>
          <rPr>
            <sz val="12"/>
            <color theme="1"/>
            <rFont val="Aptos Narrow"/>
            <family val="2"/>
            <scheme val="minor"/>
          </rPr>
          <t>Đặng Thanh Vượng:
Last week was: 11.990.000</t>
        </r>
      </text>
    </comment>
    <comment ref="F10" authorId="3" shapeId="0" xr:uid="{00000000-0006-0000-0D00-00001C000000}">
      <text>
        <r>
          <rPr>
            <sz val="12"/>
            <color theme="1"/>
            <rFont val="Aptos Narrow"/>
            <family val="2"/>
            <scheme val="minor"/>
          </rPr>
          <t>Duy Nguyen:
last week was 8,390,000</t>
        </r>
      </text>
    </comment>
    <comment ref="G10" authorId="4" shapeId="0" xr:uid="{00000000-0006-0000-0D00-00001D000000}">
      <text>
        <r>
          <rPr>
            <sz val="12"/>
            <color theme="1"/>
            <rFont val="Aptos Narrow"/>
            <family val="2"/>
            <scheme val="minor"/>
          </rPr>
          <t>W2: 8.190.000</t>
        </r>
      </text>
    </comment>
    <comment ref="D12" authorId="1" shapeId="0" xr:uid="{00000000-0006-0000-0D00-00001E000000}">
      <text>
        <r>
          <rPr>
            <sz val="12"/>
            <color theme="1"/>
            <rFont val="Aptos Narrow"/>
            <family val="2"/>
            <scheme val="minor"/>
          </rPr>
          <t xml:space="preserve">Đặng Thanh Vượng:
Last week was: 13.990,000	</t>
        </r>
      </text>
    </comment>
    <comment ref="D13" authorId="1" shapeId="0" xr:uid="{00000000-0006-0000-0D00-00001F000000}">
      <text>
        <r>
          <rPr>
            <sz val="12"/>
            <color theme="1"/>
            <rFont val="Aptos Narrow"/>
            <family val="2"/>
            <scheme val="minor"/>
          </rPr>
          <t xml:space="preserve">Đặng Thanh Vượng:
Last week was: 12.790,000	</t>
        </r>
      </text>
    </comment>
    <comment ref="F13" authorId="3" shapeId="0" xr:uid="{00000000-0006-0000-0D00-000020000000}">
      <text>
        <r>
          <rPr>
            <sz val="12"/>
            <color theme="1"/>
            <rFont val="Aptos Narrow"/>
            <family val="2"/>
            <scheme val="minor"/>
          </rPr>
          <t>Duy Nguyen:
last week was OOS</t>
        </r>
      </text>
    </comment>
    <comment ref="D14" authorId="1" shapeId="0" xr:uid="{00000000-0006-0000-0D00-000021000000}">
      <text>
        <r>
          <rPr>
            <sz val="12"/>
            <color theme="1"/>
            <rFont val="Aptos Narrow"/>
            <family val="2"/>
            <scheme val="minor"/>
          </rPr>
          <t xml:space="preserve">Đặng Thanh Vượng:
Last week was: 9.990,000	</t>
        </r>
      </text>
    </comment>
    <comment ref="F14" authorId="3" shapeId="0" xr:uid="{00000000-0006-0000-0D00-000022000000}">
      <text>
        <r>
          <rPr>
            <sz val="12"/>
            <color theme="1"/>
            <rFont val="Aptos Narrow"/>
            <family val="2"/>
            <scheme val="minor"/>
          </rPr>
          <t>Duy Nguyen:
last week was 9,750,000</t>
        </r>
      </text>
    </comment>
    <comment ref="I14" authorId="2" shapeId="0" xr:uid="{00000000-0006-0000-0D00-000023000000}">
      <text>
        <r>
          <rPr>
            <sz val="12"/>
            <color theme="1"/>
            <rFont val="Aptos Narrow"/>
            <family val="2"/>
            <scheme val="minor"/>
          </rPr>
          <t>Microsoft Office User:
last week was 
10,801k</t>
        </r>
      </text>
    </comment>
    <comment ref="C15" authorId="1" shapeId="0" xr:uid="{00000000-0006-0000-0D00-000024000000}">
      <text>
        <r>
          <rPr>
            <sz val="12"/>
            <color theme="1"/>
            <rFont val="Aptos Narrow"/>
            <family val="2"/>
            <scheme val="minor"/>
          </rPr>
          <t>Dang Phuong Nam:
Last week was: 7.440.000</t>
        </r>
      </text>
    </comment>
    <comment ref="D15" authorId="1" shapeId="0" xr:uid="{00000000-0006-0000-0D00-000025000000}">
      <text>
        <r>
          <rPr>
            <sz val="12"/>
            <color theme="1"/>
            <rFont val="Aptos Narrow"/>
            <family val="2"/>
            <scheme val="minor"/>
          </rPr>
          <t xml:space="preserve">Đặng Thanh Vượng:
Last week was: 7.390,000	</t>
        </r>
      </text>
    </comment>
    <comment ref="F15" authorId="3" shapeId="0" xr:uid="{00000000-0006-0000-0D00-000026000000}">
      <text>
        <r>
          <rPr>
            <sz val="12"/>
            <color theme="1"/>
            <rFont val="Aptos Narrow"/>
            <family val="2"/>
            <scheme val="minor"/>
          </rPr>
          <t>Duy Nguyen:
last week was 7,150,000</t>
        </r>
      </text>
    </comment>
    <comment ref="D16" authorId="1" shapeId="0" xr:uid="{00000000-0006-0000-0D00-000027000000}">
      <text>
        <r>
          <rPr>
            <sz val="12"/>
            <color theme="1"/>
            <rFont val="Aptos Narrow"/>
            <family val="2"/>
            <scheme val="minor"/>
          </rPr>
          <t xml:space="preserve">Đặng Thanh Vượng:
Last week was: 16.990,000	</t>
        </r>
      </text>
    </comment>
    <comment ref="D17" authorId="1" shapeId="0" xr:uid="{00000000-0006-0000-0D00-000028000000}">
      <text>
        <r>
          <rPr>
            <sz val="12"/>
            <color theme="1"/>
            <rFont val="Aptos Narrow"/>
            <family val="2"/>
            <scheme val="minor"/>
          </rPr>
          <t xml:space="preserve">Đặng Thanh Vượng:
Last week was: 22.490,000	</t>
        </r>
      </text>
    </comment>
    <comment ref="F17" authorId="3" shapeId="0" xr:uid="{00000000-0006-0000-0D00-000029000000}">
      <text>
        <r>
          <rPr>
            <sz val="12"/>
            <color theme="1"/>
            <rFont val="Aptos Narrow"/>
            <family val="2"/>
            <scheme val="minor"/>
          </rPr>
          <t>Duy Nguyen:
last week was 16,990,000</t>
        </r>
      </text>
    </comment>
    <comment ref="D18" authorId="1" shapeId="0" xr:uid="{00000000-0006-0000-0D00-00002A000000}">
      <text>
        <r>
          <rPr>
            <sz val="12"/>
            <color theme="1"/>
            <rFont val="Aptos Narrow"/>
            <family val="2"/>
            <scheme val="minor"/>
          </rPr>
          <t xml:space="preserve">Đặng Thanh Vượng:
Last week was: 28.490,000	</t>
        </r>
      </text>
    </comment>
    <comment ref="D19" authorId="1" shapeId="0" xr:uid="{00000000-0006-0000-0D00-00002B000000}">
      <text>
        <r>
          <rPr>
            <sz val="12"/>
            <color theme="1"/>
            <rFont val="Aptos Narrow"/>
            <family val="2"/>
            <scheme val="minor"/>
          </rPr>
          <t xml:space="preserve">Đặng Thanh Vượng:
Last week was: 37.990,000	</t>
        </r>
      </text>
    </comment>
    <comment ref="H19" authorId="5" shapeId="0" xr:uid="{00000000-0006-0000-0D00-00002C000000}">
      <text>
        <r>
          <rPr>
            <sz val="12"/>
            <color theme="1"/>
            <rFont val="Aptos Narrow"/>
            <family val="2"/>
            <scheme val="minor"/>
          </rPr>
          <t xml:space="preserve">Administrator:
37990000
</t>
        </r>
      </text>
    </comment>
    <comment ref="B20" authorId="0" shapeId="0" xr:uid="{00000000-0006-0000-0D00-00002D000000}">
      <text>
        <r>
          <rPr>
            <sz val="12"/>
            <color theme="1"/>
            <rFont val="Aptos Narrow"/>
            <family val="2"/>
            <scheme val="minor"/>
          </rPr>
          <t>pc:
Was 5,940,000</t>
        </r>
      </text>
    </comment>
    <comment ref="C20" authorId="1" shapeId="0" xr:uid="{00000000-0006-0000-0D00-00002E000000}">
      <text>
        <r>
          <rPr>
            <sz val="12"/>
            <color theme="1"/>
            <rFont val="Aptos Narrow"/>
            <family val="2"/>
            <scheme val="minor"/>
          </rPr>
          <t>Dang Phuong Nam:
Last week was: 6.140.000</t>
        </r>
      </text>
    </comment>
    <comment ref="F20" authorId="3" shapeId="0" xr:uid="{00000000-0006-0000-0D00-00002F000000}">
      <text>
        <r>
          <rPr>
            <sz val="12"/>
            <color theme="1"/>
            <rFont val="Aptos Narrow"/>
            <family val="2"/>
            <scheme val="minor"/>
          </rPr>
          <t>Duy Nguyen:
last week was 5,990,000</t>
        </r>
      </text>
    </comment>
    <comment ref="D22" authorId="1" shapeId="0" xr:uid="{00000000-0006-0000-0D00-000030000000}">
      <text>
        <r>
          <rPr>
            <sz val="12"/>
            <color theme="1"/>
            <rFont val="Aptos Narrow"/>
            <family val="2"/>
            <scheme val="minor"/>
          </rPr>
          <t xml:space="preserve">Đặng Thanh Vượng:
Last week was: 6.290,000	</t>
        </r>
      </text>
    </comment>
    <comment ref="C23" authorId="1" shapeId="0" xr:uid="{00000000-0006-0000-0D00-000031000000}">
      <text>
        <r>
          <rPr>
            <sz val="12"/>
            <color theme="1"/>
            <rFont val="Aptos Narrow"/>
            <family val="2"/>
            <scheme val="minor"/>
          </rPr>
          <t>Dang Phuong Nam:
Last week was: OOS</t>
        </r>
      </text>
    </comment>
    <comment ref="D23" authorId="1" shapeId="0" xr:uid="{00000000-0006-0000-0D00-000032000000}">
      <text>
        <r>
          <rPr>
            <sz val="12"/>
            <color theme="1"/>
            <rFont val="Aptos Narrow"/>
            <family val="2"/>
            <scheme val="minor"/>
          </rPr>
          <t xml:space="preserve">Đặng Thanh Vượng:
Last week was: 7.990,000	</t>
        </r>
      </text>
    </comment>
    <comment ref="B24" authorId="0" shapeId="0" xr:uid="{00000000-0006-0000-0D00-000033000000}">
      <text>
        <r>
          <rPr>
            <sz val="12"/>
            <color theme="1"/>
            <rFont val="Aptos Narrow"/>
            <family val="2"/>
            <scheme val="minor"/>
          </rPr>
          <t>pc:
Was 9,790,000</t>
        </r>
      </text>
    </comment>
    <comment ref="D24" authorId="1" shapeId="0" xr:uid="{00000000-0006-0000-0D00-000034000000}">
      <text>
        <r>
          <rPr>
            <sz val="12"/>
            <color theme="1"/>
            <rFont val="Aptos Narrow"/>
            <family val="2"/>
            <scheme val="minor"/>
          </rPr>
          <t xml:space="preserve">Đặng Thanh Vượng:
Last week was: 9.490,000	</t>
        </r>
      </text>
    </comment>
    <comment ref="F24" authorId="3" shapeId="0" xr:uid="{00000000-0006-0000-0D00-000035000000}">
      <text>
        <r>
          <rPr>
            <sz val="12"/>
            <color theme="1"/>
            <rFont val="Aptos Narrow"/>
            <family val="2"/>
            <scheme val="minor"/>
          </rPr>
          <t>Duy Nguyen:
last week was 9,290,000</t>
        </r>
      </text>
    </comment>
    <comment ref="I24" authorId="2" shapeId="0" xr:uid="{00000000-0006-0000-0D00-000036000000}">
      <text>
        <r>
          <rPr>
            <sz val="12"/>
            <color theme="1"/>
            <rFont val="Aptos Narrow"/>
            <family val="2"/>
            <scheme val="minor"/>
          </rPr>
          <t>Microsoft Office User:
last week was 
9,467k</t>
        </r>
      </text>
    </comment>
    <comment ref="C25" authorId="1" shapeId="0" xr:uid="{00000000-0006-0000-0D00-000037000000}">
      <text>
        <r>
          <rPr>
            <sz val="12"/>
            <color theme="1"/>
            <rFont val="Aptos Narrow"/>
            <family val="2"/>
            <scheme val="minor"/>
          </rPr>
          <t>Dang Phuong Nam:
Last week was: 12.190.000</t>
        </r>
      </text>
    </comment>
    <comment ref="F25" authorId="3" shapeId="0" xr:uid="{00000000-0006-0000-0D00-000038000000}">
      <text>
        <r>
          <rPr>
            <sz val="12"/>
            <color theme="1"/>
            <rFont val="Aptos Narrow"/>
            <family val="2"/>
            <scheme val="minor"/>
          </rPr>
          <t>Duy Nguyen:
last week was OOS</t>
        </r>
      </text>
    </comment>
    <comment ref="C26" authorId="1" shapeId="0" xr:uid="{00000000-0006-0000-0D00-000039000000}">
      <text>
        <r>
          <rPr>
            <sz val="12"/>
            <color theme="1"/>
            <rFont val="Aptos Narrow"/>
            <family val="2"/>
            <scheme val="minor"/>
          </rPr>
          <t>Dang Phuong Nam:
Last week was: 10.790.000</t>
        </r>
      </text>
    </comment>
    <comment ref="C27" authorId="1" shapeId="0" xr:uid="{00000000-0006-0000-0D00-00003A000000}">
      <text>
        <r>
          <rPr>
            <sz val="12"/>
            <color theme="1"/>
            <rFont val="Aptos Narrow"/>
            <family val="2"/>
            <scheme val="minor"/>
          </rPr>
          <t>Dang Phuong Nam:
Last week was: 13.690.000</t>
        </r>
      </text>
    </comment>
    <comment ref="I29" authorId="2" shapeId="0" xr:uid="{00000000-0006-0000-0D00-00003B000000}">
      <text>
        <r>
          <rPr>
            <sz val="12"/>
            <color theme="1"/>
            <rFont val="Aptos Narrow"/>
            <family val="2"/>
            <scheme val="minor"/>
          </rPr>
          <t>Microsoft Office User:
last week was 
27,251k</t>
        </r>
      </text>
    </comment>
    <comment ref="F31" authorId="3" shapeId="0" xr:uid="{00000000-0006-0000-0D00-00003C000000}">
      <text>
        <r>
          <rPr>
            <sz val="12"/>
            <color theme="1"/>
            <rFont val="Aptos Narrow"/>
            <family val="2"/>
            <scheme val="minor"/>
          </rPr>
          <t>Duy Nguyen:
last week was 2,730,000</t>
        </r>
      </text>
    </comment>
    <comment ref="G31" authorId="4" shapeId="0" xr:uid="{00000000-0006-0000-0D00-00003D000000}">
      <text>
        <r>
          <rPr>
            <sz val="12"/>
            <color theme="1"/>
            <rFont val="Aptos Narrow"/>
            <family val="2"/>
            <scheme val="minor"/>
          </rPr>
          <t>W2: 2.490.000</t>
        </r>
      </text>
    </comment>
    <comment ref="B32" authorId="0" shapeId="0" xr:uid="{00000000-0006-0000-0D00-00003E000000}">
      <text>
        <r>
          <rPr>
            <sz val="12"/>
            <color theme="1"/>
            <rFont val="Aptos Narrow"/>
            <family val="2"/>
            <scheme val="minor"/>
          </rPr>
          <t>pc:
Was 18,790,000</t>
        </r>
      </text>
    </comment>
    <comment ref="C32" authorId="1" shapeId="0" xr:uid="{00000000-0006-0000-0D00-00003F000000}">
      <text>
        <r>
          <rPr>
            <sz val="12"/>
            <color theme="1"/>
            <rFont val="Aptos Narrow"/>
            <family val="2"/>
            <scheme val="minor"/>
          </rPr>
          <t>Dang Phuong Nam:
Last week was: 18.890.000</t>
        </r>
      </text>
    </comment>
    <comment ref="D32" authorId="1" shapeId="0" xr:uid="{00000000-0006-0000-0D00-000040000000}">
      <text>
        <r>
          <rPr>
            <sz val="12"/>
            <color theme="1"/>
            <rFont val="Aptos Narrow"/>
            <family val="2"/>
            <scheme val="minor"/>
          </rPr>
          <t xml:space="preserve">Đặng Thanh Vượng:
Last week was: 18.590,000	</t>
        </r>
      </text>
    </comment>
    <comment ref="B33" authorId="0" shapeId="0" xr:uid="{00000000-0006-0000-0D00-000041000000}">
      <text>
        <r>
          <rPr>
            <sz val="12"/>
            <color theme="1"/>
            <rFont val="Aptos Narrow"/>
            <family val="2"/>
            <scheme val="minor"/>
          </rPr>
          <t>pc:
Was 23,790,000</t>
        </r>
      </text>
    </comment>
    <comment ref="C33" authorId="1" shapeId="0" xr:uid="{00000000-0006-0000-0D00-000042000000}">
      <text>
        <r>
          <rPr>
            <sz val="12"/>
            <color theme="1"/>
            <rFont val="Aptos Narrow"/>
            <family val="2"/>
            <scheme val="minor"/>
          </rPr>
          <t>Dang Phuong Nam:
Last week was: 23.990.000</t>
        </r>
      </text>
    </comment>
    <comment ref="F33" authorId="3" shapeId="0" xr:uid="{00000000-0006-0000-0D00-000043000000}">
      <text>
        <r>
          <rPr>
            <sz val="12"/>
            <color theme="1"/>
            <rFont val="Aptos Narrow"/>
            <family val="2"/>
            <scheme val="minor"/>
          </rPr>
          <t>Duy Nguyen:
last week was 23,990,000</t>
        </r>
      </text>
    </comment>
    <comment ref="H33" authorId="5" shapeId="0" xr:uid="{00000000-0006-0000-0D00-000044000000}">
      <text>
        <r>
          <rPr>
            <sz val="12"/>
            <color theme="1"/>
            <rFont val="Aptos Narrow"/>
            <family val="2"/>
            <scheme val="minor"/>
          </rPr>
          <t xml:space="preserve">Administrator:
23990000
</t>
        </r>
      </text>
    </comment>
    <comment ref="I33" authorId="2" shapeId="0" xr:uid="{00000000-0006-0000-0D00-000045000000}">
      <text>
        <r>
          <rPr>
            <sz val="12"/>
            <color theme="1"/>
            <rFont val="Aptos Narrow"/>
            <family val="2"/>
            <scheme val="minor"/>
          </rPr>
          <t>Microsoft Office User:
last week was 
23,276k</t>
        </r>
      </text>
    </comment>
    <comment ref="H34" authorId="5" shapeId="0" xr:uid="{00000000-0006-0000-0D00-000046000000}">
      <text>
        <r>
          <rPr>
            <sz val="12"/>
            <color theme="1"/>
            <rFont val="Aptos Narrow"/>
            <family val="2"/>
            <scheme val="minor"/>
          </rPr>
          <t>Administrator:
27340000</t>
        </r>
      </text>
    </comment>
    <comment ref="H35" authorId="5" shapeId="0" xr:uid="{00000000-0006-0000-0D00-000047000000}">
      <text>
        <r>
          <rPr>
            <sz val="12"/>
            <color theme="1"/>
            <rFont val="Aptos Narrow"/>
            <family val="2"/>
            <scheme val="minor"/>
          </rPr>
          <t>Administrator:
31990000</t>
        </r>
      </text>
    </comment>
    <comment ref="B36" authorId="0" shapeId="0" xr:uid="{00000000-0006-0000-0D00-000048000000}">
      <text>
        <r>
          <rPr>
            <sz val="12"/>
            <color theme="1"/>
            <rFont val="Aptos Narrow"/>
            <family val="2"/>
            <scheme val="minor"/>
          </rPr>
          <t>pc:
Was 38,490,000</t>
        </r>
      </text>
    </comment>
  </commentList>
</comments>
</file>

<file path=xl/comments15.xml><?xml version="1.0" encoding="utf-8"?>
<comments xmlns="http://schemas.openxmlformats.org/spreadsheetml/2006/main" xmlns:mc="http://schemas.openxmlformats.org/markup-compatibility/2006" xmlns:xr="http://schemas.microsoft.com/office/spreadsheetml/2014/revision" mc:Ignorable="xr">
  <authors>
    <author>Dang Phuong Nam</author>
    <author>Microsoft Office User</author>
    <author>Duy Nguyen</author>
    <author>Windows User</author>
    <author>pc</author>
    <author>Administrator</author>
    <author>Nam Khánh</author>
  </authors>
  <commentList>
    <comment ref="D2" authorId="0" shapeId="0" xr:uid="{00000000-0006-0000-0E00-000001000000}">
      <text>
        <r>
          <rPr>
            <sz val="12"/>
            <color theme="1"/>
            <rFont val="Aptos Narrow"/>
            <family val="2"/>
            <scheme val="minor"/>
          </rPr>
          <t>Đặng Thanh Vượng:
Last week was: 19.890.000</t>
        </r>
      </text>
    </comment>
    <comment ref="E2" authorId="1" shapeId="0" xr:uid="{00000000-0006-0000-0E00-000002000000}">
      <text>
        <r>
          <rPr>
            <sz val="12"/>
            <color theme="1"/>
            <rFont val="Aptos Narrow"/>
            <family val="2"/>
            <scheme val="minor"/>
          </rPr>
          <t>Microsoft Office User:
Last week was:
19.290.000đ</t>
        </r>
      </text>
    </comment>
    <comment ref="F2" authorId="2" shapeId="0" xr:uid="{00000000-0006-0000-0E00-000003000000}">
      <text>
        <r>
          <rPr>
            <sz val="12"/>
            <color theme="1"/>
            <rFont val="Aptos Narrow"/>
            <family val="2"/>
            <scheme val="minor"/>
          </rPr>
          <t>Duy Nguyen:
last week was 19,190,000</t>
        </r>
      </text>
    </comment>
    <comment ref="H2" authorId="3" shapeId="0" xr:uid="{00000000-0006-0000-0E00-000004000000}">
      <text>
        <r>
          <rPr>
            <sz val="12"/>
            <color theme="1"/>
            <rFont val="Aptos Narrow"/>
            <family val="2"/>
            <scheme val="minor"/>
          </rPr>
          <t>Windows User:
19950000</t>
        </r>
      </text>
    </comment>
    <comment ref="I2" authorId="1" shapeId="0" xr:uid="{00000000-0006-0000-0E00-000005000000}">
      <text>
        <r>
          <rPr>
            <sz val="12"/>
            <color theme="1"/>
            <rFont val="Aptos Narrow"/>
            <family val="2"/>
            <scheme val="minor"/>
          </rPr>
          <t>Microsoft Office User:
last week was 
21,610k</t>
        </r>
      </text>
    </comment>
    <comment ref="B3" authorId="4" shapeId="0" xr:uid="{00000000-0006-0000-0E00-000006000000}">
      <text>
        <r>
          <rPr>
            <sz val="12"/>
            <color theme="1"/>
            <rFont val="Aptos Narrow"/>
            <family val="2"/>
            <scheme val="minor"/>
          </rPr>
          <t>pc:
Was 22,690,000</t>
        </r>
      </text>
    </comment>
    <comment ref="D3" authorId="0" shapeId="0" xr:uid="{00000000-0006-0000-0E00-000007000000}">
      <text>
        <r>
          <rPr>
            <sz val="12"/>
            <color theme="1"/>
            <rFont val="Aptos Narrow"/>
            <family val="2"/>
            <scheme val="minor"/>
          </rPr>
          <t>Đặng Thanh Vượng:
Last week was: 22.690.000</t>
        </r>
      </text>
    </comment>
    <comment ref="E3" authorId="1" shapeId="0" xr:uid="{00000000-0006-0000-0E00-000008000000}">
      <text>
        <r>
          <rPr>
            <sz val="12"/>
            <color theme="1"/>
            <rFont val="Aptos Narrow"/>
            <family val="2"/>
            <scheme val="minor"/>
          </rPr>
          <t>Microsoft Office User:
Last week was:
21.990.000đ</t>
        </r>
      </text>
    </comment>
    <comment ref="F3" authorId="2" shapeId="0" xr:uid="{00000000-0006-0000-0E00-000009000000}">
      <text>
        <r>
          <rPr>
            <sz val="12"/>
            <color theme="1"/>
            <rFont val="Aptos Narrow"/>
            <family val="2"/>
            <scheme val="minor"/>
          </rPr>
          <t>Duy Nguyen:
last week was 22,090,000</t>
        </r>
      </text>
    </comment>
    <comment ref="H3" authorId="3" shapeId="0" xr:uid="{00000000-0006-0000-0E00-00000A000000}">
      <text>
        <r>
          <rPr>
            <sz val="12"/>
            <color theme="1"/>
            <rFont val="Aptos Narrow"/>
            <family val="2"/>
            <scheme val="minor"/>
          </rPr>
          <t>Windows User:
22550000</t>
        </r>
      </text>
    </comment>
    <comment ref="B4" authorId="4" shapeId="0" xr:uid="{00000000-0006-0000-0E00-00000B000000}">
      <text>
        <r>
          <rPr>
            <sz val="12"/>
            <color theme="1"/>
            <rFont val="Aptos Narrow"/>
            <family val="2"/>
            <scheme val="minor"/>
          </rPr>
          <t>pc:
Was 24,990,000</t>
        </r>
      </text>
    </comment>
    <comment ref="F4" authorId="2" shapeId="0" xr:uid="{00000000-0006-0000-0E00-00000C000000}">
      <text>
        <r>
          <rPr>
            <sz val="12"/>
            <color theme="1"/>
            <rFont val="Aptos Narrow"/>
            <family val="2"/>
            <scheme val="minor"/>
          </rPr>
          <t>Duy Nguyen:
last week was 24,390,000</t>
        </r>
      </text>
    </comment>
    <comment ref="H4" authorId="3" shapeId="0" xr:uid="{00000000-0006-0000-0E00-00000D000000}">
      <text>
        <r>
          <rPr>
            <sz val="12"/>
            <color theme="1"/>
            <rFont val="Aptos Narrow"/>
            <family val="2"/>
            <scheme val="minor"/>
          </rPr>
          <t>Windows User:
24790000</t>
        </r>
      </text>
    </comment>
    <comment ref="B5" authorId="4" shapeId="0" xr:uid="{00000000-0006-0000-0E00-00000E000000}">
      <text>
        <r>
          <rPr>
            <sz val="12"/>
            <color theme="1"/>
            <rFont val="Aptos Narrow"/>
            <family val="2"/>
            <scheme val="minor"/>
          </rPr>
          <t>pc:
Was 29,190,000</t>
        </r>
      </text>
    </comment>
    <comment ref="C5" authorId="0" shapeId="0" xr:uid="{00000000-0006-0000-0E00-00000F000000}">
      <text>
        <r>
          <rPr>
            <sz val="12"/>
            <color theme="1"/>
            <rFont val="Aptos Narrow"/>
            <family val="2"/>
            <scheme val="minor"/>
          </rPr>
          <t>Dang Phuong Nam:
Last week was: 29.190.000</t>
        </r>
      </text>
    </comment>
    <comment ref="D5" authorId="0" shapeId="0" xr:uid="{00000000-0006-0000-0E00-000010000000}">
      <text>
        <r>
          <rPr>
            <sz val="12"/>
            <color theme="1"/>
            <rFont val="Aptos Narrow"/>
            <family val="2"/>
            <scheme val="minor"/>
          </rPr>
          <t>Đặng Thanh Vượng:
Last week was: 29.290.000</t>
        </r>
      </text>
    </comment>
    <comment ref="F5" authorId="2" shapeId="0" xr:uid="{00000000-0006-0000-0E00-000011000000}">
      <text>
        <r>
          <rPr>
            <sz val="12"/>
            <color theme="1"/>
            <rFont val="Aptos Narrow"/>
            <family val="2"/>
            <scheme val="minor"/>
          </rPr>
          <t>Duy Nguyen:
last week was 28,850,000</t>
        </r>
      </text>
    </comment>
    <comment ref="H5" authorId="3" shapeId="0" xr:uid="{00000000-0006-0000-0E00-000012000000}">
      <text>
        <r>
          <rPr>
            <sz val="12"/>
            <color theme="1"/>
            <rFont val="Aptos Narrow"/>
            <family val="2"/>
            <scheme val="minor"/>
          </rPr>
          <t>Windows User:
28990000</t>
        </r>
      </text>
    </comment>
    <comment ref="I5" authorId="1" shapeId="0" xr:uid="{00000000-0006-0000-0E00-000013000000}">
      <text>
        <r>
          <rPr>
            <sz val="12"/>
            <color theme="1"/>
            <rFont val="Aptos Narrow"/>
            <family val="2"/>
            <scheme val="minor"/>
          </rPr>
          <t>Microsoft Office User:
last week was 
28,755k</t>
        </r>
      </text>
    </comment>
    <comment ref="B6" authorId="4" shapeId="0" xr:uid="{00000000-0006-0000-0E00-000014000000}">
      <text>
        <r>
          <rPr>
            <sz val="12"/>
            <color theme="1"/>
            <rFont val="Aptos Narrow"/>
            <family val="2"/>
            <scheme val="minor"/>
          </rPr>
          <t>pc:
Was 19,790,000</t>
        </r>
      </text>
    </comment>
    <comment ref="C6" authorId="0" shapeId="0" xr:uid="{00000000-0006-0000-0E00-000015000000}">
      <text>
        <r>
          <rPr>
            <sz val="12"/>
            <color theme="1"/>
            <rFont val="Aptos Narrow"/>
            <family val="2"/>
            <scheme val="minor"/>
          </rPr>
          <t>Dang Phuong Nam:
Last week was: 19.790.000</t>
        </r>
      </text>
    </comment>
    <comment ref="F6" authorId="2" shapeId="0" xr:uid="{00000000-0006-0000-0E00-000016000000}">
      <text>
        <r>
          <rPr>
            <sz val="12"/>
            <color theme="1"/>
            <rFont val="Aptos Narrow"/>
            <family val="2"/>
            <scheme val="minor"/>
          </rPr>
          <t>Duy Nguyen:
last week was 19,750,000</t>
        </r>
      </text>
    </comment>
    <comment ref="D7" authorId="0" shapeId="0" xr:uid="{00000000-0006-0000-0E00-000017000000}">
      <text>
        <r>
          <rPr>
            <sz val="12"/>
            <color theme="1"/>
            <rFont val="Aptos Narrow"/>
            <family val="2"/>
            <scheme val="minor"/>
          </rPr>
          <t>Đặng Thanh Vượng:
Last week was: 17.590.000</t>
        </r>
      </text>
    </comment>
    <comment ref="F7" authorId="2" shapeId="0" xr:uid="{00000000-0006-0000-0E00-000018000000}">
      <text>
        <r>
          <rPr>
            <sz val="12"/>
            <color theme="1"/>
            <rFont val="Aptos Narrow"/>
            <family val="2"/>
            <scheme val="minor"/>
          </rPr>
          <t>Duy Nguyen:
last week was 17,190,000</t>
        </r>
      </text>
    </comment>
    <comment ref="B8" authorId="4" shapeId="0" xr:uid="{00000000-0006-0000-0E00-000019000000}">
      <text>
        <r>
          <rPr>
            <sz val="12"/>
            <color theme="1"/>
            <rFont val="Aptos Narrow"/>
            <family val="2"/>
            <scheme val="minor"/>
          </rPr>
          <t>pc:
Was 14,390,000</t>
        </r>
      </text>
    </comment>
    <comment ref="C8" authorId="0" shapeId="0" xr:uid="{00000000-0006-0000-0E00-00001A000000}">
      <text>
        <r>
          <rPr>
            <sz val="12"/>
            <color theme="1"/>
            <rFont val="Aptos Narrow"/>
            <family val="2"/>
            <scheme val="minor"/>
          </rPr>
          <t>Dang Phuong Nam:
Last week was: 14.390.000</t>
        </r>
      </text>
    </comment>
    <comment ref="D8" authorId="0" shapeId="0" xr:uid="{00000000-0006-0000-0E00-00001B000000}">
      <text>
        <r>
          <rPr>
            <sz val="12"/>
            <color theme="1"/>
            <rFont val="Aptos Narrow"/>
            <family val="2"/>
            <scheme val="minor"/>
          </rPr>
          <t>Đặng Thanh Vượng:
Last week was: 14.090.000</t>
        </r>
      </text>
    </comment>
    <comment ref="E8" authorId="1" shapeId="0" xr:uid="{00000000-0006-0000-0E00-00001C000000}">
      <text>
        <r>
          <rPr>
            <sz val="12"/>
            <color theme="1"/>
            <rFont val="Aptos Narrow"/>
            <family val="2"/>
            <scheme val="minor"/>
          </rPr>
          <t>Microsoft Office User:
Last week was:
13.520.000đ</t>
        </r>
      </text>
    </comment>
    <comment ref="F8" authorId="2" shapeId="0" xr:uid="{00000000-0006-0000-0E00-00001D000000}">
      <text>
        <r>
          <rPr>
            <sz val="12"/>
            <color theme="1"/>
            <rFont val="Aptos Narrow"/>
            <family val="2"/>
            <scheme val="minor"/>
          </rPr>
          <t>Duy Nguyen:
last week was 13,890,000</t>
        </r>
      </text>
    </comment>
    <comment ref="B9" authorId="4" shapeId="0" xr:uid="{00000000-0006-0000-0E00-00001E000000}">
      <text>
        <r>
          <rPr>
            <sz val="12"/>
            <color theme="1"/>
            <rFont val="Aptos Narrow"/>
            <family val="2"/>
            <scheme val="minor"/>
          </rPr>
          <t>pc:
Was 11,890,000</t>
        </r>
      </text>
    </comment>
    <comment ref="C9" authorId="0" shapeId="0" xr:uid="{00000000-0006-0000-0E00-00001F000000}">
      <text>
        <r>
          <rPr>
            <sz val="12"/>
            <color theme="1"/>
            <rFont val="Aptos Narrow"/>
            <family val="2"/>
            <scheme val="minor"/>
          </rPr>
          <t>Dang Phuong Nam:
Last week was: 11.890.000</t>
        </r>
      </text>
    </comment>
    <comment ref="D9" authorId="0" shapeId="0" xr:uid="{00000000-0006-0000-0E00-000020000000}">
      <text>
        <r>
          <rPr>
            <sz val="12"/>
            <color theme="1"/>
            <rFont val="Aptos Narrow"/>
            <family val="2"/>
            <scheme val="minor"/>
          </rPr>
          <t>Đặng Thanh Vượng:
Last week was: 11.890.000</t>
        </r>
      </text>
    </comment>
    <comment ref="B10" authorId="4" shapeId="0" xr:uid="{00000000-0006-0000-0E00-000021000000}">
      <text>
        <r>
          <rPr>
            <sz val="12"/>
            <color theme="1"/>
            <rFont val="Aptos Narrow"/>
            <family val="2"/>
            <scheme val="minor"/>
          </rPr>
          <t>pc:
Was 8,740,000</t>
        </r>
      </text>
    </comment>
    <comment ref="C10" authorId="0" shapeId="0" xr:uid="{00000000-0006-0000-0E00-000022000000}">
      <text>
        <r>
          <rPr>
            <sz val="12"/>
            <color theme="1"/>
            <rFont val="Aptos Narrow"/>
            <family val="2"/>
            <scheme val="minor"/>
          </rPr>
          <t>Dang Phuong Nam:
Last week was: 8.740.000</t>
        </r>
      </text>
    </comment>
    <comment ref="D10" authorId="0" shapeId="0" xr:uid="{00000000-0006-0000-0E00-000023000000}">
      <text>
        <r>
          <rPr>
            <sz val="12"/>
            <color theme="1"/>
            <rFont val="Aptos Narrow"/>
            <family val="2"/>
            <scheme val="minor"/>
          </rPr>
          <t>Đặng Thanh Vượng:
Last week was: 8.790.000</t>
        </r>
      </text>
    </comment>
    <comment ref="E10" authorId="1" shapeId="0" xr:uid="{00000000-0006-0000-0E00-000024000000}">
      <text>
        <r>
          <rPr>
            <sz val="12"/>
            <color theme="1"/>
            <rFont val="Aptos Narrow"/>
            <family val="2"/>
            <scheme val="minor"/>
          </rPr>
          <t>Microsoft Office User:
Last week was:
8.490.000đ</t>
        </r>
      </text>
    </comment>
    <comment ref="F10" authorId="2" shapeId="0" xr:uid="{00000000-0006-0000-0E00-000025000000}">
      <text>
        <r>
          <rPr>
            <sz val="12"/>
            <color theme="1"/>
            <rFont val="Aptos Narrow"/>
            <family val="2"/>
            <scheme val="minor"/>
          </rPr>
          <t>Duy Nguyen:
last week was 8,690,000</t>
        </r>
      </text>
    </comment>
    <comment ref="H11" authorId="3" shapeId="0" xr:uid="{00000000-0006-0000-0E00-000026000000}">
      <text>
        <r>
          <rPr>
            <sz val="12"/>
            <color theme="1"/>
            <rFont val="Aptos Narrow"/>
            <family val="2"/>
            <scheme val="minor"/>
          </rPr>
          <t>Windows User:
18490000</t>
        </r>
      </text>
    </comment>
    <comment ref="F12" authorId="2" shapeId="0" xr:uid="{00000000-0006-0000-0E00-000027000000}">
      <text>
        <r>
          <rPr>
            <sz val="12"/>
            <color theme="1"/>
            <rFont val="Aptos Narrow"/>
            <family val="2"/>
            <scheme val="minor"/>
          </rPr>
          <t>Duy Nguyen:
last week was 14,690,000</t>
        </r>
      </text>
    </comment>
    <comment ref="C13" authorId="0" shapeId="0" xr:uid="{00000000-0006-0000-0E00-000028000000}">
      <text>
        <r>
          <rPr>
            <sz val="12"/>
            <color theme="1"/>
            <rFont val="Aptos Narrow"/>
            <family val="2"/>
            <scheme val="minor"/>
          </rPr>
          <t>Dang Phuong Nam:
Last week was: OOS</t>
        </r>
      </text>
    </comment>
    <comment ref="D14" authorId="0" shapeId="0" xr:uid="{00000000-0006-0000-0E00-000029000000}">
      <text>
        <r>
          <rPr>
            <sz val="12"/>
            <color theme="1"/>
            <rFont val="Aptos Narrow"/>
            <family val="2"/>
            <scheme val="minor"/>
          </rPr>
          <t xml:space="preserve">Đặng Thanh Vượng:
Last week was: 9.940,000	</t>
        </r>
      </text>
    </comment>
    <comment ref="F14" authorId="2" shapeId="0" xr:uid="{00000000-0006-0000-0E00-00002A000000}">
      <text>
        <r>
          <rPr>
            <sz val="12"/>
            <color theme="1"/>
            <rFont val="Aptos Narrow"/>
            <family val="2"/>
            <scheme val="minor"/>
          </rPr>
          <t>Duy Nguyen:
last week was 9,650,000</t>
        </r>
      </text>
    </comment>
    <comment ref="I14" authorId="1" shapeId="0" xr:uid="{00000000-0006-0000-0E00-00002B000000}">
      <text>
        <r>
          <rPr>
            <sz val="12"/>
            <color theme="1"/>
            <rFont val="Aptos Narrow"/>
            <family val="2"/>
            <scheme val="minor"/>
          </rPr>
          <t>Microsoft Office User:
last week was 
10,801k</t>
        </r>
      </text>
    </comment>
    <comment ref="B15" authorId="4" shapeId="0" xr:uid="{00000000-0006-0000-0E00-00002C000000}">
      <text>
        <r>
          <rPr>
            <sz val="12"/>
            <color theme="1"/>
            <rFont val="Aptos Narrow"/>
            <family val="2"/>
            <scheme val="minor"/>
          </rPr>
          <t>pc:
Was 7,440,000</t>
        </r>
      </text>
    </comment>
    <comment ref="D15" authorId="0" shapeId="0" xr:uid="{00000000-0006-0000-0E00-00002D000000}">
      <text>
        <r>
          <rPr>
            <sz val="12"/>
            <color theme="1"/>
            <rFont val="Aptos Narrow"/>
            <family val="2"/>
            <scheme val="minor"/>
          </rPr>
          <t xml:space="preserve">Đặng Thanh Vượng:
Last week was: 7.340,000	</t>
        </r>
      </text>
    </comment>
    <comment ref="F15" authorId="2" shapeId="0" xr:uid="{00000000-0006-0000-0E00-00002E000000}">
      <text>
        <r>
          <rPr>
            <sz val="12"/>
            <color theme="1"/>
            <rFont val="Aptos Narrow"/>
            <family val="2"/>
            <scheme val="minor"/>
          </rPr>
          <t>Duy Nguyen:
last week was 7,090,000</t>
        </r>
      </text>
    </comment>
    <comment ref="F16" authorId="2" shapeId="0" xr:uid="{00000000-0006-0000-0E00-00002F000000}">
      <text>
        <r>
          <rPr>
            <sz val="12"/>
            <color theme="1"/>
            <rFont val="Aptos Narrow"/>
            <family val="2"/>
            <scheme val="minor"/>
          </rPr>
          <t>Duy Nguyen:
last week was OOS</t>
        </r>
      </text>
    </comment>
    <comment ref="H16" authorId="3" shapeId="0" xr:uid="{00000000-0006-0000-0E00-000030000000}">
      <text>
        <r>
          <rPr>
            <sz val="12"/>
            <color theme="1"/>
            <rFont val="Aptos Narrow"/>
            <family val="2"/>
            <scheme val="minor"/>
          </rPr>
          <t>Windows User:
16990000</t>
        </r>
      </text>
    </comment>
    <comment ref="E17" authorId="1" shapeId="0" xr:uid="{00000000-0006-0000-0E00-000031000000}">
      <text>
        <r>
          <rPr>
            <sz val="12"/>
            <color theme="1"/>
            <rFont val="Aptos Narrow"/>
            <family val="2"/>
            <scheme val="minor"/>
          </rPr>
          <t>Microsoft Office User:
Last week was:
21.190.000đ</t>
        </r>
      </text>
    </comment>
    <comment ref="H17" authorId="3" shapeId="0" xr:uid="{00000000-0006-0000-0E00-000032000000}">
      <text>
        <r>
          <rPr>
            <sz val="12"/>
            <color theme="1"/>
            <rFont val="Aptos Narrow"/>
            <family val="2"/>
            <scheme val="minor"/>
          </rPr>
          <t>Windows User:
21990000</t>
        </r>
      </text>
    </comment>
    <comment ref="B18" authorId="4" shapeId="0" xr:uid="{00000000-0006-0000-0E00-000033000000}">
      <text>
        <r>
          <rPr>
            <sz val="12"/>
            <color theme="1"/>
            <rFont val="Aptos Narrow"/>
            <family val="2"/>
            <scheme val="minor"/>
          </rPr>
          <t>pc:
Was 28,790,000</t>
        </r>
      </text>
    </comment>
    <comment ref="C18" authorId="0" shapeId="0" xr:uid="{00000000-0006-0000-0E00-000034000000}">
      <text>
        <r>
          <rPr>
            <sz val="12"/>
            <color theme="1"/>
            <rFont val="Aptos Narrow"/>
            <family val="2"/>
            <scheme val="minor"/>
          </rPr>
          <t>Dang Phuong Nam:
Last week was: 28.790.000</t>
        </r>
      </text>
    </comment>
    <comment ref="D18" authorId="0" shapeId="0" xr:uid="{00000000-0006-0000-0E00-000035000000}">
      <text>
        <r>
          <rPr>
            <sz val="12"/>
            <color theme="1"/>
            <rFont val="Aptos Narrow"/>
            <family val="2"/>
            <scheme val="minor"/>
          </rPr>
          <t xml:space="preserve">Đặng Thanh Vượng:
Last week was: 28.390,000	</t>
        </r>
      </text>
    </comment>
    <comment ref="E18" authorId="1" shapeId="0" xr:uid="{00000000-0006-0000-0E00-000036000000}">
      <text>
        <r>
          <rPr>
            <sz val="12"/>
            <color theme="1"/>
            <rFont val="Aptos Narrow"/>
            <family val="2"/>
            <scheme val="minor"/>
          </rPr>
          <t>Microsoft Office User:
Last week was:
27.690.000đ</t>
        </r>
      </text>
    </comment>
    <comment ref="F18" authorId="2" shapeId="0" xr:uid="{00000000-0006-0000-0E00-000037000000}">
      <text>
        <r>
          <rPr>
            <sz val="12"/>
            <color theme="1"/>
            <rFont val="Aptos Narrow"/>
            <family val="2"/>
            <scheme val="minor"/>
          </rPr>
          <t>Duy Nguyen:
last week was 27,790,000</t>
        </r>
      </text>
    </comment>
    <comment ref="H18" authorId="3" shapeId="0" xr:uid="{00000000-0006-0000-0E00-000038000000}">
      <text>
        <r>
          <rPr>
            <sz val="12"/>
            <color theme="1"/>
            <rFont val="Aptos Narrow"/>
            <family val="2"/>
            <scheme val="minor"/>
          </rPr>
          <t>Windows User:
27690000</t>
        </r>
      </text>
    </comment>
    <comment ref="B19" authorId="4" shapeId="0" xr:uid="{00000000-0006-0000-0E00-000039000000}">
      <text>
        <r>
          <rPr>
            <sz val="12"/>
            <color theme="1"/>
            <rFont val="Aptos Narrow"/>
            <family val="2"/>
            <scheme val="minor"/>
          </rPr>
          <t>pc:
Was 37,790,000</t>
        </r>
      </text>
    </comment>
    <comment ref="C19" authorId="0" shapeId="0" xr:uid="{00000000-0006-0000-0E00-00003A000000}">
      <text>
        <r>
          <rPr>
            <sz val="12"/>
            <color theme="1"/>
            <rFont val="Aptos Narrow"/>
            <family val="2"/>
            <scheme val="minor"/>
          </rPr>
          <t>Dang Phuong Nam:
Last week was: 37.790.000</t>
        </r>
      </text>
    </comment>
    <comment ref="H19" authorId="5" shapeId="0" xr:uid="{00000000-0006-0000-0E00-00003B000000}">
      <text>
        <r>
          <rPr>
            <sz val="12"/>
            <color theme="1"/>
            <rFont val="Aptos Narrow"/>
            <family val="2"/>
            <scheme val="minor"/>
          </rPr>
          <t xml:space="preserve">Administrator:
37390000
</t>
        </r>
      </text>
    </comment>
    <comment ref="E20" authorId="1" shapeId="0" xr:uid="{00000000-0006-0000-0E00-00003C000000}">
      <text>
        <r>
          <rPr>
            <sz val="12"/>
            <color theme="1"/>
            <rFont val="Aptos Narrow"/>
            <family val="2"/>
            <scheme val="minor"/>
          </rPr>
          <t>Microsoft Office User:
Last week was:
5.8310.100đ</t>
        </r>
      </text>
    </comment>
    <comment ref="F20" authorId="2" shapeId="0" xr:uid="{00000000-0006-0000-0E00-00003D000000}">
      <text>
        <r>
          <rPr>
            <sz val="12"/>
            <color theme="1"/>
            <rFont val="Aptos Narrow"/>
            <family val="2"/>
            <scheme val="minor"/>
          </rPr>
          <t>Duy Nguyen:
last week was 5,950,000</t>
        </r>
      </text>
    </comment>
    <comment ref="C21" authorId="0" shapeId="0" xr:uid="{00000000-0006-0000-0E00-00003E000000}">
      <text>
        <r>
          <rPr>
            <sz val="12"/>
            <color theme="1"/>
            <rFont val="Aptos Narrow"/>
            <family val="2"/>
            <scheme val="minor"/>
          </rPr>
          <t>Dang Phuong Nam:
Last week was: 7.440.000</t>
        </r>
      </text>
    </comment>
    <comment ref="E21" authorId="1" shapeId="0" xr:uid="{00000000-0006-0000-0E00-00003F000000}">
      <text>
        <r>
          <rPr>
            <sz val="12"/>
            <color theme="1"/>
            <rFont val="Aptos Narrow"/>
            <family val="2"/>
            <scheme val="minor"/>
          </rPr>
          <t>Microsoft Office User:
Last week was:
7.118.100đ</t>
        </r>
      </text>
    </comment>
    <comment ref="C22" authorId="0" shapeId="0" xr:uid="{00000000-0006-0000-0E00-000040000000}">
      <text>
        <r>
          <rPr>
            <sz val="12"/>
            <color theme="1"/>
            <rFont val="Aptos Narrow"/>
            <family val="2"/>
            <scheme val="minor"/>
          </rPr>
          <t>Dang Phuong Nam:
Last week was: 7.040.000</t>
        </r>
      </text>
    </comment>
    <comment ref="E22" authorId="1" shapeId="0" xr:uid="{00000000-0006-0000-0E00-000041000000}">
      <text>
        <r>
          <rPr>
            <sz val="12"/>
            <color theme="1"/>
            <rFont val="Aptos Narrow"/>
            <family val="2"/>
            <scheme val="minor"/>
          </rPr>
          <t>Microsoft Office User:
Last week was:
6.524.100đ</t>
        </r>
      </text>
    </comment>
    <comment ref="E23" authorId="1" shapeId="0" xr:uid="{00000000-0006-0000-0E00-000042000000}">
      <text>
        <r>
          <rPr>
            <sz val="12"/>
            <color theme="1"/>
            <rFont val="Aptos Narrow"/>
            <family val="2"/>
            <scheme val="minor"/>
          </rPr>
          <t>Microsoft Office User:
Last week was:
7.910.100đ</t>
        </r>
      </text>
    </comment>
    <comment ref="D24" authorId="0" shapeId="0" xr:uid="{00000000-0006-0000-0E00-000043000000}">
      <text>
        <r>
          <rPr>
            <sz val="12"/>
            <color theme="1"/>
            <rFont val="Aptos Narrow"/>
            <family val="2"/>
            <scheme val="minor"/>
          </rPr>
          <t xml:space="preserve">Đặng Thanh Vượng:
Last week was: 9.540,000	</t>
        </r>
      </text>
    </comment>
    <comment ref="F24" authorId="2" shapeId="0" xr:uid="{00000000-0006-0000-0E00-000044000000}">
      <text>
        <r>
          <rPr>
            <sz val="12"/>
            <color theme="1"/>
            <rFont val="Aptos Narrow"/>
            <family val="2"/>
            <scheme val="minor"/>
          </rPr>
          <t>Duy Nguyen:
last week was 9,490,000</t>
        </r>
      </text>
    </comment>
    <comment ref="I24" authorId="1" shapeId="0" xr:uid="{00000000-0006-0000-0E00-000045000000}">
      <text>
        <r>
          <rPr>
            <sz val="12"/>
            <color theme="1"/>
            <rFont val="Aptos Narrow"/>
            <family val="2"/>
            <scheme val="minor"/>
          </rPr>
          <t>Microsoft Office User:
last week was 
9,467k</t>
        </r>
      </text>
    </comment>
    <comment ref="D25" authorId="0" shapeId="0" xr:uid="{00000000-0006-0000-0E00-000046000000}">
      <text>
        <r>
          <rPr>
            <sz val="12"/>
            <color theme="1"/>
            <rFont val="Aptos Narrow"/>
            <family val="2"/>
            <scheme val="minor"/>
          </rPr>
          <t xml:space="preserve">Đặng Thanh Vượng:
Last week was: 12.090,000	</t>
        </r>
      </text>
    </comment>
    <comment ref="F26" authorId="2" shapeId="0" xr:uid="{00000000-0006-0000-0E00-000047000000}">
      <text>
        <r>
          <rPr>
            <sz val="12"/>
            <color theme="1"/>
            <rFont val="Aptos Narrow"/>
            <family val="2"/>
            <scheme val="minor"/>
          </rPr>
          <t>Duy Nguyen:
last week was 10,390,000</t>
        </r>
      </text>
    </comment>
    <comment ref="D28" authorId="0" shapeId="0" xr:uid="{00000000-0006-0000-0E00-000048000000}">
      <text>
        <r>
          <rPr>
            <sz val="12"/>
            <color theme="1"/>
            <rFont val="Aptos Narrow"/>
            <family val="2"/>
            <scheme val="minor"/>
          </rPr>
          <t xml:space="preserve">Đặng Thanh Vượng:
Last week was: 20.890,000	</t>
        </r>
      </text>
    </comment>
    <comment ref="C29" authorId="0" shapeId="0" xr:uid="{00000000-0006-0000-0E00-000049000000}">
      <text>
        <r>
          <rPr>
            <sz val="12"/>
            <color theme="1"/>
            <rFont val="Aptos Narrow"/>
            <family val="2"/>
            <scheme val="minor"/>
          </rPr>
          <t>Dang Phuong Nam:
Last week was: 5.740.000</t>
        </r>
      </text>
    </comment>
    <comment ref="D29" authorId="0" shapeId="0" xr:uid="{00000000-0006-0000-0E00-00004A000000}">
      <text>
        <r>
          <rPr>
            <sz val="12"/>
            <color theme="1"/>
            <rFont val="Aptos Narrow"/>
            <family val="2"/>
            <scheme val="minor"/>
          </rPr>
          <t xml:space="preserve">Đặng Thanh Vượng:
Last week was: 5.640,000	</t>
        </r>
      </text>
    </comment>
    <comment ref="E29" authorId="1" shapeId="0" xr:uid="{00000000-0006-0000-0E00-00004B000000}">
      <text>
        <r>
          <rPr>
            <sz val="12"/>
            <color theme="1"/>
            <rFont val="Aptos Narrow"/>
            <family val="2"/>
            <scheme val="minor"/>
          </rPr>
          <t>Microsoft Office User:
Last week was:
5.435.100đ</t>
        </r>
      </text>
    </comment>
    <comment ref="G29" authorId="6" shapeId="0" xr:uid="{00000000-0006-0000-0E00-00004C000000}">
      <text>
        <r>
          <rPr>
            <sz val="12"/>
            <color theme="1"/>
            <rFont val="Aptos Narrow"/>
            <family val="2"/>
            <scheme val="minor"/>
          </rPr>
          <t>W3: 5.390.000</t>
        </r>
      </text>
    </comment>
    <comment ref="I29" authorId="1" shapeId="0" xr:uid="{00000000-0006-0000-0E00-00004D000000}">
      <text>
        <r>
          <rPr>
            <sz val="12"/>
            <color theme="1"/>
            <rFont val="Aptos Narrow"/>
            <family val="2"/>
            <scheme val="minor"/>
          </rPr>
          <t>Microsoft Office User:
last week was 
27,251k</t>
        </r>
      </text>
    </comment>
    <comment ref="E30" authorId="1" shapeId="0" xr:uid="{00000000-0006-0000-0E00-00004E000000}">
      <text>
        <r>
          <rPr>
            <sz val="12"/>
            <color theme="1"/>
            <rFont val="Aptos Narrow"/>
            <family val="2"/>
            <scheme val="minor"/>
          </rPr>
          <t>Microsoft Office User:
Last week was:
4.148.100đ</t>
        </r>
      </text>
    </comment>
    <comment ref="H30" authorId="3" shapeId="0" xr:uid="{00000000-0006-0000-0E00-00004F000000}">
      <text>
        <r>
          <rPr>
            <sz val="12"/>
            <color theme="1"/>
            <rFont val="Aptos Narrow"/>
            <family val="2"/>
            <scheme val="minor"/>
          </rPr>
          <t>Windows User:
3950000</t>
        </r>
      </text>
    </comment>
    <comment ref="E31" authorId="1" shapeId="0" xr:uid="{00000000-0006-0000-0E00-000050000000}">
      <text>
        <r>
          <rPr>
            <sz val="12"/>
            <color theme="1"/>
            <rFont val="Aptos Narrow"/>
            <family val="2"/>
            <scheme val="minor"/>
          </rPr>
          <t>Microsoft Office User:
Last week was:
2.890.000đ</t>
        </r>
      </text>
    </comment>
    <comment ref="G31" authorId="6" shapeId="0" xr:uid="{00000000-0006-0000-0E00-000051000000}">
      <text>
        <r>
          <rPr>
            <sz val="12"/>
            <color theme="1"/>
            <rFont val="Aptos Narrow"/>
            <family val="2"/>
            <scheme val="minor"/>
          </rPr>
          <t>W3: 2.590.000</t>
        </r>
      </text>
    </comment>
    <comment ref="H31" authorId="3" shapeId="0" xr:uid="{00000000-0006-0000-0E00-000052000000}">
      <text>
        <r>
          <rPr>
            <sz val="12"/>
            <color theme="1"/>
            <rFont val="Aptos Narrow"/>
            <family val="2"/>
            <scheme val="minor"/>
          </rPr>
          <t>Windows User:
2790000</t>
        </r>
      </text>
    </comment>
    <comment ref="C32" authorId="0" shapeId="0" xr:uid="{00000000-0006-0000-0E00-000053000000}">
      <text>
        <r>
          <rPr>
            <sz val="12"/>
            <color theme="1"/>
            <rFont val="Aptos Narrow"/>
            <family val="2"/>
            <scheme val="minor"/>
          </rPr>
          <t>Dang Phuong Nam:
Last week was: 18.890.000</t>
        </r>
      </text>
    </comment>
    <comment ref="D32" authorId="0" shapeId="0" xr:uid="{00000000-0006-0000-0E00-000054000000}">
      <text>
        <r>
          <rPr>
            <sz val="12"/>
            <color theme="1"/>
            <rFont val="Aptos Narrow"/>
            <family val="2"/>
            <scheme val="minor"/>
          </rPr>
          <t xml:space="preserve">Đặng Thanh Vượng:
Last week was: 18.590,000	</t>
        </r>
      </text>
    </comment>
    <comment ref="G32" authorId="6" shapeId="0" xr:uid="{00000000-0006-0000-0E00-000055000000}">
      <text>
        <r>
          <rPr>
            <sz val="12"/>
            <color theme="1"/>
            <rFont val="Aptos Narrow"/>
            <family val="2"/>
            <scheme val="minor"/>
          </rPr>
          <t>W3: 18.390.000</t>
        </r>
      </text>
    </comment>
    <comment ref="H32" authorId="3" shapeId="0" xr:uid="{00000000-0006-0000-0E00-000056000000}">
      <text>
        <r>
          <rPr>
            <sz val="12"/>
            <color theme="1"/>
            <rFont val="Aptos Narrow"/>
            <family val="2"/>
            <scheme val="minor"/>
          </rPr>
          <t>Windows User:
18590000</t>
        </r>
      </text>
    </comment>
    <comment ref="B33" authorId="4" shapeId="0" xr:uid="{00000000-0006-0000-0E00-000057000000}">
      <text>
        <r>
          <rPr>
            <sz val="12"/>
            <color theme="1"/>
            <rFont val="Aptos Narrow"/>
            <family val="2"/>
            <scheme val="minor"/>
          </rPr>
          <t>pc:
Was 23,690,000</t>
        </r>
      </text>
    </comment>
    <comment ref="C33" authorId="0" shapeId="0" xr:uid="{00000000-0006-0000-0E00-000058000000}">
      <text>
        <r>
          <rPr>
            <sz val="12"/>
            <color theme="1"/>
            <rFont val="Aptos Narrow"/>
            <family val="2"/>
            <scheme val="minor"/>
          </rPr>
          <t>Dang Phuong Nam:
Last week was: 23.690.000</t>
        </r>
      </text>
    </comment>
    <comment ref="D33" authorId="0" shapeId="0" xr:uid="{00000000-0006-0000-0E00-000059000000}">
      <text>
        <r>
          <rPr>
            <sz val="12"/>
            <color theme="1"/>
            <rFont val="Aptos Narrow"/>
            <family val="2"/>
            <scheme val="minor"/>
          </rPr>
          <t xml:space="preserve">Đặng Thanh Vượng:
Last week was: 23.690,000	</t>
        </r>
      </text>
    </comment>
    <comment ref="F33" authorId="2" shapeId="0" xr:uid="{00000000-0006-0000-0E00-00005A000000}">
      <text>
        <r>
          <rPr>
            <sz val="12"/>
            <color theme="1"/>
            <rFont val="Aptos Narrow"/>
            <family val="2"/>
            <scheme val="minor"/>
          </rPr>
          <t>Duy Nguyen:
last week was 23,850,000</t>
        </r>
      </text>
    </comment>
    <comment ref="H33" authorId="5" shapeId="0" xr:uid="{00000000-0006-0000-0E00-00005B000000}">
      <text>
        <r>
          <rPr>
            <sz val="12"/>
            <color theme="1"/>
            <rFont val="Aptos Narrow"/>
            <family val="2"/>
            <scheme val="minor"/>
          </rPr>
          <t xml:space="preserve">Administrator:
23690000
</t>
        </r>
      </text>
    </comment>
    <comment ref="I33" authorId="1" shapeId="0" xr:uid="{00000000-0006-0000-0E00-00005C000000}">
      <text>
        <r>
          <rPr>
            <sz val="12"/>
            <color theme="1"/>
            <rFont val="Aptos Narrow"/>
            <family val="2"/>
            <scheme val="minor"/>
          </rPr>
          <t>Microsoft Office User:
last week was 
23,276k</t>
        </r>
      </text>
    </comment>
    <comment ref="B34" authorId="4" shapeId="0" xr:uid="{00000000-0006-0000-0E00-00005D000000}">
      <text>
        <r>
          <rPr>
            <sz val="12"/>
            <color theme="1"/>
            <rFont val="Aptos Narrow"/>
            <family val="2"/>
            <scheme val="minor"/>
          </rPr>
          <t>pc:
Was 27,290,000</t>
        </r>
      </text>
    </comment>
    <comment ref="C34" authorId="0" shapeId="0" xr:uid="{00000000-0006-0000-0E00-00005E000000}">
      <text>
        <r>
          <rPr>
            <sz val="12"/>
            <color theme="1"/>
            <rFont val="Aptos Narrow"/>
            <family val="2"/>
            <scheme val="minor"/>
          </rPr>
          <t>Dang Phuong Nam:
Last week was: 27.290.000</t>
        </r>
      </text>
    </comment>
    <comment ref="D34" authorId="0" shapeId="0" xr:uid="{00000000-0006-0000-0E00-00005F000000}">
      <text>
        <r>
          <rPr>
            <sz val="12"/>
            <color theme="1"/>
            <rFont val="Aptos Narrow"/>
            <family val="2"/>
            <scheme val="minor"/>
          </rPr>
          <t xml:space="preserve">Đặng Thanh Vượng:
Last week was: 27.090,000	</t>
        </r>
      </text>
    </comment>
    <comment ref="F34" authorId="2" shapeId="0" xr:uid="{00000000-0006-0000-0E00-000060000000}">
      <text>
        <r>
          <rPr>
            <sz val="12"/>
            <color theme="1"/>
            <rFont val="Aptos Narrow"/>
            <family val="2"/>
            <scheme val="minor"/>
          </rPr>
          <t>Duy Nguyen:
last week was 27,190,000</t>
        </r>
      </text>
    </comment>
    <comment ref="H34" authorId="5" shapeId="0" xr:uid="{00000000-0006-0000-0E00-000061000000}">
      <text>
        <r>
          <rPr>
            <sz val="12"/>
            <color theme="1"/>
            <rFont val="Aptos Narrow"/>
            <family val="2"/>
            <scheme val="minor"/>
          </rPr>
          <t>Administrator:
26890000</t>
        </r>
      </text>
    </comment>
    <comment ref="B35" authorId="4" shapeId="0" xr:uid="{00000000-0006-0000-0E00-000062000000}">
      <text>
        <r>
          <rPr>
            <sz val="12"/>
            <color theme="1"/>
            <rFont val="Aptos Narrow"/>
            <family val="2"/>
            <scheme val="minor"/>
          </rPr>
          <t>pc:
Was 31,490,000</t>
        </r>
      </text>
    </comment>
    <comment ref="C35" authorId="0" shapeId="0" xr:uid="{00000000-0006-0000-0E00-000063000000}">
      <text>
        <r>
          <rPr>
            <sz val="12"/>
            <color theme="1"/>
            <rFont val="Aptos Narrow"/>
            <family val="2"/>
            <scheme val="minor"/>
          </rPr>
          <t>Dang Phuong Nam:
Last week was: 31.490.000</t>
        </r>
      </text>
    </comment>
    <comment ref="D35" authorId="0" shapeId="0" xr:uid="{00000000-0006-0000-0E00-000064000000}">
      <text>
        <r>
          <rPr>
            <sz val="12"/>
            <color theme="1"/>
            <rFont val="Aptos Narrow"/>
            <family val="2"/>
            <scheme val="minor"/>
          </rPr>
          <t xml:space="preserve">Đặng Thanh Vượng:
Last week was: 31.290,000	</t>
        </r>
      </text>
    </comment>
    <comment ref="H35" authorId="5" shapeId="0" xr:uid="{00000000-0006-0000-0E00-000065000000}">
      <text>
        <r>
          <rPr>
            <sz val="12"/>
            <color theme="1"/>
            <rFont val="Aptos Narrow"/>
            <family val="2"/>
            <scheme val="minor"/>
          </rPr>
          <t>Administrator:
31390000</t>
        </r>
      </text>
    </comment>
    <comment ref="B36" authorId="4" shapeId="0" xr:uid="{00000000-0006-0000-0E00-000066000000}">
      <text>
        <r>
          <rPr>
            <sz val="12"/>
            <color theme="1"/>
            <rFont val="Aptos Narrow"/>
            <family val="2"/>
            <scheme val="minor"/>
          </rPr>
          <t>pc:
Was 38,690,000</t>
        </r>
      </text>
    </comment>
    <comment ref="C36" authorId="0" shapeId="0" xr:uid="{00000000-0006-0000-0E00-000067000000}">
      <text>
        <r>
          <rPr>
            <sz val="12"/>
            <color theme="1"/>
            <rFont val="Aptos Narrow"/>
            <family val="2"/>
            <scheme val="minor"/>
          </rPr>
          <t>Dang Phuong Nam:
Last week was: 38.690.000</t>
        </r>
      </text>
    </comment>
    <comment ref="H36" authorId="3" shapeId="0" xr:uid="{00000000-0006-0000-0E00-000068000000}">
      <text>
        <r>
          <rPr>
            <sz val="12"/>
            <color theme="1"/>
            <rFont val="Aptos Narrow"/>
            <family val="2"/>
            <scheme val="minor"/>
          </rPr>
          <t>Windows User:
37990000</t>
        </r>
      </text>
    </comment>
  </commentList>
</comments>
</file>

<file path=xl/comments16.xml><?xml version="1.0" encoding="utf-8"?>
<comments xmlns="http://schemas.openxmlformats.org/spreadsheetml/2006/main" xmlns:mc="http://schemas.openxmlformats.org/markup-compatibility/2006" xmlns:xr="http://schemas.microsoft.com/office/spreadsheetml/2014/revision" mc:Ignorable="xr">
  <authors>
    <author>Microsoft Office User</author>
    <author>Dang Phuong Nam</author>
    <author>Duy Nguyen</author>
    <author>Windows User</author>
    <author>pc</author>
    <author>Duy</author>
    <author>Sheva Son</author>
    <author>Administrator</author>
    <author>Việt Hoàng</author>
  </authors>
  <commentList>
    <comment ref="B2" authorId="0" shapeId="0" xr:uid="{00000000-0006-0000-0F00-000001000000}">
      <text>
        <r>
          <rPr>
            <sz val="12"/>
            <color theme="1"/>
            <rFont val="Aptos Narrow"/>
            <family val="2"/>
            <scheme val="minor"/>
          </rPr>
          <t>Microsoft Office User:
was 20,090,000
VNP200</t>
        </r>
      </text>
    </comment>
    <comment ref="C2" authorId="0" shapeId="0" xr:uid="{00000000-0006-0000-0F00-000002000000}">
      <text>
        <r>
          <rPr>
            <sz val="12"/>
            <color theme="1"/>
            <rFont val="Aptos Narrow"/>
            <family val="2"/>
            <scheme val="minor"/>
          </rPr>
          <t>Microsoft Office User:
was 20,090,000
VNP200</t>
        </r>
      </text>
    </comment>
    <comment ref="D2" authorId="1" shapeId="0" xr:uid="{00000000-0006-0000-0F00-000003000000}">
      <text>
        <r>
          <rPr>
            <sz val="12"/>
            <color theme="1"/>
            <rFont val="Aptos Narrow"/>
            <family val="2"/>
            <scheme val="minor"/>
          </rPr>
          <t>Hoàng Đức Việt
Last week was: 19.990.000</t>
        </r>
      </text>
    </comment>
    <comment ref="E2" authorId="0" shapeId="0" xr:uid="{00000000-0006-0000-0F00-000004000000}">
      <text>
        <r>
          <rPr>
            <sz val="12"/>
            <color theme="1"/>
            <rFont val="Aptos Narrow"/>
            <family val="2"/>
            <scheme val="minor"/>
          </rPr>
          <t>Son Nguyen:
Last week was:
19.390.000đ</t>
        </r>
      </text>
    </comment>
    <comment ref="F2" authorId="2" shapeId="0" xr:uid="{00000000-0006-0000-0F00-000005000000}">
      <text>
        <r>
          <rPr>
            <sz val="12"/>
            <color theme="1"/>
            <rFont val="Aptos Narrow"/>
            <family val="2"/>
            <scheme val="minor"/>
          </rPr>
          <t>Duy Nguyen:
last week was 19,190,000</t>
        </r>
      </text>
    </comment>
    <comment ref="G2" authorId="3" shapeId="0" xr:uid="{00000000-0006-0000-0F00-000006000000}">
      <text>
        <r>
          <rPr>
            <sz val="12"/>
            <color theme="1"/>
            <rFont val="Aptos Narrow"/>
            <family val="2"/>
            <scheme val="minor"/>
          </rPr>
          <t>Windows User:
19950000</t>
        </r>
      </text>
    </comment>
    <comment ref="B3" authorId="0" shapeId="0" xr:uid="{00000000-0006-0000-0F00-000007000000}">
      <text>
        <r>
          <rPr>
            <sz val="12"/>
            <color theme="1"/>
            <rFont val="Aptos Narrow"/>
            <family val="2"/>
            <scheme val="minor"/>
          </rPr>
          <t>Microsoft Office User:
was 22,690,000
VNP200</t>
        </r>
      </text>
    </comment>
    <comment ref="C3" authorId="0" shapeId="0" xr:uid="{00000000-0006-0000-0F00-000008000000}">
      <text>
        <r>
          <rPr>
            <sz val="12"/>
            <color theme="1"/>
            <rFont val="Aptos Narrow"/>
            <family val="2"/>
            <scheme val="minor"/>
          </rPr>
          <t>Microsoft Office User:
was 22,690,000
VNP200</t>
        </r>
      </text>
    </comment>
    <comment ref="D3" authorId="1" shapeId="0" xr:uid="{00000000-0006-0000-0F00-000009000000}">
      <text>
        <r>
          <rPr>
            <sz val="12"/>
            <color theme="1"/>
            <rFont val="Aptos Narrow"/>
            <family val="2"/>
            <scheme val="minor"/>
          </rPr>
          <t>Đặng Thanh Vượng:
Last week was: 22.690.000</t>
        </r>
      </text>
    </comment>
    <comment ref="E3" authorId="0" shapeId="0" xr:uid="{00000000-0006-0000-0F00-00000A000000}">
      <text>
        <r>
          <rPr>
            <sz val="12"/>
            <color theme="1"/>
            <rFont val="Aptos Narrow"/>
            <family val="2"/>
            <scheme val="minor"/>
          </rPr>
          <t>Son Nguyen:
Last week was:
22.290.000đ</t>
        </r>
      </text>
    </comment>
    <comment ref="F3" authorId="2" shapeId="0" xr:uid="{00000000-0006-0000-0F00-00000B000000}">
      <text>
        <r>
          <rPr>
            <sz val="12"/>
            <color theme="1"/>
            <rFont val="Aptos Narrow"/>
            <family val="2"/>
            <scheme val="minor"/>
          </rPr>
          <t>Duy Nguyen:
last week was 22,090,000</t>
        </r>
      </text>
    </comment>
    <comment ref="G3" authorId="3" shapeId="0" xr:uid="{00000000-0006-0000-0F00-00000C000000}">
      <text>
        <r>
          <rPr>
            <sz val="12"/>
            <color theme="1"/>
            <rFont val="Aptos Narrow"/>
            <family val="2"/>
            <scheme val="minor"/>
          </rPr>
          <t>Windows User:
22550000</t>
        </r>
      </text>
    </comment>
    <comment ref="B4" authorId="4" shapeId="0" xr:uid="{00000000-0006-0000-0F00-00000D000000}">
      <text>
        <r>
          <rPr>
            <sz val="12"/>
            <color theme="1"/>
            <rFont val="Aptos Narrow"/>
            <family val="2"/>
            <scheme val="minor"/>
          </rPr>
          <t>pc:
Was 25,090,000</t>
        </r>
      </text>
    </comment>
    <comment ref="F4" authorId="2" shapeId="0" xr:uid="{00000000-0006-0000-0F00-00000E000000}">
      <text>
        <r>
          <rPr>
            <sz val="12"/>
            <color theme="1"/>
            <rFont val="Aptos Narrow"/>
            <family val="2"/>
            <scheme val="minor"/>
          </rPr>
          <t>Duy Nguyen:
last week was 24,390,000</t>
        </r>
      </text>
    </comment>
    <comment ref="G4" authorId="3" shapeId="0" xr:uid="{00000000-0006-0000-0F00-00000F000000}">
      <text>
        <r>
          <rPr>
            <sz val="12"/>
            <color theme="1"/>
            <rFont val="Aptos Narrow"/>
            <family val="2"/>
            <scheme val="minor"/>
          </rPr>
          <t>Windows User:
24790000</t>
        </r>
      </text>
    </comment>
    <comment ref="B5" authorId="4" shapeId="0" xr:uid="{00000000-0006-0000-0F00-000010000000}">
      <text>
        <r>
          <rPr>
            <sz val="12"/>
            <color theme="1"/>
            <rFont val="Aptos Narrow"/>
            <family val="2"/>
            <scheme val="minor"/>
          </rPr>
          <t>pc:
Was 29,090,000</t>
        </r>
      </text>
    </comment>
    <comment ref="C5" authorId="1" shapeId="0" xr:uid="{00000000-0006-0000-0F00-000011000000}">
      <text>
        <r>
          <rPr>
            <sz val="12"/>
            <color theme="1"/>
            <rFont val="Aptos Narrow"/>
            <family val="2"/>
            <scheme val="minor"/>
          </rPr>
          <t>Dang Phuong Nam:
Last week was: 29,090,000
VNP200</t>
        </r>
      </text>
    </comment>
    <comment ref="D5" authorId="1" shapeId="0" xr:uid="{00000000-0006-0000-0F00-000012000000}">
      <text>
        <r>
          <rPr>
            <sz val="12"/>
            <color theme="1"/>
            <rFont val="Aptos Narrow"/>
            <family val="2"/>
            <scheme val="minor"/>
          </rPr>
          <t>Hoàng Đức Việt:
Last week was: 29.190.000</t>
        </r>
      </text>
    </comment>
    <comment ref="F5" authorId="2" shapeId="0" xr:uid="{00000000-0006-0000-0F00-000013000000}">
      <text>
        <r>
          <rPr>
            <sz val="12"/>
            <color theme="1"/>
            <rFont val="Aptos Narrow"/>
            <family val="2"/>
            <scheme val="minor"/>
          </rPr>
          <t>Duy Nguyen:
last week was 28,850,000</t>
        </r>
      </text>
    </comment>
    <comment ref="G5" authorId="3" shapeId="0" xr:uid="{00000000-0006-0000-0F00-000014000000}">
      <text>
        <r>
          <rPr>
            <sz val="12"/>
            <color theme="1"/>
            <rFont val="Aptos Narrow"/>
            <family val="2"/>
            <scheme val="minor"/>
          </rPr>
          <t>Windows User:
28990000</t>
        </r>
      </text>
    </comment>
    <comment ref="C6" authorId="1" shapeId="0" xr:uid="{00000000-0006-0000-0F00-000015000000}">
      <text>
        <r>
          <rPr>
            <sz val="12"/>
            <color theme="1"/>
            <rFont val="Aptos Narrow"/>
            <family val="2"/>
            <scheme val="minor"/>
          </rPr>
          <t>Dang Phuong Nam:
Last week was: 21,190,000
VNP200</t>
        </r>
      </text>
    </comment>
    <comment ref="F6" authorId="2" shapeId="0" xr:uid="{00000000-0006-0000-0F00-000016000000}">
      <text>
        <r>
          <rPr>
            <sz val="12"/>
            <color theme="1"/>
            <rFont val="Aptos Narrow"/>
            <family val="2"/>
            <scheme val="minor"/>
          </rPr>
          <t>Duy Nguyen:
last week was 19,750,000</t>
        </r>
      </text>
    </comment>
    <comment ref="B7" authorId="5" shapeId="0" xr:uid="{00000000-0006-0000-0F00-000017000000}">
      <text>
        <r>
          <rPr>
            <sz val="12"/>
            <color theme="1"/>
            <rFont val="Aptos Narrow"/>
            <family val="2"/>
            <scheme val="minor"/>
          </rPr>
          <t xml:space="preserve">Was:17.690
</t>
        </r>
      </text>
    </comment>
    <comment ref="C7" authorId="0" shapeId="0" xr:uid="{00000000-0006-0000-0F00-000018000000}">
      <text>
        <r>
          <rPr>
            <sz val="12"/>
            <color theme="1"/>
            <rFont val="Aptos Narrow"/>
            <family val="2"/>
            <scheme val="minor"/>
          </rPr>
          <t>Microsoft Office User:
was 17,690,000
VNP200</t>
        </r>
      </text>
    </comment>
    <comment ref="F7" authorId="2" shapeId="0" xr:uid="{00000000-0006-0000-0F00-000019000000}">
      <text>
        <r>
          <rPr>
            <sz val="12"/>
            <color theme="1"/>
            <rFont val="Aptos Narrow"/>
            <family val="2"/>
            <scheme val="minor"/>
          </rPr>
          <t>Duy Nguyen:
last week was 17,190,000</t>
        </r>
      </text>
    </comment>
    <comment ref="B8" authorId="4" shapeId="0" xr:uid="{00000000-0006-0000-0F00-00001A000000}">
      <text>
        <r>
          <rPr>
            <sz val="12"/>
            <color theme="1"/>
            <rFont val="Aptos Narrow"/>
            <family val="2"/>
            <scheme val="minor"/>
          </rPr>
          <t>pc:
Was 14,490,000</t>
        </r>
      </text>
    </comment>
    <comment ref="C8" authorId="1" shapeId="0" xr:uid="{00000000-0006-0000-0F00-00001B000000}">
      <text>
        <r>
          <rPr>
            <sz val="12"/>
            <color theme="1"/>
            <rFont val="Aptos Narrow"/>
            <family val="2"/>
            <scheme val="minor"/>
          </rPr>
          <t>Dang Phuong Nam:
Last week was: 14.490.000
VNP100K</t>
        </r>
      </text>
    </comment>
    <comment ref="D8" authorId="1" shapeId="0" xr:uid="{00000000-0006-0000-0F00-00001C000000}">
      <text>
        <r>
          <rPr>
            <sz val="12"/>
            <color theme="1"/>
            <rFont val="Aptos Narrow"/>
            <family val="2"/>
            <scheme val="minor"/>
          </rPr>
          <t>Hoàng Đức Việt:
Last week was: 14.190.000</t>
        </r>
      </text>
    </comment>
    <comment ref="F8" authorId="2" shapeId="0" xr:uid="{00000000-0006-0000-0F00-00001D000000}">
      <text>
        <r>
          <rPr>
            <sz val="12"/>
            <color theme="1"/>
            <rFont val="Aptos Narrow"/>
            <family val="2"/>
            <scheme val="minor"/>
          </rPr>
          <t>Duy Nguyen:
last week was 13,890,000</t>
        </r>
      </text>
    </comment>
    <comment ref="B9" authorId="4" shapeId="0" xr:uid="{00000000-0006-0000-0F00-00001E000000}">
      <text>
        <r>
          <rPr>
            <sz val="12"/>
            <color theme="1"/>
            <rFont val="Aptos Narrow"/>
            <family val="2"/>
            <scheme val="minor"/>
          </rPr>
          <t>pc:
Was 11,490,000</t>
        </r>
      </text>
    </comment>
    <comment ref="E9" authorId="6" shapeId="0" xr:uid="{00000000-0006-0000-0F00-00001F000000}">
      <text>
        <r>
          <rPr>
            <sz val="12"/>
            <color theme="1"/>
            <rFont val="Aptos Narrow"/>
            <family val="2"/>
            <scheme val="minor"/>
          </rPr>
          <t>Sheva Son:
Last Week was: 11.290.000</t>
        </r>
      </text>
    </comment>
    <comment ref="D10" authorId="1" shapeId="0" xr:uid="{00000000-0006-0000-0F00-000020000000}">
      <text>
        <r>
          <rPr>
            <sz val="12"/>
            <color theme="1"/>
            <rFont val="Aptos Narrow"/>
            <family val="2"/>
            <scheme val="minor"/>
          </rPr>
          <t>Hoàng Đức Việt:
Last week was: 8.490.000</t>
        </r>
      </text>
    </comment>
    <comment ref="E10" authorId="1" shapeId="0" xr:uid="{00000000-0006-0000-0F00-000021000000}">
      <text>
        <r>
          <rPr>
            <sz val="12"/>
            <color theme="1"/>
            <rFont val="Aptos Narrow"/>
            <family val="2"/>
            <scheme val="minor"/>
          </rPr>
          <t>Đặng Thanh Vượng:
Last week was: 8.840.000</t>
        </r>
      </text>
    </comment>
    <comment ref="F10" authorId="2" shapeId="0" xr:uid="{00000000-0006-0000-0F00-000022000000}">
      <text>
        <r>
          <rPr>
            <sz val="12"/>
            <color theme="1"/>
            <rFont val="Aptos Narrow"/>
            <family val="2"/>
            <scheme val="minor"/>
          </rPr>
          <t>Duy Nguyen:
last week was 8,690,000</t>
        </r>
      </text>
    </comment>
    <comment ref="F11" authorId="2" shapeId="0" xr:uid="{00000000-0006-0000-0F00-000023000000}">
      <text>
        <r>
          <rPr>
            <sz val="12"/>
            <color theme="1"/>
            <rFont val="Aptos Narrow"/>
            <family val="2"/>
            <scheme val="minor"/>
          </rPr>
          <t>Duy Nguyen:
last week was 14,690,000</t>
        </r>
      </text>
    </comment>
    <comment ref="C12" authorId="1" shapeId="0" xr:uid="{00000000-0006-0000-0F00-000024000000}">
      <text>
        <r>
          <rPr>
            <sz val="12"/>
            <color theme="1"/>
            <rFont val="Aptos Narrow"/>
            <family val="2"/>
            <scheme val="minor"/>
          </rPr>
          <t>was 12,290,000
VNP100</t>
        </r>
      </text>
    </comment>
    <comment ref="B13" authorId="5" shapeId="0" xr:uid="{00000000-0006-0000-0F00-000025000000}">
      <text>
        <r>
          <rPr>
            <sz val="12"/>
            <color theme="1"/>
            <rFont val="Aptos Narrow"/>
            <family val="2"/>
            <scheme val="minor"/>
          </rPr>
          <t>Duy:
10.190.000</t>
        </r>
      </text>
    </comment>
    <comment ref="D13" authorId="1" shapeId="0" xr:uid="{00000000-0006-0000-0F00-000026000000}">
      <text>
        <r>
          <rPr>
            <sz val="12"/>
            <color theme="1"/>
            <rFont val="Aptos Narrow"/>
            <family val="2"/>
            <scheme val="minor"/>
          </rPr>
          <t>Hoàng Đức Việt:
Last week was: 9.490.000đ</t>
        </r>
      </text>
    </comment>
    <comment ref="F13" authorId="2" shapeId="0" xr:uid="{00000000-0006-0000-0F00-000027000000}">
      <text>
        <r>
          <rPr>
            <sz val="12"/>
            <color theme="1"/>
            <rFont val="Aptos Narrow"/>
            <family val="2"/>
            <scheme val="minor"/>
          </rPr>
          <t>Duy Nguyen:
last week was 9,650,000</t>
        </r>
      </text>
    </comment>
    <comment ref="B14" authorId="4" shapeId="0" xr:uid="{00000000-0006-0000-0F00-000028000000}">
      <text>
        <r>
          <rPr>
            <sz val="12"/>
            <color theme="1"/>
            <rFont val="Aptos Narrow"/>
            <family val="2"/>
            <scheme val="minor"/>
          </rPr>
          <t>pc:
Was 7,340,000</t>
        </r>
      </text>
    </comment>
    <comment ref="C14" authorId="0" shapeId="0" xr:uid="{00000000-0006-0000-0F00-000029000000}">
      <text>
        <r>
          <rPr>
            <sz val="12"/>
            <color theme="1"/>
            <rFont val="Aptos Narrow"/>
            <family val="2"/>
            <scheme val="minor"/>
          </rPr>
          <t>Microsoft Office User:
was 7,340,000
VNP50</t>
        </r>
      </text>
    </comment>
    <comment ref="D14" authorId="1" shapeId="0" xr:uid="{00000000-0006-0000-0F00-00002A000000}">
      <text>
        <r>
          <rPr>
            <sz val="12"/>
            <color theme="1"/>
            <rFont val="Aptos Narrow"/>
            <family val="2"/>
            <scheme val="minor"/>
          </rPr>
          <t xml:space="preserve">Hoàng Đức Việt
Last week was: 7.040,000	</t>
        </r>
      </text>
    </comment>
    <comment ref="F14" authorId="2" shapeId="0" xr:uid="{00000000-0006-0000-0F00-00002B000000}">
      <text>
        <r>
          <rPr>
            <sz val="12"/>
            <color theme="1"/>
            <rFont val="Aptos Narrow"/>
            <family val="2"/>
            <scheme val="minor"/>
          </rPr>
          <t>Duy Nguyen:
last week was 7,090,000</t>
        </r>
      </text>
    </comment>
    <comment ref="F15" authorId="2" shapeId="0" xr:uid="{00000000-0006-0000-0F00-00002C000000}">
      <text>
        <r>
          <rPr>
            <sz val="12"/>
            <color theme="1"/>
            <rFont val="Aptos Narrow"/>
            <family val="2"/>
            <scheme val="minor"/>
          </rPr>
          <t>Duy Nguyen:
last week was OOS</t>
        </r>
      </text>
    </comment>
    <comment ref="G15" authorId="3" shapeId="0" xr:uid="{00000000-0006-0000-0F00-00002D000000}">
      <text>
        <r>
          <rPr>
            <sz val="12"/>
            <color theme="1"/>
            <rFont val="Aptos Narrow"/>
            <family val="2"/>
            <scheme val="minor"/>
          </rPr>
          <t>Windows User:
16990000</t>
        </r>
      </text>
    </comment>
    <comment ref="E16" authorId="0" shapeId="0" xr:uid="{00000000-0006-0000-0F00-00002E000000}">
      <text>
        <r>
          <rPr>
            <sz val="12"/>
            <color theme="1"/>
            <rFont val="Aptos Narrow"/>
            <family val="2"/>
            <scheme val="minor"/>
          </rPr>
          <t>Son Nguyen:
Last week was:
20.990.000 đ</t>
        </r>
      </text>
    </comment>
    <comment ref="G16" authorId="3" shapeId="0" xr:uid="{00000000-0006-0000-0F00-00002F000000}">
      <text>
        <r>
          <rPr>
            <sz val="12"/>
            <color theme="1"/>
            <rFont val="Aptos Narrow"/>
            <family val="2"/>
            <scheme val="minor"/>
          </rPr>
          <t>Windows User:
21990000</t>
        </r>
      </text>
    </comment>
    <comment ref="B17" authorId="4" shapeId="0" xr:uid="{00000000-0006-0000-0F00-000030000000}">
      <text>
        <r>
          <rPr>
            <sz val="12"/>
            <color theme="1"/>
            <rFont val="Aptos Narrow"/>
            <family val="2"/>
            <scheme val="minor"/>
          </rPr>
          <t>pc:
Was 28,290,000</t>
        </r>
      </text>
    </comment>
    <comment ref="C17" authorId="1" shapeId="0" xr:uid="{00000000-0006-0000-0F00-000031000000}">
      <text>
        <r>
          <rPr>
            <sz val="12"/>
            <color theme="1"/>
            <rFont val="Aptos Narrow"/>
            <family val="2"/>
            <scheme val="minor"/>
          </rPr>
          <t>was 28,290,000
VNP200</t>
        </r>
      </text>
    </comment>
    <comment ref="E17" authorId="0" shapeId="0" xr:uid="{00000000-0006-0000-0F00-000032000000}">
      <text>
        <r>
          <rPr>
            <sz val="12"/>
            <color theme="1"/>
            <rFont val="Aptos Narrow"/>
            <family val="2"/>
            <scheme val="minor"/>
          </rPr>
          <t>Microsoft Office User:
Last week was:
27.390.000đ</t>
        </r>
      </text>
    </comment>
    <comment ref="F17" authorId="2" shapeId="0" xr:uid="{00000000-0006-0000-0F00-000033000000}">
      <text>
        <r>
          <rPr>
            <sz val="12"/>
            <color theme="1"/>
            <rFont val="Aptos Narrow"/>
            <family val="2"/>
            <scheme val="minor"/>
          </rPr>
          <t>Duy Nguyen:
last week was 27,790,000</t>
        </r>
      </text>
    </comment>
    <comment ref="G17" authorId="3" shapeId="0" xr:uid="{00000000-0006-0000-0F00-000034000000}">
      <text>
        <r>
          <rPr>
            <sz val="12"/>
            <color theme="1"/>
            <rFont val="Aptos Narrow"/>
            <family val="2"/>
            <scheme val="minor"/>
          </rPr>
          <t>Windows User:
27690000</t>
        </r>
      </text>
    </comment>
    <comment ref="E18" authorId="6" shapeId="0" xr:uid="{00000000-0006-0000-0F00-000035000000}">
      <text>
        <r>
          <rPr>
            <sz val="12"/>
            <color theme="1"/>
            <rFont val="Aptos Narrow"/>
            <family val="2"/>
            <scheme val="minor"/>
          </rPr>
          <t>Sheva Son:
Last Week Was: 36.190.000 đ</t>
        </r>
      </text>
    </comment>
    <comment ref="G18" authorId="7" shapeId="0" xr:uid="{00000000-0006-0000-0F00-000036000000}">
      <text>
        <r>
          <rPr>
            <sz val="12"/>
            <color theme="1"/>
            <rFont val="Aptos Narrow"/>
            <family val="2"/>
            <scheme val="minor"/>
          </rPr>
          <t xml:space="preserve">Administrator:
37390000
</t>
        </r>
      </text>
    </comment>
    <comment ref="B19" authorId="5" shapeId="0" xr:uid="{00000000-0006-0000-0F00-000037000000}">
      <text>
        <r>
          <rPr>
            <sz val="12"/>
            <color theme="1"/>
            <rFont val="Aptos Narrow"/>
            <family val="2"/>
            <scheme val="minor"/>
          </rPr>
          <t>Duy:
6.140.000</t>
        </r>
      </text>
    </comment>
    <comment ref="C19" authorId="0" shapeId="0" xr:uid="{00000000-0006-0000-0F00-000038000000}">
      <text>
        <r>
          <rPr>
            <sz val="12"/>
            <color theme="1"/>
            <rFont val="Aptos Narrow"/>
            <family val="2"/>
            <scheme val="minor"/>
          </rPr>
          <t>was 5,940,000
VNP50</t>
        </r>
      </text>
    </comment>
    <comment ref="D19" authorId="8" shapeId="0" xr:uid="{00000000-0006-0000-0F00-000039000000}">
      <text>
        <r>
          <rPr>
            <sz val="12"/>
            <color theme="1"/>
            <rFont val="Aptos Narrow"/>
            <family val="2"/>
            <scheme val="minor"/>
          </rPr>
          <t>Việt Hoàng:
Last week was
5.690.000</t>
        </r>
      </text>
    </comment>
    <comment ref="E19" authorId="0" shapeId="0" xr:uid="{00000000-0006-0000-0F00-00003A000000}">
      <text>
        <r>
          <rPr>
            <sz val="12"/>
            <color theme="1"/>
            <rFont val="Aptos Narrow"/>
            <family val="2"/>
            <scheme val="minor"/>
          </rPr>
          <t>Son Sheva:
Last week was:
5.731.100đ</t>
        </r>
      </text>
    </comment>
    <comment ref="F19" authorId="2" shapeId="0" xr:uid="{00000000-0006-0000-0F00-00003B000000}">
      <text>
        <r>
          <rPr>
            <sz val="12"/>
            <color theme="1"/>
            <rFont val="Aptos Narrow"/>
            <family val="2"/>
            <scheme val="minor"/>
          </rPr>
          <t>Duy Nguyen:
last week was 5,950,000</t>
        </r>
      </text>
    </comment>
    <comment ref="B20" authorId="5" shapeId="0" xr:uid="{00000000-0006-0000-0F00-00003C000000}">
      <text>
        <r>
          <rPr>
            <sz val="12"/>
            <color theme="1"/>
            <rFont val="Aptos Narrow"/>
            <family val="2"/>
            <scheme val="minor"/>
          </rPr>
          <t>Duy:
Was: 7.440.000</t>
        </r>
      </text>
    </comment>
    <comment ref="C20" authorId="1" shapeId="0" xr:uid="{00000000-0006-0000-0F00-00003D000000}">
      <text>
        <r>
          <rPr>
            <sz val="12"/>
            <color theme="1"/>
            <rFont val="Aptos Narrow"/>
            <family val="2"/>
            <scheme val="minor"/>
          </rPr>
          <t>was 7,240,000
VNP50</t>
        </r>
      </text>
    </comment>
    <comment ref="D20" authorId="8" shapeId="0" xr:uid="{00000000-0006-0000-0F00-00003E000000}">
      <text>
        <r>
          <rPr>
            <sz val="12"/>
            <color theme="1"/>
            <rFont val="Aptos Narrow"/>
            <family val="2"/>
            <scheme val="minor"/>
          </rPr>
          <t>Việt Hoàng:
Last week was:
6.790.000</t>
        </r>
      </text>
    </comment>
    <comment ref="E20" authorId="0" shapeId="0" xr:uid="{00000000-0006-0000-0F00-00003F000000}">
      <text>
        <r>
          <rPr>
            <sz val="12"/>
            <color theme="1"/>
            <rFont val="Aptos Narrow"/>
            <family val="2"/>
            <scheme val="minor"/>
          </rPr>
          <t>Son Sheva:
Last week was:
6.870.600đ</t>
        </r>
      </text>
    </comment>
    <comment ref="B21" authorId="5" shapeId="0" xr:uid="{00000000-0006-0000-0F00-000040000000}">
      <text>
        <r>
          <rPr>
            <sz val="12"/>
            <color theme="1"/>
            <rFont val="Aptos Narrow"/>
            <family val="2"/>
            <scheme val="minor"/>
          </rPr>
          <t>Duy:
Was: 7.040.000</t>
        </r>
      </text>
    </comment>
    <comment ref="D21" authorId="8" shapeId="0" xr:uid="{00000000-0006-0000-0F00-000041000000}">
      <text>
        <r>
          <rPr>
            <sz val="12"/>
            <color theme="1"/>
            <rFont val="Aptos Narrow"/>
            <family val="2"/>
            <scheme val="minor"/>
          </rPr>
          <t>Việt Hoàng:
Last week was
6.240.000</t>
        </r>
      </text>
    </comment>
    <comment ref="E21" authorId="0" shapeId="0" xr:uid="{00000000-0006-0000-0F00-000042000000}">
      <text>
        <r>
          <rPr>
            <sz val="12"/>
            <color theme="1"/>
            <rFont val="Aptos Narrow"/>
            <family val="2"/>
            <scheme val="minor"/>
          </rPr>
          <t>Son Sheva:
Last week was:
6.425.100đ</t>
        </r>
      </text>
    </comment>
    <comment ref="C22" authorId="0" shapeId="0" xr:uid="{00000000-0006-0000-0F00-000043000000}">
      <text>
        <r>
          <rPr>
            <sz val="12"/>
            <color theme="1"/>
            <rFont val="Aptos Narrow"/>
            <family val="2"/>
            <scheme val="minor"/>
          </rPr>
          <t>was 7,940,000
VNP50</t>
        </r>
      </text>
    </comment>
    <comment ref="D22" authorId="8" shapeId="0" xr:uid="{00000000-0006-0000-0F00-000044000000}">
      <text>
        <r>
          <rPr>
            <sz val="12"/>
            <color theme="1"/>
            <rFont val="Aptos Narrow"/>
            <family val="2"/>
            <scheme val="minor"/>
          </rPr>
          <t>Việt Hoàng:
Last week was:
7.540.000</t>
        </r>
      </text>
    </comment>
    <comment ref="E22" authorId="0" shapeId="0" xr:uid="{00000000-0006-0000-0F00-000045000000}">
      <text>
        <r>
          <rPr>
            <sz val="12"/>
            <color theme="1"/>
            <rFont val="Aptos Narrow"/>
            <family val="2"/>
            <scheme val="minor"/>
          </rPr>
          <t>Son Sheva:
Last week was:
7.662.600đ</t>
        </r>
      </text>
    </comment>
    <comment ref="B23" authorId="5" shapeId="0" xr:uid="{00000000-0006-0000-0F00-000046000000}">
      <text>
        <r>
          <rPr>
            <sz val="12"/>
            <color theme="1"/>
            <rFont val="Aptos Narrow"/>
            <family val="2"/>
            <scheme val="minor"/>
          </rPr>
          <t>Duy:
Was: 9.690.000</t>
        </r>
      </text>
    </comment>
    <comment ref="E23" authorId="6" shapeId="0" xr:uid="{00000000-0006-0000-0F00-000047000000}">
      <text>
        <r>
          <rPr>
            <sz val="12"/>
            <color theme="1"/>
            <rFont val="Aptos Narrow"/>
            <family val="2"/>
            <scheme val="minor"/>
          </rPr>
          <t xml:space="preserve">Sheva Son:
Last Week was: 8.900.100đ
</t>
        </r>
      </text>
    </comment>
    <comment ref="F23" authorId="2" shapeId="0" xr:uid="{00000000-0006-0000-0F00-000048000000}">
      <text>
        <r>
          <rPr>
            <sz val="12"/>
            <color theme="1"/>
            <rFont val="Aptos Narrow"/>
            <family val="2"/>
            <scheme val="minor"/>
          </rPr>
          <t>Duy Nguyen:
last week was 9,490,000</t>
        </r>
      </text>
    </comment>
    <comment ref="D24" authorId="1" shapeId="0" xr:uid="{00000000-0006-0000-0F00-000049000000}">
      <text>
        <r>
          <rPr>
            <sz val="12"/>
            <color theme="1"/>
            <rFont val="Aptos Narrow"/>
            <family val="2"/>
            <scheme val="minor"/>
          </rPr>
          <t xml:space="preserve">Last week was: 11.690.000đ	</t>
        </r>
      </text>
    </comment>
    <comment ref="E24" authorId="1" shapeId="0" xr:uid="{00000000-0006-0000-0F00-00004A000000}">
      <text>
        <r>
          <rPr>
            <sz val="12"/>
            <color theme="1"/>
            <rFont val="Aptos Narrow"/>
            <family val="2"/>
            <scheme val="minor"/>
          </rPr>
          <t xml:space="preserve">Son Sheva:
Last week was: 12.190.000đ	</t>
        </r>
      </text>
    </comment>
    <comment ref="B25" authorId="5" shapeId="0" xr:uid="{00000000-0006-0000-0F00-00004B000000}">
      <text>
        <r>
          <rPr>
            <sz val="12"/>
            <color theme="1"/>
            <rFont val="Aptos Narrow"/>
            <family val="2"/>
            <scheme val="minor"/>
          </rPr>
          <t>Duy:
Was: 10.790.000</t>
        </r>
      </text>
    </comment>
    <comment ref="C25" authorId="0" shapeId="0" xr:uid="{00000000-0006-0000-0F00-00004C000000}">
      <text>
        <r>
          <rPr>
            <sz val="12"/>
            <color theme="1"/>
            <rFont val="Aptos Narrow"/>
            <family val="2"/>
            <scheme val="minor"/>
          </rPr>
          <t>was 10,590,000
VNP100</t>
        </r>
      </text>
    </comment>
    <comment ref="E25" authorId="6" shapeId="0" xr:uid="{00000000-0006-0000-0F00-00004D000000}">
      <text>
        <r>
          <rPr>
            <sz val="12"/>
            <color theme="1"/>
            <rFont val="Aptos Narrow"/>
            <family val="2"/>
            <scheme val="minor"/>
          </rPr>
          <t>Sheva Son:
Last Week was: 9.692.100đ</t>
        </r>
      </text>
    </comment>
    <comment ref="F25" authorId="2" shapeId="0" xr:uid="{00000000-0006-0000-0F00-00004E000000}">
      <text>
        <r>
          <rPr>
            <sz val="12"/>
            <color theme="1"/>
            <rFont val="Aptos Narrow"/>
            <family val="2"/>
            <scheme val="minor"/>
          </rPr>
          <t>Duy Nguyen:
last week was 10,390,000</t>
        </r>
      </text>
    </comment>
    <comment ref="D26" authorId="6" shapeId="0" xr:uid="{00000000-0006-0000-0F00-00004F000000}">
      <text>
        <r>
          <rPr>
            <sz val="12"/>
            <color theme="1"/>
            <rFont val="Aptos Narrow"/>
            <family val="2"/>
            <scheme val="minor"/>
          </rPr>
          <t>Hoàng Đức Việt
Last Week was: 12.690.000</t>
        </r>
      </text>
    </comment>
    <comment ref="E26" authorId="6" shapeId="0" xr:uid="{00000000-0006-0000-0F00-000050000000}">
      <text>
        <r>
          <rPr>
            <sz val="12"/>
            <color theme="1"/>
            <rFont val="Aptos Narrow"/>
            <family val="2"/>
            <scheme val="minor"/>
          </rPr>
          <t>Sheva Son:
Last Week was: 12.570.000đ</t>
        </r>
      </text>
    </comment>
    <comment ref="B27" authorId="5" shapeId="0" xr:uid="{00000000-0006-0000-0F00-000051000000}">
      <text>
        <r>
          <rPr>
            <sz val="12"/>
            <color theme="1"/>
            <rFont val="Aptos Narrow"/>
            <family val="2"/>
            <scheme val="minor"/>
          </rPr>
          <t>Duy:
Was: 20.990.000</t>
        </r>
      </text>
    </comment>
    <comment ref="E27" authorId="6" shapeId="0" xr:uid="{00000000-0006-0000-0F00-000052000000}">
      <text>
        <r>
          <rPr>
            <sz val="12"/>
            <color theme="1"/>
            <rFont val="Aptos Narrow"/>
            <family val="2"/>
            <scheme val="minor"/>
          </rPr>
          <t>Sheva Son:
Last Week was: 19.690.000đ</t>
        </r>
      </text>
    </comment>
    <comment ref="B28" authorId="5" shapeId="0" xr:uid="{00000000-0006-0000-0F00-000053000000}">
      <text>
        <r>
          <rPr>
            <sz val="12"/>
            <color theme="1"/>
            <rFont val="Aptos Narrow"/>
            <family val="2"/>
            <scheme val="minor"/>
          </rPr>
          <t>Duy:
Was: 5.790.000</t>
        </r>
      </text>
    </comment>
    <comment ref="C28" authorId="1" shapeId="0" xr:uid="{00000000-0006-0000-0F00-000054000000}">
      <text>
        <r>
          <rPr>
            <sz val="12"/>
            <color theme="1"/>
            <rFont val="Aptos Narrow"/>
            <family val="2"/>
            <scheme val="minor"/>
          </rPr>
          <t>was 5,790,000</t>
        </r>
      </text>
    </comment>
    <comment ref="D28" authorId="1" shapeId="0" xr:uid="{00000000-0006-0000-0F00-000055000000}">
      <text>
        <r>
          <rPr>
            <sz val="12"/>
            <color theme="1"/>
            <rFont val="Aptos Narrow"/>
            <family val="2"/>
            <scheme val="minor"/>
          </rPr>
          <t xml:space="preserve">Hoàng Đức Việt
Last week was: 5.740,000	</t>
        </r>
      </text>
    </comment>
    <comment ref="E28" authorId="0" shapeId="0" xr:uid="{00000000-0006-0000-0F00-000056000000}">
      <text>
        <r>
          <rPr>
            <sz val="12"/>
            <color theme="1"/>
            <rFont val="Aptos Narrow"/>
            <family val="2"/>
            <scheme val="minor"/>
          </rPr>
          <t>Microsoft Office User:
Last week was:
5.435.100đ</t>
        </r>
      </text>
    </comment>
    <comment ref="B29" authorId="5" shapeId="0" xr:uid="{00000000-0006-0000-0F00-000057000000}">
      <text>
        <r>
          <rPr>
            <sz val="12"/>
            <color theme="1"/>
            <rFont val="Aptos Narrow"/>
            <family val="2"/>
            <scheme val="minor"/>
          </rPr>
          <t>Duy:
Was: 3.990.000</t>
        </r>
      </text>
    </comment>
    <comment ref="C29" authorId="0" shapeId="0" xr:uid="{00000000-0006-0000-0F00-000058000000}">
      <text>
        <r>
          <rPr>
            <sz val="12"/>
            <color theme="1"/>
            <rFont val="Aptos Narrow"/>
            <family val="2"/>
            <scheme val="minor"/>
          </rPr>
          <t>was 3,990,000</t>
        </r>
      </text>
    </comment>
    <comment ref="D29" authorId="8" shapeId="0" xr:uid="{00000000-0006-0000-0F00-000059000000}">
      <text>
        <r>
          <rPr>
            <sz val="12"/>
            <color theme="1"/>
            <rFont val="Aptos Narrow"/>
            <family val="2"/>
            <scheme val="minor"/>
          </rPr>
          <t>Việt Hoàng:
Last week was
3.990.000</t>
        </r>
      </text>
    </comment>
    <comment ref="E29" authorId="0" shapeId="0" xr:uid="{00000000-0006-0000-0F00-00005A000000}">
      <text>
        <r>
          <rPr>
            <sz val="12"/>
            <color theme="1"/>
            <rFont val="Aptos Narrow"/>
            <family val="2"/>
            <scheme val="minor"/>
          </rPr>
          <t>Microsoft Office User:
Last week was:
4.148.100đ</t>
        </r>
      </text>
    </comment>
    <comment ref="G29" authorId="3" shapeId="0" xr:uid="{00000000-0006-0000-0F00-00005B000000}">
      <text>
        <r>
          <rPr>
            <sz val="12"/>
            <color theme="1"/>
            <rFont val="Aptos Narrow"/>
            <family val="2"/>
            <scheme val="minor"/>
          </rPr>
          <t>Windows User:
3950000</t>
        </r>
      </text>
    </comment>
    <comment ref="B30" authorId="5" shapeId="0" xr:uid="{00000000-0006-0000-0F00-00005C000000}">
      <text>
        <r>
          <rPr>
            <sz val="12"/>
            <color theme="1"/>
            <rFont val="Aptos Narrow"/>
            <family val="2"/>
            <scheme val="minor"/>
          </rPr>
          <t>Duy:
Was: 2.790.000</t>
        </r>
      </text>
    </comment>
    <comment ref="C30" authorId="0" shapeId="0" xr:uid="{00000000-0006-0000-0F00-00005D000000}">
      <text>
        <r>
          <rPr>
            <sz val="12"/>
            <color theme="1"/>
            <rFont val="Aptos Narrow"/>
            <family val="2"/>
            <scheme val="minor"/>
          </rPr>
          <t>was 2,790,000</t>
        </r>
      </text>
    </comment>
    <comment ref="D30" authorId="8" shapeId="0" xr:uid="{00000000-0006-0000-0F00-00005E000000}">
      <text>
        <r>
          <rPr>
            <sz val="12"/>
            <color theme="1"/>
            <rFont val="Aptos Narrow"/>
            <family val="2"/>
            <scheme val="minor"/>
          </rPr>
          <t>Việt Hoàng:
Last week was
2.790.000</t>
        </r>
      </text>
    </comment>
    <comment ref="E30" authorId="0" shapeId="0" xr:uid="{00000000-0006-0000-0F00-00005F000000}">
      <text>
        <r>
          <rPr>
            <sz val="12"/>
            <color theme="1"/>
            <rFont val="Aptos Narrow"/>
            <family val="2"/>
            <scheme val="minor"/>
          </rPr>
          <t>Microsoft Office User:
Last week was:
2.890.000đ</t>
        </r>
      </text>
    </comment>
    <comment ref="G30" authorId="3" shapeId="0" xr:uid="{00000000-0006-0000-0F00-000060000000}">
      <text>
        <r>
          <rPr>
            <sz val="12"/>
            <color theme="1"/>
            <rFont val="Aptos Narrow"/>
            <family val="2"/>
            <scheme val="minor"/>
          </rPr>
          <t>Windows User:
2790000</t>
        </r>
      </text>
    </comment>
    <comment ref="D31" authorId="1" shapeId="0" xr:uid="{00000000-0006-0000-0F00-000061000000}">
      <text>
        <r>
          <rPr>
            <sz val="12"/>
            <color theme="1"/>
            <rFont val="Aptos Narrow"/>
            <family val="2"/>
            <scheme val="minor"/>
          </rPr>
          <t xml:space="preserve">Hoàng Đức Việt
Last week was: 18.490,000	</t>
        </r>
      </text>
    </comment>
    <comment ref="G31" authorId="3" shapeId="0" xr:uid="{00000000-0006-0000-0F00-000062000000}">
      <text>
        <r>
          <rPr>
            <sz val="12"/>
            <color theme="1"/>
            <rFont val="Aptos Narrow"/>
            <family val="2"/>
            <scheme val="minor"/>
          </rPr>
          <t>Windows User:
18490000</t>
        </r>
      </text>
    </comment>
    <comment ref="B32" authorId="4" shapeId="0" xr:uid="{00000000-0006-0000-0F00-000063000000}">
      <text>
        <r>
          <rPr>
            <sz val="12"/>
            <color theme="1"/>
            <rFont val="Aptos Narrow"/>
            <family val="2"/>
            <scheme val="minor"/>
          </rPr>
          <t>pc:
Was 23,390,000</t>
        </r>
      </text>
    </comment>
    <comment ref="C32" authorId="1" shapeId="0" xr:uid="{00000000-0006-0000-0F00-000064000000}">
      <text>
        <r>
          <rPr>
            <sz val="12"/>
            <color theme="1"/>
            <rFont val="Aptos Narrow"/>
            <family val="2"/>
            <scheme val="minor"/>
          </rPr>
          <t>was 23,290,000
VNP200</t>
        </r>
      </text>
    </comment>
    <comment ref="D32" authorId="1" shapeId="0" xr:uid="{00000000-0006-0000-0F00-000065000000}">
      <text>
        <r>
          <rPr>
            <sz val="12"/>
            <color theme="1"/>
            <rFont val="Aptos Narrow"/>
            <family val="2"/>
            <scheme val="minor"/>
          </rPr>
          <t xml:space="preserve">Hoàng Đức Việt:
Last week was: 23.090,000	</t>
        </r>
      </text>
    </comment>
    <comment ref="F32" authorId="2" shapeId="0" xr:uid="{00000000-0006-0000-0F00-000066000000}">
      <text>
        <r>
          <rPr>
            <sz val="12"/>
            <color theme="1"/>
            <rFont val="Aptos Narrow"/>
            <family val="2"/>
            <scheme val="minor"/>
          </rPr>
          <t>Duy Nguyen:
last week was 23,850,000</t>
        </r>
      </text>
    </comment>
    <comment ref="G32" authorId="7" shapeId="0" xr:uid="{00000000-0006-0000-0F00-000067000000}">
      <text>
        <r>
          <rPr>
            <sz val="12"/>
            <color theme="1"/>
            <rFont val="Aptos Narrow"/>
            <family val="2"/>
            <scheme val="minor"/>
          </rPr>
          <t xml:space="preserve">Administrator:
23690000
</t>
        </r>
      </text>
    </comment>
    <comment ref="B33" authorId="4" shapeId="0" xr:uid="{00000000-0006-0000-0F00-000068000000}">
      <text>
        <r>
          <rPr>
            <sz val="12"/>
            <color theme="1"/>
            <rFont val="Aptos Narrow"/>
            <family val="2"/>
            <scheme val="minor"/>
          </rPr>
          <t>pc:
Was 27,090,000</t>
        </r>
      </text>
    </comment>
    <comment ref="C33" authorId="1" shapeId="0" xr:uid="{00000000-0006-0000-0F00-000069000000}">
      <text>
        <r>
          <rPr>
            <sz val="12"/>
            <color theme="1"/>
            <rFont val="Aptos Narrow"/>
            <family val="2"/>
            <scheme val="minor"/>
          </rPr>
          <t>was 27,090,000
VNP200</t>
        </r>
      </text>
    </comment>
    <comment ref="D33" authorId="1" shapeId="0" xr:uid="{00000000-0006-0000-0F00-00006A000000}">
      <text>
        <r>
          <rPr>
            <sz val="12"/>
            <color theme="1"/>
            <rFont val="Aptos Narrow"/>
            <family val="2"/>
            <scheme val="minor"/>
          </rPr>
          <t xml:space="preserve">Hoàng Đức Việt
Last week was: 26.790,000	</t>
        </r>
      </text>
    </comment>
    <comment ref="F33" authorId="2" shapeId="0" xr:uid="{00000000-0006-0000-0F00-00006B000000}">
      <text>
        <r>
          <rPr>
            <sz val="12"/>
            <color theme="1"/>
            <rFont val="Aptos Narrow"/>
            <family val="2"/>
            <scheme val="minor"/>
          </rPr>
          <t>Duy Nguyen:
last week was 27,190,000</t>
        </r>
      </text>
    </comment>
    <comment ref="G33" authorId="7" shapeId="0" xr:uid="{00000000-0006-0000-0F00-00006C000000}">
      <text>
        <r>
          <rPr>
            <sz val="12"/>
            <color theme="1"/>
            <rFont val="Aptos Narrow"/>
            <family val="2"/>
            <scheme val="minor"/>
          </rPr>
          <t>Administrator:
26890000</t>
        </r>
      </text>
    </comment>
    <comment ref="G34" authorId="7" shapeId="0" xr:uid="{00000000-0006-0000-0F00-00006D000000}">
      <text>
        <r>
          <rPr>
            <sz val="12"/>
            <color theme="1"/>
            <rFont val="Aptos Narrow"/>
            <family val="2"/>
            <scheme val="minor"/>
          </rPr>
          <t>Administrator:
31390000</t>
        </r>
      </text>
    </comment>
    <comment ref="B35" authorId="4" shapeId="0" xr:uid="{00000000-0006-0000-0F00-00006E000000}">
      <text>
        <r>
          <rPr>
            <sz val="12"/>
            <color theme="1"/>
            <rFont val="Aptos Narrow"/>
            <family val="2"/>
            <scheme val="minor"/>
          </rPr>
          <t>pc:
Was 38,590,000</t>
        </r>
      </text>
    </comment>
    <comment ref="C35" authorId="1" shapeId="0" xr:uid="{00000000-0006-0000-0F00-00006F000000}">
      <text>
        <r>
          <rPr>
            <sz val="12"/>
            <color theme="1"/>
            <rFont val="Aptos Narrow"/>
            <family val="2"/>
            <scheme val="minor"/>
          </rPr>
          <t>was 38,590,000
VNP200</t>
        </r>
      </text>
    </comment>
    <comment ref="G35" authorId="3" shapeId="0" xr:uid="{00000000-0006-0000-0F00-000070000000}">
      <text>
        <r>
          <rPr>
            <sz val="12"/>
            <color theme="1"/>
            <rFont val="Aptos Narrow"/>
            <family val="2"/>
            <scheme val="minor"/>
          </rPr>
          <t>Windows User:
37990000</t>
        </r>
      </text>
    </comment>
  </commentList>
</comments>
</file>

<file path=xl/comments17.xml><?xml version="1.0" encoding="utf-8"?>
<comments xmlns="http://schemas.openxmlformats.org/spreadsheetml/2006/main" xmlns:mc="http://schemas.openxmlformats.org/markup-compatibility/2006" xmlns:xr="http://schemas.microsoft.com/office/spreadsheetml/2014/revision" mc:Ignorable="xr">
  <authors>
    <author>Microsoft Office User</author>
    <author>Duy</author>
    <author>chit trang</author>
    <author>Sheva Son</author>
    <author>Tran Dat</author>
    <author>Việt Hoàng</author>
    <author>Duy Ha Minh</author>
  </authors>
  <commentList>
    <comment ref="B2" authorId="0" shapeId="0" xr:uid="{00000000-0006-0000-1000-000001000000}">
      <text>
        <r>
          <rPr>
            <sz val="12"/>
            <color theme="1"/>
            <rFont val="Aptos Narrow"/>
            <family val="2"/>
            <scheme val="minor"/>
          </rPr>
          <t>was 19890000
VNP200</t>
        </r>
      </text>
    </comment>
    <comment ref="C2" authorId="1" shapeId="0" xr:uid="{00000000-0006-0000-1000-000002000000}">
      <text>
        <r>
          <rPr>
            <sz val="12"/>
            <color theme="1"/>
            <rFont val="Aptos Narrow"/>
            <family val="2"/>
            <scheme val="minor"/>
          </rPr>
          <t>Duy:
Last Week: 19,890,000</t>
        </r>
      </text>
    </comment>
    <comment ref="F2" authorId="2" shapeId="0" xr:uid="{00000000-0006-0000-1000-000003000000}">
      <text>
        <r>
          <rPr>
            <sz val="12"/>
            <color theme="1"/>
            <rFont val="Aptos Narrow"/>
            <family val="2"/>
            <scheme val="minor"/>
          </rPr>
          <t>chit trang:
 Was 19.450.000
VNP 500k</t>
        </r>
      </text>
    </comment>
    <comment ref="B3" authorId="0" shapeId="0" xr:uid="{00000000-0006-0000-1000-000004000000}">
      <text>
        <r>
          <rPr>
            <sz val="12"/>
            <color theme="1"/>
            <rFont val="Aptos Narrow"/>
            <family val="2"/>
            <scheme val="minor"/>
          </rPr>
          <t>was 22990000
VNP200</t>
        </r>
      </text>
    </comment>
    <comment ref="C3" authorId="1" shapeId="0" xr:uid="{00000000-0006-0000-1000-000005000000}">
      <text>
        <r>
          <rPr>
            <sz val="12"/>
            <color theme="1"/>
            <rFont val="Aptos Narrow"/>
            <family val="2"/>
            <scheme val="minor"/>
          </rPr>
          <t>Duy:
Last Week: 22,990,000</t>
        </r>
      </text>
    </comment>
    <comment ref="B4" authorId="0" shapeId="0" xr:uid="{00000000-0006-0000-1000-000006000000}">
      <text>
        <r>
          <rPr>
            <sz val="12"/>
            <color theme="1"/>
            <rFont val="Aptos Narrow"/>
            <family val="2"/>
            <scheme val="minor"/>
          </rPr>
          <t>was 24990000
VNP200</t>
        </r>
      </text>
    </comment>
    <comment ref="C4" authorId="1" shapeId="0" xr:uid="{00000000-0006-0000-1000-000007000000}">
      <text>
        <r>
          <rPr>
            <sz val="12"/>
            <color theme="1"/>
            <rFont val="Aptos Narrow"/>
            <family val="2"/>
            <scheme val="minor"/>
          </rPr>
          <t>Duy:
Last Week: 24,990,000</t>
        </r>
      </text>
    </comment>
    <comment ref="E4" authorId="3" shapeId="0" xr:uid="{00000000-0006-0000-1000-000008000000}">
      <text>
        <r>
          <rPr>
            <sz val="12"/>
            <color theme="1"/>
            <rFont val="Aptos Narrow"/>
            <family val="2"/>
            <scheme val="minor"/>
          </rPr>
          <t>Last week was: 23.990.000
CTKM W6Q4FY24:
Giảm 500K mua Online (đã trừ vào giá)
Giảm 500K màu Blue titanium</t>
        </r>
      </text>
    </comment>
    <comment ref="F4" authorId="2" shapeId="0" xr:uid="{00000000-0006-0000-1000-000009000000}">
      <text>
        <r>
          <rPr>
            <sz val="12"/>
            <color theme="1"/>
            <rFont val="Aptos Narrow"/>
            <family val="2"/>
            <scheme val="minor"/>
          </rPr>
          <t xml:space="preserve">chit trang:
24.290.000
Was VNP 500 </t>
        </r>
      </text>
    </comment>
    <comment ref="G4" authorId="4" shapeId="0" xr:uid="{00000000-0006-0000-1000-00000A000000}">
      <text>
        <r>
          <rPr>
            <sz val="12"/>
            <color theme="1"/>
            <rFont val="Aptos Narrow"/>
            <family val="2"/>
            <scheme val="minor"/>
          </rPr>
          <t xml:space="preserve">Tran Dat:
24.290.000
</t>
        </r>
      </text>
    </comment>
    <comment ref="E5" authorId="3" shapeId="0" xr:uid="{00000000-0006-0000-1000-00000B000000}">
      <text>
        <r>
          <rPr>
            <sz val="12"/>
            <color theme="1"/>
            <rFont val="Aptos Narrow"/>
            <family val="2"/>
            <scheme val="minor"/>
          </rPr>
          <t>Last week was: 28.890.000
CTKM W6:
Giảm 1.000K mua hàng Online (đã trừ vào giá)
Giá bản base màu Black titanium 28.490K trong ngày 07/8/2024 (100 slot)</t>
        </r>
      </text>
    </comment>
    <comment ref="F5" authorId="2" shapeId="0" xr:uid="{00000000-0006-0000-1000-00000C000000}">
      <text>
        <r>
          <rPr>
            <sz val="12"/>
            <color theme="1"/>
            <rFont val="Aptos Narrow"/>
            <family val="2"/>
            <scheme val="minor"/>
          </rPr>
          <t>chit trang:
     Was 28.890.000
VNP 500</t>
        </r>
      </text>
    </comment>
    <comment ref="B6" authorId="0" shapeId="0" xr:uid="{00000000-0006-0000-1000-00000D000000}">
      <text>
        <r>
          <rPr>
            <sz val="12"/>
            <color theme="1"/>
            <rFont val="Aptos Narrow"/>
            <family val="2"/>
            <scheme val="minor"/>
          </rPr>
          <t>was 19990000
VNP200</t>
        </r>
      </text>
    </comment>
    <comment ref="C6" authorId="1" shapeId="0" xr:uid="{00000000-0006-0000-1000-00000E000000}">
      <text>
        <r>
          <rPr>
            <sz val="12"/>
            <color theme="1"/>
            <rFont val="Aptos Narrow"/>
            <family val="2"/>
            <scheme val="minor"/>
          </rPr>
          <t>Duy:
Last Week: 19,990,000</t>
        </r>
      </text>
    </comment>
    <comment ref="F6" authorId="2" shapeId="0" xr:uid="{00000000-0006-0000-1000-00000F000000}">
      <text>
        <r>
          <rPr>
            <sz val="12"/>
            <color theme="1"/>
            <rFont val="Aptos Narrow"/>
            <family val="2"/>
            <scheme val="minor"/>
          </rPr>
          <t>chit trang:
Was 19.790.000</t>
        </r>
      </text>
    </comment>
    <comment ref="B7" authorId="0" shapeId="0" xr:uid="{00000000-0006-0000-1000-000010000000}">
      <text>
        <r>
          <rPr>
            <sz val="12"/>
            <color theme="1"/>
            <rFont val="Aptos Narrow"/>
            <family val="2"/>
            <scheme val="minor"/>
          </rPr>
          <t>was 17490000
VNP200</t>
        </r>
      </text>
    </comment>
    <comment ref="D7" authorId="5" shapeId="0" xr:uid="{00000000-0006-0000-1000-000011000000}">
      <text>
        <r>
          <rPr>
            <sz val="12"/>
            <color theme="1"/>
            <rFont val="Aptos Narrow"/>
            <family val="2"/>
            <scheme val="minor"/>
          </rPr>
          <t>Việt Hoàng:
Last week was:
17.490.000</t>
        </r>
      </text>
    </comment>
    <comment ref="F7" authorId="2" shapeId="0" xr:uid="{00000000-0006-0000-1000-000012000000}">
      <text>
        <r>
          <rPr>
            <sz val="12"/>
            <color theme="1"/>
            <rFont val="Aptos Narrow"/>
            <family val="2"/>
            <scheme val="minor"/>
          </rPr>
          <t>chit trang:
Wass 17.290.000</t>
        </r>
      </text>
    </comment>
    <comment ref="B8" authorId="0" shapeId="0" xr:uid="{00000000-0006-0000-1000-000013000000}">
      <text>
        <r>
          <rPr>
            <sz val="12"/>
            <color theme="1"/>
            <rFont val="Aptos Narrow"/>
            <family val="2"/>
            <scheme val="minor"/>
          </rPr>
          <t>was 1439000
VNP100</t>
        </r>
      </text>
    </comment>
    <comment ref="C8" authorId="1" shapeId="0" xr:uid="{00000000-0006-0000-1000-000014000000}">
      <text>
        <r>
          <rPr>
            <sz val="12"/>
            <color theme="1"/>
            <rFont val="Aptos Narrow"/>
            <family val="2"/>
            <scheme val="minor"/>
          </rPr>
          <t>Duy:
Last Week: 14,290,000</t>
        </r>
      </text>
    </comment>
    <comment ref="D8" authorId="5" shapeId="0" xr:uid="{00000000-0006-0000-1000-000015000000}">
      <text>
        <r>
          <rPr>
            <sz val="12"/>
            <color theme="1"/>
            <rFont val="Aptos Narrow"/>
            <family val="2"/>
            <scheme val="minor"/>
          </rPr>
          <t>Việt Hoàng:
Last week was:
14.090.000</t>
        </r>
      </text>
    </comment>
    <comment ref="F8" authorId="2" shapeId="0" xr:uid="{00000000-0006-0000-1000-000016000000}">
      <text>
        <r>
          <rPr>
            <sz val="12"/>
            <color theme="1"/>
            <rFont val="Aptos Narrow"/>
            <family val="2"/>
            <scheme val="minor"/>
          </rPr>
          <t>chit trang:
Wass 13.990.000</t>
        </r>
      </text>
    </comment>
    <comment ref="F10" authorId="2" shapeId="0" xr:uid="{00000000-0006-0000-1000-000017000000}">
      <text>
        <r>
          <rPr>
            <sz val="12"/>
            <color theme="1"/>
            <rFont val="Aptos Narrow"/>
            <family val="2"/>
            <scheme val="minor"/>
          </rPr>
          <t>chit trang:
Wass 8.750.000</t>
        </r>
      </text>
    </comment>
    <comment ref="E13" authorId="3" shapeId="0" xr:uid="{00000000-0006-0000-1000-000018000000}">
      <text>
        <r>
          <rPr>
            <sz val="12"/>
            <color theme="1"/>
            <rFont val="Aptos Narrow"/>
            <family val="2"/>
            <scheme val="minor"/>
          </rPr>
          <t>Last week was: 9.593.100
CTKM W6Q4FY24:
Giảm 200K mua Online (đã trừ vào giá)</t>
        </r>
      </text>
    </comment>
    <comment ref="F13" authorId="2" shapeId="0" xr:uid="{00000000-0006-0000-1000-000019000000}">
      <text>
        <r>
          <rPr>
            <sz val="12"/>
            <color theme="1"/>
            <rFont val="Aptos Narrow"/>
            <family val="2"/>
            <scheme val="minor"/>
          </rPr>
          <t>chit trang:
9.750.000</t>
        </r>
      </text>
    </comment>
    <comment ref="E14" authorId="3" shapeId="0" xr:uid="{00000000-0006-0000-1000-00001A000000}">
      <text>
        <r>
          <rPr>
            <sz val="12"/>
            <color theme="1"/>
            <rFont val="Aptos Narrow"/>
            <family val="2"/>
            <scheme val="minor"/>
          </rPr>
          <t>Last week was: 6.920.100</t>
        </r>
      </text>
    </comment>
    <comment ref="F14" authorId="2" shapeId="0" xr:uid="{00000000-0006-0000-1000-00001B000000}">
      <text>
        <r>
          <rPr>
            <sz val="12"/>
            <color theme="1"/>
            <rFont val="Aptos Narrow"/>
            <family val="2"/>
            <scheme val="minor"/>
          </rPr>
          <t>chit trang:
7.190.000</t>
        </r>
      </text>
    </comment>
    <comment ref="B15" authorId="0" shapeId="0" xr:uid="{00000000-0006-0000-1000-00001C000000}">
      <text>
        <r>
          <rPr>
            <sz val="12"/>
            <color theme="1"/>
            <rFont val="Aptos Narrow"/>
            <family val="2"/>
            <scheme val="minor"/>
          </rPr>
          <t>was 16890000</t>
        </r>
      </text>
    </comment>
    <comment ref="E15" authorId="3" shapeId="0" xr:uid="{00000000-0006-0000-1000-00001D000000}">
      <text>
        <r>
          <rPr>
            <sz val="12"/>
            <color theme="1"/>
            <rFont val="Aptos Narrow"/>
            <family val="2"/>
            <scheme val="minor"/>
          </rPr>
          <t>Last week was: 16.090.000</t>
        </r>
      </text>
    </comment>
    <comment ref="F16" authorId="2" shapeId="0" xr:uid="{00000000-0006-0000-1000-00001E000000}">
      <text>
        <r>
          <rPr>
            <sz val="12"/>
            <color theme="1"/>
            <rFont val="Aptos Narrow"/>
            <family val="2"/>
            <scheme val="minor"/>
          </rPr>
          <t>chit trang:
21.690.000</t>
        </r>
      </text>
    </comment>
    <comment ref="F17" authorId="2" shapeId="0" xr:uid="{00000000-0006-0000-1000-00001F000000}">
      <text>
        <r>
          <rPr>
            <sz val="12"/>
            <color theme="1"/>
            <rFont val="Aptos Narrow"/>
            <family val="2"/>
            <scheme val="minor"/>
          </rPr>
          <t>chit trang:
27.690.000</t>
        </r>
      </text>
    </comment>
    <comment ref="F18" authorId="2" shapeId="0" xr:uid="{00000000-0006-0000-1000-000020000000}">
      <text>
        <r>
          <rPr>
            <sz val="12"/>
            <color theme="1"/>
            <rFont val="Aptos Narrow"/>
            <family val="2"/>
            <scheme val="minor"/>
          </rPr>
          <t>chit trang:
37.390.000</t>
        </r>
      </text>
    </comment>
    <comment ref="F19" authorId="2" shapeId="0" xr:uid="{00000000-0006-0000-1000-000021000000}">
      <text>
        <r>
          <rPr>
            <sz val="12"/>
            <color theme="1"/>
            <rFont val="Aptos Narrow"/>
            <family val="2"/>
            <scheme val="minor"/>
          </rPr>
          <t>chit trang:
6.090.000</t>
        </r>
      </text>
    </comment>
    <comment ref="B21" authorId="0" shapeId="0" xr:uid="{00000000-0006-0000-1000-000022000000}">
      <text>
        <r>
          <rPr>
            <sz val="12"/>
            <color theme="1"/>
            <rFont val="Aptos Narrow"/>
            <family val="2"/>
            <scheme val="minor"/>
          </rPr>
          <t>was 6840000
VNP50</t>
        </r>
      </text>
    </comment>
    <comment ref="E21" authorId="3" shapeId="0" xr:uid="{00000000-0006-0000-1000-000023000000}">
      <text>
        <r>
          <rPr>
            <sz val="12"/>
            <color theme="1"/>
            <rFont val="Aptos Narrow"/>
            <family val="2"/>
            <scheme val="minor"/>
          </rPr>
          <t>CTKM W6: Giảm 100K khi đổi 10.000 điểm VIettel++ nhưng khó có đủ điểm</t>
        </r>
      </text>
    </comment>
    <comment ref="G21" authorId="4" shapeId="0" xr:uid="{00000000-0006-0000-1000-000024000000}">
      <text>
        <r>
          <rPr>
            <sz val="12"/>
            <color theme="1"/>
            <rFont val="Aptos Narrow"/>
            <family val="2"/>
            <scheme val="minor"/>
          </rPr>
          <t>Tran Dat:
6.790.000</t>
        </r>
      </text>
    </comment>
    <comment ref="B22" authorId="0" shapeId="0" xr:uid="{00000000-0006-0000-1000-000025000000}">
      <text>
        <r>
          <rPr>
            <sz val="12"/>
            <color theme="1"/>
            <rFont val="Aptos Narrow"/>
            <family val="2"/>
            <scheme val="minor"/>
          </rPr>
          <t>was 8140000
VNP50</t>
        </r>
      </text>
    </comment>
    <comment ref="F23" authorId="2" shapeId="0" xr:uid="{00000000-0006-0000-1000-000026000000}">
      <text>
        <r>
          <rPr>
            <sz val="12"/>
            <color theme="1"/>
            <rFont val="Aptos Narrow"/>
            <family val="2"/>
            <scheme val="minor"/>
          </rPr>
          <t>chit trang:
9.690.000</t>
        </r>
      </text>
    </comment>
    <comment ref="G23" authorId="4" shapeId="0" xr:uid="{00000000-0006-0000-1000-000027000000}">
      <text>
        <r>
          <rPr>
            <sz val="12"/>
            <color theme="1"/>
            <rFont val="Aptos Narrow"/>
            <family val="2"/>
            <scheme val="minor"/>
          </rPr>
          <t>Tran Dat:
9.290.000</t>
        </r>
      </text>
    </comment>
    <comment ref="F24" authorId="2" shapeId="0" xr:uid="{00000000-0006-0000-1000-000028000000}">
      <text>
        <r>
          <rPr>
            <sz val="12"/>
            <color theme="1"/>
            <rFont val="Aptos Narrow"/>
            <family val="2"/>
            <scheme val="minor"/>
          </rPr>
          <t>chit trang:
12.590.000</t>
        </r>
      </text>
    </comment>
    <comment ref="G24" authorId="4" shapeId="0" xr:uid="{00000000-0006-0000-1000-000029000000}">
      <text>
        <r>
          <rPr>
            <sz val="12"/>
            <color theme="1"/>
            <rFont val="Aptos Narrow"/>
            <family val="2"/>
            <scheme val="minor"/>
          </rPr>
          <t>Tran Dat:
11.790.000</t>
        </r>
      </text>
    </comment>
    <comment ref="G25" authorId="4" shapeId="0" xr:uid="{00000000-0006-0000-1000-00002A000000}">
      <text>
        <r>
          <rPr>
            <sz val="12"/>
            <color theme="1"/>
            <rFont val="Aptos Narrow"/>
            <family val="2"/>
            <scheme val="minor"/>
          </rPr>
          <t>Tran Dat:
10.390.000</t>
        </r>
      </text>
    </comment>
    <comment ref="G26" authorId="4" shapeId="0" xr:uid="{00000000-0006-0000-1000-00002B000000}">
      <text>
        <r>
          <rPr>
            <sz val="12"/>
            <color theme="1"/>
            <rFont val="Aptos Narrow"/>
            <family val="2"/>
            <scheme val="minor"/>
          </rPr>
          <t>Tran Dat:
12.890.000</t>
        </r>
      </text>
    </comment>
    <comment ref="D28" authorId="5" shapeId="0" xr:uid="{00000000-0006-0000-1000-00002C000000}">
      <text>
        <r>
          <rPr>
            <sz val="12"/>
            <color theme="1"/>
            <rFont val="Aptos Narrow"/>
            <family val="2"/>
            <scheme val="minor"/>
          </rPr>
          <t>Việt Hoàng:
Last week was:
5.638.000</t>
        </r>
      </text>
    </comment>
    <comment ref="G28" authorId="4" shapeId="0" xr:uid="{00000000-0006-0000-1000-00002D000000}">
      <text>
        <r>
          <rPr>
            <sz val="12"/>
            <color theme="1"/>
            <rFont val="Aptos Narrow"/>
            <family val="2"/>
            <scheme val="minor"/>
          </rPr>
          <t>Tran Dat:
5.750.000</t>
        </r>
      </text>
    </comment>
    <comment ref="E29" authorId="3" shapeId="0" xr:uid="{00000000-0006-0000-1000-00002E000000}">
      <text>
        <r>
          <rPr>
            <sz val="12"/>
            <color theme="1"/>
            <rFont val="Aptos Narrow"/>
            <family val="2"/>
            <scheme val="minor"/>
          </rPr>
          <t xml:space="preserve">Last week was: </t>
        </r>
      </text>
    </comment>
    <comment ref="F29" authorId="2" shapeId="0" xr:uid="{00000000-0006-0000-1000-00002F000000}">
      <text>
        <r>
          <rPr>
            <sz val="12"/>
            <color theme="1"/>
            <rFont val="Aptos Narrow"/>
            <family val="2"/>
            <scheme val="minor"/>
          </rPr>
          <t>chit trang:
3.950.000</t>
        </r>
      </text>
    </comment>
    <comment ref="G29" authorId="4" shapeId="0" xr:uid="{00000000-0006-0000-1000-000030000000}">
      <text>
        <r>
          <rPr>
            <sz val="12"/>
            <color theme="1"/>
            <rFont val="Aptos Narrow"/>
            <family val="2"/>
            <scheme val="minor"/>
          </rPr>
          <t>Tran Dat:
4.290.000</t>
        </r>
      </text>
    </comment>
    <comment ref="D30" authorId="5" shapeId="0" xr:uid="{00000000-0006-0000-1000-000031000000}">
      <text>
        <r>
          <rPr>
            <sz val="12"/>
            <color theme="1"/>
            <rFont val="Aptos Narrow"/>
            <family val="2"/>
            <scheme val="minor"/>
          </rPr>
          <t>Việt Hoàng:
Last week was:
2.738.000</t>
        </r>
      </text>
    </comment>
    <comment ref="F30" authorId="2" shapeId="0" xr:uid="{00000000-0006-0000-1000-000032000000}">
      <text>
        <r>
          <rPr>
            <sz val="12"/>
            <color theme="1"/>
            <rFont val="Aptos Narrow"/>
            <family val="2"/>
            <scheme val="minor"/>
          </rPr>
          <t>chit trang:
2.790.000</t>
        </r>
      </text>
    </comment>
    <comment ref="G30" authorId="4" shapeId="0" xr:uid="{00000000-0006-0000-1000-000033000000}">
      <text>
        <r>
          <rPr>
            <sz val="12"/>
            <color theme="1"/>
            <rFont val="Aptos Narrow"/>
            <family val="2"/>
            <scheme val="minor"/>
          </rPr>
          <t>Tran Dat:
2.900.000</t>
        </r>
      </text>
    </comment>
    <comment ref="B31" authorId="0" shapeId="0" xr:uid="{00000000-0006-0000-1000-000034000000}">
      <text>
        <r>
          <rPr>
            <sz val="12"/>
            <color theme="1"/>
            <rFont val="Aptos Narrow"/>
            <family val="2"/>
            <scheme val="minor"/>
          </rPr>
          <t>was 18590000
VNP100</t>
        </r>
      </text>
    </comment>
    <comment ref="C31" authorId="6" shapeId="0" xr:uid="{00000000-0006-0000-1000-000035000000}">
      <text>
        <r>
          <rPr>
            <sz val="12"/>
            <color theme="1"/>
            <rFont val="Aptos Narrow"/>
            <family val="2"/>
            <scheme val="minor"/>
          </rPr>
          <t>Duy Ha Minh:
Last Week: 18,590,000</t>
        </r>
      </text>
    </comment>
    <comment ref="D31" authorId="5" shapeId="0" xr:uid="{00000000-0006-0000-1000-000036000000}">
      <text>
        <r>
          <rPr>
            <sz val="12"/>
            <color theme="1"/>
            <rFont val="Aptos Narrow"/>
            <family val="2"/>
            <scheme val="minor"/>
          </rPr>
          <t>Việt Hoàng:
Last week was:
18.590.000</t>
        </r>
      </text>
    </comment>
    <comment ref="G31" authorId="4" shapeId="0" xr:uid="{00000000-0006-0000-1000-000037000000}">
      <text>
        <r>
          <rPr>
            <sz val="12"/>
            <color theme="1"/>
            <rFont val="Aptos Narrow"/>
            <family val="2"/>
            <scheme val="minor"/>
          </rPr>
          <t xml:space="preserve">Tran Dat:
17.990.000
</t>
        </r>
      </text>
    </comment>
    <comment ref="B32" authorId="0" shapeId="0" xr:uid="{00000000-0006-0000-1000-000038000000}">
      <text>
        <r>
          <rPr>
            <sz val="12"/>
            <color theme="1"/>
            <rFont val="Aptos Narrow"/>
            <family val="2"/>
            <scheme val="minor"/>
          </rPr>
          <t>was 23790000
VNP200</t>
        </r>
      </text>
    </comment>
    <comment ref="C32" authorId="6" shapeId="0" xr:uid="{00000000-0006-0000-1000-000039000000}">
      <text>
        <r>
          <rPr>
            <sz val="12"/>
            <color theme="1"/>
            <rFont val="Aptos Narrow"/>
            <family val="2"/>
            <scheme val="minor"/>
          </rPr>
          <t>Duy Ha Minh:
Last Week: 26,790,000</t>
        </r>
      </text>
    </comment>
    <comment ref="F32" authorId="2" shapeId="0" xr:uid="{00000000-0006-0000-1000-00003A000000}">
      <text>
        <r>
          <rPr>
            <sz val="12"/>
            <color theme="1"/>
            <rFont val="Aptos Narrow"/>
            <family val="2"/>
            <scheme val="minor"/>
          </rPr>
          <t>chit trang:
23.690.000</t>
        </r>
      </text>
    </comment>
    <comment ref="B33" authorId="0" shapeId="0" xr:uid="{00000000-0006-0000-1000-00003B000000}">
      <text>
        <r>
          <rPr>
            <sz val="12"/>
            <color theme="1"/>
            <rFont val="Aptos Narrow"/>
            <family val="2"/>
            <scheme val="minor"/>
          </rPr>
          <t>was 27290000
VNP200</t>
        </r>
      </text>
    </comment>
    <comment ref="C33" authorId="6" shapeId="0" xr:uid="{00000000-0006-0000-1000-00003C000000}">
      <text>
        <r>
          <rPr>
            <sz val="12"/>
            <color theme="1"/>
            <rFont val="Aptos Narrow"/>
            <family val="2"/>
            <scheme val="minor"/>
          </rPr>
          <t>Duy Ha Minh:
Last Week: 27,290,000</t>
        </r>
      </text>
    </comment>
    <comment ref="D33" authorId="5" shapeId="0" xr:uid="{00000000-0006-0000-1000-00003D000000}">
      <text>
        <r>
          <rPr>
            <sz val="12"/>
            <color theme="1"/>
            <rFont val="Aptos Narrow"/>
            <family val="2"/>
            <scheme val="minor"/>
          </rPr>
          <t>Việt Hoàng:
Last week was:
27.290.000</t>
        </r>
      </text>
    </comment>
    <comment ref="F33" authorId="2" shapeId="0" xr:uid="{00000000-0006-0000-1000-00003E000000}">
      <text>
        <r>
          <rPr>
            <sz val="12"/>
            <color theme="1"/>
            <rFont val="Aptos Narrow"/>
            <family val="2"/>
            <scheme val="minor"/>
          </rPr>
          <t>chit trang:
26.990.000</t>
        </r>
      </text>
    </comment>
    <comment ref="F34" authorId="2" shapeId="0" xr:uid="{00000000-0006-0000-1000-00003F000000}">
      <text>
        <r>
          <rPr>
            <sz val="12"/>
            <color theme="1"/>
            <rFont val="Aptos Narrow"/>
            <family val="2"/>
            <scheme val="minor"/>
          </rPr>
          <t>chit trang:
32.290.000</t>
        </r>
      </text>
    </comment>
    <comment ref="B35" authorId="0" shapeId="0" xr:uid="{00000000-0006-0000-1000-000040000000}">
      <text>
        <r>
          <rPr>
            <sz val="12"/>
            <color theme="1"/>
            <rFont val="Aptos Narrow"/>
            <family val="2"/>
            <scheme val="minor"/>
          </rPr>
          <t>was 38490000
VNP200</t>
        </r>
      </text>
    </comment>
    <comment ref="C35" authorId="6" shapeId="0" xr:uid="{00000000-0006-0000-1000-000041000000}">
      <text>
        <r>
          <rPr>
            <sz val="12"/>
            <color theme="1"/>
            <rFont val="Aptos Narrow"/>
            <family val="2"/>
            <scheme val="minor"/>
          </rPr>
          <t>Duy Ha Minh:
LW: 38,490,000</t>
        </r>
      </text>
    </comment>
    <comment ref="F35" authorId="2" shapeId="0" xr:uid="{00000000-0006-0000-1000-000042000000}">
      <text>
        <r>
          <rPr>
            <sz val="12"/>
            <color theme="1"/>
            <rFont val="Aptos Narrow"/>
            <family val="2"/>
            <scheme val="minor"/>
          </rPr>
          <t>chit trang:
38.290.000</t>
        </r>
      </text>
    </comment>
  </commentList>
</comments>
</file>

<file path=xl/comments18.xml><?xml version="1.0" encoding="utf-8"?>
<comments xmlns="http://schemas.openxmlformats.org/spreadsheetml/2006/main" xmlns:mc="http://schemas.openxmlformats.org/markup-compatibility/2006" xmlns:xr="http://schemas.microsoft.com/office/spreadsheetml/2014/revision" mc:Ignorable="xr">
  <authors>
    <author>Microsoft Office User</author>
    <author>Duy</author>
    <author>chit trang</author>
    <author>Tran Dat</author>
    <author>Sheva Son</author>
    <author>Việt Hoàng</author>
    <author>Duy Ha Minh</author>
  </authors>
  <commentList>
    <comment ref="B2" authorId="0" shapeId="0" xr:uid="{00000000-0006-0000-1100-000001000000}">
      <text>
        <r>
          <rPr>
            <sz val="12"/>
            <color theme="1"/>
            <rFont val="Aptos Narrow"/>
            <family val="2"/>
            <scheme val="minor"/>
          </rPr>
          <t>was 19790000
VNP200</t>
        </r>
      </text>
    </comment>
    <comment ref="C2" authorId="1" shapeId="0" xr:uid="{00000000-0006-0000-1100-000002000000}">
      <text>
        <r>
          <rPr>
            <sz val="12"/>
            <color theme="1"/>
            <rFont val="Aptos Narrow"/>
            <family val="2"/>
            <scheme val="minor"/>
          </rPr>
          <t>Duy:
Last Week: 19,790,000</t>
        </r>
      </text>
    </comment>
    <comment ref="F2" authorId="2" shapeId="0" xr:uid="{00000000-0006-0000-1100-000003000000}">
      <text>
        <r>
          <rPr>
            <sz val="12"/>
            <color theme="1"/>
            <rFont val="Aptos Narrow"/>
            <family val="2"/>
            <scheme val="minor"/>
          </rPr>
          <t>chit trang:
 Was 19.250.000
VNP 500k</t>
        </r>
      </text>
    </comment>
    <comment ref="G2" authorId="3" shapeId="0" xr:uid="{00000000-0006-0000-1100-000004000000}">
      <text>
        <r>
          <rPr>
            <sz val="12"/>
            <color theme="1"/>
            <rFont val="Aptos Narrow"/>
            <family val="2"/>
            <scheme val="minor"/>
          </rPr>
          <t>Tran Dat:
19.450</t>
        </r>
      </text>
    </comment>
    <comment ref="B3" authorId="0" shapeId="0" xr:uid="{00000000-0006-0000-1100-000005000000}">
      <text>
        <r>
          <rPr>
            <sz val="12"/>
            <color theme="1"/>
            <rFont val="Aptos Narrow"/>
            <family val="2"/>
            <scheme val="minor"/>
          </rPr>
          <t>was 22790000
VNP200</t>
        </r>
      </text>
    </comment>
    <comment ref="C3" authorId="1" shapeId="0" xr:uid="{00000000-0006-0000-1100-000006000000}">
      <text>
        <r>
          <rPr>
            <sz val="12"/>
            <color theme="1"/>
            <rFont val="Aptos Narrow"/>
            <family val="2"/>
            <scheme val="minor"/>
          </rPr>
          <t>Duy:
Last Week: 22,790,000</t>
        </r>
      </text>
    </comment>
    <comment ref="F3" authorId="2" shapeId="0" xr:uid="{00000000-0006-0000-1100-000007000000}">
      <text>
        <r>
          <rPr>
            <sz val="12"/>
            <color theme="1"/>
            <rFont val="Aptos Narrow"/>
            <family val="2"/>
            <scheme val="minor"/>
          </rPr>
          <t xml:space="preserve">chit trang:
wass 22.290k
vnpay 500k
</t>
        </r>
      </text>
    </comment>
    <comment ref="B4" authorId="0" shapeId="0" xr:uid="{00000000-0006-0000-1100-000008000000}">
      <text>
        <r>
          <rPr>
            <sz val="12"/>
            <color theme="1"/>
            <rFont val="Aptos Narrow"/>
            <family val="2"/>
            <scheme val="minor"/>
          </rPr>
          <t>was 24790000
VNP200</t>
        </r>
      </text>
    </comment>
    <comment ref="C4" authorId="1" shapeId="0" xr:uid="{00000000-0006-0000-1100-000009000000}">
      <text>
        <r>
          <rPr>
            <sz val="12"/>
            <color theme="1"/>
            <rFont val="Aptos Narrow"/>
            <family val="2"/>
            <scheme val="minor"/>
          </rPr>
          <t>Duy:
Last Week: 24,790,000</t>
        </r>
      </text>
    </comment>
    <comment ref="E4" authorId="4" shapeId="0" xr:uid="{00000000-0006-0000-1100-00000A000000}">
      <text>
        <r>
          <rPr>
            <sz val="12"/>
            <color theme="1"/>
            <rFont val="Aptos Narrow"/>
            <family val="2"/>
            <scheme val="minor"/>
          </rPr>
          <t xml:space="preserve">
CTKM W6Q4FY24:
Giảm 500K mua Online (đã trừ vào giá)
Giảm 500K màu Blue titanium</t>
        </r>
      </text>
    </comment>
    <comment ref="F4" authorId="2" shapeId="0" xr:uid="{00000000-0006-0000-1100-00000B000000}">
      <text>
        <r>
          <rPr>
            <sz val="12"/>
            <color theme="1"/>
            <rFont val="Aptos Narrow"/>
            <family val="2"/>
            <scheme val="minor"/>
          </rPr>
          <t xml:space="preserve">chit trang:
24.390.000
Was VNP 500 </t>
        </r>
      </text>
    </comment>
    <comment ref="E5" authorId="4" shapeId="0" xr:uid="{00000000-0006-0000-1100-00000C000000}">
      <text>
        <r>
          <rPr>
            <sz val="12"/>
            <color theme="1"/>
            <rFont val="Aptos Narrow"/>
            <family val="2"/>
            <scheme val="minor"/>
          </rPr>
          <t>Last week was: 28.890.000
CTKM W7:
Giảm 1.000K mua hàng Online (đã trừ vào giá)
VNP 1% tối đa 300K</t>
        </r>
      </text>
    </comment>
    <comment ref="E6" authorId="4" shapeId="0" xr:uid="{00000000-0006-0000-1100-00000D000000}">
      <text>
        <r>
          <rPr>
            <sz val="12"/>
            <color theme="1"/>
            <rFont val="Aptos Narrow"/>
            <family val="2"/>
            <scheme val="minor"/>
          </rPr>
          <t>Stock: chỉ còn màu Blue</t>
        </r>
      </text>
    </comment>
    <comment ref="B7" authorId="0" shapeId="0" xr:uid="{00000000-0006-0000-1100-00000E000000}">
      <text>
        <r>
          <rPr>
            <sz val="12"/>
            <color theme="1"/>
            <rFont val="Aptos Narrow"/>
            <family val="2"/>
            <scheme val="minor"/>
          </rPr>
          <t>was 17290000
VNP200</t>
        </r>
      </text>
    </comment>
    <comment ref="C7" authorId="1" shapeId="0" xr:uid="{00000000-0006-0000-1100-00000F000000}">
      <text>
        <r>
          <rPr>
            <sz val="12"/>
            <color theme="1"/>
            <rFont val="Aptos Narrow"/>
            <family val="2"/>
            <scheme val="minor"/>
          </rPr>
          <t>Duy:
last week: 17,290,000</t>
        </r>
      </text>
    </comment>
    <comment ref="F8" authorId="2" shapeId="0" xr:uid="{00000000-0006-0000-1100-000010000000}">
      <text>
        <r>
          <rPr>
            <sz val="12"/>
            <color theme="1"/>
            <rFont val="Aptos Narrow"/>
            <family val="2"/>
            <scheme val="minor"/>
          </rPr>
          <t>chit trang:
Wass 13.890.000</t>
        </r>
      </text>
    </comment>
    <comment ref="F9" authorId="2" shapeId="0" xr:uid="{00000000-0006-0000-1100-000011000000}">
      <text>
        <r>
          <rPr>
            <sz val="12"/>
            <color theme="1"/>
            <rFont val="Aptos Narrow"/>
            <family val="2"/>
            <scheme val="minor"/>
          </rPr>
          <t>chit trang:
11.490.000</t>
        </r>
      </text>
    </comment>
    <comment ref="F10" authorId="2" shapeId="0" xr:uid="{00000000-0006-0000-1100-000012000000}">
      <text>
        <r>
          <rPr>
            <sz val="12"/>
            <color theme="1"/>
            <rFont val="Aptos Narrow"/>
            <family val="2"/>
            <scheme val="minor"/>
          </rPr>
          <t>chit trang:
Wass 8.790.000</t>
        </r>
      </text>
    </comment>
    <comment ref="G10" authorId="3" shapeId="0" xr:uid="{00000000-0006-0000-1100-000013000000}">
      <text>
        <r>
          <rPr>
            <sz val="12"/>
            <color theme="1"/>
            <rFont val="Aptos Narrow"/>
            <family val="2"/>
            <scheme val="minor"/>
          </rPr>
          <t xml:space="preserve">Tran Dat:
8490000
</t>
        </r>
      </text>
    </comment>
    <comment ref="F11" authorId="2" shapeId="0" xr:uid="{00000000-0006-0000-1100-000014000000}">
      <text>
        <r>
          <rPr>
            <sz val="12"/>
            <color theme="1"/>
            <rFont val="Aptos Narrow"/>
            <family val="2"/>
            <scheme val="minor"/>
          </rPr>
          <t>chit trang:
14.590.000</t>
        </r>
      </text>
    </comment>
    <comment ref="F13" authorId="2" shapeId="0" xr:uid="{00000000-0006-0000-1100-000015000000}">
      <text>
        <r>
          <rPr>
            <sz val="12"/>
            <color theme="1"/>
            <rFont val="Aptos Narrow"/>
            <family val="2"/>
            <scheme val="minor"/>
          </rPr>
          <t>chit trang:
9.750.000</t>
        </r>
      </text>
    </comment>
    <comment ref="G13" authorId="3" shapeId="0" xr:uid="{00000000-0006-0000-1100-000016000000}">
      <text>
        <r>
          <rPr>
            <sz val="12"/>
            <color theme="1"/>
            <rFont val="Aptos Narrow"/>
            <family val="2"/>
            <scheme val="minor"/>
          </rPr>
          <t xml:space="preserve">Tran Dat:
9690
</t>
        </r>
      </text>
    </comment>
    <comment ref="B15" authorId="0" shapeId="0" xr:uid="{00000000-0006-0000-1100-000017000000}">
      <text>
        <r>
          <rPr>
            <sz val="12"/>
            <color theme="1"/>
            <rFont val="Aptos Narrow"/>
            <family val="2"/>
            <scheme val="minor"/>
          </rPr>
          <t>was OOS</t>
        </r>
      </text>
    </comment>
    <comment ref="E15" authorId="4" shapeId="0" xr:uid="{00000000-0006-0000-1100-000018000000}">
      <text>
        <r>
          <rPr>
            <sz val="12"/>
            <color theme="1"/>
            <rFont val="Aptos Narrow"/>
            <family val="2"/>
            <scheme val="minor"/>
          </rPr>
          <t>Last week was: 16.790.000
VNPAY: 1% tối đa 300K</t>
        </r>
      </text>
    </comment>
    <comment ref="G15" authorId="3" shapeId="0" xr:uid="{00000000-0006-0000-1100-000019000000}">
      <text>
        <r>
          <rPr>
            <sz val="12"/>
            <color theme="1"/>
            <rFont val="Aptos Narrow"/>
            <family val="2"/>
            <scheme val="minor"/>
          </rPr>
          <t>Tran Dat:
16390000</t>
        </r>
      </text>
    </comment>
    <comment ref="N16" authorId="4" shapeId="0" xr:uid="{00000000-0006-0000-1100-00001A000000}">
      <text>
        <r>
          <rPr>
            <sz val="12"/>
            <color theme="1"/>
            <rFont val="Aptos Narrow"/>
            <family val="2"/>
            <scheme val="minor"/>
          </rPr>
          <t>Last week was: 28.890.000
CTKM W7:
Giảm 1.000K mua hàng Online (đã trừ vào giá)
VNP 1% tối đa 300K</t>
        </r>
      </text>
    </comment>
    <comment ref="B17" authorId="0" shapeId="0" xr:uid="{00000000-0006-0000-1100-00001B000000}">
      <text>
        <r>
          <rPr>
            <sz val="12"/>
            <color theme="1"/>
            <rFont val="Aptos Narrow"/>
            <family val="2"/>
            <scheme val="minor"/>
          </rPr>
          <t>was 27990000
VNP200</t>
        </r>
      </text>
    </comment>
    <comment ref="C17" authorId="1" shapeId="0" xr:uid="{00000000-0006-0000-1100-00001C000000}">
      <text>
        <r>
          <rPr>
            <sz val="12"/>
            <color theme="1"/>
            <rFont val="Aptos Narrow"/>
            <family val="2"/>
            <scheme val="minor"/>
          </rPr>
          <t>Duy:
last week: 27,990,000</t>
        </r>
      </text>
    </comment>
    <comment ref="E17" authorId="4" shapeId="0" xr:uid="{00000000-0006-0000-1100-00001D000000}">
      <text>
        <r>
          <rPr>
            <sz val="12"/>
            <color theme="1"/>
            <rFont val="Aptos Narrow"/>
            <family val="2"/>
            <scheme val="minor"/>
          </rPr>
          <t>Last week was: 27.690K
VNPAY 1% tối đa 300K</t>
        </r>
      </text>
    </comment>
    <comment ref="F17" authorId="2" shapeId="0" xr:uid="{00000000-0006-0000-1100-00001E000000}">
      <text>
        <r>
          <rPr>
            <sz val="12"/>
            <color theme="1"/>
            <rFont val="Aptos Narrow"/>
            <family val="2"/>
            <scheme val="minor"/>
          </rPr>
          <t>chit trang:
27.490.000</t>
        </r>
      </text>
    </comment>
    <comment ref="F18" authorId="2" shapeId="0" xr:uid="{00000000-0006-0000-1100-00001F000000}">
      <text>
        <r>
          <rPr>
            <sz val="12"/>
            <color theme="1"/>
            <rFont val="Aptos Narrow"/>
            <family val="2"/>
            <scheme val="minor"/>
          </rPr>
          <t>chit trang:
37.490.000</t>
        </r>
      </text>
    </comment>
    <comment ref="E19" authorId="4" shapeId="0" xr:uid="{00000000-0006-0000-1100-000020000000}">
      <text>
        <r>
          <rPr>
            <sz val="12"/>
            <color theme="1"/>
            <rFont val="Aptos Narrow"/>
            <family val="2"/>
            <scheme val="minor"/>
          </rPr>
          <t>Last week was: 5.890K
Giảm thêm 100K đổi 10.000 điểm Viettel++</t>
        </r>
      </text>
    </comment>
    <comment ref="E20" authorId="4" shapeId="0" xr:uid="{00000000-0006-0000-1100-000021000000}">
      <text>
        <r>
          <rPr>
            <sz val="12"/>
            <color theme="1"/>
            <rFont val="Aptos Narrow"/>
            <family val="2"/>
            <scheme val="minor"/>
          </rPr>
          <t>Giảm thêm 100K đổi 10.000 điểm Viettel++</t>
        </r>
      </text>
    </comment>
    <comment ref="E21" authorId="4" shapeId="0" xr:uid="{00000000-0006-0000-1100-000022000000}">
      <text>
        <r>
          <rPr>
            <sz val="12"/>
            <color theme="1"/>
            <rFont val="Aptos Narrow"/>
            <family val="2"/>
            <scheme val="minor"/>
          </rPr>
          <t>CTKM W6: Giảm 100K khi đổi 10.000 điểm VIettel++ nhưng khó có đủ điểm</t>
        </r>
      </text>
    </comment>
    <comment ref="F21" authorId="2" shapeId="0" xr:uid="{00000000-0006-0000-1100-000023000000}">
      <text>
        <r>
          <rPr>
            <sz val="12"/>
            <color theme="1"/>
            <rFont val="Aptos Narrow"/>
            <family val="2"/>
            <scheme val="minor"/>
          </rPr>
          <t>chit trang:
wass 6.990.000</t>
        </r>
      </text>
    </comment>
    <comment ref="G21" authorId="3" shapeId="0" xr:uid="{00000000-0006-0000-1100-000024000000}">
      <text>
        <r>
          <rPr>
            <sz val="12"/>
            <color theme="1"/>
            <rFont val="Aptos Narrow"/>
            <family val="2"/>
            <scheme val="minor"/>
          </rPr>
          <t>Tran Dat:
6.390.000</t>
        </r>
      </text>
    </comment>
    <comment ref="E22" authorId="4" shapeId="0" xr:uid="{00000000-0006-0000-1100-000025000000}">
      <text>
        <r>
          <rPr>
            <sz val="12"/>
            <color theme="1"/>
            <rFont val="Aptos Narrow"/>
            <family val="2"/>
            <scheme val="minor"/>
          </rPr>
          <t xml:space="preserve">Last week was: 7.790K
Giảm thêm 100K đổi 10.000 điểm Viettel++
</t>
        </r>
      </text>
    </comment>
    <comment ref="E23" authorId="4" shapeId="0" xr:uid="{00000000-0006-0000-1100-000026000000}">
      <text>
        <r>
          <rPr>
            <sz val="12"/>
            <color theme="1"/>
            <rFont val="Aptos Narrow"/>
            <family val="2"/>
            <scheme val="minor"/>
          </rPr>
          <t xml:space="preserve">Last week was: 8.990K
Giảm VNPAY 10% tối đa 120K
</t>
        </r>
      </text>
    </comment>
    <comment ref="F23" authorId="2" shapeId="0" xr:uid="{00000000-0006-0000-1100-000027000000}">
      <text>
        <r>
          <rPr>
            <sz val="12"/>
            <color theme="1"/>
            <rFont val="Aptos Narrow"/>
            <family val="2"/>
            <scheme val="minor"/>
          </rPr>
          <t>chit trang:
9.690.000</t>
        </r>
      </text>
    </comment>
    <comment ref="G23" authorId="3" shapeId="0" xr:uid="{00000000-0006-0000-1100-000028000000}">
      <text>
        <r>
          <rPr>
            <sz val="12"/>
            <color theme="1"/>
            <rFont val="Aptos Narrow"/>
            <family val="2"/>
            <scheme val="minor"/>
          </rPr>
          <t>Tran Dat:
9.190.000</t>
        </r>
      </text>
    </comment>
    <comment ref="B24" authorId="0" shapeId="0" xr:uid="{00000000-0006-0000-1100-000029000000}">
      <text>
        <r>
          <rPr>
            <sz val="12"/>
            <color theme="1"/>
            <rFont val="Aptos Narrow"/>
            <family val="2"/>
            <scheme val="minor"/>
          </rPr>
          <t>was 12490000
VNP100</t>
        </r>
      </text>
    </comment>
    <comment ref="E24" authorId="4" shapeId="0" xr:uid="{00000000-0006-0000-1100-00002A000000}">
      <text>
        <r>
          <rPr>
            <sz val="12"/>
            <color theme="1"/>
            <rFont val="Aptos Narrow"/>
            <family val="2"/>
            <scheme val="minor"/>
          </rPr>
          <t>Last week was: 11.690K
Giảm thêm 100K đổi 10.000 điểm Viettel++
VNP 10% tối đa 120K</t>
        </r>
      </text>
    </comment>
    <comment ref="F24" authorId="2" shapeId="0" xr:uid="{00000000-0006-0000-1100-00002B000000}">
      <text>
        <r>
          <rPr>
            <sz val="12"/>
            <color theme="1"/>
            <rFont val="Aptos Narrow"/>
            <family val="2"/>
            <scheme val="minor"/>
          </rPr>
          <t>chit trang:
12.390.000</t>
        </r>
      </text>
    </comment>
    <comment ref="G24" authorId="3" shapeId="0" xr:uid="{00000000-0006-0000-1100-00002C000000}">
      <text>
        <r>
          <rPr>
            <sz val="12"/>
            <color theme="1"/>
            <rFont val="Aptos Narrow"/>
            <family val="2"/>
            <scheme val="minor"/>
          </rPr>
          <t>Tran Dat:
11.690.000</t>
        </r>
      </text>
    </comment>
    <comment ref="E25" authorId="4" shapeId="0" xr:uid="{00000000-0006-0000-1100-00002D000000}">
      <text>
        <r>
          <rPr>
            <sz val="12"/>
            <color theme="1"/>
            <rFont val="Aptos Narrow"/>
            <family val="2"/>
            <scheme val="minor"/>
          </rPr>
          <t xml:space="preserve">Last week was: 9.790K
Giảm thêm 100K đổi 10.000 điểm Viettel++
VNP 10% tối đa 120K
</t>
        </r>
      </text>
    </comment>
    <comment ref="F25" authorId="2" shapeId="0" xr:uid="{00000000-0006-0000-1100-00002E000000}">
      <text>
        <r>
          <rPr>
            <sz val="12"/>
            <color theme="1"/>
            <rFont val="Aptos Narrow"/>
            <family val="2"/>
            <scheme val="minor"/>
          </rPr>
          <t>chit trang:
10.590.000</t>
        </r>
      </text>
    </comment>
    <comment ref="G25" authorId="3" shapeId="0" xr:uid="{00000000-0006-0000-1100-00002F000000}">
      <text>
        <r>
          <rPr>
            <sz val="12"/>
            <color theme="1"/>
            <rFont val="Aptos Narrow"/>
            <family val="2"/>
            <scheme val="minor"/>
          </rPr>
          <t>Tran Dat:
10.190.000</t>
        </r>
      </text>
    </comment>
    <comment ref="E26" authorId="4" shapeId="0" xr:uid="{00000000-0006-0000-1100-000030000000}">
      <text>
        <r>
          <rPr>
            <sz val="12"/>
            <color theme="1"/>
            <rFont val="Aptos Narrow"/>
            <family val="2"/>
            <scheme val="minor"/>
          </rPr>
          <t>Last week was: 11.690K
VNPAY 10% tối đa 120K
Giảm tiếp 100K nếu đổi 10.000 điểm Viettel++</t>
        </r>
      </text>
    </comment>
    <comment ref="G26" authorId="3" shapeId="0" xr:uid="{00000000-0006-0000-1100-000031000000}">
      <text>
        <r>
          <rPr>
            <sz val="12"/>
            <color theme="1"/>
            <rFont val="Aptos Narrow"/>
            <family val="2"/>
            <scheme val="minor"/>
          </rPr>
          <t>Tran Dat:
12.690.000</t>
        </r>
      </text>
    </comment>
    <comment ref="E27" authorId="4" shapeId="0" xr:uid="{00000000-0006-0000-1100-000032000000}">
      <text>
        <r>
          <rPr>
            <sz val="12"/>
            <color theme="1"/>
            <rFont val="Aptos Narrow"/>
            <family val="2"/>
            <scheme val="minor"/>
          </rPr>
          <t>Last week was: 19.990K
VNPay giảm 1% tối đa 300K
Đổi 30.000 điểm Viettel++
VNP 10% tối đa 300K</t>
        </r>
      </text>
    </comment>
    <comment ref="F27" authorId="2" shapeId="0" xr:uid="{00000000-0006-0000-1100-000033000000}">
      <text>
        <r>
          <rPr>
            <sz val="12"/>
            <color theme="1"/>
            <rFont val="Aptos Narrow"/>
            <family val="2"/>
            <scheme val="minor"/>
          </rPr>
          <t>chit trang:
21.390.000</t>
        </r>
      </text>
    </comment>
    <comment ref="E28" authorId="4" shapeId="0" xr:uid="{00000000-0006-0000-1100-000034000000}">
      <text>
        <r>
          <rPr>
            <sz val="12"/>
            <color theme="1"/>
            <rFont val="Aptos Narrow"/>
            <family val="2"/>
            <scheme val="minor"/>
          </rPr>
          <t>Last week was: 5.390K
VNP 10% tối đa 120K</t>
        </r>
      </text>
    </comment>
    <comment ref="B29" authorId="0" shapeId="0" xr:uid="{00000000-0006-0000-1100-000035000000}">
      <text>
        <r>
          <rPr>
            <sz val="12"/>
            <color theme="1"/>
            <rFont val="Aptos Narrow"/>
            <family val="2"/>
            <scheme val="minor"/>
          </rPr>
          <t xml:space="preserve">was 4090000
</t>
        </r>
      </text>
    </comment>
    <comment ref="C29" authorId="1" shapeId="0" xr:uid="{00000000-0006-0000-1100-000036000000}">
      <text>
        <r>
          <rPr>
            <sz val="12"/>
            <color theme="1"/>
            <rFont val="Aptos Narrow"/>
            <family val="2"/>
            <scheme val="minor"/>
          </rPr>
          <t xml:space="preserve">Duy:
last week: 4,090,000 </t>
        </r>
      </text>
    </comment>
    <comment ref="D29" authorId="5" shapeId="0" xr:uid="{00000000-0006-0000-1100-000037000000}">
      <text>
        <r>
          <rPr>
            <sz val="12"/>
            <color theme="1"/>
            <rFont val="Aptos Narrow"/>
            <family val="2"/>
            <scheme val="minor"/>
          </rPr>
          <t>Việt Hoàng:
Last week was
4.040.000</t>
        </r>
      </text>
    </comment>
    <comment ref="E29" authorId="4" shapeId="0" xr:uid="{00000000-0006-0000-1100-000038000000}">
      <text>
        <r>
          <rPr>
            <sz val="12"/>
            <color theme="1"/>
            <rFont val="Aptos Narrow"/>
            <family val="2"/>
            <scheme val="minor"/>
          </rPr>
          <t>Last week was: 4.049K
VNP 10% tối đa 120K</t>
        </r>
      </text>
    </comment>
    <comment ref="F29" authorId="2" shapeId="0" xr:uid="{00000000-0006-0000-1100-000039000000}">
      <text>
        <r>
          <rPr>
            <sz val="12"/>
            <color theme="1"/>
            <rFont val="Aptos Narrow"/>
            <family val="2"/>
            <scheme val="minor"/>
          </rPr>
          <t>chit trang:
4.090.000</t>
        </r>
      </text>
    </comment>
    <comment ref="E30" authorId="4" shapeId="0" xr:uid="{00000000-0006-0000-1100-00003A000000}">
      <text>
        <r>
          <rPr>
            <sz val="12"/>
            <color theme="1"/>
            <rFont val="Aptos Narrow"/>
            <family val="2"/>
            <scheme val="minor"/>
          </rPr>
          <t>Last week was: 2.861K
VNP 10% tối đa 120K</t>
        </r>
      </text>
    </comment>
    <comment ref="B31" authorId="0" shapeId="0" xr:uid="{00000000-0006-0000-1100-00003B000000}">
      <text>
        <r>
          <rPr>
            <sz val="12"/>
            <color theme="1"/>
            <rFont val="Aptos Narrow"/>
            <family val="2"/>
            <scheme val="minor"/>
          </rPr>
          <t>was 18490000
VNP200
Giảm thêm 300K cho HSSV</t>
        </r>
      </text>
    </comment>
    <comment ref="C31" authorId="6" shapeId="0" xr:uid="{00000000-0006-0000-1100-00003C000000}">
      <text>
        <r>
          <rPr>
            <sz val="12"/>
            <color theme="1"/>
            <rFont val="Aptos Narrow"/>
            <family val="2"/>
            <scheme val="minor"/>
          </rPr>
          <t>Duy Ha Minh:
Last Week: 18,490,000</t>
        </r>
      </text>
    </comment>
    <comment ref="D31" authorId="5" shapeId="0" xr:uid="{00000000-0006-0000-1100-00003D000000}">
      <text>
        <r>
          <rPr>
            <sz val="12"/>
            <color theme="1"/>
            <rFont val="Aptos Narrow"/>
            <family val="2"/>
            <scheme val="minor"/>
          </rPr>
          <t>Việt Hoàng:
Last week was:
18.490.000</t>
        </r>
      </text>
    </comment>
    <comment ref="F31" authorId="2" shapeId="0" xr:uid="{00000000-0006-0000-1100-00003E000000}">
      <text>
        <r>
          <rPr>
            <sz val="12"/>
            <color theme="1"/>
            <rFont val="Aptos Narrow"/>
            <family val="2"/>
            <scheme val="minor"/>
          </rPr>
          <t xml:space="preserve">chit trang:18.590.000
</t>
        </r>
      </text>
    </comment>
    <comment ref="B32" authorId="0" shapeId="0" xr:uid="{00000000-0006-0000-1100-00003F000000}">
      <text>
        <r>
          <rPr>
            <sz val="12"/>
            <color theme="1"/>
            <rFont val="Aptos Narrow"/>
            <family val="2"/>
            <scheme val="minor"/>
          </rPr>
          <t>was 23690000
VNP200</t>
        </r>
      </text>
    </comment>
    <comment ref="C32" authorId="6" shapeId="0" xr:uid="{00000000-0006-0000-1100-000040000000}">
      <text>
        <r>
          <rPr>
            <sz val="12"/>
            <color theme="1"/>
            <rFont val="Aptos Narrow"/>
            <family val="2"/>
            <scheme val="minor"/>
          </rPr>
          <t>Duy Ha Minh:
Last Week: 23,690,000</t>
        </r>
      </text>
    </comment>
    <comment ref="D32" authorId="5" shapeId="0" xr:uid="{00000000-0006-0000-1100-000041000000}">
      <text>
        <r>
          <rPr>
            <sz val="12"/>
            <color theme="1"/>
            <rFont val="Aptos Narrow"/>
            <family val="2"/>
            <scheme val="minor"/>
          </rPr>
          <t>Việt Hoàng:
Last week was
23.590.000</t>
        </r>
      </text>
    </comment>
    <comment ref="F32" authorId="2" shapeId="0" xr:uid="{00000000-0006-0000-1100-000042000000}">
      <text>
        <r>
          <rPr>
            <sz val="12"/>
            <color theme="1"/>
            <rFont val="Aptos Narrow"/>
            <family val="2"/>
            <scheme val="minor"/>
          </rPr>
          <t>chit trang:
23.490.000</t>
        </r>
      </text>
    </comment>
    <comment ref="G32" authorId="3" shapeId="0" xr:uid="{00000000-0006-0000-1100-000043000000}">
      <text>
        <r>
          <rPr>
            <sz val="12"/>
            <color theme="1"/>
            <rFont val="Aptos Narrow"/>
            <family val="2"/>
            <scheme val="minor"/>
          </rPr>
          <t>Tran Dat:
23190000</t>
        </r>
      </text>
    </comment>
    <comment ref="B33" authorId="0" shapeId="0" xr:uid="{00000000-0006-0000-1100-000044000000}">
      <text>
        <r>
          <rPr>
            <sz val="12"/>
            <color theme="1"/>
            <rFont val="Aptos Narrow"/>
            <family val="2"/>
            <scheme val="minor"/>
          </rPr>
          <t>was 27290000
VNP200</t>
        </r>
      </text>
    </comment>
    <comment ref="D33" authorId="5" shapeId="0" xr:uid="{00000000-0006-0000-1100-000045000000}">
      <text>
        <r>
          <rPr>
            <sz val="12"/>
            <color theme="1"/>
            <rFont val="Aptos Narrow"/>
            <family val="2"/>
            <scheme val="minor"/>
          </rPr>
          <t>Việt Hoàng:
Last week was:
27.090.000</t>
        </r>
      </text>
    </comment>
    <comment ref="F33" authorId="2" shapeId="0" xr:uid="{00000000-0006-0000-1100-000046000000}">
      <text>
        <r>
          <rPr>
            <sz val="12"/>
            <color theme="1"/>
            <rFont val="Aptos Narrow"/>
            <family val="2"/>
            <scheme val="minor"/>
          </rPr>
          <t>chit trang:
26.890.000</t>
        </r>
      </text>
    </comment>
    <comment ref="G33" authorId="3" shapeId="0" xr:uid="{00000000-0006-0000-1100-000047000000}">
      <text>
        <r>
          <rPr>
            <sz val="12"/>
            <color theme="1"/>
            <rFont val="Aptos Narrow"/>
            <family val="2"/>
            <scheme val="minor"/>
          </rPr>
          <t>Tran Dat:
26690000</t>
        </r>
      </text>
    </comment>
    <comment ref="B34" authorId="0" shapeId="0" xr:uid="{00000000-0006-0000-1100-000048000000}">
      <text>
        <r>
          <rPr>
            <sz val="12"/>
            <color theme="1"/>
            <rFont val="Aptos Narrow"/>
            <family val="2"/>
            <scheme val="minor"/>
          </rPr>
          <t>was 31290000
VNP200
Giảm thêm 500K cho HSSV</t>
        </r>
      </text>
    </comment>
    <comment ref="C34" authorId="6" shapeId="0" xr:uid="{00000000-0006-0000-1100-000049000000}">
      <text>
        <r>
          <rPr>
            <sz val="12"/>
            <color theme="1"/>
            <rFont val="Aptos Narrow"/>
            <family val="2"/>
            <scheme val="minor"/>
          </rPr>
          <t>Duy Ha Minh:
last week: 31,290,000</t>
        </r>
      </text>
    </comment>
    <comment ref="F34" authorId="2" shapeId="0" xr:uid="{00000000-0006-0000-1100-00004A000000}">
      <text>
        <r>
          <rPr>
            <sz val="12"/>
            <color theme="1"/>
            <rFont val="Aptos Narrow"/>
            <family val="2"/>
            <scheme val="minor"/>
          </rPr>
          <t>chit trang:
32.290.000</t>
        </r>
      </text>
    </comment>
    <comment ref="G34" authorId="3" shapeId="0" xr:uid="{00000000-0006-0000-1100-00004B000000}">
      <text>
        <r>
          <rPr>
            <sz val="12"/>
            <color theme="1"/>
            <rFont val="Aptos Narrow"/>
            <family val="2"/>
            <scheme val="minor"/>
          </rPr>
          <t xml:space="preserve">Tran Dat:
30990000
</t>
        </r>
      </text>
    </comment>
    <comment ref="F35" authorId="2" shapeId="0" xr:uid="{00000000-0006-0000-1100-00004C000000}">
      <text>
        <r>
          <rPr>
            <sz val="12"/>
            <color theme="1"/>
            <rFont val="Aptos Narrow"/>
            <family val="2"/>
            <scheme val="minor"/>
          </rPr>
          <t>chit trang:
38.390.000</t>
        </r>
      </text>
    </comment>
  </commentList>
</comments>
</file>

<file path=xl/comments19.xml><?xml version="1.0" encoding="utf-8"?>
<comments xmlns="http://schemas.openxmlformats.org/spreadsheetml/2006/main" xmlns:mc="http://schemas.openxmlformats.org/markup-compatibility/2006" xmlns:xr="http://schemas.microsoft.com/office/spreadsheetml/2014/revision" mc:Ignorable="xr">
  <authors>
    <author>Việt Hoàng</author>
    <author>Sheva Son</author>
    <author>chit trang</author>
    <author>Microsoft Office User</author>
    <author>Duy</author>
    <author>Tran Dat</author>
    <author>Duy Ha Minh</author>
  </authors>
  <commentList>
    <comment ref="D2" authorId="0" shapeId="0" xr:uid="{00000000-0006-0000-1200-000001000000}">
      <text>
        <r>
          <rPr>
            <sz val="12"/>
            <color theme="1"/>
            <rFont val="Aptos Narrow"/>
            <family val="2"/>
            <scheme val="minor"/>
          </rPr>
          <t>Việt Hoàng:
Last week was:
19.890.000</t>
        </r>
      </text>
    </comment>
    <comment ref="E2" authorId="1" shapeId="0" xr:uid="{00000000-0006-0000-1200-000002000000}">
      <text>
        <r>
          <rPr>
            <sz val="12"/>
            <color theme="1"/>
            <rFont val="Aptos Narrow"/>
            <family val="2"/>
            <scheme val="minor"/>
          </rPr>
          <t xml:space="preserve">
CTKM W8Q4FY24:
Cơ hội bốc thăm trúng xe Wave Alpha 110cc đỏ.
Săn táo chớp nhoáng iPhone 15 128GB Pink: 19.190K</t>
        </r>
      </text>
    </comment>
    <comment ref="D3" authorId="0" shapeId="0" xr:uid="{00000000-0006-0000-1200-000003000000}">
      <text>
        <r>
          <rPr>
            <sz val="12"/>
            <color theme="1"/>
            <rFont val="Aptos Narrow"/>
            <family val="2"/>
            <scheme val="minor"/>
          </rPr>
          <t>Việt Hoàng:
Last week was:
22.890.000</t>
        </r>
      </text>
    </comment>
    <comment ref="E3" authorId="1" shapeId="0" xr:uid="{00000000-0006-0000-1200-000004000000}">
      <text>
        <r>
          <rPr>
            <sz val="12"/>
            <color theme="1"/>
            <rFont val="Aptos Narrow"/>
            <family val="2"/>
            <scheme val="minor"/>
          </rPr>
          <t xml:space="preserve">
CTKM W8Q4FY24:
Back to school, cơ hội trúng xe Wave Alpha 110cc đỏ.
Săn táo hớp nhoáng:
iPhone 15 Plus 128GB Pink: 21.990K
iPhone 15 Plus 256GB Pink: 24.790K</t>
        </r>
      </text>
    </comment>
    <comment ref="F3" authorId="2" shapeId="0" xr:uid="{00000000-0006-0000-1200-000005000000}">
      <text>
        <r>
          <rPr>
            <sz val="12"/>
            <color theme="1"/>
            <rFont val="Aptos Narrow"/>
            <family val="2"/>
            <scheme val="minor"/>
          </rPr>
          <t xml:space="preserve">chit trang:
wass 22.290k
vnpay 500k
</t>
        </r>
      </text>
    </comment>
    <comment ref="B4" authorId="3" shapeId="0" xr:uid="{00000000-0006-0000-1200-000006000000}">
      <text>
        <r>
          <rPr>
            <sz val="12"/>
            <color theme="1"/>
            <rFont val="Aptos Narrow"/>
            <family val="2"/>
            <scheme val="minor"/>
          </rPr>
          <t>was 24690000</t>
        </r>
      </text>
    </comment>
    <comment ref="C4" authorId="4" shapeId="0" xr:uid="{00000000-0006-0000-1200-000007000000}">
      <text>
        <r>
          <rPr>
            <sz val="12"/>
            <color theme="1"/>
            <rFont val="Aptos Narrow"/>
            <family val="2"/>
            <scheme val="minor"/>
          </rPr>
          <t>Duy:
Last Week: 24,690,000</t>
        </r>
      </text>
    </comment>
    <comment ref="D4" authorId="0" shapeId="0" xr:uid="{00000000-0006-0000-1200-000008000000}">
      <text>
        <r>
          <rPr>
            <sz val="12"/>
            <color theme="1"/>
            <rFont val="Aptos Narrow"/>
            <family val="2"/>
            <scheme val="minor"/>
          </rPr>
          <t>Việt Hoàng:
Last week was:
24.890.000</t>
        </r>
      </text>
    </comment>
    <comment ref="E4" authorId="1" shapeId="0" xr:uid="{00000000-0006-0000-1200-000009000000}">
      <text>
        <r>
          <rPr>
            <sz val="12"/>
            <color theme="1"/>
            <rFont val="Aptos Narrow"/>
            <family val="2"/>
            <scheme val="minor"/>
          </rPr>
          <t xml:space="preserve">
CTKM W8Q4FY24:
Giảm 500K mua Online (đã trừ vào giá)
Giảm 500K màu Blue titanium
Săn táo chớp nhoáng iPhone 15 Pro 1T GB Blue Titanium: 37.490K</t>
        </r>
      </text>
    </comment>
    <comment ref="G4" authorId="5" shapeId="0" xr:uid="{00000000-0006-0000-1200-00000A000000}">
      <text>
        <r>
          <rPr>
            <sz val="12"/>
            <color theme="1"/>
            <rFont val="Aptos Narrow"/>
            <family val="2"/>
            <scheme val="minor"/>
          </rPr>
          <t>Tran Dat:
24.390.000</t>
        </r>
      </text>
    </comment>
    <comment ref="B5" authorId="3" shapeId="0" xr:uid="{00000000-0006-0000-1200-00000B000000}">
      <text>
        <r>
          <rPr>
            <sz val="12"/>
            <color theme="1"/>
            <rFont val="Aptos Narrow"/>
            <family val="2"/>
            <scheme val="minor"/>
          </rPr>
          <t>was 29,390,000</t>
        </r>
      </text>
    </comment>
    <comment ref="C5" authorId="4" shapeId="0" xr:uid="{00000000-0006-0000-1200-00000C000000}">
      <text>
        <r>
          <rPr>
            <sz val="12"/>
            <color theme="1"/>
            <rFont val="Aptos Narrow"/>
            <family val="2"/>
            <scheme val="minor"/>
          </rPr>
          <t>Duy:
Last week: 29,390,000</t>
        </r>
      </text>
    </comment>
    <comment ref="D5" authorId="0" shapeId="0" xr:uid="{00000000-0006-0000-1200-00000D000000}">
      <text>
        <r>
          <rPr>
            <sz val="12"/>
            <color theme="1"/>
            <rFont val="Aptos Narrow"/>
            <family val="2"/>
            <scheme val="minor"/>
          </rPr>
          <t>Việt Hoàng:
Last week was:
29.390.000</t>
        </r>
      </text>
    </comment>
    <comment ref="E5" authorId="1" shapeId="0" xr:uid="{00000000-0006-0000-1200-00000E000000}">
      <text>
        <r>
          <rPr>
            <sz val="12"/>
            <color theme="1"/>
            <rFont val="Aptos Narrow"/>
            <family val="2"/>
            <scheme val="minor"/>
          </rPr>
          <t>Last week was: 28.700K
CTKM W7:
Giảm 1.000K mua hàng Online (đã trừ vào giá)
VNP 1% tối đa 300K
Săn táo chớp nhoáng (màu đen): 28.490K</t>
        </r>
      </text>
    </comment>
    <comment ref="B6" authorId="3" shapeId="0" xr:uid="{00000000-0006-0000-1200-00000F000000}">
      <text>
        <r>
          <rPr>
            <sz val="12"/>
            <color theme="1"/>
            <rFont val="Aptos Narrow"/>
            <family val="2"/>
            <scheme val="minor"/>
          </rPr>
          <t>was 19790000</t>
        </r>
      </text>
    </comment>
    <comment ref="C6" authorId="4" shapeId="0" xr:uid="{00000000-0006-0000-1200-000010000000}">
      <text>
        <r>
          <rPr>
            <sz val="12"/>
            <color theme="1"/>
            <rFont val="Aptos Narrow"/>
            <family val="2"/>
            <scheme val="minor"/>
          </rPr>
          <t>Duy:
Last week: 
19,790,000</t>
        </r>
      </text>
    </comment>
    <comment ref="E6" authorId="1" shapeId="0" xr:uid="{00000000-0006-0000-1200-000011000000}">
      <text>
        <r>
          <rPr>
            <sz val="12"/>
            <color theme="1"/>
            <rFont val="Aptos Narrow"/>
            <family val="2"/>
            <scheme val="minor"/>
          </rPr>
          <t>Stock: chỉ còn màu Blue</t>
        </r>
      </text>
    </comment>
    <comment ref="B7" authorId="3" shapeId="0" xr:uid="{00000000-0006-0000-1200-000012000000}">
      <text>
        <r>
          <rPr>
            <sz val="12"/>
            <color theme="1"/>
            <rFont val="Aptos Narrow"/>
            <family val="2"/>
            <scheme val="minor"/>
          </rPr>
          <t>was 16890000</t>
        </r>
      </text>
    </comment>
    <comment ref="C7" authorId="4" shapeId="0" xr:uid="{00000000-0006-0000-1200-000013000000}">
      <text>
        <r>
          <rPr>
            <sz val="12"/>
            <color theme="1"/>
            <rFont val="Aptos Narrow"/>
            <family val="2"/>
            <scheme val="minor"/>
          </rPr>
          <t>Duy:
last week: 16,890,000</t>
        </r>
      </text>
    </comment>
    <comment ref="D7" authorId="0" shapeId="0" xr:uid="{00000000-0006-0000-1200-000014000000}">
      <text>
        <r>
          <rPr>
            <sz val="12"/>
            <color theme="1"/>
            <rFont val="Aptos Narrow"/>
            <family val="2"/>
            <scheme val="minor"/>
          </rPr>
          <t>Việt Hoàng:
Last week was:
17.390.000</t>
        </r>
      </text>
    </comment>
    <comment ref="F8" authorId="2" shapeId="0" xr:uid="{00000000-0006-0000-1200-000015000000}">
      <text>
        <r>
          <rPr>
            <sz val="12"/>
            <color theme="1"/>
            <rFont val="Aptos Narrow"/>
            <family val="2"/>
            <scheme val="minor"/>
          </rPr>
          <t>chit trang:
Wass 13.790.000</t>
        </r>
      </text>
    </comment>
    <comment ref="B9" authorId="3" shapeId="0" xr:uid="{00000000-0006-0000-1200-000016000000}">
      <text>
        <r>
          <rPr>
            <sz val="12"/>
            <color theme="1"/>
            <rFont val="Aptos Narrow"/>
            <family val="2"/>
            <scheme val="minor"/>
          </rPr>
          <t>was 11490000
màu Green 10990000</t>
        </r>
      </text>
    </comment>
    <comment ref="C9" authorId="4" shapeId="0" xr:uid="{00000000-0006-0000-1200-000017000000}">
      <text>
        <r>
          <rPr>
            <sz val="12"/>
            <color theme="1"/>
            <rFont val="Aptos Narrow"/>
            <family val="2"/>
            <scheme val="minor"/>
          </rPr>
          <t>Duy:
Last week: 
11,490,000</t>
        </r>
      </text>
    </comment>
    <comment ref="D9" authorId="0" shapeId="0" xr:uid="{00000000-0006-0000-1200-000018000000}">
      <text>
        <r>
          <rPr>
            <sz val="12"/>
            <color theme="1"/>
            <rFont val="Aptos Narrow"/>
            <family val="2"/>
            <scheme val="minor"/>
          </rPr>
          <t>Việt Hoàng:
Last week was:
11.490.000</t>
        </r>
      </text>
    </comment>
    <comment ref="F9" authorId="2" shapeId="0" xr:uid="{00000000-0006-0000-1200-000019000000}">
      <text>
        <r>
          <rPr>
            <sz val="12"/>
            <color theme="1"/>
            <rFont val="Aptos Narrow"/>
            <family val="2"/>
            <scheme val="minor"/>
          </rPr>
          <t>chit trang:
11.290.000</t>
        </r>
      </text>
    </comment>
    <comment ref="B10" authorId="3" shapeId="0" xr:uid="{00000000-0006-0000-1200-00001A000000}">
      <text>
        <r>
          <rPr>
            <sz val="12"/>
            <color theme="1"/>
            <rFont val="Aptos Narrow"/>
            <family val="2"/>
            <scheme val="minor"/>
          </rPr>
          <t>was 8940000</t>
        </r>
      </text>
    </comment>
    <comment ref="C10" authorId="4" shapeId="0" xr:uid="{00000000-0006-0000-1200-00001B000000}">
      <text>
        <r>
          <rPr>
            <sz val="12"/>
            <color theme="1"/>
            <rFont val="Aptos Narrow"/>
            <family val="2"/>
            <scheme val="minor"/>
          </rPr>
          <t>Duy:
Last week: 
8,940,000</t>
        </r>
      </text>
    </comment>
    <comment ref="G10" authorId="5" shapeId="0" xr:uid="{00000000-0006-0000-1200-00001C000000}">
      <text>
        <r>
          <rPr>
            <sz val="12"/>
            <color theme="1"/>
            <rFont val="Aptos Narrow"/>
            <family val="2"/>
            <scheme val="minor"/>
          </rPr>
          <t xml:space="preserve">Tran Dat:
8590000
</t>
        </r>
      </text>
    </comment>
    <comment ref="B11" authorId="3" shapeId="0" xr:uid="{00000000-0006-0000-1200-00001D000000}">
      <text>
        <r>
          <rPr>
            <sz val="12"/>
            <color theme="1"/>
            <rFont val="Aptos Narrow"/>
            <family val="2"/>
            <scheme val="minor"/>
          </rPr>
          <t>was 13990000</t>
        </r>
      </text>
    </comment>
    <comment ref="E11" authorId="1" shapeId="0" xr:uid="{00000000-0006-0000-1200-00001E000000}">
      <text>
        <r>
          <rPr>
            <sz val="12"/>
            <color theme="1"/>
            <rFont val="Aptos Narrow"/>
            <family val="2"/>
            <scheme val="minor"/>
          </rPr>
          <t xml:space="preserve">
CTKM W8Q4FY24:
Giảm 10% tối đa 120K khi mở ví VNPAY</t>
        </r>
      </text>
    </comment>
    <comment ref="B12" authorId="3" shapeId="0" xr:uid="{00000000-0006-0000-1200-00001F000000}">
      <text>
        <r>
          <rPr>
            <sz val="12"/>
            <color theme="1"/>
            <rFont val="Aptos Narrow"/>
            <family val="2"/>
            <scheme val="minor"/>
          </rPr>
          <t>was 12790000</t>
        </r>
      </text>
    </comment>
    <comment ref="F12" authorId="2" shapeId="0" xr:uid="{00000000-0006-0000-1200-000020000000}">
      <text>
        <r>
          <rPr>
            <sz val="12"/>
            <color theme="1"/>
            <rFont val="Aptos Narrow"/>
            <family val="2"/>
            <scheme val="minor"/>
          </rPr>
          <t>chit trang:
Wass 12.790.000</t>
        </r>
      </text>
    </comment>
    <comment ref="B13" authorId="3" shapeId="0" xr:uid="{00000000-0006-0000-1200-000021000000}">
      <text>
        <r>
          <rPr>
            <sz val="12"/>
            <color theme="1"/>
            <rFont val="Aptos Narrow"/>
            <family val="2"/>
            <scheme val="minor"/>
          </rPr>
          <t xml:space="preserve">was 10190000
</t>
        </r>
      </text>
    </comment>
    <comment ref="C13" authorId="4" shapeId="0" xr:uid="{00000000-0006-0000-1200-000022000000}">
      <text>
        <r>
          <rPr>
            <sz val="12"/>
            <color theme="1"/>
            <rFont val="Aptos Narrow"/>
            <family val="2"/>
            <scheme val="minor"/>
          </rPr>
          <t>Duy:
Last week: 
10,190,000</t>
        </r>
      </text>
    </comment>
    <comment ref="D13" authorId="0" shapeId="0" xr:uid="{00000000-0006-0000-1200-000023000000}">
      <text>
        <r>
          <rPr>
            <sz val="12"/>
            <color theme="1"/>
            <rFont val="Aptos Narrow"/>
            <family val="2"/>
            <scheme val="minor"/>
          </rPr>
          <t>Việt Hoàng:
Last week was:
9.840.000</t>
        </r>
      </text>
    </comment>
    <comment ref="E13" authorId="1" shapeId="0" xr:uid="{00000000-0006-0000-1200-000024000000}">
      <text>
        <r>
          <rPr>
            <sz val="12"/>
            <color theme="1"/>
            <rFont val="Aptos Narrow"/>
            <family val="2"/>
            <scheme val="minor"/>
          </rPr>
          <t xml:space="preserve">
CTKM W7Q4FY24:
Giảm 10% tối đa 120K khi mở ví VNPAY</t>
        </r>
      </text>
    </comment>
    <comment ref="F13" authorId="2" shapeId="0" xr:uid="{00000000-0006-0000-1200-000025000000}">
      <text>
        <r>
          <rPr>
            <sz val="12"/>
            <color theme="1"/>
            <rFont val="Aptos Narrow"/>
            <family val="2"/>
            <scheme val="minor"/>
          </rPr>
          <t>chit trang:
Wass 9.790.000</t>
        </r>
      </text>
    </comment>
    <comment ref="B14" authorId="3" shapeId="0" xr:uid="{00000000-0006-0000-1200-000026000000}">
      <text>
        <r>
          <rPr>
            <sz val="12"/>
            <color theme="1"/>
            <rFont val="Aptos Narrow"/>
            <family val="2"/>
            <scheme val="minor"/>
          </rPr>
          <t>was 7140000</t>
        </r>
      </text>
    </comment>
    <comment ref="C14" authorId="4" shapeId="0" xr:uid="{00000000-0006-0000-1200-000027000000}">
      <text>
        <r>
          <rPr>
            <sz val="12"/>
            <color theme="1"/>
            <rFont val="Aptos Narrow"/>
            <family val="2"/>
            <scheme val="minor"/>
          </rPr>
          <t>Duy:
Last week: 
7,140,000</t>
        </r>
      </text>
    </comment>
    <comment ref="E14" authorId="1" shapeId="0" xr:uid="{00000000-0006-0000-1200-000028000000}">
      <text>
        <r>
          <rPr>
            <sz val="12"/>
            <color theme="1"/>
            <rFont val="Aptos Narrow"/>
            <family val="2"/>
            <scheme val="minor"/>
          </rPr>
          <t xml:space="preserve">
CTKM W8Q4FY24:
Giảm 10% tối đa 120K khi mở ví VNPAY</t>
        </r>
      </text>
    </comment>
    <comment ref="B15" authorId="3" shapeId="0" xr:uid="{00000000-0006-0000-1200-000029000000}">
      <text>
        <r>
          <rPr>
            <sz val="12"/>
            <color theme="1"/>
            <rFont val="Aptos Narrow"/>
            <family val="2"/>
            <scheme val="minor"/>
          </rPr>
          <t>was 16890000</t>
        </r>
      </text>
    </comment>
    <comment ref="E15" authorId="1" shapeId="0" xr:uid="{00000000-0006-0000-1200-00002A000000}">
      <text>
        <r>
          <rPr>
            <sz val="12"/>
            <color theme="1"/>
            <rFont val="Aptos Narrow"/>
            <family val="2"/>
            <scheme val="minor"/>
          </rPr>
          <t xml:space="preserve">
CTKM W7Q4FY24
Giảm 1% tối đa 300K thanh tóan VNPAY</t>
        </r>
      </text>
    </comment>
    <comment ref="F15" authorId="2" shapeId="0" xr:uid="{00000000-0006-0000-1200-00002B000000}">
      <text>
        <r>
          <rPr>
            <sz val="12"/>
            <color theme="1"/>
            <rFont val="Aptos Narrow"/>
            <family val="2"/>
            <scheme val="minor"/>
          </rPr>
          <t>chit trang:
Wass 16.990.000</t>
        </r>
      </text>
    </comment>
    <comment ref="G15" authorId="5" shapeId="0" xr:uid="{00000000-0006-0000-1200-00002C000000}">
      <text>
        <r>
          <rPr>
            <sz val="12"/>
            <color theme="1"/>
            <rFont val="Aptos Narrow"/>
            <family val="2"/>
            <scheme val="minor"/>
          </rPr>
          <t>Tran Dat:
16490000</t>
        </r>
      </text>
    </comment>
    <comment ref="B16" authorId="3" shapeId="0" xr:uid="{00000000-0006-0000-1200-00002D000000}">
      <text>
        <r>
          <rPr>
            <sz val="12"/>
            <color theme="1"/>
            <rFont val="Aptos Narrow"/>
            <family val="2"/>
            <scheme val="minor"/>
          </rPr>
          <t>was 22290000</t>
        </r>
      </text>
    </comment>
    <comment ref="C16" authorId="4" shapeId="0" xr:uid="{00000000-0006-0000-1200-00002E000000}">
      <text>
        <r>
          <rPr>
            <sz val="12"/>
            <color theme="1"/>
            <rFont val="Aptos Narrow"/>
            <family val="2"/>
            <scheme val="minor"/>
          </rPr>
          <t>Duy:
Last week: 
22,290,000</t>
        </r>
      </text>
    </comment>
    <comment ref="E16" authorId="1" shapeId="0" xr:uid="{00000000-0006-0000-1200-00002F000000}">
      <text>
        <r>
          <rPr>
            <sz val="12"/>
            <color theme="1"/>
            <rFont val="Aptos Narrow"/>
            <family val="2"/>
            <scheme val="minor"/>
          </rPr>
          <t>Last week was: 21.490K
CTKM W8Q4FY24:
Giảm 1% tối đa 300K thanh toán VNPAY</t>
        </r>
      </text>
    </comment>
    <comment ref="D17" authorId="0" shapeId="0" xr:uid="{00000000-0006-0000-1200-000030000000}">
      <text>
        <r>
          <rPr>
            <sz val="12"/>
            <color theme="1"/>
            <rFont val="Aptos Narrow"/>
            <family val="2"/>
            <scheme val="minor"/>
          </rPr>
          <t>Việt Hoàng:
Last week was:
27.890.000</t>
        </r>
      </text>
    </comment>
    <comment ref="E17" authorId="1" shapeId="0" xr:uid="{00000000-0006-0000-1200-000031000000}">
      <text>
        <r>
          <rPr>
            <sz val="12"/>
            <color theme="1"/>
            <rFont val="Aptos Narrow"/>
            <family val="2"/>
            <scheme val="minor"/>
          </rPr>
          <t xml:space="preserve">
CTKM W7Q4FY24:
Giảm 1% tối đa 300K thanh toán VNPAY</t>
        </r>
      </text>
    </comment>
    <comment ref="B18" authorId="3" shapeId="0" xr:uid="{00000000-0006-0000-1200-000032000000}">
      <text>
        <r>
          <rPr>
            <sz val="12"/>
            <color theme="1"/>
            <rFont val="Aptos Narrow"/>
            <family val="2"/>
            <scheme val="minor"/>
          </rPr>
          <t>was 37490000</t>
        </r>
      </text>
    </comment>
    <comment ref="C18" authorId="3" shapeId="0" xr:uid="{00000000-0006-0000-1200-000033000000}">
      <text>
        <r>
          <rPr>
            <sz val="12"/>
            <color theme="1"/>
            <rFont val="Aptos Narrow"/>
            <family val="2"/>
            <scheme val="minor"/>
          </rPr>
          <t>Duy
Last week: 
37,490,000</t>
        </r>
      </text>
    </comment>
    <comment ref="B19" authorId="3" shapeId="0" xr:uid="{00000000-0006-0000-1200-000034000000}">
      <text>
        <r>
          <rPr>
            <sz val="12"/>
            <color theme="1"/>
            <rFont val="Aptos Narrow"/>
            <family val="2"/>
            <scheme val="minor"/>
          </rPr>
          <t>was 6040000</t>
        </r>
      </text>
    </comment>
    <comment ref="C19" authorId="3" shapeId="0" xr:uid="{00000000-0006-0000-1200-000035000000}">
      <text>
        <r>
          <rPr>
            <sz val="12"/>
            <color theme="1"/>
            <rFont val="Aptos Narrow"/>
            <family val="2"/>
            <scheme val="minor"/>
          </rPr>
          <t xml:space="preserve">Duy
Last week: 6,040,000 
</t>
        </r>
      </text>
    </comment>
    <comment ref="E19" authorId="1" shapeId="0" xr:uid="{00000000-0006-0000-1200-000036000000}">
      <text>
        <r>
          <rPr>
            <sz val="12"/>
            <color theme="1"/>
            <rFont val="Aptos Narrow"/>
            <family val="2"/>
            <scheme val="minor"/>
          </rPr>
          <t xml:space="preserve">
CTKM W8Q4FY24:
Giảm 1% tối đa 120K khi mở ví VNPAY
</t>
        </r>
      </text>
    </comment>
    <comment ref="B20" authorId="3" shapeId="0" xr:uid="{00000000-0006-0000-1200-000037000000}">
      <text>
        <r>
          <rPr>
            <sz val="12"/>
            <color theme="1"/>
            <rFont val="Aptos Narrow"/>
            <family val="2"/>
            <scheme val="minor"/>
          </rPr>
          <t>was 7440000</t>
        </r>
      </text>
    </comment>
    <comment ref="C20" authorId="3" shapeId="0" xr:uid="{00000000-0006-0000-1200-000038000000}">
      <text>
        <r>
          <rPr>
            <sz val="12"/>
            <color theme="1"/>
            <rFont val="Aptos Narrow"/>
            <family val="2"/>
            <scheme val="minor"/>
          </rPr>
          <t>Duy Last week: 
 7,440,000</t>
        </r>
      </text>
    </comment>
    <comment ref="E20" authorId="1" shapeId="0" xr:uid="{00000000-0006-0000-1200-000039000000}">
      <text>
        <r>
          <rPr>
            <sz val="12"/>
            <color theme="1"/>
            <rFont val="Aptos Narrow"/>
            <family val="2"/>
            <scheme val="minor"/>
          </rPr>
          <t>Giảm thêm 100K đổi 10.000 điểm Viettel++</t>
        </r>
      </text>
    </comment>
    <comment ref="B21" authorId="3" shapeId="0" xr:uid="{00000000-0006-0000-1200-00003A000000}">
      <text>
        <r>
          <rPr>
            <sz val="12"/>
            <color theme="1"/>
            <rFont val="Aptos Narrow"/>
            <family val="2"/>
            <scheme val="minor"/>
          </rPr>
          <t>was 6940000</t>
        </r>
      </text>
    </comment>
    <comment ref="C21" authorId="3" shapeId="0" xr:uid="{00000000-0006-0000-1200-00003B000000}">
      <text>
        <r>
          <rPr>
            <sz val="12"/>
            <color theme="1"/>
            <rFont val="Aptos Narrow"/>
            <family val="2"/>
            <scheme val="minor"/>
          </rPr>
          <t>Duy
Last week: 
 6,940,000</t>
        </r>
      </text>
    </comment>
    <comment ref="E21" authorId="1" shapeId="0" xr:uid="{00000000-0006-0000-1200-00003C000000}">
      <text>
        <r>
          <rPr>
            <sz val="12"/>
            <color theme="1"/>
            <rFont val="Aptos Narrow"/>
            <family val="2"/>
            <scheme val="minor"/>
          </rPr>
          <t>CTKM W6: Giảm 100K khi đổi 10.000 điểm VIettel++ nhưng khó có đủ điểm</t>
        </r>
      </text>
    </comment>
    <comment ref="F21" authorId="2" shapeId="0" xr:uid="{00000000-0006-0000-1200-00003D000000}">
      <text>
        <r>
          <rPr>
            <sz val="12"/>
            <color theme="1"/>
            <rFont val="Aptos Narrow"/>
            <family val="2"/>
            <scheme val="minor"/>
          </rPr>
          <t>chit trang:
wass 7.190.000</t>
        </r>
      </text>
    </comment>
    <comment ref="B22" authorId="3" shapeId="0" xr:uid="{00000000-0006-0000-1200-00003E000000}">
      <text>
        <r>
          <rPr>
            <sz val="12"/>
            <color theme="1"/>
            <rFont val="Aptos Narrow"/>
            <family val="2"/>
            <scheme val="minor"/>
          </rPr>
          <t>was 8240000</t>
        </r>
      </text>
    </comment>
    <comment ref="E22" authorId="1" shapeId="0" xr:uid="{00000000-0006-0000-1200-00003F000000}">
      <text>
        <r>
          <rPr>
            <sz val="12"/>
            <color theme="1"/>
            <rFont val="Aptos Narrow"/>
            <family val="2"/>
            <scheme val="minor"/>
          </rPr>
          <t xml:space="preserve">Last week was: 7.790K
Giảm thêm 100K đổi 10.000 điểm Viettel++
</t>
        </r>
      </text>
    </comment>
    <comment ref="B23" authorId="3" shapeId="0" xr:uid="{00000000-0006-0000-1200-000040000000}">
      <text>
        <r>
          <rPr>
            <sz val="12"/>
            <color theme="1"/>
            <rFont val="Aptos Narrow"/>
            <family val="2"/>
            <scheme val="minor"/>
          </rPr>
          <t>was 9790000</t>
        </r>
      </text>
    </comment>
    <comment ref="C23" authorId="3" shapeId="0" xr:uid="{00000000-0006-0000-1200-000041000000}">
      <text>
        <r>
          <rPr>
            <sz val="12"/>
            <color theme="1"/>
            <rFont val="Aptos Narrow"/>
            <family val="2"/>
            <scheme val="minor"/>
          </rPr>
          <t>Duy
Last Week: 9,790,000</t>
        </r>
      </text>
    </comment>
    <comment ref="E23" authorId="1" shapeId="0" xr:uid="{00000000-0006-0000-1200-000042000000}">
      <text>
        <r>
          <rPr>
            <sz val="12"/>
            <color theme="1"/>
            <rFont val="Aptos Narrow"/>
            <family val="2"/>
            <scheme val="minor"/>
          </rPr>
          <t xml:space="preserve">
Giảm 1% tối đa 120K khi mở ví VNPAY
</t>
        </r>
      </text>
    </comment>
    <comment ref="F23" authorId="2" shapeId="0" xr:uid="{00000000-0006-0000-1200-000043000000}">
      <text>
        <r>
          <rPr>
            <sz val="12"/>
            <color theme="1"/>
            <rFont val="Aptos Narrow"/>
            <family val="2"/>
            <scheme val="minor"/>
          </rPr>
          <t>chit trang:
9.490.000</t>
        </r>
      </text>
    </comment>
    <comment ref="B24" authorId="3" shapeId="0" xr:uid="{00000000-0006-0000-1200-000044000000}">
      <text>
        <r>
          <rPr>
            <sz val="12"/>
            <color theme="1"/>
            <rFont val="Aptos Narrow"/>
            <family val="2"/>
            <scheme val="minor"/>
          </rPr>
          <t xml:space="preserve">was 12390000
</t>
        </r>
      </text>
    </comment>
    <comment ref="E24" authorId="1" shapeId="0" xr:uid="{00000000-0006-0000-1200-000045000000}">
      <text>
        <r>
          <rPr>
            <sz val="12"/>
            <color theme="1"/>
            <rFont val="Aptos Narrow"/>
            <family val="2"/>
            <scheme val="minor"/>
          </rPr>
          <t xml:space="preserve">
Giảm thêm 100K đổi 10.000 điểm Viettel++</t>
        </r>
      </text>
    </comment>
    <comment ref="B25" authorId="3" shapeId="0" xr:uid="{00000000-0006-0000-1200-000046000000}">
      <text>
        <r>
          <rPr>
            <sz val="12"/>
            <color theme="1"/>
            <rFont val="Aptos Narrow"/>
            <family val="2"/>
            <scheme val="minor"/>
          </rPr>
          <t>was 10790000</t>
        </r>
      </text>
    </comment>
    <comment ref="C25" authorId="3" shapeId="0" xr:uid="{00000000-0006-0000-1200-000047000000}">
      <text>
        <r>
          <rPr>
            <sz val="12"/>
            <color theme="1"/>
            <rFont val="Aptos Narrow"/>
            <family val="2"/>
            <scheme val="minor"/>
          </rPr>
          <t>Duy
Last week 10,790,000</t>
        </r>
      </text>
    </comment>
    <comment ref="E25" authorId="1" shapeId="0" xr:uid="{00000000-0006-0000-1200-000048000000}">
      <text>
        <r>
          <rPr>
            <sz val="12"/>
            <color theme="1"/>
            <rFont val="Aptos Narrow"/>
            <family val="2"/>
            <scheme val="minor"/>
          </rPr>
          <t xml:space="preserve">
Giảm thêm 100K đổi 10.000 điểm Viettel++
</t>
        </r>
      </text>
    </comment>
    <comment ref="F25" authorId="2" shapeId="0" xr:uid="{00000000-0006-0000-1200-000049000000}">
      <text>
        <r>
          <rPr>
            <sz val="12"/>
            <color theme="1"/>
            <rFont val="Aptos Narrow"/>
            <family val="2"/>
            <scheme val="minor"/>
          </rPr>
          <t>chit trang:
10.890.000</t>
        </r>
      </text>
    </comment>
    <comment ref="B26" authorId="3" shapeId="0" xr:uid="{00000000-0006-0000-1200-00004A000000}">
      <text>
        <r>
          <rPr>
            <sz val="12"/>
            <color theme="1"/>
            <rFont val="Aptos Narrow"/>
            <family val="2"/>
            <scheme val="minor"/>
          </rPr>
          <t>was 13590000</t>
        </r>
      </text>
    </comment>
    <comment ref="E26" authorId="1" shapeId="0" xr:uid="{00000000-0006-0000-1200-00004B000000}">
      <text>
        <r>
          <rPr>
            <sz val="12"/>
            <color theme="1"/>
            <rFont val="Aptos Narrow"/>
            <family val="2"/>
            <scheme val="minor"/>
          </rPr>
          <t xml:space="preserve">
Giảm tiếp 100K nếu đổi 10.000 điểm Viettel++</t>
        </r>
      </text>
    </comment>
    <comment ref="B27" authorId="3" shapeId="0" xr:uid="{00000000-0006-0000-1200-00004C000000}">
      <text>
        <r>
          <rPr>
            <sz val="12"/>
            <color theme="1"/>
            <rFont val="Aptos Narrow"/>
            <family val="2"/>
            <scheme val="minor"/>
          </rPr>
          <t>was 20990000</t>
        </r>
      </text>
    </comment>
    <comment ref="C27" authorId="3" shapeId="0" xr:uid="{00000000-0006-0000-1200-00004D000000}">
      <text>
        <r>
          <rPr>
            <sz val="12"/>
            <color theme="1"/>
            <rFont val="Aptos Narrow"/>
            <family val="2"/>
            <scheme val="minor"/>
          </rPr>
          <t>Duy
Last week 20,990,000</t>
        </r>
      </text>
    </comment>
    <comment ref="E27" authorId="1" shapeId="0" xr:uid="{00000000-0006-0000-1200-00004E000000}">
      <text>
        <r>
          <rPr>
            <sz val="12"/>
            <color theme="1"/>
            <rFont val="Aptos Narrow"/>
            <family val="2"/>
            <scheme val="minor"/>
          </rPr>
          <t xml:space="preserve">
Đổi 30.000 điểm Viettel++
VNP 10% tối đa 300K</t>
        </r>
      </text>
    </comment>
    <comment ref="E28" authorId="1" shapeId="0" xr:uid="{00000000-0006-0000-1200-00004F000000}">
      <text>
        <r>
          <rPr>
            <sz val="12"/>
            <color theme="1"/>
            <rFont val="Aptos Narrow"/>
            <family val="2"/>
            <scheme val="minor"/>
          </rPr>
          <t>Last week was: 5.270K
CTKM W8Q4FY:
Giảm 10% tối đa 120K khi mở ví VNPAY</t>
        </r>
      </text>
    </comment>
    <comment ref="E29" authorId="1" shapeId="0" xr:uid="{00000000-0006-0000-1200-000050000000}">
      <text>
        <r>
          <rPr>
            <sz val="12"/>
            <color theme="1"/>
            <rFont val="Aptos Narrow"/>
            <family val="2"/>
            <scheme val="minor"/>
          </rPr>
          <t xml:space="preserve">
CTKM W8Q4FY24:
Giảm 10% tối đa 120K khi mở ví VNPAY
</t>
        </r>
      </text>
    </comment>
    <comment ref="E30" authorId="1" shapeId="0" xr:uid="{00000000-0006-0000-1200-000051000000}">
      <text>
        <r>
          <rPr>
            <sz val="12"/>
            <color theme="1"/>
            <rFont val="Aptos Narrow"/>
            <family val="2"/>
            <scheme val="minor"/>
          </rPr>
          <t>Last week was: 2.570K
VNP 10% tối đa 120K</t>
        </r>
      </text>
    </comment>
    <comment ref="B31" authorId="3" shapeId="0" xr:uid="{00000000-0006-0000-1200-000052000000}">
      <text>
        <r>
          <rPr>
            <sz val="12"/>
            <color theme="1"/>
            <rFont val="Aptos Narrow"/>
            <family val="2"/>
            <scheme val="minor"/>
          </rPr>
          <t>was 18190000
Giảm thêm 300K cho HSSV</t>
        </r>
      </text>
    </comment>
    <comment ref="C31" authorId="6" shapeId="0" xr:uid="{00000000-0006-0000-1200-000053000000}">
      <text>
        <r>
          <rPr>
            <sz val="12"/>
            <color theme="1"/>
            <rFont val="Aptos Narrow"/>
            <family val="2"/>
            <scheme val="minor"/>
          </rPr>
          <t>Duy Ha Minh:
Last Week: 18,190,000</t>
        </r>
      </text>
    </comment>
    <comment ref="B32" authorId="3" shapeId="0" xr:uid="{00000000-0006-0000-1200-000054000000}">
      <text>
        <r>
          <rPr>
            <sz val="12"/>
            <color theme="1"/>
            <rFont val="Aptos Narrow"/>
            <family val="2"/>
            <scheme val="minor"/>
          </rPr>
          <t>was 23190000
Giảm thêm 300K HSSV và upto 3M tân SV</t>
        </r>
      </text>
    </comment>
    <comment ref="C32" authorId="6" shapeId="0" xr:uid="{00000000-0006-0000-1200-000055000000}">
      <text>
        <r>
          <rPr>
            <sz val="12"/>
            <color theme="1"/>
            <rFont val="Aptos Narrow"/>
            <family val="2"/>
            <scheme val="minor"/>
          </rPr>
          <t>Duy Ha Minh:
Last Week: 23,190,000</t>
        </r>
      </text>
    </comment>
    <comment ref="D32" authorId="0" shapeId="0" xr:uid="{00000000-0006-0000-1200-000056000000}">
      <text>
        <r>
          <rPr>
            <sz val="12"/>
            <color theme="1"/>
            <rFont val="Aptos Narrow"/>
            <family val="2"/>
            <scheme val="minor"/>
          </rPr>
          <t>Việt Hoàng:
Last week was
23.190.000</t>
        </r>
      </text>
    </comment>
    <comment ref="B33" authorId="3" shapeId="0" xr:uid="{00000000-0006-0000-1200-000057000000}">
      <text>
        <r>
          <rPr>
            <sz val="12"/>
            <color theme="1"/>
            <rFont val="Aptos Narrow"/>
            <family val="2"/>
            <scheme val="minor"/>
          </rPr>
          <t>was 26890000
giảm thêm 500K SV upto 3M tân SV</t>
        </r>
      </text>
    </comment>
    <comment ref="C33" authorId="4" shapeId="0" xr:uid="{00000000-0006-0000-1200-000058000000}">
      <text>
        <r>
          <rPr>
            <sz val="12"/>
            <color theme="1"/>
            <rFont val="Aptos Narrow"/>
            <family val="2"/>
            <scheme val="minor"/>
          </rPr>
          <t>Duy:
Last week: 26,890,000</t>
        </r>
      </text>
    </comment>
    <comment ref="D33" authorId="0" shapeId="0" xr:uid="{00000000-0006-0000-1200-000059000000}">
      <text>
        <r>
          <rPr>
            <sz val="12"/>
            <color theme="1"/>
            <rFont val="Aptos Narrow"/>
            <family val="2"/>
            <scheme val="minor"/>
          </rPr>
          <t>Việt Hoàng:
Last week was:
26.590.000</t>
        </r>
      </text>
    </comment>
    <comment ref="F33" authorId="2" shapeId="0" xr:uid="{00000000-0006-0000-1200-00005A000000}">
      <text>
        <r>
          <rPr>
            <sz val="12"/>
            <color theme="1"/>
            <rFont val="Aptos Narrow"/>
            <family val="2"/>
            <scheme val="minor"/>
          </rPr>
          <t>chit trang:
26.990.000</t>
        </r>
      </text>
    </comment>
    <comment ref="B34" authorId="3" shapeId="0" xr:uid="{00000000-0006-0000-1200-00005B000000}">
      <text>
        <r>
          <rPr>
            <sz val="12"/>
            <color theme="1"/>
            <rFont val="Aptos Narrow"/>
            <family val="2"/>
            <scheme val="minor"/>
          </rPr>
          <t>was 31190000
Giảm thêm 500K cho HSSV</t>
        </r>
      </text>
    </comment>
    <comment ref="C34" authorId="6" shapeId="0" xr:uid="{00000000-0006-0000-1200-00005C000000}">
      <text>
        <r>
          <rPr>
            <sz val="12"/>
            <color theme="1"/>
            <rFont val="Aptos Narrow"/>
            <family val="2"/>
            <scheme val="minor"/>
          </rPr>
          <t>Duy Ha Minh:
last week: 31,190,000</t>
        </r>
      </text>
    </comment>
  </commentList>
</comments>
</file>

<file path=xl/comments20.xml><?xml version="1.0" encoding="utf-8"?>
<comments xmlns="http://schemas.openxmlformats.org/spreadsheetml/2006/main" xmlns:mc="http://schemas.openxmlformats.org/markup-compatibility/2006" xmlns:xr="http://schemas.microsoft.com/office/spreadsheetml/2014/revision" mc:Ignorable="xr">
  <authors>
    <author>Microsoft Office User</author>
    <author>Duy</author>
    <author>Việt Hoàng</author>
    <author>Sheva Son</author>
    <author>Tran Dat</author>
    <author>chit trang</author>
  </authors>
  <commentList>
    <comment ref="B2" authorId="0" shapeId="0" xr:uid="{00000000-0006-0000-1300-000001000000}">
      <text>
        <r>
          <rPr>
            <sz val="12"/>
            <color theme="1"/>
            <rFont val="Aptos Narrow"/>
            <family val="2"/>
            <scheme val="minor"/>
          </rPr>
          <t>was 19690000</t>
        </r>
      </text>
    </comment>
    <comment ref="C2" authorId="1" shapeId="0" xr:uid="{00000000-0006-0000-1300-000002000000}">
      <text>
        <r>
          <rPr>
            <sz val="12"/>
            <color theme="1"/>
            <rFont val="Aptos Narrow"/>
            <family val="2"/>
            <scheme val="minor"/>
          </rPr>
          <t>Duy:
Last Week: 19,690,000</t>
        </r>
      </text>
    </comment>
    <comment ref="D2" authorId="2" shapeId="0" xr:uid="{00000000-0006-0000-1300-000003000000}">
      <text>
        <r>
          <rPr>
            <sz val="12"/>
            <color theme="1"/>
            <rFont val="Aptos Narrow"/>
            <family val="2"/>
            <scheme val="minor"/>
          </rPr>
          <t>Việt Hoàng:
Last week was:
19.690.000</t>
        </r>
      </text>
    </comment>
    <comment ref="E2" authorId="3" shapeId="0" xr:uid="{00000000-0006-0000-1300-000004000000}">
      <text>
        <r>
          <rPr>
            <sz val="12"/>
            <color theme="1"/>
            <rFont val="Aptos Narrow"/>
            <family val="2"/>
            <scheme val="minor"/>
          </rPr>
          <t xml:space="preserve">
CTKM W8Q4FY24:
Cơ hội bốc thăm trúng xe Wave Alpha 110cc đỏ.
Săn táo chớp nhoáng iPhone 15 128GB Pink: 19.190K</t>
        </r>
      </text>
    </comment>
    <comment ref="G2" authorId="4" shapeId="0" xr:uid="{00000000-0006-0000-1300-000005000000}">
      <text>
        <r>
          <rPr>
            <sz val="12"/>
            <color theme="1"/>
            <rFont val="Aptos Narrow"/>
            <family val="2"/>
            <scheme val="minor"/>
          </rPr>
          <t>Tran Dat:
19.490.000</t>
        </r>
      </text>
    </comment>
    <comment ref="B3" authorId="0" shapeId="0" xr:uid="{00000000-0006-0000-1300-000006000000}">
      <text>
        <r>
          <rPr>
            <sz val="12"/>
            <color theme="1"/>
            <rFont val="Aptos Narrow"/>
            <family val="2"/>
            <scheme val="minor"/>
          </rPr>
          <t>was	 22690000</t>
        </r>
      </text>
    </comment>
    <comment ref="C3" authorId="1" shapeId="0" xr:uid="{00000000-0006-0000-1300-000007000000}">
      <text>
        <r>
          <rPr>
            <sz val="12"/>
            <color theme="1"/>
            <rFont val="Aptos Narrow"/>
            <family val="2"/>
            <scheme val="minor"/>
          </rPr>
          <t>Duy:
Last Week: 22,690,000</t>
        </r>
      </text>
    </comment>
    <comment ref="D3" authorId="2" shapeId="0" xr:uid="{00000000-0006-0000-1300-000008000000}">
      <text>
        <r>
          <rPr>
            <sz val="12"/>
            <color theme="1"/>
            <rFont val="Aptos Narrow"/>
            <family val="2"/>
            <scheme val="minor"/>
          </rPr>
          <t>Việt Hoàng:
Last week was:
22.590.000</t>
        </r>
      </text>
    </comment>
    <comment ref="E3" authorId="3" shapeId="0" xr:uid="{00000000-0006-0000-1300-000009000000}">
      <text>
        <r>
          <rPr>
            <sz val="12"/>
            <color theme="1"/>
            <rFont val="Aptos Narrow"/>
            <family val="2"/>
            <scheme val="minor"/>
          </rPr>
          <t xml:space="preserve">
CTKM W8Q4FY24:
Back to school, cơ hội trúng xe Wave Alpha 110cc đỏ.
Săn táo hớp nhoáng:
iPhone 15 Plus 128GB Pink: 21.990K
iPhone 15 Plus 256GB Pink: 24.790K</t>
        </r>
      </text>
    </comment>
    <comment ref="E4" authorId="3" shapeId="0" xr:uid="{00000000-0006-0000-1300-00000A000000}">
      <text>
        <r>
          <rPr>
            <sz val="12"/>
            <color theme="1"/>
            <rFont val="Aptos Narrow"/>
            <family val="2"/>
            <scheme val="minor"/>
          </rPr>
          <t xml:space="preserve">
CTKM W8Q4FY24:
Giảm 500K mua Online (đã trừ vào giá)
Giảm thêm 500K màu Blue titanium
Săn táo chớp nhoáng iPhone 15 Pro 1T GB Blue Titanium: 37.490K</t>
        </r>
      </text>
    </comment>
    <comment ref="G4" authorId="4" shapeId="0" xr:uid="{00000000-0006-0000-1300-00000B000000}">
      <text>
        <r>
          <rPr>
            <sz val="12"/>
            <color theme="1"/>
            <rFont val="Aptos Narrow"/>
            <family val="2"/>
            <scheme val="minor"/>
          </rPr>
          <t>Tran Dat:
24.390.000</t>
        </r>
      </text>
    </comment>
    <comment ref="B5" authorId="0" shapeId="0" xr:uid="{00000000-0006-0000-1300-00000C000000}">
      <text>
        <r>
          <rPr>
            <sz val="12"/>
            <color theme="1"/>
            <rFont val="Aptos Narrow"/>
            <family val="2"/>
            <scheme val="minor"/>
          </rPr>
          <t>was 29,490,000</t>
        </r>
      </text>
    </comment>
    <comment ref="C5" authorId="1" shapeId="0" xr:uid="{00000000-0006-0000-1300-00000D000000}">
      <text>
        <r>
          <rPr>
            <sz val="12"/>
            <color theme="1"/>
            <rFont val="Aptos Narrow"/>
            <family val="2"/>
            <scheme val="minor"/>
          </rPr>
          <t>Duy:
Last week: 29,490,000</t>
        </r>
      </text>
    </comment>
    <comment ref="E5" authorId="3" shapeId="0" xr:uid="{00000000-0006-0000-1300-00000E000000}">
      <text>
        <r>
          <rPr>
            <sz val="12"/>
            <color theme="1"/>
            <rFont val="Aptos Narrow"/>
            <family val="2"/>
            <scheme val="minor"/>
          </rPr>
          <t>Last week was: 28.700K
CTKM W7:
Giảm 1.000K mua hàng Online (đã trừ vào giá)
VNP 1% tối đa 300K
Săn táo chớp nhoáng (màu đen): 28.490K</t>
        </r>
      </text>
    </comment>
    <comment ref="D6" authorId="2" shapeId="0" xr:uid="{00000000-0006-0000-1300-00000F000000}">
      <text>
        <r>
          <rPr>
            <sz val="12"/>
            <color theme="1"/>
            <rFont val="Aptos Narrow"/>
            <family val="2"/>
            <scheme val="minor"/>
          </rPr>
          <t>Việt Hoàng:
Last week was:
19.890.000</t>
        </r>
      </text>
    </comment>
    <comment ref="E6" authorId="3" shapeId="0" xr:uid="{00000000-0006-0000-1300-000010000000}">
      <text>
        <r>
          <rPr>
            <sz val="12"/>
            <color theme="1"/>
            <rFont val="Aptos Narrow"/>
            <family val="2"/>
            <scheme val="minor"/>
          </rPr>
          <t>Stock: chỉ còn màu Blue</t>
        </r>
      </text>
    </comment>
    <comment ref="D8" authorId="2" shapeId="0" xr:uid="{00000000-0006-0000-1300-000011000000}">
      <text>
        <r>
          <rPr>
            <sz val="12"/>
            <color theme="1"/>
            <rFont val="Aptos Narrow"/>
            <family val="2"/>
            <scheme val="minor"/>
          </rPr>
          <t>Việt Hoàng:
Last week was:
13.890.000</t>
        </r>
      </text>
    </comment>
    <comment ref="D9" authorId="2" shapeId="0" xr:uid="{00000000-0006-0000-1300-000012000000}">
      <text>
        <r>
          <rPr>
            <sz val="12"/>
            <color theme="1"/>
            <rFont val="Aptos Narrow"/>
            <family val="2"/>
            <scheme val="minor"/>
          </rPr>
          <t>Việt Hoàng:
Last week was:
10.890.000</t>
        </r>
      </text>
    </comment>
    <comment ref="G10" authorId="4" shapeId="0" xr:uid="{00000000-0006-0000-1300-000013000000}">
      <text>
        <r>
          <rPr>
            <sz val="12"/>
            <color theme="1"/>
            <rFont val="Aptos Narrow"/>
            <family val="2"/>
            <scheme val="minor"/>
          </rPr>
          <t xml:space="preserve">Tran Dat:
8690000
</t>
        </r>
      </text>
    </comment>
    <comment ref="E11" authorId="3" shapeId="0" xr:uid="{00000000-0006-0000-1300-000014000000}">
      <text>
        <r>
          <rPr>
            <sz val="12"/>
            <color theme="1"/>
            <rFont val="Aptos Narrow"/>
            <family val="2"/>
            <scheme val="minor"/>
          </rPr>
          <t xml:space="preserve">
CTKM W8Q4FY24:
Giảm 10% tối đa 120K khi mở ví VNPAY</t>
        </r>
      </text>
    </comment>
    <comment ref="E13" authorId="3" shapeId="0" xr:uid="{00000000-0006-0000-1300-000015000000}">
      <text>
        <r>
          <rPr>
            <sz val="12"/>
            <color theme="1"/>
            <rFont val="Aptos Narrow"/>
            <family val="2"/>
            <scheme val="minor"/>
          </rPr>
          <t xml:space="preserve">
CTKM W7Q4FY24:
Giảm 10% tối đa 120K khi mở ví VNPAY</t>
        </r>
      </text>
    </comment>
    <comment ref="E14" authorId="3" shapeId="0" xr:uid="{00000000-0006-0000-1300-000016000000}">
      <text>
        <r>
          <rPr>
            <sz val="12"/>
            <color theme="1"/>
            <rFont val="Aptos Narrow"/>
            <family val="2"/>
            <scheme val="minor"/>
          </rPr>
          <t xml:space="preserve">
CTKM W8Q4FY24:
Giảm 10% tối đa 120K khi mở ví VNPAY</t>
        </r>
      </text>
    </comment>
    <comment ref="E15" authorId="3" shapeId="0" xr:uid="{00000000-0006-0000-1300-000017000000}">
      <text>
        <r>
          <rPr>
            <sz val="12"/>
            <color theme="1"/>
            <rFont val="Aptos Narrow"/>
            <family val="2"/>
            <scheme val="minor"/>
          </rPr>
          <t xml:space="preserve">
CTKM W7Q4FY24
Giảm 1% tối đa 300K thanh tóan VNPAY</t>
        </r>
      </text>
    </comment>
    <comment ref="F15" authorId="5" shapeId="0" xr:uid="{00000000-0006-0000-1300-000018000000}">
      <text>
        <r>
          <rPr>
            <sz val="12"/>
            <color theme="1"/>
            <rFont val="Aptos Narrow"/>
            <family val="2"/>
            <scheme val="minor"/>
          </rPr>
          <t>chit trang:
Wass 16.990.000</t>
        </r>
      </text>
    </comment>
    <comment ref="D16" authorId="2" shapeId="0" xr:uid="{00000000-0006-0000-1300-000019000000}">
      <text>
        <r>
          <rPr>
            <sz val="12"/>
            <color theme="1"/>
            <rFont val="Aptos Narrow"/>
            <family val="2"/>
            <scheme val="minor"/>
          </rPr>
          <t>Việt Hoàng:
Last week was
22.390.000</t>
        </r>
      </text>
    </comment>
    <comment ref="E16" authorId="3" shapeId="0" xr:uid="{00000000-0006-0000-1300-00001A000000}">
      <text>
        <r>
          <rPr>
            <sz val="12"/>
            <color theme="1"/>
            <rFont val="Aptos Narrow"/>
            <family val="2"/>
            <scheme val="minor"/>
          </rPr>
          <t>Last week was: 21.490K
CTKM W8Q4FY24:
Giảm 1% tối đa 300K thanh toán VNPAY</t>
        </r>
      </text>
    </comment>
    <comment ref="G16" authorId="4" shapeId="0" xr:uid="{00000000-0006-0000-1300-00001B000000}">
      <text>
        <r>
          <rPr>
            <sz val="12"/>
            <color theme="1"/>
            <rFont val="Aptos Narrow"/>
            <family val="2"/>
            <scheme val="minor"/>
          </rPr>
          <t>Tran Dat:
21.490.000</t>
        </r>
      </text>
    </comment>
    <comment ref="E17" authorId="3" shapeId="0" xr:uid="{00000000-0006-0000-1300-00001C000000}">
      <text>
        <r>
          <rPr>
            <sz val="12"/>
            <color theme="1"/>
            <rFont val="Aptos Narrow"/>
            <family val="2"/>
            <scheme val="minor"/>
          </rPr>
          <t xml:space="preserve">
CTKM W7Q4FY24:
Giảm 1% tối đa 300K thanh toán VNPAY</t>
        </r>
      </text>
    </comment>
    <comment ref="D18" authorId="2" shapeId="0" xr:uid="{00000000-0006-0000-1300-00001D000000}">
      <text>
        <r>
          <rPr>
            <sz val="12"/>
            <color theme="1"/>
            <rFont val="Aptos Narrow"/>
            <family val="2"/>
            <scheme val="minor"/>
          </rPr>
          <t>Việt Hoàng:
Last week was
37.690.000</t>
        </r>
      </text>
    </comment>
    <comment ref="E19" authorId="3" shapeId="0" xr:uid="{00000000-0006-0000-1300-00001E000000}">
      <text>
        <r>
          <rPr>
            <sz val="12"/>
            <color theme="1"/>
            <rFont val="Aptos Narrow"/>
            <family val="2"/>
            <scheme val="minor"/>
          </rPr>
          <t xml:space="preserve">
CTKM W8Q4FY24:
Giảm 1% tối đa 120K khi mở ví VNPAY
</t>
        </r>
      </text>
    </comment>
    <comment ref="F19" authorId="5" shapeId="0" xr:uid="{00000000-0006-0000-1300-00001F000000}">
      <text>
        <r>
          <rPr>
            <sz val="12"/>
            <color theme="1"/>
            <rFont val="Aptos Narrow"/>
            <family val="2"/>
            <scheme val="minor"/>
          </rPr>
          <t>chit trang:
Wass 5.990.000</t>
        </r>
      </text>
    </comment>
    <comment ref="E20" authorId="3" shapeId="0" xr:uid="{00000000-0006-0000-1300-000020000000}">
      <text>
        <r>
          <rPr>
            <sz val="12"/>
            <color theme="1"/>
            <rFont val="Aptos Narrow"/>
            <family val="2"/>
            <scheme val="minor"/>
          </rPr>
          <t>Giảm thêm 100K đổi 10.000 điểm Viettel++</t>
        </r>
      </text>
    </comment>
    <comment ref="E21" authorId="3" shapeId="0" xr:uid="{00000000-0006-0000-1300-000021000000}">
      <text>
        <r>
          <rPr>
            <sz val="12"/>
            <color theme="1"/>
            <rFont val="Aptos Narrow"/>
            <family val="2"/>
            <scheme val="minor"/>
          </rPr>
          <t>CTKM W6: Giảm 100K khi đổi 10.000 điểm VIettel++ nhưng khó có đủ điểm</t>
        </r>
      </text>
    </comment>
    <comment ref="G21" authorId="4" shapeId="0" xr:uid="{00000000-0006-0000-1300-000022000000}">
      <text>
        <r>
          <rPr>
            <sz val="12"/>
            <color theme="1"/>
            <rFont val="Aptos Narrow"/>
            <family val="2"/>
            <scheme val="minor"/>
          </rPr>
          <t>Tran Dat:
6.790.000</t>
        </r>
      </text>
    </comment>
    <comment ref="E22" authorId="3" shapeId="0" xr:uid="{00000000-0006-0000-1300-000023000000}">
      <text>
        <r>
          <rPr>
            <sz val="12"/>
            <color theme="1"/>
            <rFont val="Aptos Narrow"/>
            <family val="2"/>
            <scheme val="minor"/>
          </rPr>
          <t xml:space="preserve">Last week was: 7.790K
Giảm thêm 100K đổi 10.000 điểm Viettel++
</t>
        </r>
      </text>
    </comment>
    <comment ref="E23" authorId="3" shapeId="0" xr:uid="{00000000-0006-0000-1300-000024000000}">
      <text>
        <r>
          <rPr>
            <sz val="12"/>
            <color theme="1"/>
            <rFont val="Aptos Narrow"/>
            <family val="2"/>
            <scheme val="minor"/>
          </rPr>
          <t xml:space="preserve">
Giảm 1% tối đa 120K khi mở ví VNPAY
</t>
        </r>
      </text>
    </comment>
    <comment ref="E24" authorId="3" shapeId="0" xr:uid="{00000000-0006-0000-1300-000025000000}">
      <text>
        <r>
          <rPr>
            <sz val="12"/>
            <color theme="1"/>
            <rFont val="Aptos Narrow"/>
            <family val="2"/>
            <scheme val="minor"/>
          </rPr>
          <t xml:space="preserve">
Giảm thêm 100K đổi 10.000 điểm Viettel++</t>
        </r>
      </text>
    </comment>
    <comment ref="E25" authorId="3" shapeId="0" xr:uid="{00000000-0006-0000-1300-000026000000}">
      <text>
        <r>
          <rPr>
            <sz val="12"/>
            <color theme="1"/>
            <rFont val="Aptos Narrow"/>
            <family val="2"/>
            <scheme val="minor"/>
          </rPr>
          <t xml:space="preserve">
Giảm thêm 100K đổi 10.000 điểm Viettel++
</t>
        </r>
      </text>
    </comment>
    <comment ref="E26" authorId="3" shapeId="0" xr:uid="{00000000-0006-0000-1300-000027000000}">
      <text>
        <r>
          <rPr>
            <sz val="12"/>
            <color theme="1"/>
            <rFont val="Aptos Narrow"/>
            <family val="2"/>
            <scheme val="minor"/>
          </rPr>
          <t xml:space="preserve">
Giảm tiếp 100K nếu đổi 10.000 điểm Viettel++</t>
        </r>
      </text>
    </comment>
    <comment ref="E27" authorId="3" shapeId="0" xr:uid="{00000000-0006-0000-1300-000028000000}">
      <text>
        <r>
          <rPr>
            <sz val="12"/>
            <color theme="1"/>
            <rFont val="Aptos Narrow"/>
            <family val="2"/>
            <scheme val="minor"/>
          </rPr>
          <t xml:space="preserve">
Đổi 30.000 điểm Viettel++
VNP 10% tối đa 300K</t>
        </r>
      </text>
    </comment>
    <comment ref="E28" authorId="3" shapeId="0" xr:uid="{00000000-0006-0000-1300-000029000000}">
      <text>
        <r>
          <rPr>
            <sz val="12"/>
            <color theme="1"/>
            <rFont val="Aptos Narrow"/>
            <family val="2"/>
            <scheme val="minor"/>
          </rPr>
          <t>Last week was: 5.290K
CTKM W9Q4FY:
Giảm 10% tối đa 120K khi mở ví VNPAY</t>
        </r>
      </text>
    </comment>
    <comment ref="B29" authorId="0" shapeId="0" xr:uid="{00000000-0006-0000-1300-00002A000000}">
      <text>
        <r>
          <rPr>
            <sz val="12"/>
            <color theme="1"/>
            <rFont val="Aptos Narrow"/>
            <family val="2"/>
            <scheme val="minor"/>
          </rPr>
          <t>was 3990000</t>
        </r>
      </text>
    </comment>
    <comment ref="C29" authorId="1" shapeId="0" xr:uid="{00000000-0006-0000-1300-00002B000000}">
      <text>
        <r>
          <rPr>
            <sz val="12"/>
            <color theme="1"/>
            <rFont val="Aptos Narrow"/>
            <family val="2"/>
            <scheme val="minor"/>
          </rPr>
          <t>Duy:
Last Week: 3,990,000</t>
        </r>
      </text>
    </comment>
    <comment ref="E29" authorId="3" shapeId="0" xr:uid="{00000000-0006-0000-1300-00002C000000}">
      <text>
        <r>
          <rPr>
            <sz val="12"/>
            <color theme="1"/>
            <rFont val="Aptos Narrow"/>
            <family val="2"/>
            <scheme val="minor"/>
          </rPr>
          <t xml:space="preserve">
CTKM W8Q4FY24:
Giảm 10% tối đa 120K khi mở ví VNPAY
</t>
        </r>
      </text>
    </comment>
    <comment ref="E30" authorId="3" shapeId="0" xr:uid="{00000000-0006-0000-1300-00002D000000}">
      <text>
        <r>
          <rPr>
            <sz val="12"/>
            <color theme="1"/>
            <rFont val="Aptos Narrow"/>
            <family val="2"/>
            <scheme val="minor"/>
          </rPr>
          <t>Last week was: 2.570K
VNP 10% tối đa 120K</t>
        </r>
      </text>
    </comment>
    <comment ref="G33" authorId="4" shapeId="0" xr:uid="{00000000-0006-0000-1300-00002E000000}">
      <text>
        <r>
          <rPr>
            <sz val="12"/>
            <color theme="1"/>
            <rFont val="Aptos Narrow"/>
            <family val="2"/>
            <scheme val="minor"/>
          </rPr>
          <t>Tran Dat:
26.190.000</t>
        </r>
      </text>
    </comment>
    <comment ref="D35" authorId="2" shapeId="0" xr:uid="{00000000-0006-0000-1300-00002F000000}">
      <text>
        <r>
          <rPr>
            <sz val="12"/>
            <color theme="1"/>
            <rFont val="Aptos Narrow"/>
            <family val="2"/>
            <scheme val="minor"/>
          </rPr>
          <t>Việt Hoàng:
Last week was
38.290.000</t>
        </r>
      </text>
    </comment>
  </commentList>
</comments>
</file>

<file path=xl/comments21.xml><?xml version="1.0" encoding="utf-8"?>
<comments xmlns="http://schemas.openxmlformats.org/spreadsheetml/2006/main" xmlns:mc="http://schemas.openxmlformats.org/markup-compatibility/2006" xmlns:xr="http://schemas.microsoft.com/office/spreadsheetml/2014/revision" mc:Ignorable="xr">
  <authors>
    <author>Sheva Son</author>
    <author>chit trang</author>
    <author>Tran Dat</author>
    <author>Việt Hoàng</author>
    <author>Microsoft Office User</author>
    <author>Duy</author>
  </authors>
  <commentList>
    <comment ref="E2" authorId="0" shapeId="0" xr:uid="{00000000-0006-0000-1400-000001000000}">
      <text>
        <r>
          <rPr>
            <sz val="12"/>
            <color theme="1"/>
            <rFont val="Aptos Narrow"/>
            <family val="2"/>
            <scheme val="minor"/>
          </rPr>
          <t xml:space="preserve">
CTKM đến 15/9:
Cơ hội bốc thăm trúng xe Wave Alpha 110cc đỏ.
Săn táo chớp nhoáng iPhone 15 128GB </t>
        </r>
      </text>
    </comment>
    <comment ref="F2" authorId="1" shapeId="0" xr:uid="{00000000-0006-0000-1400-000002000000}">
      <text>
        <r>
          <rPr>
            <sz val="12"/>
            <color theme="1"/>
            <rFont val="Aptos Narrow"/>
            <family val="2"/>
            <scheme val="minor"/>
          </rPr>
          <t>chit trang:
Wass 19.190.000</t>
        </r>
      </text>
    </comment>
    <comment ref="G2" authorId="2" shapeId="0" xr:uid="{00000000-0006-0000-1400-000003000000}">
      <text>
        <r>
          <rPr>
            <sz val="12"/>
            <color theme="1"/>
            <rFont val="Aptos Narrow"/>
            <family val="2"/>
            <scheme val="minor"/>
          </rPr>
          <t>Tran Dat:
18.990.000</t>
        </r>
      </text>
    </comment>
    <comment ref="E3" authorId="0" shapeId="0" xr:uid="{00000000-0006-0000-1400-000004000000}">
      <text>
        <r>
          <rPr>
            <sz val="12"/>
            <color theme="1"/>
            <rFont val="Aptos Narrow"/>
            <family val="2"/>
            <scheme val="minor"/>
          </rPr>
          <t xml:space="preserve">
CTKM đến 15/9:
Back to school, cơ hội trúng xe Wave Alpha 110cc đỏ.
Săn táo hớp nhoáng:
iPhone 15 Plus 128GB Pink: 21.990K
iPhone 15 Plus 256GB Pink: 24.790K</t>
        </r>
      </text>
    </comment>
    <comment ref="E4" authorId="0" shapeId="0" xr:uid="{00000000-0006-0000-1400-000005000000}">
      <text>
        <r>
          <rPr>
            <sz val="12"/>
            <color theme="1"/>
            <rFont val="Aptos Narrow"/>
            <family val="2"/>
            <scheme val="minor"/>
          </rPr>
          <t xml:space="preserve">
CTKM đến 15/9:
Giảm 500K mua Online (đã trừ vào giá)
Last week: 24,490,000</t>
        </r>
      </text>
    </comment>
    <comment ref="F4" authorId="1" shapeId="0" xr:uid="{00000000-0006-0000-1400-000006000000}">
      <text>
        <r>
          <rPr>
            <sz val="12"/>
            <color theme="1"/>
            <rFont val="Aptos Narrow"/>
            <family val="2"/>
            <scheme val="minor"/>
          </rPr>
          <t>chit trang:
24.290.000</t>
        </r>
      </text>
    </comment>
    <comment ref="G4" authorId="2" shapeId="0" xr:uid="{00000000-0006-0000-1400-000007000000}">
      <text>
        <r>
          <rPr>
            <sz val="12"/>
            <color theme="1"/>
            <rFont val="Aptos Narrow"/>
            <family val="2"/>
            <scheme val="minor"/>
          </rPr>
          <t>Tran Dat:
24.290.000</t>
        </r>
      </text>
    </comment>
    <comment ref="E5" authorId="0" shapeId="0" xr:uid="{00000000-0006-0000-1400-000008000000}">
      <text>
        <r>
          <rPr>
            <sz val="12"/>
            <color theme="1"/>
            <rFont val="Aptos Narrow"/>
            <family val="2"/>
            <scheme val="minor"/>
          </rPr>
          <t xml:space="preserve">Last week was: 28.700.000
</t>
        </r>
      </text>
    </comment>
    <comment ref="F5" authorId="1" shapeId="0" xr:uid="{00000000-0006-0000-1400-000009000000}">
      <text>
        <r>
          <rPr>
            <sz val="12"/>
            <color theme="1"/>
            <rFont val="Aptos Narrow"/>
            <family val="2"/>
            <scheme val="minor"/>
          </rPr>
          <t>chit trang:
27.890.000</t>
        </r>
      </text>
    </comment>
    <comment ref="F6" authorId="1" shapeId="0" xr:uid="{00000000-0006-0000-1400-00000A000000}">
      <text>
        <r>
          <rPr>
            <sz val="12"/>
            <color theme="1"/>
            <rFont val="Aptos Narrow"/>
            <family val="2"/>
            <scheme val="minor"/>
          </rPr>
          <t>chit trang:
19.890.000</t>
        </r>
      </text>
    </comment>
    <comment ref="D9" authorId="3" shapeId="0" xr:uid="{00000000-0006-0000-1400-00000B000000}">
      <text>
        <r>
          <rPr>
            <sz val="12"/>
            <color theme="1"/>
            <rFont val="Aptos Narrow"/>
            <family val="2"/>
            <scheme val="minor"/>
          </rPr>
          <t>Việt Hoàng:
Last week was:
10.990.000</t>
        </r>
      </text>
    </comment>
    <comment ref="F15" authorId="1" shapeId="0" xr:uid="{00000000-0006-0000-1400-00000C000000}">
      <text>
        <r>
          <rPr>
            <sz val="12"/>
            <color theme="1"/>
            <rFont val="Aptos Narrow"/>
            <family val="2"/>
            <scheme val="minor"/>
          </rPr>
          <t>chit trang:
Wass 16.790.000</t>
        </r>
      </text>
    </comment>
    <comment ref="F16" authorId="1" shapeId="0" xr:uid="{00000000-0006-0000-1400-00000D000000}">
      <text>
        <r>
          <rPr>
            <sz val="12"/>
            <color theme="1"/>
            <rFont val="Aptos Narrow"/>
            <family val="2"/>
            <scheme val="minor"/>
          </rPr>
          <t>chit trang:
21.690.000</t>
        </r>
      </text>
    </comment>
    <comment ref="D18" authorId="3" shapeId="0" xr:uid="{00000000-0006-0000-1400-00000E000000}">
      <text>
        <r>
          <rPr>
            <sz val="12"/>
            <color theme="1"/>
            <rFont val="Aptos Narrow"/>
            <family val="2"/>
            <scheme val="minor"/>
          </rPr>
          <t>Việt Hoàng:
Last week was
37.790.000</t>
        </r>
      </text>
    </comment>
    <comment ref="E19" authorId="0" shapeId="0" xr:uid="{00000000-0006-0000-1400-00000F000000}">
      <text>
        <r>
          <rPr>
            <sz val="12"/>
            <color theme="1"/>
            <rFont val="Aptos Narrow"/>
            <family val="2"/>
            <scheme val="minor"/>
          </rPr>
          <t>Last week: 5.690.000</t>
        </r>
      </text>
    </comment>
    <comment ref="E20" authorId="0" shapeId="0" xr:uid="{00000000-0006-0000-1400-000010000000}">
      <text>
        <r>
          <rPr>
            <sz val="12"/>
            <color theme="1"/>
            <rFont val="Aptos Narrow"/>
            <family val="2"/>
            <scheme val="minor"/>
          </rPr>
          <t>Last week: 7.190.000</t>
        </r>
      </text>
    </comment>
    <comment ref="E21" authorId="0" shapeId="0" xr:uid="{00000000-0006-0000-1400-000011000000}">
      <text>
        <r>
          <rPr>
            <sz val="12"/>
            <color theme="1"/>
            <rFont val="Aptos Narrow"/>
            <family val="2"/>
            <scheme val="minor"/>
          </rPr>
          <t>Last week: 6.590.000</t>
        </r>
      </text>
    </comment>
    <comment ref="G21" authorId="2" shapeId="0" xr:uid="{00000000-0006-0000-1400-000012000000}">
      <text>
        <r>
          <rPr>
            <sz val="12"/>
            <color theme="1"/>
            <rFont val="Aptos Narrow"/>
            <family val="2"/>
            <scheme val="minor"/>
          </rPr>
          <t>Tran Dat:
6.390.000</t>
        </r>
      </text>
    </comment>
    <comment ref="E22" authorId="0" shapeId="0" xr:uid="{00000000-0006-0000-1400-000013000000}">
      <text>
        <r>
          <rPr>
            <sz val="12"/>
            <color theme="1"/>
            <rFont val="Aptos Narrow"/>
            <family val="2"/>
            <scheme val="minor"/>
          </rPr>
          <t>Last week was: 7.990.000</t>
        </r>
      </text>
    </comment>
    <comment ref="E23" authorId="0" shapeId="0" xr:uid="{00000000-0006-0000-1400-000014000000}">
      <text>
        <r>
          <rPr>
            <sz val="12"/>
            <color theme="1"/>
            <rFont val="Aptos Narrow"/>
            <family val="2"/>
            <scheme val="minor"/>
          </rPr>
          <t>Last week: 8.990.000</t>
        </r>
      </text>
    </comment>
    <comment ref="F23" authorId="1" shapeId="0" xr:uid="{00000000-0006-0000-1400-000015000000}">
      <text>
        <r>
          <rPr>
            <sz val="12"/>
            <color theme="1"/>
            <rFont val="Aptos Narrow"/>
            <family val="2"/>
            <scheme val="minor"/>
          </rPr>
          <t>chit trang:
9.590.000</t>
        </r>
      </text>
    </comment>
    <comment ref="G23" authorId="2" shapeId="0" xr:uid="{00000000-0006-0000-1400-000016000000}">
      <text>
        <r>
          <rPr>
            <sz val="12"/>
            <color theme="1"/>
            <rFont val="Aptos Narrow"/>
            <family val="2"/>
            <scheme val="minor"/>
          </rPr>
          <t>Tran Dat:
9.390.000</t>
        </r>
      </text>
    </comment>
    <comment ref="B24" authorId="4" shapeId="0" xr:uid="{00000000-0006-0000-1400-000017000000}">
      <text>
        <r>
          <rPr>
            <sz val="12"/>
            <color theme="1"/>
            <rFont val="Aptos Narrow"/>
            <family val="2"/>
            <scheme val="minor"/>
          </rPr>
          <t>was 12490000</t>
        </r>
      </text>
    </comment>
    <comment ref="E24" authorId="0" shapeId="0" xr:uid="{00000000-0006-0000-1400-000018000000}">
      <text>
        <r>
          <rPr>
            <sz val="12"/>
            <color theme="1"/>
            <rFont val="Aptos Narrow"/>
            <family val="2"/>
            <scheme val="minor"/>
          </rPr>
          <t>Last Week: 11.690.000</t>
        </r>
      </text>
    </comment>
    <comment ref="G24" authorId="2" shapeId="0" xr:uid="{00000000-0006-0000-1400-000019000000}">
      <text>
        <r>
          <rPr>
            <sz val="12"/>
            <color theme="1"/>
            <rFont val="Aptos Narrow"/>
            <family val="2"/>
            <scheme val="minor"/>
          </rPr>
          <t>Tran Dat:
11.890.000</t>
        </r>
      </text>
    </comment>
    <comment ref="E25" authorId="0" shapeId="0" xr:uid="{00000000-0006-0000-1400-00001A000000}">
      <text>
        <r>
          <rPr>
            <sz val="12"/>
            <color theme="1"/>
            <rFont val="Aptos Narrow"/>
            <family val="2"/>
            <scheme val="minor"/>
          </rPr>
          <t xml:space="preserve">Last week: 9.790.000
</t>
        </r>
      </text>
    </comment>
    <comment ref="F25" authorId="1" shapeId="0" xr:uid="{00000000-0006-0000-1400-00001B000000}">
      <text>
        <r>
          <rPr>
            <sz val="12"/>
            <color theme="1"/>
            <rFont val="Aptos Narrow"/>
            <family val="2"/>
            <scheme val="minor"/>
          </rPr>
          <t>chit trang:
10.690.000</t>
        </r>
      </text>
    </comment>
    <comment ref="G25" authorId="2" shapeId="0" xr:uid="{00000000-0006-0000-1400-00001C000000}">
      <text>
        <r>
          <rPr>
            <sz val="12"/>
            <color theme="1"/>
            <rFont val="Aptos Narrow"/>
            <family val="2"/>
            <scheme val="minor"/>
          </rPr>
          <t>Tran Dat:
10.390.000</t>
        </r>
      </text>
    </comment>
    <comment ref="E26" authorId="0" shapeId="0" xr:uid="{00000000-0006-0000-1400-00001D000000}">
      <text>
        <r>
          <rPr>
            <sz val="12"/>
            <color theme="1"/>
            <rFont val="Aptos Narrow"/>
            <family val="2"/>
            <scheme val="minor"/>
          </rPr>
          <t xml:space="preserve">
Last week: 12.690.000</t>
        </r>
      </text>
    </comment>
    <comment ref="G26" authorId="2" shapeId="0" xr:uid="{00000000-0006-0000-1400-00001E000000}">
      <text>
        <r>
          <rPr>
            <sz val="12"/>
            <color theme="1"/>
            <rFont val="Aptos Narrow"/>
            <family val="2"/>
            <scheme val="minor"/>
          </rPr>
          <t>Tran Dat:
10.890.000</t>
        </r>
      </text>
    </comment>
    <comment ref="D27" authorId="3" shapeId="0" xr:uid="{00000000-0006-0000-1400-00001F000000}">
      <text>
        <r>
          <rPr>
            <sz val="12"/>
            <color theme="1"/>
            <rFont val="Aptos Narrow"/>
            <family val="2"/>
            <scheme val="minor"/>
          </rPr>
          <t>Việt Hoàng:
Last week was
20.590.000</t>
        </r>
      </text>
    </comment>
    <comment ref="D28" authorId="3" shapeId="0" xr:uid="{00000000-0006-0000-1400-000020000000}">
      <text>
        <r>
          <rPr>
            <sz val="12"/>
            <color theme="1"/>
            <rFont val="Aptos Narrow"/>
            <family val="2"/>
            <scheme val="minor"/>
          </rPr>
          <t>Việt Hoàng:
Last week was:
5.640.000</t>
        </r>
      </text>
    </comment>
    <comment ref="E28" authorId="0" shapeId="0" xr:uid="{00000000-0006-0000-1400-000021000000}">
      <text>
        <r>
          <rPr>
            <sz val="12"/>
            <color theme="1"/>
            <rFont val="Aptos Narrow"/>
            <family val="2"/>
            <scheme val="minor"/>
          </rPr>
          <t xml:space="preserve">Last week was: 5.390K
</t>
        </r>
      </text>
    </comment>
    <comment ref="B29" authorId="4" shapeId="0" xr:uid="{00000000-0006-0000-1400-000022000000}">
      <text>
        <r>
          <rPr>
            <sz val="12"/>
            <color theme="1"/>
            <rFont val="Aptos Narrow"/>
            <family val="2"/>
            <scheme val="minor"/>
          </rPr>
          <t>was 3990000</t>
        </r>
      </text>
    </comment>
    <comment ref="C29" authorId="5" shapeId="0" xr:uid="{00000000-0006-0000-1400-000023000000}">
      <text>
        <r>
          <rPr>
            <sz val="12"/>
            <color theme="1"/>
            <rFont val="Aptos Narrow"/>
            <family val="2"/>
            <scheme val="minor"/>
          </rPr>
          <t>Duy:
Last Week: 3,990,000</t>
        </r>
      </text>
    </comment>
    <comment ref="D29" authorId="3" shapeId="0" xr:uid="{00000000-0006-0000-1400-000024000000}">
      <text>
        <r>
          <rPr>
            <sz val="12"/>
            <color theme="1"/>
            <rFont val="Aptos Narrow"/>
            <family val="2"/>
            <scheme val="minor"/>
          </rPr>
          <t>Việt Hoàng:
Last week was:
3.790.000</t>
        </r>
      </text>
    </comment>
    <comment ref="E29" authorId="0" shapeId="0" xr:uid="{00000000-0006-0000-1400-000025000000}">
      <text>
        <r>
          <rPr>
            <sz val="12"/>
            <color theme="1"/>
            <rFont val="Aptos Narrow"/>
            <family val="2"/>
            <scheme val="minor"/>
          </rPr>
          <t xml:space="preserve">
Last week: 3.890.000</t>
        </r>
      </text>
    </comment>
    <comment ref="F29" authorId="1" shapeId="0" xr:uid="{00000000-0006-0000-1400-000026000000}">
      <text>
        <r>
          <rPr>
            <sz val="12"/>
            <color theme="1"/>
            <rFont val="Aptos Narrow"/>
            <family val="2"/>
            <scheme val="minor"/>
          </rPr>
          <t>chit trang:
3.850.000</t>
        </r>
      </text>
    </comment>
    <comment ref="D30" authorId="3" shapeId="0" xr:uid="{00000000-0006-0000-1400-000027000000}">
      <text>
        <r>
          <rPr>
            <sz val="12"/>
            <color theme="1"/>
            <rFont val="Aptos Narrow"/>
            <family val="2"/>
            <scheme val="minor"/>
          </rPr>
          <t>Việt Hoàng:
Last week was:
2.690.000</t>
        </r>
      </text>
    </comment>
    <comment ref="F30" authorId="1" shapeId="0" xr:uid="{00000000-0006-0000-1400-000028000000}">
      <text>
        <r>
          <rPr>
            <sz val="12"/>
            <color theme="1"/>
            <rFont val="Aptos Narrow"/>
            <family val="2"/>
            <scheme val="minor"/>
          </rPr>
          <t>chit trang:
2.690.000</t>
        </r>
      </text>
    </comment>
    <comment ref="D31" authorId="3" shapeId="0" xr:uid="{00000000-0006-0000-1400-000029000000}">
      <text>
        <r>
          <rPr>
            <sz val="12"/>
            <color theme="1"/>
            <rFont val="Aptos Narrow"/>
            <family val="2"/>
            <scheme val="minor"/>
          </rPr>
          <t>Việt Hoàng:
Last week was:
18.290.000</t>
        </r>
      </text>
    </comment>
    <comment ref="F31" authorId="1" shapeId="0" xr:uid="{00000000-0006-0000-1400-00002A000000}">
      <text>
        <r>
          <rPr>
            <sz val="12"/>
            <color theme="1"/>
            <rFont val="Aptos Narrow"/>
            <family val="2"/>
            <scheme val="minor"/>
          </rPr>
          <t>chit trang:
18.490.000</t>
        </r>
      </text>
    </comment>
    <comment ref="B32" authorId="4" shapeId="0" xr:uid="{00000000-0006-0000-1400-00002B000000}">
      <text>
        <r>
          <rPr>
            <sz val="12"/>
            <color theme="1"/>
            <rFont val="Aptos Narrow"/>
            <family val="2"/>
            <scheme val="minor"/>
          </rPr>
          <t>was 23090</t>
        </r>
      </text>
    </comment>
    <comment ref="C32" authorId="5" shapeId="0" xr:uid="{00000000-0006-0000-1400-00002C000000}">
      <text>
        <r>
          <rPr>
            <sz val="12"/>
            <color theme="1"/>
            <rFont val="Aptos Narrow"/>
            <family val="2"/>
            <scheme val="minor"/>
          </rPr>
          <t>Duy:
Last week: 23.090.000</t>
        </r>
      </text>
    </comment>
    <comment ref="D32" authorId="3" shapeId="0" xr:uid="{00000000-0006-0000-1400-00002D000000}">
      <text>
        <r>
          <rPr>
            <sz val="12"/>
            <color theme="1"/>
            <rFont val="Aptos Narrow"/>
            <family val="2"/>
            <scheme val="minor"/>
          </rPr>
          <t>Việt Hoàng:
Last week was:
22.790.000</t>
        </r>
      </text>
    </comment>
    <comment ref="F32" authorId="1" shapeId="0" xr:uid="{00000000-0006-0000-1400-00002E000000}">
      <text>
        <r>
          <rPr>
            <sz val="12"/>
            <color theme="1"/>
            <rFont val="Aptos Narrow"/>
            <family val="2"/>
            <scheme val="minor"/>
          </rPr>
          <t>chit trang:
23.290.000</t>
        </r>
      </text>
    </comment>
    <comment ref="B33" authorId="4" shapeId="0" xr:uid="{00000000-0006-0000-1400-00002F000000}">
      <text>
        <r>
          <rPr>
            <sz val="12"/>
            <color theme="1"/>
            <rFont val="Aptos Narrow"/>
            <family val="2"/>
            <scheme val="minor"/>
          </rPr>
          <t>was 26490</t>
        </r>
      </text>
    </comment>
    <comment ref="C33" authorId="5" shapeId="0" xr:uid="{00000000-0006-0000-1400-000030000000}">
      <text>
        <r>
          <rPr>
            <sz val="12"/>
            <color theme="1"/>
            <rFont val="Aptos Narrow"/>
            <family val="2"/>
            <scheme val="minor"/>
          </rPr>
          <t>Duy:
Last week: 26,490,000</t>
        </r>
      </text>
    </comment>
    <comment ref="D33" authorId="3" shapeId="0" xr:uid="{00000000-0006-0000-1400-000031000000}">
      <text>
        <r>
          <rPr>
            <sz val="12"/>
            <color theme="1"/>
            <rFont val="Aptos Narrow"/>
            <family val="2"/>
            <scheme val="minor"/>
          </rPr>
          <t>Việt Hoàng:
Last week was
26.190.000</t>
        </r>
      </text>
    </comment>
    <comment ref="F33" authorId="1" shapeId="0" xr:uid="{00000000-0006-0000-1400-000032000000}">
      <text>
        <r>
          <rPr>
            <sz val="12"/>
            <color theme="1"/>
            <rFont val="Aptos Narrow"/>
            <family val="2"/>
            <scheme val="minor"/>
          </rPr>
          <t>chit trang:
26.690.000</t>
        </r>
      </text>
    </comment>
    <comment ref="F34" authorId="1" shapeId="0" xr:uid="{00000000-0006-0000-1400-000033000000}">
      <text>
        <r>
          <rPr>
            <sz val="12"/>
            <color theme="1"/>
            <rFont val="Aptos Narrow"/>
            <family val="2"/>
            <scheme val="minor"/>
          </rPr>
          <t>chit trang:
31.590.000</t>
        </r>
      </text>
    </comment>
    <comment ref="D35" authorId="3" shapeId="0" xr:uid="{00000000-0006-0000-1400-000034000000}">
      <text>
        <r>
          <rPr>
            <sz val="12"/>
            <color theme="1"/>
            <rFont val="Aptos Narrow"/>
            <family val="2"/>
            <scheme val="minor"/>
          </rPr>
          <t>Việt Hoàng:
Last week was
37.890.000</t>
        </r>
      </text>
    </comment>
    <comment ref="F35" authorId="1" shapeId="0" xr:uid="{00000000-0006-0000-1400-000035000000}">
      <text>
        <r>
          <rPr>
            <sz val="12"/>
            <color theme="1"/>
            <rFont val="Aptos Narrow"/>
            <family val="2"/>
            <scheme val="minor"/>
          </rPr>
          <t>chit trang:
38.490.000</t>
        </r>
      </text>
    </comment>
  </commentList>
</comments>
</file>

<file path=xl/comments22.xml><?xml version="1.0" encoding="utf-8"?>
<comments xmlns="http://schemas.openxmlformats.org/spreadsheetml/2006/main" xmlns:mc="http://schemas.openxmlformats.org/markup-compatibility/2006" xmlns:xr="http://schemas.microsoft.com/office/spreadsheetml/2014/revision" mc:Ignorable="xr">
  <authors>
    <author>Microsoft Office User</author>
    <author>Duy</author>
    <author>Việt Hoàng</author>
    <author>Sheva Son</author>
    <author>Tran Dat</author>
    <author>chit trang</author>
  </authors>
  <commentList>
    <comment ref="B2" authorId="0" shapeId="0" xr:uid="{00000000-0006-0000-1500-000001000000}">
      <text>
        <r>
          <rPr>
            <sz val="12"/>
            <color theme="1"/>
            <rFont val="Aptos Narrow"/>
            <family val="2"/>
            <scheme val="minor"/>
          </rPr>
          <t>was 19590000</t>
        </r>
      </text>
    </comment>
    <comment ref="C2" authorId="1" shapeId="0" xr:uid="{00000000-0006-0000-1500-000002000000}">
      <text>
        <r>
          <rPr>
            <sz val="12"/>
            <color theme="1"/>
            <rFont val="Aptos Narrow"/>
            <family val="2"/>
            <scheme val="minor"/>
          </rPr>
          <t>Duy:
lw: 19.590</t>
        </r>
      </text>
    </comment>
    <comment ref="D2" authorId="2" shapeId="0" xr:uid="{00000000-0006-0000-1500-000003000000}">
      <text>
        <r>
          <rPr>
            <sz val="12"/>
            <color theme="1"/>
            <rFont val="Aptos Narrow"/>
            <family val="2"/>
            <scheme val="minor"/>
          </rPr>
          <t>Việt Hoàng:
Last week was
19.490.000</t>
        </r>
      </text>
    </comment>
    <comment ref="E2" authorId="3" shapeId="0" xr:uid="{00000000-0006-0000-1500-000004000000}">
      <text>
        <r>
          <rPr>
            <sz val="12"/>
            <color theme="1"/>
            <rFont val="Aptos Narrow"/>
            <family val="2"/>
            <scheme val="minor"/>
          </rPr>
          <t xml:space="preserve">
CTKM đến 15/9:
Cơ hội bốc thăm trúng xe Wave Alpha 110cc đỏ.
Săn táo chớp nhoáng iPhone 15 128GB </t>
        </r>
      </text>
    </comment>
    <comment ref="G2" authorId="4" shapeId="0" xr:uid="{00000000-0006-0000-1500-000005000000}">
      <text>
        <r>
          <rPr>
            <sz val="12"/>
            <color theme="1"/>
            <rFont val="Aptos Narrow"/>
            <family val="2"/>
            <scheme val="minor"/>
          </rPr>
          <t>Tran Dat:
18.990.000</t>
        </r>
      </text>
    </comment>
    <comment ref="B3" authorId="0" shapeId="0" xr:uid="{00000000-0006-0000-1500-000006000000}">
      <text>
        <r>
          <rPr>
            <sz val="12"/>
            <color theme="1"/>
            <rFont val="Aptos Narrow"/>
            <family val="2"/>
            <scheme val="minor"/>
          </rPr>
          <t>was 22590000</t>
        </r>
      </text>
    </comment>
    <comment ref="C3" authorId="1" shapeId="0" xr:uid="{00000000-0006-0000-1500-000007000000}">
      <text>
        <r>
          <rPr>
            <sz val="12"/>
            <color theme="1"/>
            <rFont val="Aptos Narrow"/>
            <family val="2"/>
            <scheme val="minor"/>
          </rPr>
          <t>Duy:
lw: 22.590</t>
        </r>
      </text>
    </comment>
    <comment ref="D3" authorId="2" shapeId="0" xr:uid="{00000000-0006-0000-1500-000008000000}">
      <text>
        <r>
          <rPr>
            <sz val="12"/>
            <color theme="1"/>
            <rFont val="Aptos Narrow"/>
            <family val="2"/>
            <scheme val="minor"/>
          </rPr>
          <t>Việt Hoàng:
Last week was
22.490.000</t>
        </r>
      </text>
    </comment>
    <comment ref="E3" authorId="3" shapeId="0" xr:uid="{00000000-0006-0000-1500-000009000000}">
      <text>
        <r>
          <rPr>
            <sz val="12"/>
            <color theme="1"/>
            <rFont val="Aptos Narrow"/>
            <family val="2"/>
            <scheme val="minor"/>
          </rPr>
          <t xml:space="preserve">
CTKM đến 15/9:
Back to school, cơ hội trúng xe Wave Alpha 110cc đỏ.
Săn táo hớp nhoáng:
iPhone 15 Plus 128GB Pink: 21.990K
iPhone 15 Plus 256GB Pink: 24.790K</t>
        </r>
      </text>
    </comment>
    <comment ref="B4" authorId="0" shapeId="0" xr:uid="{00000000-0006-0000-1500-00000A000000}">
      <text>
        <r>
          <rPr>
            <sz val="12"/>
            <color theme="1"/>
            <rFont val="Aptos Narrow"/>
            <family val="2"/>
            <scheme val="minor"/>
          </rPr>
          <t>was 24890000</t>
        </r>
      </text>
    </comment>
    <comment ref="C4" authorId="1" shapeId="0" xr:uid="{00000000-0006-0000-1500-00000B000000}">
      <text>
        <r>
          <rPr>
            <sz val="12"/>
            <color theme="1"/>
            <rFont val="Aptos Narrow"/>
            <family val="2"/>
            <scheme val="minor"/>
          </rPr>
          <t>Duy:
24.890</t>
        </r>
      </text>
    </comment>
    <comment ref="D4" authorId="2" shapeId="0" xr:uid="{00000000-0006-0000-1500-00000C000000}">
      <text>
        <r>
          <rPr>
            <sz val="12"/>
            <color theme="1"/>
            <rFont val="Aptos Narrow"/>
            <family val="2"/>
            <scheme val="minor"/>
          </rPr>
          <t>Việt Hoàng:
Last week was
24.790.000</t>
        </r>
      </text>
    </comment>
    <comment ref="E4" authorId="3" shapeId="0" xr:uid="{00000000-0006-0000-1500-00000D000000}">
      <text>
        <r>
          <rPr>
            <sz val="12"/>
            <color theme="1"/>
            <rFont val="Aptos Narrow"/>
            <family val="2"/>
            <scheme val="minor"/>
          </rPr>
          <t xml:space="preserve">
CTKM đến 15/9:
Giảm 500K mua Online (đã trừ vào giá)
Giảm 500K màu Blue titanium</t>
        </r>
      </text>
    </comment>
    <comment ref="G4" authorId="4" shapeId="0" xr:uid="{00000000-0006-0000-1500-00000E000000}">
      <text>
        <r>
          <rPr>
            <sz val="12"/>
            <color theme="1"/>
            <rFont val="Aptos Narrow"/>
            <family val="2"/>
            <scheme val="minor"/>
          </rPr>
          <t>Tran Dat:
24.290.000</t>
        </r>
      </text>
    </comment>
    <comment ref="B5" authorId="0" shapeId="0" xr:uid="{00000000-0006-0000-1500-00000F000000}">
      <text>
        <r>
          <rPr>
            <sz val="12"/>
            <color theme="1"/>
            <rFont val="Aptos Narrow"/>
            <family val="2"/>
            <scheme val="minor"/>
          </rPr>
          <t>was 29390000</t>
        </r>
      </text>
    </comment>
    <comment ref="C5" authorId="1" shapeId="0" xr:uid="{00000000-0006-0000-1500-000010000000}">
      <text>
        <r>
          <rPr>
            <sz val="12"/>
            <color theme="1"/>
            <rFont val="Aptos Narrow"/>
            <family val="2"/>
            <scheme val="minor"/>
          </rPr>
          <t>Duy:
lw: 29.390</t>
        </r>
      </text>
    </comment>
    <comment ref="E5" authorId="3" shapeId="0" xr:uid="{00000000-0006-0000-1500-000011000000}">
      <text>
        <r>
          <rPr>
            <sz val="12"/>
            <color theme="1"/>
            <rFont val="Aptos Narrow"/>
            <family val="2"/>
            <scheme val="minor"/>
          </rPr>
          <t>Last week was: 28.690.000
Giảm 1.000.000VND (Đã trừ vào giá)
Giảm 1% tối đa 300K khi mở ví VNPAY</t>
        </r>
      </text>
    </comment>
    <comment ref="D6" authorId="2" shapeId="0" xr:uid="{00000000-0006-0000-1500-000012000000}">
      <text>
        <r>
          <rPr>
            <sz val="12"/>
            <color theme="1"/>
            <rFont val="Aptos Narrow"/>
            <family val="2"/>
            <scheme val="minor"/>
          </rPr>
          <t>Việt Hoàng:
Last week was
19.690.000</t>
        </r>
      </text>
    </comment>
    <comment ref="B7" authorId="0" shapeId="0" xr:uid="{00000000-0006-0000-1500-000013000000}">
      <text>
        <r>
          <rPr>
            <sz val="12"/>
            <color theme="1"/>
            <rFont val="Aptos Narrow"/>
            <family val="2"/>
            <scheme val="minor"/>
          </rPr>
          <t>was 17090000</t>
        </r>
      </text>
    </comment>
    <comment ref="C7" authorId="1" shapeId="0" xr:uid="{00000000-0006-0000-1500-000014000000}">
      <text>
        <r>
          <rPr>
            <sz val="12"/>
            <color theme="1"/>
            <rFont val="Aptos Narrow"/>
            <family val="2"/>
            <scheme val="minor"/>
          </rPr>
          <t>Duy:
lw: 17.090</t>
        </r>
      </text>
    </comment>
    <comment ref="B8" authorId="0" shapeId="0" xr:uid="{00000000-0006-0000-1500-000015000000}">
      <text>
        <r>
          <rPr>
            <sz val="12"/>
            <color theme="1"/>
            <rFont val="Aptos Narrow"/>
            <family val="2"/>
            <scheme val="minor"/>
          </rPr>
          <t>was 13890000</t>
        </r>
      </text>
    </comment>
    <comment ref="C8" authorId="1" shapeId="0" xr:uid="{00000000-0006-0000-1500-000016000000}">
      <text>
        <r>
          <rPr>
            <sz val="12"/>
            <color theme="1"/>
            <rFont val="Aptos Narrow"/>
            <family val="2"/>
            <scheme val="minor"/>
          </rPr>
          <t>Duy:
lw: 13.890</t>
        </r>
      </text>
    </comment>
    <comment ref="D8" authorId="2" shapeId="0" xr:uid="{00000000-0006-0000-1500-000017000000}">
      <text>
        <r>
          <rPr>
            <sz val="12"/>
            <color theme="1"/>
            <rFont val="Aptos Narrow"/>
            <family val="2"/>
            <scheme val="minor"/>
          </rPr>
          <t>Việt Hoàng:
Last week was
13.790.000</t>
        </r>
      </text>
    </comment>
    <comment ref="F8" authorId="5" shapeId="0" xr:uid="{00000000-0006-0000-1500-000018000000}">
      <text>
        <r>
          <rPr>
            <sz val="12"/>
            <color theme="1"/>
            <rFont val="Aptos Narrow"/>
            <family val="2"/>
            <scheme val="minor"/>
          </rPr>
          <t>chit trang:
Wass 13.850</t>
        </r>
      </text>
    </comment>
    <comment ref="E9" authorId="3" shapeId="0" xr:uid="{00000000-0006-0000-1500-000019000000}">
      <text>
        <r>
          <rPr>
            <sz val="12"/>
            <color theme="1"/>
            <rFont val="Aptos Narrow"/>
            <family val="2"/>
            <scheme val="minor"/>
          </rPr>
          <t xml:space="preserve">Last week is: 11.390K
</t>
        </r>
      </text>
    </comment>
    <comment ref="B10" authorId="0" shapeId="0" xr:uid="{00000000-0006-0000-1500-00001A000000}">
      <text>
        <r>
          <rPr>
            <sz val="12"/>
            <color theme="1"/>
            <rFont val="Aptos Narrow"/>
            <family val="2"/>
            <scheme val="minor"/>
          </rPr>
          <t>was 8990000</t>
        </r>
      </text>
    </comment>
    <comment ref="C10" authorId="1" shapeId="0" xr:uid="{00000000-0006-0000-1500-00001B000000}">
      <text>
        <r>
          <rPr>
            <sz val="12"/>
            <color theme="1"/>
            <rFont val="Aptos Narrow"/>
            <family val="2"/>
            <scheme val="minor"/>
          </rPr>
          <t>Duy:
lw: 8.990</t>
        </r>
      </text>
    </comment>
    <comment ref="F10" authorId="5" shapeId="0" xr:uid="{00000000-0006-0000-1500-00001C000000}">
      <text>
        <r>
          <rPr>
            <sz val="12"/>
            <color theme="1"/>
            <rFont val="Aptos Narrow"/>
            <family val="2"/>
            <scheme val="minor"/>
          </rPr>
          <t>chit trang:
Wass 8.690.000</t>
        </r>
      </text>
    </comment>
    <comment ref="F12" authorId="5" shapeId="0" xr:uid="{00000000-0006-0000-1500-00001D000000}">
      <text>
        <r>
          <rPr>
            <sz val="12"/>
            <color theme="1"/>
            <rFont val="Aptos Narrow"/>
            <family val="2"/>
            <scheme val="minor"/>
          </rPr>
          <t>chit trang:
Wass 12.650.000</t>
        </r>
      </text>
    </comment>
    <comment ref="D13" authorId="2" shapeId="0" xr:uid="{00000000-0006-0000-1500-00001E000000}">
      <text>
        <r>
          <rPr>
            <sz val="12"/>
            <color theme="1"/>
            <rFont val="Aptos Narrow"/>
            <family val="2"/>
            <scheme val="minor"/>
          </rPr>
          <t>Việt Hoàng:
Last week was
9.740.000</t>
        </r>
      </text>
    </comment>
    <comment ref="E13" authorId="3" shapeId="0" xr:uid="{00000000-0006-0000-1500-00001F000000}">
      <text>
        <r>
          <rPr>
            <sz val="12"/>
            <color theme="1"/>
            <rFont val="Aptos Narrow"/>
            <family val="2"/>
            <scheme val="minor"/>
          </rPr>
          <t>Last week is: 9.490K
Giảm 200K mua Online
Giảm 10% tối đa 120K khi mở ví VNPAY</t>
        </r>
      </text>
    </comment>
    <comment ref="F13" authorId="5" shapeId="0" xr:uid="{00000000-0006-0000-1500-000020000000}">
      <text>
        <r>
          <rPr>
            <sz val="12"/>
            <color theme="1"/>
            <rFont val="Aptos Narrow"/>
            <family val="2"/>
            <scheme val="minor"/>
          </rPr>
          <t>chit trang:
9.690.000</t>
        </r>
      </text>
    </comment>
    <comment ref="E14" authorId="3" shapeId="0" xr:uid="{00000000-0006-0000-1500-000021000000}">
      <text>
        <r>
          <rPr>
            <sz val="12"/>
            <color theme="1"/>
            <rFont val="Aptos Narrow"/>
            <family val="2"/>
            <scheme val="minor"/>
          </rPr>
          <t>Giảm 10% tối đa 120K khi mở ví VNPAY</t>
        </r>
      </text>
    </comment>
    <comment ref="F14" authorId="5" shapeId="0" xr:uid="{00000000-0006-0000-1500-000022000000}">
      <text>
        <r>
          <rPr>
            <sz val="12"/>
            <color theme="1"/>
            <rFont val="Aptos Narrow"/>
            <family val="2"/>
            <scheme val="minor"/>
          </rPr>
          <t>chit trang:
7.090.000</t>
        </r>
      </text>
    </comment>
    <comment ref="E15" authorId="3" shapeId="0" xr:uid="{00000000-0006-0000-1500-000023000000}">
      <text>
        <r>
          <rPr>
            <sz val="12"/>
            <color theme="1"/>
            <rFont val="Aptos Narrow"/>
            <family val="2"/>
            <scheme val="minor"/>
          </rPr>
          <t>Last week is: 16.325K
Giảm 10% tối đa 300K khi mở ví VNPAY</t>
        </r>
      </text>
    </comment>
    <comment ref="F15" authorId="5" shapeId="0" xr:uid="{00000000-0006-0000-1500-000024000000}">
      <text>
        <r>
          <rPr>
            <sz val="12"/>
            <color theme="1"/>
            <rFont val="Aptos Narrow"/>
            <family val="2"/>
            <scheme val="minor"/>
          </rPr>
          <t>chit trang:
Wass 16.690.000</t>
        </r>
      </text>
    </comment>
    <comment ref="E16" authorId="3" shapeId="0" xr:uid="{00000000-0006-0000-1500-000025000000}">
      <text>
        <r>
          <rPr>
            <sz val="12"/>
            <color theme="1"/>
            <rFont val="Aptos Narrow"/>
            <family val="2"/>
            <scheme val="minor"/>
          </rPr>
          <t>Last week is: 21,275K
Giảm 10% tối đa 300K khi mở ví VNPAY</t>
        </r>
      </text>
    </comment>
    <comment ref="F16" authorId="5" shapeId="0" xr:uid="{00000000-0006-0000-1500-000026000000}">
      <text>
        <r>
          <rPr>
            <sz val="12"/>
            <color theme="1"/>
            <rFont val="Aptos Narrow"/>
            <family val="2"/>
            <scheme val="minor"/>
          </rPr>
          <t>chit trang:
21.490.000</t>
        </r>
      </text>
    </comment>
    <comment ref="E17" authorId="3" shapeId="0" xr:uid="{00000000-0006-0000-1500-000027000000}">
      <text>
        <r>
          <rPr>
            <sz val="12"/>
            <color theme="1"/>
            <rFont val="Aptos Narrow"/>
            <family val="2"/>
            <scheme val="minor"/>
          </rPr>
          <t>Last week is: 27.215K
Giảm 10% tối đa 300K khi mở ví VNPAY</t>
        </r>
      </text>
    </comment>
    <comment ref="F17" authorId="5" shapeId="0" xr:uid="{00000000-0006-0000-1500-000028000000}">
      <text>
        <r>
          <rPr>
            <sz val="12"/>
            <color theme="1"/>
            <rFont val="Aptos Narrow"/>
            <family val="2"/>
            <scheme val="minor"/>
          </rPr>
          <t>chit trang:
Wass 27.590.000</t>
        </r>
      </text>
    </comment>
    <comment ref="F18" authorId="5" shapeId="0" xr:uid="{00000000-0006-0000-1500-000029000000}">
      <text>
        <r>
          <rPr>
            <sz val="12"/>
            <color theme="1"/>
            <rFont val="Aptos Narrow"/>
            <family val="2"/>
            <scheme val="minor"/>
          </rPr>
          <t>chit trang:
36.990.000</t>
        </r>
      </text>
    </comment>
    <comment ref="E19" authorId="3" shapeId="0" xr:uid="{00000000-0006-0000-1500-00002A000000}">
      <text>
        <r>
          <rPr>
            <sz val="12"/>
            <color theme="1"/>
            <rFont val="Aptos Narrow"/>
            <family val="2"/>
            <scheme val="minor"/>
          </rPr>
          <t>Last week: 5.870.000</t>
        </r>
      </text>
    </comment>
    <comment ref="F19" authorId="5" shapeId="0" xr:uid="{00000000-0006-0000-1500-00002B000000}">
      <text>
        <r>
          <rPr>
            <sz val="12"/>
            <color theme="1"/>
            <rFont val="Aptos Narrow"/>
            <family val="2"/>
            <scheme val="minor"/>
          </rPr>
          <t>chit trang:
6.190.000</t>
        </r>
      </text>
    </comment>
    <comment ref="E20" authorId="3" shapeId="0" xr:uid="{00000000-0006-0000-1500-00002C000000}">
      <text>
        <r>
          <rPr>
            <sz val="12"/>
            <color theme="1"/>
            <rFont val="Aptos Narrow"/>
            <family val="2"/>
            <scheme val="minor"/>
          </rPr>
          <t>Last week: 7.190.000</t>
        </r>
      </text>
    </comment>
    <comment ref="B21" authorId="0" shapeId="0" xr:uid="{00000000-0006-0000-1500-00002D000000}">
      <text>
        <r>
          <rPr>
            <sz val="12"/>
            <color theme="1"/>
            <rFont val="Aptos Narrow"/>
            <family val="2"/>
            <scheme val="minor"/>
          </rPr>
          <t xml:space="preserve">was 6990000
</t>
        </r>
      </text>
    </comment>
    <comment ref="C21" authorId="1" shapeId="0" xr:uid="{00000000-0006-0000-1500-00002E000000}">
      <text>
        <r>
          <rPr>
            <sz val="12"/>
            <color theme="1"/>
            <rFont val="Aptos Narrow"/>
            <family val="2"/>
            <scheme val="minor"/>
          </rPr>
          <t>Duy:
lw: 6.990</t>
        </r>
      </text>
    </comment>
    <comment ref="E21" authorId="3" shapeId="0" xr:uid="{00000000-0006-0000-1500-00002F000000}">
      <text>
        <r>
          <rPr>
            <sz val="12"/>
            <color theme="1"/>
            <rFont val="Aptos Narrow"/>
            <family val="2"/>
            <scheme val="minor"/>
          </rPr>
          <t>Last week: 6.470.000</t>
        </r>
      </text>
    </comment>
    <comment ref="G21" authorId="4" shapeId="0" xr:uid="{00000000-0006-0000-1500-000030000000}">
      <text>
        <r>
          <rPr>
            <sz val="12"/>
            <color theme="1"/>
            <rFont val="Aptos Narrow"/>
            <family val="2"/>
            <scheme val="minor"/>
          </rPr>
          <t>Tran Dat:
6.390.000</t>
        </r>
      </text>
    </comment>
    <comment ref="E22" authorId="3" shapeId="0" xr:uid="{00000000-0006-0000-1500-000031000000}">
      <text>
        <r>
          <rPr>
            <sz val="12"/>
            <color theme="1"/>
            <rFont val="Aptos Narrow"/>
            <family val="2"/>
            <scheme val="minor"/>
          </rPr>
          <t>Last week was: 7.870.000</t>
        </r>
      </text>
    </comment>
    <comment ref="E23" authorId="3" shapeId="0" xr:uid="{00000000-0006-0000-1500-000032000000}">
      <text>
        <r>
          <rPr>
            <sz val="12"/>
            <color theme="1"/>
            <rFont val="Aptos Narrow"/>
            <family val="2"/>
            <scheme val="minor"/>
          </rPr>
          <t>Last week: 8.990.000</t>
        </r>
      </text>
    </comment>
    <comment ref="F23" authorId="5" shapeId="0" xr:uid="{00000000-0006-0000-1500-000033000000}">
      <text>
        <r>
          <rPr>
            <sz val="12"/>
            <color theme="1"/>
            <rFont val="Aptos Narrow"/>
            <family val="2"/>
            <scheme val="minor"/>
          </rPr>
          <t>chit trang:
9.490.000</t>
        </r>
      </text>
    </comment>
    <comment ref="G23" authorId="4" shapeId="0" xr:uid="{00000000-0006-0000-1500-000034000000}">
      <text>
        <r>
          <rPr>
            <sz val="12"/>
            <color theme="1"/>
            <rFont val="Aptos Narrow"/>
            <family val="2"/>
            <scheme val="minor"/>
          </rPr>
          <t>Tran Dat:
9.390.000</t>
        </r>
      </text>
    </comment>
    <comment ref="B24" authorId="0" shapeId="0" xr:uid="{00000000-0006-0000-1500-000035000000}">
      <text>
        <r>
          <rPr>
            <sz val="12"/>
            <color theme="1"/>
            <rFont val="Aptos Narrow"/>
            <family val="2"/>
            <scheme val="minor"/>
          </rPr>
          <t>was 12590000</t>
        </r>
      </text>
    </comment>
    <comment ref="E24" authorId="3" shapeId="0" xr:uid="{00000000-0006-0000-1500-000036000000}">
      <text>
        <r>
          <rPr>
            <sz val="12"/>
            <color theme="1"/>
            <rFont val="Aptos Narrow"/>
            <family val="2"/>
            <scheme val="minor"/>
          </rPr>
          <t>Last Week: 12.070.000</t>
        </r>
      </text>
    </comment>
    <comment ref="G24" authorId="4" shapeId="0" xr:uid="{00000000-0006-0000-1500-000037000000}">
      <text>
        <r>
          <rPr>
            <sz val="12"/>
            <color theme="1"/>
            <rFont val="Aptos Narrow"/>
            <family val="2"/>
            <scheme val="minor"/>
          </rPr>
          <t>Tran Dat:
11.890.000</t>
        </r>
      </text>
    </comment>
    <comment ref="E25" authorId="3" shapeId="0" xr:uid="{00000000-0006-0000-1500-000038000000}">
      <text>
        <r>
          <rPr>
            <sz val="12"/>
            <color theme="1"/>
            <rFont val="Aptos Narrow"/>
            <family val="2"/>
            <scheme val="minor"/>
          </rPr>
          <t xml:space="preserve">Last week: 10.370.000
</t>
        </r>
      </text>
    </comment>
    <comment ref="F25" authorId="5" shapeId="0" xr:uid="{00000000-0006-0000-1500-000039000000}">
      <text>
        <r>
          <rPr>
            <sz val="12"/>
            <color theme="1"/>
            <rFont val="Aptos Narrow"/>
            <family val="2"/>
            <scheme val="minor"/>
          </rPr>
          <t>chit trang:
10.390.000</t>
        </r>
      </text>
    </comment>
    <comment ref="G25" authorId="4" shapeId="0" xr:uid="{00000000-0006-0000-1500-00003A000000}">
      <text>
        <r>
          <rPr>
            <sz val="12"/>
            <color theme="1"/>
            <rFont val="Aptos Narrow"/>
            <family val="2"/>
            <scheme val="minor"/>
          </rPr>
          <t>Tran Dat:
10.390.000</t>
        </r>
      </text>
    </comment>
    <comment ref="E26" authorId="3" shapeId="0" xr:uid="{00000000-0006-0000-1500-00003B000000}">
      <text>
        <r>
          <rPr>
            <sz val="12"/>
            <color theme="1"/>
            <rFont val="Aptos Narrow"/>
            <family val="2"/>
            <scheme val="minor"/>
          </rPr>
          <t xml:space="preserve">
Last week: 12.870.000</t>
        </r>
      </text>
    </comment>
    <comment ref="G26" authorId="4" shapeId="0" xr:uid="{00000000-0006-0000-1500-00003C000000}">
      <text>
        <r>
          <rPr>
            <sz val="12"/>
            <color theme="1"/>
            <rFont val="Aptos Narrow"/>
            <family val="2"/>
            <scheme val="minor"/>
          </rPr>
          <t>Tran Dat:
10.890.000</t>
        </r>
      </text>
    </comment>
    <comment ref="F27" authorId="5" shapeId="0" xr:uid="{00000000-0006-0000-1500-00003D000000}">
      <text>
        <r>
          <rPr>
            <sz val="12"/>
            <color theme="1"/>
            <rFont val="Aptos Narrow"/>
            <family val="2"/>
            <scheme val="minor"/>
          </rPr>
          <t>chit trang:
21.290.000</t>
        </r>
      </text>
    </comment>
    <comment ref="B28" authorId="0" shapeId="0" xr:uid="{00000000-0006-0000-1500-00003E000000}">
      <text>
        <r>
          <rPr>
            <sz val="12"/>
            <color theme="1"/>
            <rFont val="Aptos Narrow"/>
            <family val="2"/>
            <scheme val="minor"/>
          </rPr>
          <t>was 5690000</t>
        </r>
      </text>
    </comment>
    <comment ref="C28" authorId="1" shapeId="0" xr:uid="{00000000-0006-0000-1500-00003F000000}">
      <text>
        <r>
          <rPr>
            <sz val="12"/>
            <color theme="1"/>
            <rFont val="Aptos Narrow"/>
            <family val="2"/>
            <scheme val="minor"/>
          </rPr>
          <t>Duy:
lw: 5.690</t>
        </r>
      </text>
    </comment>
    <comment ref="E28" authorId="3" shapeId="0" xr:uid="{00000000-0006-0000-1500-000040000000}">
      <text>
        <r>
          <rPr>
            <sz val="12"/>
            <color theme="1"/>
            <rFont val="Aptos Narrow"/>
            <family val="2"/>
            <scheme val="minor"/>
          </rPr>
          <t xml:space="preserve">Last week was: 5.370K
</t>
        </r>
      </text>
    </comment>
    <comment ref="F28" authorId="5" shapeId="0" xr:uid="{00000000-0006-0000-1500-000041000000}">
      <text>
        <r>
          <rPr>
            <sz val="12"/>
            <color theme="1"/>
            <rFont val="Aptos Narrow"/>
            <family val="2"/>
            <scheme val="minor"/>
          </rPr>
          <t>chit trang:
5.550.000</t>
        </r>
      </text>
    </comment>
    <comment ref="B29" authorId="0" shapeId="0" xr:uid="{00000000-0006-0000-1500-000042000000}">
      <text>
        <r>
          <rPr>
            <sz val="12"/>
            <color theme="1"/>
            <rFont val="Aptos Narrow"/>
            <family val="2"/>
            <scheme val="minor"/>
          </rPr>
          <t>was 3990000</t>
        </r>
      </text>
    </comment>
    <comment ref="C29" authorId="1" shapeId="0" xr:uid="{00000000-0006-0000-1500-000043000000}">
      <text>
        <r>
          <rPr>
            <sz val="12"/>
            <color theme="1"/>
            <rFont val="Aptos Narrow"/>
            <family val="2"/>
            <scheme val="minor"/>
          </rPr>
          <t>Duy:
Last Week: 3,790,000</t>
        </r>
      </text>
    </comment>
    <comment ref="E29" authorId="3" shapeId="0" xr:uid="{00000000-0006-0000-1500-000044000000}">
      <text>
        <r>
          <rPr>
            <sz val="12"/>
            <color theme="1"/>
            <rFont val="Aptos Narrow"/>
            <family val="2"/>
            <scheme val="minor"/>
          </rPr>
          <t xml:space="preserve">
Last week: 3.770.000</t>
        </r>
      </text>
    </comment>
    <comment ref="F29" authorId="5" shapeId="0" xr:uid="{00000000-0006-0000-1500-000045000000}">
      <text>
        <r>
          <rPr>
            <sz val="12"/>
            <color theme="1"/>
            <rFont val="Aptos Narrow"/>
            <family val="2"/>
            <scheme val="minor"/>
          </rPr>
          <t>chit trang:
3.950.000</t>
        </r>
      </text>
    </comment>
    <comment ref="B30" authorId="0" shapeId="0" xr:uid="{00000000-0006-0000-1500-000046000000}">
      <text>
        <r>
          <rPr>
            <sz val="12"/>
            <color theme="1"/>
            <rFont val="Aptos Narrow"/>
            <family val="2"/>
            <scheme val="minor"/>
          </rPr>
          <t>was 2690000</t>
        </r>
      </text>
    </comment>
    <comment ref="C30" authorId="1" shapeId="0" xr:uid="{00000000-0006-0000-1500-000047000000}">
      <text>
        <r>
          <rPr>
            <sz val="12"/>
            <color theme="1"/>
            <rFont val="Aptos Narrow"/>
            <family val="2"/>
            <scheme val="minor"/>
          </rPr>
          <t>Duy:
lw: 2.690</t>
        </r>
      </text>
    </comment>
    <comment ref="F30" authorId="5" shapeId="0" xr:uid="{00000000-0006-0000-1500-000048000000}">
      <text>
        <r>
          <rPr>
            <sz val="12"/>
            <color theme="1"/>
            <rFont val="Aptos Narrow"/>
            <family val="2"/>
            <scheme val="minor"/>
          </rPr>
          <t>chit trang:
2.690.000</t>
        </r>
      </text>
    </comment>
    <comment ref="B31" authorId="0" shapeId="0" xr:uid="{00000000-0006-0000-1500-000049000000}">
      <text>
        <r>
          <rPr>
            <sz val="12"/>
            <color theme="1"/>
            <rFont val="Aptos Narrow"/>
            <family val="2"/>
            <scheme val="minor"/>
          </rPr>
          <t>was 18290000</t>
        </r>
      </text>
    </comment>
    <comment ref="D31" authorId="2" shapeId="0" xr:uid="{00000000-0006-0000-1500-00004A000000}">
      <text>
        <r>
          <rPr>
            <sz val="12"/>
            <color theme="1"/>
            <rFont val="Aptos Narrow"/>
            <family val="2"/>
            <scheme val="minor"/>
          </rPr>
          <t>Việt Hoàng:
Last week was:
18.390.000</t>
        </r>
      </text>
    </comment>
    <comment ref="F31" authorId="5" shapeId="0" xr:uid="{00000000-0006-0000-1500-00004B000000}">
      <text>
        <r>
          <rPr>
            <sz val="12"/>
            <color theme="1"/>
            <rFont val="Aptos Narrow"/>
            <family val="2"/>
            <scheme val="minor"/>
          </rPr>
          <t>chit trang:
18.390.000</t>
        </r>
      </text>
    </comment>
    <comment ref="D32" authorId="2" shapeId="0" xr:uid="{00000000-0006-0000-1500-00004C000000}">
      <text>
        <r>
          <rPr>
            <sz val="12"/>
            <color theme="1"/>
            <rFont val="Aptos Narrow"/>
            <family val="2"/>
            <scheme val="minor"/>
          </rPr>
          <t>Việt Hoàng:
Last week was:
23.590.000</t>
        </r>
      </text>
    </comment>
    <comment ref="F32" authorId="5" shapeId="0" xr:uid="{00000000-0006-0000-1500-00004D000000}">
      <text>
        <r>
          <rPr>
            <sz val="12"/>
            <color theme="1"/>
            <rFont val="Aptos Narrow"/>
            <family val="2"/>
            <scheme val="minor"/>
          </rPr>
          <t>chit trang:
23.490.000</t>
        </r>
      </text>
    </comment>
    <comment ref="B34" authorId="0" shapeId="0" xr:uid="{00000000-0006-0000-1500-00004E000000}">
      <text>
        <r>
          <rPr>
            <sz val="12"/>
            <color theme="1"/>
            <rFont val="Aptos Narrow"/>
            <family val="2"/>
            <scheme val="minor"/>
          </rPr>
          <t>was 31390000</t>
        </r>
      </text>
    </comment>
    <comment ref="C34" authorId="1" shapeId="0" xr:uid="{00000000-0006-0000-1500-00004F000000}">
      <text>
        <r>
          <rPr>
            <sz val="12"/>
            <color theme="1"/>
            <rFont val="Aptos Narrow"/>
            <family val="2"/>
            <scheme val="minor"/>
          </rPr>
          <t>Duy:
lw: 31.390</t>
        </r>
      </text>
    </comment>
  </commentList>
</comments>
</file>

<file path=xl/comments23.xml><?xml version="1.0" encoding="utf-8"?>
<comments xmlns="http://schemas.openxmlformats.org/spreadsheetml/2006/main" xmlns:mc="http://schemas.openxmlformats.org/markup-compatibility/2006" xmlns:xr="http://schemas.microsoft.com/office/spreadsheetml/2014/revision" mc:Ignorable="xr">
  <authors>
    <author>Sheva Son</author>
    <author>Microsoft Office User</author>
    <author>Việt Hoàng</author>
    <author>chit trang</author>
    <author>Duy Ha Minh</author>
    <author>Duy</author>
    <author>Tran Dat</author>
  </authors>
  <commentList>
    <comment ref="E2" authorId="0" shapeId="0" xr:uid="{00000000-0006-0000-1600-000001000000}">
      <text>
        <r>
          <rPr>
            <sz val="12"/>
            <color theme="1"/>
            <rFont val="Aptos Narrow"/>
            <family val="2"/>
            <scheme val="minor"/>
          </rPr>
          <t xml:space="preserve">
CTKM đến 15/9:
Cơ hội bốc thăm trúng xe Wave Alpha 110cc đỏ.
Săn táo chớp nhoáng iPhone 15 128GB </t>
        </r>
      </text>
    </comment>
    <comment ref="E3" authorId="0" shapeId="0" xr:uid="{00000000-0006-0000-1600-000002000000}">
      <text>
        <r>
          <rPr>
            <sz val="12"/>
            <color theme="1"/>
            <rFont val="Aptos Narrow"/>
            <family val="2"/>
            <scheme val="minor"/>
          </rPr>
          <t xml:space="preserve">
CTKM đến 15/9:
Back to school, cơ hội trúng xe Wave Alpha 110cc đỏ.
Săn táo hớp nhoáng:
iPhone 15 Plus 128GB Pink: 21.990K
iPhone 15 Plus 256GB Pink: 24.790K</t>
        </r>
      </text>
    </comment>
    <comment ref="B4" authorId="1" shapeId="0" xr:uid="{00000000-0006-0000-1600-000003000000}">
      <text>
        <r>
          <rPr>
            <sz val="12"/>
            <color theme="1"/>
            <rFont val="Aptos Narrow"/>
            <family val="2"/>
            <scheme val="minor"/>
          </rPr>
          <t>was 24990000</t>
        </r>
      </text>
    </comment>
    <comment ref="D4" authorId="2" shapeId="0" xr:uid="{00000000-0006-0000-1600-000004000000}">
      <text>
        <r>
          <rPr>
            <sz val="12"/>
            <color theme="1"/>
            <rFont val="Aptos Narrow"/>
            <family val="2"/>
            <scheme val="minor"/>
          </rPr>
          <t>Việt Hoàng:
Last week was
24.890.000</t>
        </r>
      </text>
    </comment>
    <comment ref="E4" authorId="0" shapeId="0" xr:uid="{00000000-0006-0000-1600-000005000000}">
      <text>
        <r>
          <rPr>
            <sz val="12"/>
            <color theme="1"/>
            <rFont val="Aptos Narrow"/>
            <family val="2"/>
            <scheme val="minor"/>
          </rPr>
          <t xml:space="preserve">
CTKM đến 15/9:
Giảm 500K mua Online (đã trừ vào giá)
Giảm 500K màu Blue titanium</t>
        </r>
      </text>
    </comment>
    <comment ref="F4" authorId="3" shapeId="0" xr:uid="{00000000-0006-0000-1600-000006000000}">
      <text>
        <r>
          <rPr>
            <sz val="12"/>
            <color theme="1"/>
            <rFont val="Aptos Narrow"/>
            <family val="2"/>
            <scheme val="minor"/>
          </rPr>
          <t>chit trang:
24.390.000</t>
        </r>
      </text>
    </comment>
    <comment ref="B5" authorId="1" shapeId="0" xr:uid="{00000000-0006-0000-1600-000007000000}">
      <text>
        <r>
          <rPr>
            <sz val="12"/>
            <color theme="1"/>
            <rFont val="Aptos Narrow"/>
            <family val="2"/>
            <scheme val="minor"/>
          </rPr>
          <t>was 29490000</t>
        </r>
      </text>
    </comment>
    <comment ref="C5" authorId="4" shapeId="0" xr:uid="{00000000-0006-0000-1600-000008000000}">
      <text>
        <r>
          <rPr>
            <sz val="12"/>
            <color theme="1"/>
            <rFont val="Aptos Narrow"/>
            <family val="2"/>
            <scheme val="minor"/>
          </rPr>
          <t>Duy Ha Minh:
lw: 29.490</t>
        </r>
      </text>
    </comment>
    <comment ref="E5" authorId="0" shapeId="0" xr:uid="{00000000-0006-0000-1600-000009000000}">
      <text>
        <r>
          <rPr>
            <sz val="12"/>
            <color theme="1"/>
            <rFont val="Aptos Narrow"/>
            <family val="2"/>
            <scheme val="minor"/>
          </rPr>
          <t>Last week was: 28.690.000
Giảm 1.000.000VND (Đã trừ vào giá)
Giảm 1% tối đa 300K khi mở ví VNPAY</t>
        </r>
      </text>
    </comment>
    <comment ref="B6" authorId="1" shapeId="0" xr:uid="{00000000-0006-0000-1600-00000A000000}">
      <text>
        <r>
          <rPr>
            <sz val="12"/>
            <color theme="1"/>
            <rFont val="Aptos Narrow"/>
            <family val="2"/>
            <scheme val="minor"/>
          </rPr>
          <t>was 19890000</t>
        </r>
      </text>
    </comment>
    <comment ref="C6" authorId="4" shapeId="0" xr:uid="{00000000-0006-0000-1600-00000B000000}">
      <text>
        <r>
          <rPr>
            <sz val="12"/>
            <color theme="1"/>
            <rFont val="Aptos Narrow"/>
            <family val="2"/>
            <scheme val="minor"/>
          </rPr>
          <t>Duy Ha Minh:
lw: 19.890</t>
        </r>
      </text>
    </comment>
    <comment ref="D6" authorId="2" shapeId="0" xr:uid="{00000000-0006-0000-1600-00000C000000}">
      <text>
        <r>
          <rPr>
            <sz val="12"/>
            <color theme="1"/>
            <rFont val="Aptos Narrow"/>
            <family val="2"/>
            <scheme val="minor"/>
          </rPr>
          <t>Việt Hoàng:
Last week was
19.790.000</t>
        </r>
      </text>
    </comment>
    <comment ref="F6" authorId="3" shapeId="0" xr:uid="{00000000-0006-0000-1600-00000D000000}">
      <text>
        <r>
          <rPr>
            <sz val="12"/>
            <color theme="1"/>
            <rFont val="Aptos Narrow"/>
            <family val="2"/>
            <scheme val="minor"/>
          </rPr>
          <t>chit trang:
19.790.000</t>
        </r>
      </text>
    </comment>
    <comment ref="B7" authorId="1" shapeId="0" xr:uid="{00000000-0006-0000-1600-00000E000000}">
      <text>
        <r>
          <rPr>
            <sz val="12"/>
            <color theme="1"/>
            <rFont val="Aptos Narrow"/>
            <family val="2"/>
            <scheme val="minor"/>
          </rPr>
          <t>was 16990000</t>
        </r>
      </text>
    </comment>
    <comment ref="C7" authorId="5" shapeId="0" xr:uid="{00000000-0006-0000-1600-00000F000000}">
      <text>
        <r>
          <rPr>
            <sz val="12"/>
            <color theme="1"/>
            <rFont val="Aptos Narrow"/>
            <family val="2"/>
            <scheme val="minor"/>
          </rPr>
          <t>Duy:
lw: 16.990</t>
        </r>
      </text>
    </comment>
    <comment ref="D7" authorId="2" shapeId="0" xr:uid="{00000000-0006-0000-1600-000010000000}">
      <text>
        <r>
          <rPr>
            <sz val="12"/>
            <color theme="1"/>
            <rFont val="Aptos Narrow"/>
            <family val="2"/>
            <scheme val="minor"/>
          </rPr>
          <t>Việt Hoàng:
Last week was
16.890.000</t>
        </r>
      </text>
    </comment>
    <comment ref="B8" authorId="1" shapeId="0" xr:uid="{00000000-0006-0000-1600-000011000000}">
      <text>
        <r>
          <rPr>
            <sz val="12"/>
            <color theme="1"/>
            <rFont val="Aptos Narrow"/>
            <family val="2"/>
            <scheme val="minor"/>
          </rPr>
          <t>was 13990000</t>
        </r>
      </text>
    </comment>
    <comment ref="C8" authorId="5" shapeId="0" xr:uid="{00000000-0006-0000-1600-000012000000}">
      <text>
        <r>
          <rPr>
            <sz val="12"/>
            <color theme="1"/>
            <rFont val="Aptos Narrow"/>
            <family val="2"/>
            <scheme val="minor"/>
          </rPr>
          <t>Duy:
lw: 13.990</t>
        </r>
      </text>
    </comment>
    <comment ref="D8" authorId="2" shapeId="0" xr:uid="{00000000-0006-0000-1600-000013000000}">
      <text>
        <r>
          <rPr>
            <sz val="12"/>
            <color theme="1"/>
            <rFont val="Aptos Narrow"/>
            <family val="2"/>
            <scheme val="minor"/>
          </rPr>
          <t>Việt Hoàng:
Last week was
13.790.000</t>
        </r>
      </text>
    </comment>
    <comment ref="F8" authorId="3" shapeId="0" xr:uid="{00000000-0006-0000-1600-000014000000}">
      <text>
        <r>
          <rPr>
            <sz val="12"/>
            <color theme="1"/>
            <rFont val="Aptos Narrow"/>
            <family val="2"/>
            <scheme val="minor"/>
          </rPr>
          <t>chit trang:
Wass 13.950.000</t>
        </r>
      </text>
    </comment>
    <comment ref="G8" authorId="6" shapeId="0" xr:uid="{00000000-0006-0000-1600-000015000000}">
      <text>
        <r>
          <rPr>
            <sz val="12"/>
            <color theme="1"/>
            <rFont val="Aptos Narrow"/>
            <family val="2"/>
            <scheme val="minor"/>
          </rPr>
          <t>Tran Dat:
13.690.000</t>
        </r>
      </text>
    </comment>
    <comment ref="C9" authorId="4" shapeId="0" xr:uid="{00000000-0006-0000-1600-000016000000}">
      <text>
        <r>
          <rPr>
            <sz val="12"/>
            <color theme="1"/>
            <rFont val="Aptos Narrow"/>
            <family val="2"/>
            <scheme val="minor"/>
          </rPr>
          <t>Duy Ha Minh:
lw: 11.590</t>
        </r>
      </text>
    </comment>
    <comment ref="E9" authorId="0" shapeId="0" xr:uid="{00000000-0006-0000-1600-000017000000}">
      <text>
        <r>
          <rPr>
            <sz val="12"/>
            <color theme="1"/>
            <rFont val="Aptos Narrow"/>
            <family val="2"/>
            <scheme val="minor"/>
          </rPr>
          <t xml:space="preserve">Last week is: 11.390K
</t>
        </r>
      </text>
    </comment>
    <comment ref="B10" authorId="1" shapeId="0" xr:uid="{00000000-0006-0000-1600-000018000000}">
      <text>
        <r>
          <rPr>
            <sz val="12"/>
            <color theme="1"/>
            <rFont val="Aptos Narrow"/>
            <family val="2"/>
            <scheme val="minor"/>
          </rPr>
          <t>was 8890000</t>
        </r>
      </text>
    </comment>
    <comment ref="D10" authorId="2" shapeId="0" xr:uid="{00000000-0006-0000-1600-000019000000}">
      <text>
        <r>
          <rPr>
            <sz val="12"/>
            <color theme="1"/>
            <rFont val="Aptos Narrow"/>
            <family val="2"/>
            <scheme val="minor"/>
          </rPr>
          <t>Việt Hoàng:
Last wekk was
8.840.000</t>
        </r>
      </text>
    </comment>
    <comment ref="E10" authorId="0" shapeId="0" xr:uid="{00000000-0006-0000-1600-00001A000000}">
      <text>
        <r>
          <rPr>
            <sz val="12"/>
            <color theme="1"/>
            <rFont val="Aptos Narrow"/>
            <family val="2"/>
            <scheme val="minor"/>
          </rPr>
          <t>Giảm 200K khi mua Online (đã trừ vào giá)</t>
        </r>
      </text>
    </comment>
    <comment ref="F12" authorId="3" shapeId="0" xr:uid="{00000000-0006-0000-1600-00001B000000}">
      <text>
        <r>
          <rPr>
            <sz val="12"/>
            <color theme="1"/>
            <rFont val="Aptos Narrow"/>
            <family val="2"/>
            <scheme val="minor"/>
          </rPr>
          <t>chit trang:
Wass 12.790.000</t>
        </r>
      </text>
    </comment>
    <comment ref="E13" authorId="0" shapeId="0" xr:uid="{00000000-0006-0000-1600-00001C000000}">
      <text>
        <r>
          <rPr>
            <sz val="12"/>
            <color theme="1"/>
            <rFont val="Aptos Narrow"/>
            <family val="2"/>
            <scheme val="minor"/>
          </rPr>
          <t>Last week is: 9.690K
Giảm 200K mua Online
Giảm 10% tối đa 120K khi mở ví VNPAY</t>
        </r>
      </text>
    </comment>
    <comment ref="F13" authorId="3" shapeId="0" xr:uid="{00000000-0006-0000-1600-00001D000000}">
      <text>
        <r>
          <rPr>
            <sz val="12"/>
            <color theme="1"/>
            <rFont val="Aptos Narrow"/>
            <family val="2"/>
            <scheme val="minor"/>
          </rPr>
          <t>chit trang:
9.790.000</t>
        </r>
      </text>
    </comment>
    <comment ref="B14" authorId="1" shapeId="0" xr:uid="{00000000-0006-0000-1600-00001E000000}">
      <text>
        <r>
          <rPr>
            <sz val="12"/>
            <color theme="1"/>
            <rFont val="Aptos Narrow"/>
            <family val="2"/>
            <scheme val="minor"/>
          </rPr>
          <t>was 7190000</t>
        </r>
      </text>
    </comment>
    <comment ref="C14" authorId="1" shapeId="0" xr:uid="{00000000-0006-0000-1600-00001F000000}">
      <text>
        <r>
          <rPr>
            <sz val="12"/>
            <color theme="1"/>
            <rFont val="Aptos Narrow"/>
            <family val="2"/>
            <scheme val="minor"/>
          </rPr>
          <t>lw: 7.190</t>
        </r>
      </text>
    </comment>
    <comment ref="E14" authorId="0" shapeId="0" xr:uid="{00000000-0006-0000-1600-000020000000}">
      <text>
        <r>
          <rPr>
            <sz val="12"/>
            <color theme="1"/>
            <rFont val="Aptos Narrow"/>
            <family val="2"/>
            <scheme val="minor"/>
          </rPr>
          <t>Giảm 10% tối đa 120K khi mở ví VNPAY</t>
        </r>
      </text>
    </comment>
    <comment ref="F14" authorId="3" shapeId="0" xr:uid="{00000000-0006-0000-1600-000021000000}">
      <text>
        <r>
          <rPr>
            <sz val="12"/>
            <color theme="1"/>
            <rFont val="Aptos Narrow"/>
            <family val="2"/>
            <scheme val="minor"/>
          </rPr>
          <t>chit trang:
7.150.000</t>
        </r>
      </text>
    </comment>
    <comment ref="E15" authorId="0" shapeId="0" xr:uid="{00000000-0006-0000-1600-000022000000}">
      <text>
        <r>
          <rPr>
            <sz val="12"/>
            <color theme="1"/>
            <rFont val="Aptos Narrow"/>
            <family val="2"/>
            <scheme val="minor"/>
          </rPr>
          <t>Last week is: 16.325K
Giảm 10% tối đa 300K khi mở ví VNPAY</t>
        </r>
      </text>
    </comment>
    <comment ref="F15" authorId="3" shapeId="0" xr:uid="{00000000-0006-0000-1600-000023000000}">
      <text>
        <r>
          <rPr>
            <sz val="12"/>
            <color theme="1"/>
            <rFont val="Aptos Narrow"/>
            <family val="2"/>
            <scheme val="minor"/>
          </rPr>
          <t>chit trang:
Wass 16.990.000</t>
        </r>
      </text>
    </comment>
    <comment ref="G15" authorId="6" shapeId="0" xr:uid="{00000000-0006-0000-1600-000024000000}">
      <text>
        <r>
          <rPr>
            <sz val="12"/>
            <color theme="1"/>
            <rFont val="Aptos Narrow"/>
            <family val="2"/>
            <scheme val="minor"/>
          </rPr>
          <t>Tran Dat:
16.390.000</t>
        </r>
      </text>
    </comment>
    <comment ref="E16" authorId="0" shapeId="0" xr:uid="{00000000-0006-0000-1600-000025000000}">
      <text>
        <r>
          <rPr>
            <sz val="12"/>
            <color theme="1"/>
            <rFont val="Aptos Narrow"/>
            <family val="2"/>
            <scheme val="minor"/>
          </rPr>
          <t>Last week is: 21,290K
Giảm 10% tối đa 300K khi mở ví VNPAY</t>
        </r>
      </text>
    </comment>
    <comment ref="F16" authorId="3" shapeId="0" xr:uid="{00000000-0006-0000-1600-000026000000}">
      <text>
        <r>
          <rPr>
            <sz val="12"/>
            <color theme="1"/>
            <rFont val="Aptos Narrow"/>
            <family val="2"/>
            <scheme val="minor"/>
          </rPr>
          <t>chit trang:
21.790.000</t>
        </r>
      </text>
    </comment>
    <comment ref="E17" authorId="0" shapeId="0" xr:uid="{00000000-0006-0000-1600-000027000000}">
      <text>
        <r>
          <rPr>
            <sz val="12"/>
            <color theme="1"/>
            <rFont val="Aptos Narrow"/>
            <family val="2"/>
            <scheme val="minor"/>
          </rPr>
          <t>Last week is: 27.215K
Giảm 10% tối đa 300K khi mở ví VNPAY</t>
        </r>
      </text>
    </comment>
    <comment ref="F17" authorId="3" shapeId="0" xr:uid="{00000000-0006-0000-1600-000028000000}">
      <text>
        <r>
          <rPr>
            <sz val="12"/>
            <color theme="1"/>
            <rFont val="Aptos Narrow"/>
            <family val="2"/>
            <scheme val="minor"/>
          </rPr>
          <t>chit trang:
Wass 27.490.000</t>
        </r>
      </text>
    </comment>
    <comment ref="F18" authorId="3" shapeId="0" xr:uid="{00000000-0006-0000-1600-000029000000}">
      <text>
        <r>
          <rPr>
            <sz val="12"/>
            <color theme="1"/>
            <rFont val="Aptos Narrow"/>
            <family val="2"/>
            <scheme val="minor"/>
          </rPr>
          <t>chit trang:
36.790.000</t>
        </r>
      </text>
    </comment>
    <comment ref="E19" authorId="0" shapeId="0" xr:uid="{00000000-0006-0000-1600-00002A000000}">
      <text>
        <r>
          <rPr>
            <sz val="12"/>
            <color theme="1"/>
            <rFont val="Aptos Narrow"/>
            <family val="2"/>
            <scheme val="minor"/>
          </rPr>
          <t>Last week: 5.870.000</t>
        </r>
      </text>
    </comment>
    <comment ref="F19" authorId="3" shapeId="0" xr:uid="{00000000-0006-0000-1600-00002B000000}">
      <text>
        <r>
          <rPr>
            <sz val="12"/>
            <color theme="1"/>
            <rFont val="Aptos Narrow"/>
            <family val="2"/>
            <scheme val="minor"/>
          </rPr>
          <t>chit trang:
6.190.000</t>
        </r>
      </text>
    </comment>
    <comment ref="E20" authorId="0" shapeId="0" xr:uid="{00000000-0006-0000-1600-00002C000000}">
      <text>
        <r>
          <rPr>
            <sz val="12"/>
            <color theme="1"/>
            <rFont val="Aptos Narrow"/>
            <family val="2"/>
            <scheme val="minor"/>
          </rPr>
          <t>Last week: 7.190.000</t>
        </r>
      </text>
    </comment>
    <comment ref="B21" authorId="1" shapeId="0" xr:uid="{00000000-0006-0000-1600-00002D000000}">
      <text>
        <r>
          <rPr>
            <sz val="12"/>
            <color theme="1"/>
            <rFont val="Aptos Narrow"/>
            <family val="2"/>
            <scheme val="minor"/>
          </rPr>
          <t>was 6890000</t>
        </r>
      </text>
    </comment>
    <comment ref="C21" authorId="5" shapeId="0" xr:uid="{00000000-0006-0000-1600-00002E000000}">
      <text>
        <r>
          <rPr>
            <sz val="12"/>
            <color theme="1"/>
            <rFont val="Aptos Narrow"/>
            <family val="2"/>
            <scheme val="minor"/>
          </rPr>
          <t>Duy:
lw: 6.890</t>
        </r>
      </text>
    </comment>
    <comment ref="E21" authorId="0" shapeId="0" xr:uid="{00000000-0006-0000-1600-00002F000000}">
      <text>
        <r>
          <rPr>
            <sz val="12"/>
            <color theme="1"/>
            <rFont val="Aptos Narrow"/>
            <family val="2"/>
            <scheme val="minor"/>
          </rPr>
          <t>Last week: 6.470.000</t>
        </r>
      </text>
    </comment>
    <comment ref="B22" authorId="1" shapeId="0" xr:uid="{00000000-0006-0000-1600-000030000000}">
      <text>
        <r>
          <rPr>
            <sz val="12"/>
            <color theme="1"/>
            <rFont val="Aptos Narrow"/>
            <family val="2"/>
            <scheme val="minor"/>
          </rPr>
          <t>was 8290000</t>
        </r>
      </text>
    </comment>
    <comment ref="E22" authorId="0" shapeId="0" xr:uid="{00000000-0006-0000-1600-000031000000}">
      <text>
        <r>
          <rPr>
            <sz val="12"/>
            <color theme="1"/>
            <rFont val="Aptos Narrow"/>
            <family val="2"/>
            <scheme val="minor"/>
          </rPr>
          <t>Last week was: 7.870.000</t>
        </r>
      </text>
    </comment>
    <comment ref="B23" authorId="1" shapeId="0" xr:uid="{00000000-0006-0000-1600-000032000000}">
      <text>
        <r>
          <rPr>
            <sz val="12"/>
            <color theme="1"/>
            <rFont val="Aptos Narrow"/>
            <family val="2"/>
            <scheme val="minor"/>
          </rPr>
          <t>was 9890000</t>
        </r>
      </text>
    </comment>
    <comment ref="C23" authorId="1" shapeId="0" xr:uid="{00000000-0006-0000-1600-000033000000}">
      <text>
        <r>
          <rPr>
            <sz val="12"/>
            <color theme="1"/>
            <rFont val="Aptos Narrow"/>
            <family val="2"/>
            <scheme val="minor"/>
          </rPr>
          <t>lw 9890000</t>
        </r>
      </text>
    </comment>
    <comment ref="E23" authorId="0" shapeId="0" xr:uid="{00000000-0006-0000-1600-000034000000}">
      <text>
        <r>
          <rPr>
            <sz val="12"/>
            <color theme="1"/>
            <rFont val="Aptos Narrow"/>
            <family val="2"/>
            <scheme val="minor"/>
          </rPr>
          <t>Last week: 9.670K</t>
        </r>
      </text>
    </comment>
    <comment ref="F23" authorId="3" shapeId="0" xr:uid="{00000000-0006-0000-1600-000035000000}">
      <text>
        <r>
          <rPr>
            <sz val="12"/>
            <color theme="1"/>
            <rFont val="Aptos Narrow"/>
            <family val="2"/>
            <scheme val="minor"/>
          </rPr>
          <t>chit trang:
9.790.000</t>
        </r>
      </text>
    </comment>
    <comment ref="B24" authorId="1" shapeId="0" xr:uid="{00000000-0006-0000-1600-000036000000}">
      <text>
        <r>
          <rPr>
            <sz val="12"/>
            <color theme="1"/>
            <rFont val="Aptos Narrow"/>
            <family val="2"/>
            <scheme val="minor"/>
          </rPr>
          <t>was 12490000</t>
        </r>
      </text>
    </comment>
    <comment ref="E24" authorId="0" shapeId="0" xr:uid="{00000000-0006-0000-1600-000037000000}">
      <text>
        <r>
          <rPr>
            <sz val="12"/>
            <color theme="1"/>
            <rFont val="Aptos Narrow"/>
            <family val="2"/>
            <scheme val="minor"/>
          </rPr>
          <t>Last Week: 12.070.000</t>
        </r>
      </text>
    </comment>
    <comment ref="B25" authorId="1" shapeId="0" xr:uid="{00000000-0006-0000-1600-000038000000}">
      <text>
        <r>
          <rPr>
            <sz val="12"/>
            <color theme="1"/>
            <rFont val="Aptos Narrow"/>
            <family val="2"/>
            <scheme val="minor"/>
          </rPr>
          <t>was 10890000</t>
        </r>
      </text>
    </comment>
    <comment ref="C25" authorId="1" shapeId="0" xr:uid="{00000000-0006-0000-1600-000039000000}">
      <text>
        <r>
          <rPr>
            <sz val="12"/>
            <color theme="1"/>
            <rFont val="Aptos Narrow"/>
            <family val="2"/>
            <scheme val="minor"/>
          </rPr>
          <t>lw 10.8900</t>
        </r>
      </text>
    </comment>
    <comment ref="E25" authorId="0" shapeId="0" xr:uid="{00000000-0006-0000-1600-00003A000000}">
      <text>
        <r>
          <rPr>
            <sz val="12"/>
            <color theme="1"/>
            <rFont val="Aptos Narrow"/>
            <family val="2"/>
            <scheme val="minor"/>
          </rPr>
          <t xml:space="preserve">Last week: 10.370.000
</t>
        </r>
      </text>
    </comment>
    <comment ref="F25" authorId="3" shapeId="0" xr:uid="{00000000-0006-0000-1600-00003B000000}">
      <text>
        <r>
          <rPr>
            <sz val="12"/>
            <color theme="1"/>
            <rFont val="Aptos Narrow"/>
            <family val="2"/>
            <scheme val="minor"/>
          </rPr>
          <t>chit trang:
10.790.000</t>
        </r>
      </text>
    </comment>
    <comment ref="B26" authorId="1" shapeId="0" xr:uid="{00000000-0006-0000-1600-00003C000000}">
      <text>
        <r>
          <rPr>
            <sz val="12"/>
            <color theme="1"/>
            <rFont val="Aptos Narrow"/>
            <family val="2"/>
            <scheme val="minor"/>
          </rPr>
          <t>was 13690000</t>
        </r>
      </text>
    </comment>
    <comment ref="E26" authorId="0" shapeId="0" xr:uid="{00000000-0006-0000-1600-00003D000000}">
      <text>
        <r>
          <rPr>
            <sz val="12"/>
            <color theme="1"/>
            <rFont val="Aptos Narrow"/>
            <family val="2"/>
            <scheme val="minor"/>
          </rPr>
          <t xml:space="preserve">
Last week: 12.870.000</t>
        </r>
      </text>
    </comment>
    <comment ref="B27" authorId="1" shapeId="0" xr:uid="{00000000-0006-0000-1600-00003E000000}">
      <text>
        <r>
          <rPr>
            <sz val="12"/>
            <color theme="1"/>
            <rFont val="Aptos Narrow"/>
            <family val="2"/>
            <scheme val="minor"/>
          </rPr>
          <t>was 21190000</t>
        </r>
      </text>
    </comment>
    <comment ref="F27" authorId="3" shapeId="0" xr:uid="{00000000-0006-0000-1600-00003F000000}">
      <text>
        <r>
          <rPr>
            <sz val="12"/>
            <color theme="1"/>
            <rFont val="Aptos Narrow"/>
            <family val="2"/>
            <scheme val="minor"/>
          </rPr>
          <t>chit trang:
21.190.000</t>
        </r>
      </text>
    </comment>
    <comment ref="E28" authorId="0" shapeId="0" xr:uid="{00000000-0006-0000-1600-000040000000}">
      <text>
        <r>
          <rPr>
            <sz val="12"/>
            <color theme="1"/>
            <rFont val="Aptos Narrow"/>
            <family val="2"/>
            <scheme val="minor"/>
          </rPr>
          <t xml:space="preserve">Last week was: 5.520K
Giảm 10% tối đa 120K khi mở ví VNPAY
</t>
        </r>
      </text>
    </comment>
    <comment ref="F28" authorId="3" shapeId="0" xr:uid="{00000000-0006-0000-1600-000041000000}">
      <text>
        <r>
          <rPr>
            <sz val="12"/>
            <color theme="1"/>
            <rFont val="Aptos Narrow"/>
            <family val="2"/>
            <scheme val="minor"/>
          </rPr>
          <t>chit trang:
5.550.000</t>
        </r>
      </text>
    </comment>
    <comment ref="E29" authorId="0" shapeId="0" xr:uid="{00000000-0006-0000-1600-000042000000}">
      <text>
        <r>
          <rPr>
            <sz val="12"/>
            <color theme="1"/>
            <rFont val="Aptos Narrow"/>
            <family val="2"/>
            <scheme val="minor"/>
          </rPr>
          <t xml:space="preserve">
Last week: 3.770.000</t>
        </r>
      </text>
    </comment>
    <comment ref="F29" authorId="3" shapeId="0" xr:uid="{00000000-0006-0000-1600-000043000000}">
      <text>
        <r>
          <rPr>
            <sz val="12"/>
            <color theme="1"/>
            <rFont val="Aptos Narrow"/>
            <family val="2"/>
            <scheme val="minor"/>
          </rPr>
          <t>chit trang:
3.950.000</t>
        </r>
      </text>
    </comment>
    <comment ref="B30" authorId="1" shapeId="0" xr:uid="{00000000-0006-0000-1600-000044000000}">
      <text>
        <r>
          <rPr>
            <sz val="12"/>
            <color theme="1"/>
            <rFont val="Aptos Narrow"/>
            <family val="2"/>
            <scheme val="minor"/>
          </rPr>
          <t>was 2790000</t>
        </r>
      </text>
    </comment>
    <comment ref="C30" authorId="1" shapeId="0" xr:uid="{00000000-0006-0000-1600-000045000000}">
      <text>
        <r>
          <rPr>
            <sz val="12"/>
            <color theme="1"/>
            <rFont val="Aptos Narrow"/>
            <family val="2"/>
            <scheme val="minor"/>
          </rPr>
          <t>was 2.790</t>
        </r>
      </text>
    </comment>
    <comment ref="D30" authorId="2" shapeId="0" xr:uid="{00000000-0006-0000-1600-000046000000}">
      <text>
        <r>
          <rPr>
            <sz val="12"/>
            <color theme="1"/>
            <rFont val="Aptos Narrow"/>
            <family val="2"/>
            <scheme val="minor"/>
          </rPr>
          <t>Việt Hoàng:
Last week was
2.790.000</t>
        </r>
      </text>
    </comment>
    <comment ref="F30" authorId="3" shapeId="0" xr:uid="{00000000-0006-0000-1600-000047000000}">
      <text>
        <r>
          <rPr>
            <sz val="12"/>
            <color theme="1"/>
            <rFont val="Aptos Narrow"/>
            <family val="2"/>
            <scheme val="minor"/>
          </rPr>
          <t>chit trang:
2.790.000</t>
        </r>
      </text>
    </comment>
    <comment ref="B31" authorId="1" shapeId="0" xr:uid="{00000000-0006-0000-1600-000048000000}">
      <text>
        <r>
          <rPr>
            <sz val="12"/>
            <color theme="1"/>
            <rFont val="Aptos Narrow"/>
            <family val="2"/>
            <scheme val="minor"/>
          </rPr>
          <t>was 18490000</t>
        </r>
      </text>
    </comment>
    <comment ref="C31" authorId="1" shapeId="0" xr:uid="{00000000-0006-0000-1600-000049000000}">
      <text>
        <r>
          <rPr>
            <sz val="12"/>
            <color theme="1"/>
            <rFont val="Aptos Narrow"/>
            <family val="2"/>
            <scheme val="minor"/>
          </rPr>
          <t>lw 18.490</t>
        </r>
      </text>
    </comment>
    <comment ref="D31" authorId="2" shapeId="0" xr:uid="{00000000-0006-0000-1600-00004A000000}">
      <text>
        <r>
          <rPr>
            <sz val="12"/>
            <color theme="1"/>
            <rFont val="Aptos Narrow"/>
            <family val="2"/>
            <scheme val="minor"/>
          </rPr>
          <t>Việt Hoàng:
Last week was:
18.290.000</t>
        </r>
      </text>
    </comment>
    <comment ref="F31" authorId="3" shapeId="0" xr:uid="{00000000-0006-0000-1600-00004B000000}">
      <text>
        <r>
          <rPr>
            <sz val="12"/>
            <color theme="1"/>
            <rFont val="Aptos Narrow"/>
            <family val="2"/>
            <scheme val="minor"/>
          </rPr>
          <t>chit trang:
18.290.000</t>
        </r>
      </text>
    </comment>
    <comment ref="B32" authorId="1" shapeId="0" xr:uid="{00000000-0006-0000-1600-00004C000000}">
      <text>
        <r>
          <rPr>
            <sz val="12"/>
            <color theme="1"/>
            <rFont val="Aptos Narrow"/>
            <family val="2"/>
            <scheme val="minor"/>
          </rPr>
          <t>was 23890000</t>
        </r>
      </text>
    </comment>
    <comment ref="C32" authorId="1" shapeId="0" xr:uid="{00000000-0006-0000-1600-00004D000000}">
      <text>
        <r>
          <rPr>
            <sz val="12"/>
            <color theme="1"/>
            <rFont val="Aptos Narrow"/>
            <family val="2"/>
            <scheme val="minor"/>
          </rPr>
          <t>lw 23.890</t>
        </r>
      </text>
    </comment>
    <comment ref="F32" authorId="3" shapeId="0" xr:uid="{00000000-0006-0000-1600-00004E000000}">
      <text>
        <r>
          <rPr>
            <sz val="12"/>
            <color theme="1"/>
            <rFont val="Aptos Narrow"/>
            <family val="2"/>
            <scheme val="minor"/>
          </rPr>
          <t>chit trang:
23.790.000</t>
        </r>
      </text>
    </comment>
    <comment ref="F33" authorId="3" shapeId="0" xr:uid="{00000000-0006-0000-1600-00004F000000}">
      <text>
        <r>
          <rPr>
            <sz val="12"/>
            <color theme="1"/>
            <rFont val="Aptos Narrow"/>
            <family val="2"/>
            <scheme val="minor"/>
          </rPr>
          <t>chit trang:
26.990.000</t>
        </r>
      </text>
    </comment>
    <comment ref="B34" authorId="1" shapeId="0" xr:uid="{00000000-0006-0000-1600-000050000000}">
      <text>
        <r>
          <rPr>
            <sz val="12"/>
            <color theme="1"/>
            <rFont val="Aptos Narrow"/>
            <family val="2"/>
            <scheme val="minor"/>
          </rPr>
          <t>was 31390000</t>
        </r>
      </text>
    </comment>
    <comment ref="C34" authorId="1" shapeId="0" xr:uid="{00000000-0006-0000-1600-000051000000}">
      <text>
        <r>
          <rPr>
            <sz val="12"/>
            <color theme="1"/>
            <rFont val="Aptos Narrow"/>
            <family val="2"/>
            <scheme val="minor"/>
          </rPr>
          <t>lw 31.390</t>
        </r>
      </text>
    </comment>
    <comment ref="B35" authorId="1" shapeId="0" xr:uid="{00000000-0006-0000-1600-000052000000}">
      <text>
        <r>
          <rPr>
            <sz val="12"/>
            <color theme="1"/>
            <rFont val="Aptos Narrow"/>
            <family val="2"/>
            <scheme val="minor"/>
          </rPr>
          <t xml:space="preserve">was 38290000
</t>
        </r>
      </text>
    </comment>
    <comment ref="C35" authorId="1" shapeId="0" xr:uid="{00000000-0006-0000-1600-000053000000}">
      <text>
        <r>
          <rPr>
            <sz val="12"/>
            <color theme="1"/>
            <rFont val="Aptos Narrow"/>
            <family val="2"/>
            <scheme val="minor"/>
          </rPr>
          <t xml:space="preserve">lw 38.290
</t>
        </r>
      </text>
    </comment>
  </commentList>
</comments>
</file>

<file path=xl/comments24.xml><?xml version="1.0" encoding="utf-8"?>
<comments xmlns="http://schemas.openxmlformats.org/spreadsheetml/2006/main" xmlns:mc="http://schemas.openxmlformats.org/markup-compatibility/2006" xmlns:xr="http://schemas.microsoft.com/office/spreadsheetml/2014/revision" mc:Ignorable="xr">
  <authors>
    <author>Sheva Son</author>
    <author>Microsoft Office User</author>
    <author>chit trang</author>
    <author>Duy Ha Minh</author>
    <author>Người dùng Khách</author>
    <author>Tran Dat</author>
    <author>Việt Hoàng</author>
  </authors>
  <commentList>
    <comment ref="E2" authorId="0" shapeId="0" xr:uid="{00000000-0006-0000-1700-000001000000}">
      <text>
        <r>
          <rPr>
            <sz val="12"/>
            <color theme="1"/>
            <rFont val="Aptos Narrow"/>
            <family val="2"/>
            <scheme val="minor"/>
          </rPr>
          <t>Giảm 500K cho khách Pre-order (trừ màu titan sa mạc).
Giảm 300K VNPAY
Giảm 500K khi thanh toán qua Zalo Pay (160 suất)
Giảm VPBank 2000K (200 suất mua iPhone 16 series)
Đổi điểm Viettel++ lên tới 6000K</t>
        </r>
      </text>
    </comment>
    <comment ref="E3" authorId="0" shapeId="0" xr:uid="{00000000-0006-0000-1700-000002000000}">
      <text>
        <r>
          <rPr>
            <sz val="12"/>
            <color theme="1"/>
            <rFont val="Aptos Narrow"/>
            <family val="2"/>
            <scheme val="minor"/>
          </rPr>
          <t>Giảm 500K cho khách Pre-order (trừ màu titan sa mạc).
Giảm 300K VNPAY
Giảm 500K khi thanh toán qua Zalo Pay (160 suất)
Giảm VPBank 2000K (200 suất mua iPhone 16 series)
Đổi điểm Viettel++ lên tới 6000K</t>
        </r>
      </text>
    </comment>
    <comment ref="E4" authorId="0" shapeId="0" xr:uid="{00000000-0006-0000-1700-000003000000}">
      <text>
        <r>
          <rPr>
            <sz val="12"/>
            <color theme="1"/>
            <rFont val="Aptos Narrow"/>
            <family val="2"/>
            <scheme val="minor"/>
          </rPr>
          <t xml:space="preserve">Giảm 500K cho khách Pre-order (trừ màu titan sa mạc).
Giảm VPBank 2000K (200 suất mua iPhone 16 series)
Đổi điểm Viettel++ lên tới 6000K
Hoặc giảm ngay 1.500K ap dụng cho cả titan sa mạc
</t>
        </r>
      </text>
    </comment>
    <comment ref="E5" authorId="0" shapeId="0" xr:uid="{00000000-0006-0000-1700-000004000000}">
      <text>
        <r>
          <rPr>
            <sz val="12"/>
            <color theme="1"/>
            <rFont val="Aptos Narrow"/>
            <family val="2"/>
            <scheme val="minor"/>
          </rPr>
          <t>Giảm 500K cho khách Pre-order (trừ màu titan sa mạc).
Giảm 500K khi thanh toán qua Zalo Pay (160 suất)
Giảm VPBank 2000K (200 suất mua iPhone 16 series)
Đổi điểm Viettel++ lên tới 6000K</t>
        </r>
      </text>
    </comment>
    <comment ref="B6" authorId="1" shapeId="0" xr:uid="{00000000-0006-0000-1700-000005000000}">
      <text>
        <r>
          <rPr>
            <sz val="12"/>
            <color theme="1"/>
            <rFont val="Aptos Narrow"/>
            <family val="2"/>
            <scheme val="minor"/>
          </rPr>
          <t>was 19690000
VNP100</t>
        </r>
      </text>
    </comment>
    <comment ref="C6" authorId="1" shapeId="0" xr:uid="{00000000-0006-0000-1700-000006000000}">
      <text>
        <r>
          <rPr>
            <sz val="12"/>
            <color theme="1"/>
            <rFont val="Aptos Narrow"/>
            <family val="2"/>
            <scheme val="minor"/>
          </rPr>
          <t xml:space="preserve">w12 19.690
</t>
        </r>
      </text>
    </comment>
    <comment ref="E6" authorId="0" shapeId="0" xr:uid="{00000000-0006-0000-1700-000007000000}">
      <text>
        <r>
          <rPr>
            <sz val="12"/>
            <color theme="1"/>
            <rFont val="Aptos Narrow"/>
            <family val="2"/>
            <scheme val="minor"/>
          </rPr>
          <t xml:space="preserve">
CTKM đến 15/9:
Cơ hội bốc thăm trúng xe Wave Alpha 110cc đỏ.
Săn táo chớp nhoáng iPhone 15 128GB </t>
        </r>
      </text>
    </comment>
    <comment ref="B7" authorId="1" shapeId="0" xr:uid="{00000000-0006-0000-1700-000008000000}">
      <text>
        <r>
          <rPr>
            <sz val="12"/>
            <color theme="1"/>
            <rFont val="Aptos Narrow"/>
            <family val="2"/>
            <scheme val="minor"/>
          </rPr>
          <t>was 22690000
VNP100</t>
        </r>
      </text>
    </comment>
    <comment ref="C7" authorId="1" shapeId="0" xr:uid="{00000000-0006-0000-1700-000009000000}">
      <text>
        <r>
          <rPr>
            <sz val="12"/>
            <color theme="1"/>
            <rFont val="Aptos Narrow"/>
            <family val="2"/>
            <scheme val="minor"/>
          </rPr>
          <t>w12 22690</t>
        </r>
      </text>
    </comment>
    <comment ref="E7" authorId="0" shapeId="0" xr:uid="{00000000-0006-0000-1700-00000A000000}">
      <text>
        <r>
          <rPr>
            <sz val="12"/>
            <color theme="1"/>
            <rFont val="Aptos Narrow"/>
            <family val="2"/>
            <scheme val="minor"/>
          </rPr>
          <t xml:space="preserve">
CTKM đến 15/9:
Back to school, cơ hội trúng xe Wave Alpha 110cc đỏ.
Săn táo hớp nhoáng:
iPhone 15 Plus 128GB Pink: 21.990K
iPhone 15 Plus 256GB Pink: 24.790K</t>
        </r>
      </text>
    </comment>
    <comment ref="E8" authorId="0" shapeId="0" xr:uid="{00000000-0006-0000-1700-00000B000000}">
      <text>
        <r>
          <rPr>
            <sz val="12"/>
            <color theme="1"/>
            <rFont val="Aptos Narrow"/>
            <family val="2"/>
            <scheme val="minor"/>
          </rPr>
          <t xml:space="preserve">Last week is: 23.990K
Giảm 500K mua Online (đã trừ vào giá)
Giảm 500K màu Blue titanium
Giảm 300K VNPAY
</t>
        </r>
      </text>
    </comment>
    <comment ref="F8" authorId="2" shapeId="0" xr:uid="{00000000-0006-0000-1700-00000C000000}">
      <text>
        <r>
          <rPr>
            <sz val="12"/>
            <color theme="1"/>
            <rFont val="Aptos Narrow"/>
            <family val="2"/>
            <scheme val="minor"/>
          </rPr>
          <t>chit trang:
24.490.000</t>
        </r>
      </text>
    </comment>
    <comment ref="B9" authorId="1" shapeId="0" xr:uid="{00000000-0006-0000-1700-00000D000000}">
      <text>
        <r>
          <rPr>
            <sz val="12"/>
            <color theme="1"/>
            <rFont val="Aptos Narrow"/>
            <family val="2"/>
            <scheme val="minor"/>
          </rPr>
          <t>was 29590000
VNP100</t>
        </r>
      </text>
    </comment>
    <comment ref="C9" authorId="3" shapeId="0" xr:uid="{00000000-0006-0000-1700-00000E000000}">
      <text>
        <r>
          <rPr>
            <sz val="12"/>
            <color theme="1"/>
            <rFont val="Aptos Narrow"/>
            <family val="2"/>
            <scheme val="minor"/>
          </rPr>
          <t>Duy Ha Minh:
lw: 29.590</t>
        </r>
      </text>
    </comment>
    <comment ref="E9" authorId="0" shapeId="0" xr:uid="{00000000-0006-0000-1700-00000F000000}">
      <text>
        <r>
          <rPr>
            <sz val="12"/>
            <color theme="1"/>
            <rFont val="Aptos Narrow"/>
            <family val="2"/>
            <scheme val="minor"/>
          </rPr>
          <t>Last week was: 28.690.000
Giảm 1.000.000VND (Đã trừ vào giá)
Giảm 300K VNPAY</t>
        </r>
      </text>
    </comment>
    <comment ref="F9" authorId="4" shapeId="0" xr:uid="{00000000-0006-0000-1700-000010000000}">
      <text>
        <r>
          <rPr>
            <sz val="12"/>
            <color theme="1"/>
            <rFont val="Aptos Narrow"/>
            <family val="2"/>
            <scheme val="minor"/>
          </rPr>
          <t xml:space="preserve">Người dùng Không xác định:
</t>
        </r>
      </text>
    </comment>
    <comment ref="G9" authorId="5" shapeId="0" xr:uid="{00000000-0006-0000-1700-000011000000}">
      <text>
        <r>
          <rPr>
            <sz val="12"/>
            <color theme="1"/>
            <rFont val="Aptos Narrow"/>
            <family val="2"/>
            <scheme val="minor"/>
          </rPr>
          <t xml:space="preserve">Tran Dat:
28850000
</t>
        </r>
      </text>
    </comment>
    <comment ref="B10" authorId="1" shapeId="0" xr:uid="{00000000-0006-0000-1700-000012000000}">
      <text>
        <r>
          <rPr>
            <sz val="12"/>
            <color theme="1"/>
            <rFont val="Aptos Narrow"/>
            <family val="2"/>
            <scheme val="minor"/>
          </rPr>
          <t>was 20590000
VNP100</t>
        </r>
      </text>
    </comment>
    <comment ref="C10" authorId="1" shapeId="0" xr:uid="{00000000-0006-0000-1700-000013000000}">
      <text>
        <r>
          <rPr>
            <sz val="12"/>
            <color theme="1"/>
            <rFont val="Aptos Narrow"/>
            <family val="2"/>
            <scheme val="minor"/>
          </rPr>
          <t>w12 20.590</t>
        </r>
      </text>
    </comment>
    <comment ref="F10" authorId="2" shapeId="0" xr:uid="{00000000-0006-0000-1700-000014000000}">
      <text>
        <r>
          <rPr>
            <sz val="12"/>
            <color theme="1"/>
            <rFont val="Aptos Narrow"/>
            <family val="2"/>
            <scheme val="minor"/>
          </rPr>
          <t>chit trang:
19.790.000</t>
        </r>
      </text>
    </comment>
    <comment ref="D12" authorId="6" shapeId="0" xr:uid="{00000000-0006-0000-1700-000015000000}">
      <text>
        <r>
          <rPr>
            <sz val="12"/>
            <color theme="1"/>
            <rFont val="Aptos Narrow"/>
            <family val="2"/>
            <scheme val="minor"/>
          </rPr>
          <t>Việt Hoàng:
Last week was
13.890.000</t>
        </r>
      </text>
    </comment>
    <comment ref="B13" authorId="1" shapeId="0" xr:uid="{00000000-0006-0000-1700-000016000000}">
      <text>
        <r>
          <rPr>
            <sz val="12"/>
            <color theme="1"/>
            <rFont val="Aptos Narrow"/>
            <family val="2"/>
            <scheme val="minor"/>
          </rPr>
          <t>was 11590000
VNP100</t>
        </r>
      </text>
    </comment>
    <comment ref="C13" authorId="3" shapeId="0" xr:uid="{00000000-0006-0000-1700-000017000000}">
      <text>
        <r>
          <rPr>
            <sz val="12"/>
            <color theme="1"/>
            <rFont val="Aptos Narrow"/>
            <family val="2"/>
            <scheme val="minor"/>
          </rPr>
          <t>Duy Ha Minh:
lw: 10.990</t>
        </r>
      </text>
    </comment>
    <comment ref="E13" authorId="0" shapeId="0" xr:uid="{00000000-0006-0000-1700-000018000000}">
      <text>
        <r>
          <rPr>
            <sz val="12"/>
            <color theme="1"/>
            <rFont val="Aptos Narrow"/>
            <family val="2"/>
            <scheme val="minor"/>
          </rPr>
          <t xml:space="preserve">Last week is: 11.390K
</t>
        </r>
      </text>
    </comment>
    <comment ref="B14" authorId="1" shapeId="0" xr:uid="{00000000-0006-0000-1700-000019000000}">
      <text>
        <r>
          <rPr>
            <sz val="12"/>
            <color theme="1"/>
            <rFont val="Aptos Narrow"/>
            <family val="2"/>
            <scheme val="minor"/>
          </rPr>
          <t>was 8990000
VNP50</t>
        </r>
      </text>
    </comment>
    <comment ref="C14" authorId="1" shapeId="0" xr:uid="{00000000-0006-0000-1700-00001A000000}">
      <text>
        <r>
          <rPr>
            <sz val="12"/>
            <color theme="1"/>
            <rFont val="Aptos Narrow"/>
            <family val="2"/>
            <scheme val="minor"/>
          </rPr>
          <t>w12 8990</t>
        </r>
      </text>
    </comment>
    <comment ref="E14" authorId="0" shapeId="0" xr:uid="{00000000-0006-0000-1700-00001B000000}">
      <text>
        <r>
          <rPr>
            <sz val="12"/>
            <color theme="1"/>
            <rFont val="Aptos Narrow"/>
            <family val="2"/>
            <scheme val="minor"/>
          </rPr>
          <t>Giảm 200K khi mua Online (đã trừ vào giá)</t>
        </r>
      </text>
    </comment>
    <comment ref="B16" authorId="1" shapeId="0" xr:uid="{00000000-0006-0000-1700-00001C000000}">
      <text>
        <r>
          <rPr>
            <sz val="12"/>
            <color theme="1"/>
            <rFont val="Aptos Narrow"/>
            <family val="2"/>
            <scheme val="minor"/>
          </rPr>
          <t xml:space="preserve">Microsoft Office User:
</t>
        </r>
      </text>
    </comment>
    <comment ref="F16" authorId="2" shapeId="0" xr:uid="{00000000-0006-0000-1700-00001D000000}">
      <text>
        <r>
          <rPr>
            <sz val="12"/>
            <color theme="1"/>
            <rFont val="Aptos Narrow"/>
            <family val="2"/>
            <scheme val="minor"/>
          </rPr>
          <t>chit trang:
Wass 12.790.000</t>
        </r>
      </text>
    </comment>
    <comment ref="B17" authorId="1" shapeId="0" xr:uid="{00000000-0006-0000-1700-00001E000000}">
      <text>
        <r>
          <rPr>
            <sz val="12"/>
            <color theme="1"/>
            <rFont val="Aptos Narrow"/>
            <family val="2"/>
            <scheme val="minor"/>
          </rPr>
          <t xml:space="preserve">was 9990000
</t>
        </r>
      </text>
    </comment>
    <comment ref="C17" authorId="1" shapeId="0" xr:uid="{00000000-0006-0000-1700-00001F000000}">
      <text>
        <r>
          <rPr>
            <sz val="12"/>
            <color theme="1"/>
            <rFont val="Aptos Narrow"/>
            <family val="2"/>
            <scheme val="minor"/>
          </rPr>
          <t xml:space="preserve">w12 8990
</t>
        </r>
      </text>
    </comment>
    <comment ref="E17" authorId="0" shapeId="0" xr:uid="{00000000-0006-0000-1700-000020000000}">
      <text>
        <r>
          <rPr>
            <sz val="12"/>
            <color theme="1"/>
            <rFont val="Aptos Narrow"/>
            <family val="2"/>
            <scheme val="minor"/>
          </rPr>
          <t>Last week is: 9.690K
Giảm 200K mua Online
Giảm 10% tối đa 120K khi mở ví VNPAY</t>
        </r>
      </text>
    </comment>
    <comment ref="F17" authorId="2" shapeId="0" xr:uid="{00000000-0006-0000-1700-000021000000}">
      <text>
        <r>
          <rPr>
            <sz val="12"/>
            <color theme="1"/>
            <rFont val="Aptos Narrow"/>
            <family val="2"/>
            <scheme val="minor"/>
          </rPr>
          <t>chit trang:
9.790.000</t>
        </r>
      </text>
    </comment>
    <comment ref="B18" authorId="1" shapeId="0" xr:uid="{00000000-0006-0000-1700-000022000000}">
      <text>
        <r>
          <rPr>
            <sz val="12"/>
            <color theme="1"/>
            <rFont val="Aptos Narrow"/>
            <family val="2"/>
            <scheme val="minor"/>
          </rPr>
          <t>was 7690000
VNP50</t>
        </r>
      </text>
    </comment>
    <comment ref="C18" authorId="1" shapeId="0" xr:uid="{00000000-0006-0000-1700-000023000000}">
      <text>
        <r>
          <rPr>
            <sz val="12"/>
            <color theme="1"/>
            <rFont val="Aptos Narrow"/>
            <family val="2"/>
            <scheme val="minor"/>
          </rPr>
          <t>w12 7690</t>
        </r>
      </text>
    </comment>
    <comment ref="E18" authorId="0" shapeId="0" xr:uid="{00000000-0006-0000-1700-000024000000}">
      <text>
        <r>
          <rPr>
            <sz val="12"/>
            <color theme="1"/>
            <rFont val="Aptos Narrow"/>
            <family val="2"/>
            <scheme val="minor"/>
          </rPr>
          <t>Giảm 10% tối đa 120K khi mở ví VNPAY</t>
        </r>
      </text>
    </comment>
    <comment ref="F18" authorId="2" shapeId="0" xr:uid="{00000000-0006-0000-1700-000025000000}">
      <text>
        <r>
          <rPr>
            <sz val="12"/>
            <color theme="1"/>
            <rFont val="Aptos Narrow"/>
            <family val="2"/>
            <scheme val="minor"/>
          </rPr>
          <t>chit trang:
7.090.000</t>
        </r>
      </text>
    </comment>
    <comment ref="B19" authorId="1" shapeId="0" xr:uid="{00000000-0006-0000-1700-000026000000}">
      <text>
        <r>
          <rPr>
            <sz val="12"/>
            <color theme="1"/>
            <rFont val="Aptos Narrow"/>
            <family val="2"/>
            <scheme val="minor"/>
          </rPr>
          <t>was 16990000
VNP100</t>
        </r>
      </text>
    </comment>
    <comment ref="E19" authorId="0" shapeId="0" xr:uid="{00000000-0006-0000-1700-000027000000}">
      <text>
        <r>
          <rPr>
            <sz val="12"/>
            <color theme="1"/>
            <rFont val="Aptos Narrow"/>
            <family val="2"/>
            <scheme val="minor"/>
          </rPr>
          <t>Last week is: 16.325K
Giảm 10% tối đa 300K khi mở ví VNPAY</t>
        </r>
      </text>
    </comment>
    <comment ref="F19" authorId="2" shapeId="0" xr:uid="{00000000-0006-0000-1700-000028000000}">
      <text>
        <r>
          <rPr>
            <sz val="12"/>
            <color theme="1"/>
            <rFont val="Aptos Narrow"/>
            <family val="2"/>
            <scheme val="minor"/>
          </rPr>
          <t>chit trang:
Wass 16.590.000</t>
        </r>
      </text>
    </comment>
    <comment ref="B20" authorId="1" shapeId="0" xr:uid="{00000000-0006-0000-1700-000029000000}">
      <text>
        <r>
          <rPr>
            <sz val="12"/>
            <color theme="1"/>
            <rFont val="Aptos Narrow"/>
            <family val="2"/>
            <scheme val="minor"/>
          </rPr>
          <t>was 22490000
VNP100</t>
        </r>
      </text>
    </comment>
    <comment ref="E20" authorId="0" shapeId="0" xr:uid="{00000000-0006-0000-1700-00002A000000}">
      <text>
        <r>
          <rPr>
            <sz val="12"/>
            <color theme="1"/>
            <rFont val="Aptos Narrow"/>
            <family val="2"/>
            <scheme val="minor"/>
          </rPr>
          <t>Last week is: 21,290K
Giảm 10% tối đa 300K khi mở ví VNPAY</t>
        </r>
      </text>
    </comment>
    <comment ref="B21" authorId="1" shapeId="0" xr:uid="{00000000-0006-0000-1700-00002B000000}">
      <text>
        <r>
          <rPr>
            <sz val="12"/>
            <color theme="1"/>
            <rFont val="Aptos Narrow"/>
            <family val="2"/>
            <scheme val="minor"/>
          </rPr>
          <t>was 27790000
VNP100</t>
        </r>
      </text>
    </comment>
    <comment ref="E21" authorId="0" shapeId="0" xr:uid="{00000000-0006-0000-1700-00002C000000}">
      <text>
        <r>
          <rPr>
            <sz val="12"/>
            <color theme="1"/>
            <rFont val="Aptos Narrow"/>
            <family val="2"/>
            <scheme val="minor"/>
          </rPr>
          <t>Last week is: 27.215K
Giảm 10% tối đa 300K khi mở ví VNPAY</t>
        </r>
      </text>
    </comment>
    <comment ref="F21" authorId="2" shapeId="0" xr:uid="{00000000-0006-0000-1700-00002D000000}">
      <text>
        <r>
          <rPr>
            <sz val="12"/>
            <color theme="1"/>
            <rFont val="Aptos Narrow"/>
            <family val="2"/>
            <scheme val="minor"/>
          </rPr>
          <t>chit trang:
Wass 27.790.000</t>
        </r>
      </text>
    </comment>
    <comment ref="B22" authorId="1" shapeId="0" xr:uid="{00000000-0006-0000-1700-00002E000000}">
      <text>
        <r>
          <rPr>
            <sz val="12"/>
            <color theme="1"/>
            <rFont val="Aptos Narrow"/>
            <family val="2"/>
            <scheme val="minor"/>
          </rPr>
          <t>was 37290000
VNP100</t>
        </r>
      </text>
    </comment>
    <comment ref="B23" authorId="1" shapeId="0" xr:uid="{00000000-0006-0000-1700-00002F000000}">
      <text>
        <r>
          <rPr>
            <sz val="12"/>
            <color theme="1"/>
            <rFont val="Aptos Narrow"/>
            <family val="2"/>
            <scheme val="minor"/>
          </rPr>
          <t xml:space="preserve">was 6090000
VNP50
</t>
        </r>
      </text>
    </comment>
    <comment ref="E23" authorId="0" shapeId="0" xr:uid="{00000000-0006-0000-1700-000030000000}">
      <text>
        <r>
          <rPr>
            <sz val="12"/>
            <color theme="1"/>
            <rFont val="Aptos Narrow"/>
            <family val="2"/>
            <scheme val="minor"/>
          </rPr>
          <t>Last week: 5.870.000</t>
        </r>
      </text>
    </comment>
    <comment ref="B24" authorId="1" shapeId="0" xr:uid="{00000000-0006-0000-1700-000031000000}">
      <text>
        <r>
          <rPr>
            <sz val="12"/>
            <color theme="1"/>
            <rFont val="Aptos Narrow"/>
            <family val="2"/>
            <scheme val="minor"/>
          </rPr>
          <t>was 7490000
VNP50</t>
        </r>
      </text>
    </comment>
    <comment ref="D24" authorId="6" shapeId="0" xr:uid="{00000000-0006-0000-1700-000032000000}">
      <text>
        <r>
          <rPr>
            <sz val="12"/>
            <color theme="1"/>
            <rFont val="Aptos Narrow"/>
            <family val="2"/>
            <scheme val="minor"/>
          </rPr>
          <t>Việt Hoàng:
Last week: 7.340;000</t>
        </r>
      </text>
    </comment>
    <comment ref="E24" authorId="0" shapeId="0" xr:uid="{00000000-0006-0000-1700-000033000000}">
      <text>
        <r>
          <rPr>
            <sz val="12"/>
            <color theme="1"/>
            <rFont val="Aptos Narrow"/>
            <family val="2"/>
            <scheme val="minor"/>
          </rPr>
          <t>Last week: 7.190.000</t>
        </r>
      </text>
    </comment>
    <comment ref="B25" authorId="1" shapeId="0" xr:uid="{00000000-0006-0000-1700-000034000000}">
      <text>
        <r>
          <rPr>
            <sz val="12"/>
            <color theme="1"/>
            <rFont val="Aptos Narrow"/>
            <family val="2"/>
            <scheme val="minor"/>
          </rPr>
          <t>was 6990000
VNP50</t>
        </r>
      </text>
    </comment>
    <comment ref="C25" authorId="1" shapeId="0" xr:uid="{00000000-0006-0000-1700-000035000000}">
      <text>
        <r>
          <rPr>
            <sz val="12"/>
            <color theme="1"/>
            <rFont val="Aptos Narrow"/>
            <family val="2"/>
            <scheme val="minor"/>
          </rPr>
          <t>w12 6990</t>
        </r>
      </text>
    </comment>
    <comment ref="D25" authorId="6" shapeId="0" xr:uid="{00000000-0006-0000-1700-000036000000}">
      <text>
        <r>
          <rPr>
            <sz val="12"/>
            <color theme="1"/>
            <rFont val="Aptos Narrow"/>
            <family val="2"/>
            <scheme val="minor"/>
          </rPr>
          <t>Việt Hoàng:
Last week: 6.940.000</t>
        </r>
      </text>
    </comment>
    <comment ref="E25" authorId="0" shapeId="0" xr:uid="{00000000-0006-0000-1700-000037000000}">
      <text>
        <r>
          <rPr>
            <sz val="12"/>
            <color theme="1"/>
            <rFont val="Aptos Narrow"/>
            <family val="2"/>
            <scheme val="minor"/>
          </rPr>
          <t>Last week: 6.470.000</t>
        </r>
      </text>
    </comment>
    <comment ref="B26" authorId="1" shapeId="0" xr:uid="{00000000-0006-0000-1700-000038000000}">
      <text>
        <r>
          <rPr>
            <sz val="12"/>
            <color theme="1"/>
            <rFont val="Aptos Narrow"/>
            <family val="2"/>
            <scheme val="minor"/>
          </rPr>
          <t>was 7990000
VNP50</t>
        </r>
      </text>
    </comment>
    <comment ref="D26" authorId="6" shapeId="0" xr:uid="{00000000-0006-0000-1700-000039000000}">
      <text>
        <r>
          <rPr>
            <sz val="12"/>
            <color theme="1"/>
            <rFont val="Aptos Narrow"/>
            <family val="2"/>
            <scheme val="minor"/>
          </rPr>
          <t>Việt Hoàng:
Last week: 8.140.000</t>
        </r>
      </text>
    </comment>
    <comment ref="E26" authorId="0" shapeId="0" xr:uid="{00000000-0006-0000-1700-00003A000000}">
      <text>
        <r>
          <rPr>
            <sz val="12"/>
            <color theme="1"/>
            <rFont val="Aptos Narrow"/>
            <family val="2"/>
            <scheme val="minor"/>
          </rPr>
          <t>Last week was: 7.870.000</t>
        </r>
      </text>
    </comment>
    <comment ref="G26" authorId="5" shapeId="0" xr:uid="{00000000-0006-0000-1700-00003B000000}">
      <text>
        <r>
          <rPr>
            <sz val="12"/>
            <color theme="1"/>
            <rFont val="Aptos Narrow"/>
            <family val="2"/>
            <scheme val="minor"/>
          </rPr>
          <t>Tran Dat:
8090000</t>
        </r>
      </text>
    </comment>
    <comment ref="B27" authorId="1" shapeId="0" xr:uid="{00000000-0006-0000-1700-00003C000000}">
      <text>
        <r>
          <rPr>
            <sz val="12"/>
            <color theme="1"/>
            <rFont val="Aptos Narrow"/>
            <family val="2"/>
            <scheme val="minor"/>
          </rPr>
          <t>was 8990000
VNP50</t>
        </r>
      </text>
    </comment>
    <comment ref="C27" authorId="1" shapeId="0" xr:uid="{00000000-0006-0000-1700-00003D000000}">
      <text>
        <r>
          <rPr>
            <sz val="12"/>
            <color theme="1"/>
            <rFont val="Aptos Narrow"/>
            <family val="2"/>
            <scheme val="minor"/>
          </rPr>
          <t>w12 8990</t>
        </r>
      </text>
    </comment>
    <comment ref="D27" authorId="6" shapeId="0" xr:uid="{00000000-0006-0000-1700-00003E000000}">
      <text>
        <r>
          <rPr>
            <sz val="12"/>
            <color theme="1"/>
            <rFont val="Aptos Narrow"/>
            <family val="2"/>
            <scheme val="minor"/>
          </rPr>
          <t>Việt Hoàng:
Last week: 9.440.000</t>
        </r>
      </text>
    </comment>
    <comment ref="E27" authorId="0" shapeId="0" xr:uid="{00000000-0006-0000-1700-00003F000000}">
      <text>
        <r>
          <rPr>
            <sz val="12"/>
            <color theme="1"/>
            <rFont val="Aptos Narrow"/>
            <family val="2"/>
            <scheme val="minor"/>
          </rPr>
          <t>Last week: 9.670K</t>
        </r>
      </text>
    </comment>
    <comment ref="B28" authorId="1" shapeId="0" xr:uid="{00000000-0006-0000-1700-000040000000}">
      <text>
        <r>
          <rPr>
            <sz val="12"/>
            <color theme="1"/>
            <rFont val="Aptos Narrow"/>
            <family val="2"/>
            <scheme val="minor"/>
          </rPr>
          <t>was 12790000
VNP100</t>
        </r>
      </text>
    </comment>
    <comment ref="E28" authorId="0" shapeId="0" xr:uid="{00000000-0006-0000-1700-000041000000}">
      <text>
        <r>
          <rPr>
            <sz val="12"/>
            <color theme="1"/>
            <rFont val="Aptos Narrow"/>
            <family val="2"/>
            <scheme val="minor"/>
          </rPr>
          <t>Last Week: 12.070.000</t>
        </r>
      </text>
    </comment>
    <comment ref="B29" authorId="1" shapeId="0" xr:uid="{00000000-0006-0000-1700-000042000000}">
      <text>
        <r>
          <rPr>
            <sz val="12"/>
            <color theme="1"/>
            <rFont val="Aptos Narrow"/>
            <family val="2"/>
            <scheme val="minor"/>
          </rPr>
          <t>was 9790000
VNP100</t>
        </r>
      </text>
    </comment>
    <comment ref="C29" authorId="1" shapeId="0" xr:uid="{00000000-0006-0000-1700-000043000000}">
      <text>
        <r>
          <rPr>
            <sz val="12"/>
            <color theme="1"/>
            <rFont val="Aptos Narrow"/>
            <family val="2"/>
            <scheme val="minor"/>
          </rPr>
          <t>w12 9790</t>
        </r>
      </text>
    </comment>
    <comment ref="E29" authorId="0" shapeId="0" xr:uid="{00000000-0006-0000-1700-000044000000}">
      <text>
        <r>
          <rPr>
            <sz val="12"/>
            <color theme="1"/>
            <rFont val="Aptos Narrow"/>
            <family val="2"/>
            <scheme val="minor"/>
          </rPr>
          <t xml:space="preserve">Last week: 10.370.000
</t>
        </r>
      </text>
    </comment>
    <comment ref="B30" authorId="1" shapeId="0" xr:uid="{00000000-0006-0000-1700-000045000000}">
      <text>
        <r>
          <rPr>
            <sz val="12"/>
            <color theme="1"/>
            <rFont val="Aptos Narrow"/>
            <family val="2"/>
            <scheme val="minor"/>
          </rPr>
          <t>was 13590000
VNP100</t>
        </r>
      </text>
    </comment>
    <comment ref="E30" authorId="0" shapeId="0" xr:uid="{00000000-0006-0000-1700-000046000000}">
      <text>
        <r>
          <rPr>
            <sz val="12"/>
            <color theme="1"/>
            <rFont val="Aptos Narrow"/>
            <family val="2"/>
            <scheme val="minor"/>
          </rPr>
          <t xml:space="preserve">
Last week: 12.870.000</t>
        </r>
      </text>
    </comment>
    <comment ref="B31" authorId="1" shapeId="0" xr:uid="{00000000-0006-0000-1700-000047000000}">
      <text>
        <r>
          <rPr>
            <sz val="12"/>
            <color theme="1"/>
            <rFont val="Aptos Narrow"/>
            <family val="2"/>
            <scheme val="minor"/>
          </rPr>
          <t>was 21190000</t>
        </r>
      </text>
    </comment>
    <comment ref="F31" authorId="2" shapeId="0" xr:uid="{00000000-0006-0000-1700-000048000000}">
      <text>
        <r>
          <rPr>
            <sz val="12"/>
            <color theme="1"/>
            <rFont val="Aptos Narrow"/>
            <family val="2"/>
            <scheme val="minor"/>
          </rPr>
          <t>chit trang:
21.190.000</t>
        </r>
      </text>
    </comment>
    <comment ref="B32" authorId="1" shapeId="0" xr:uid="{00000000-0006-0000-1700-000049000000}">
      <text>
        <r>
          <rPr>
            <sz val="12"/>
            <color theme="1"/>
            <rFont val="Aptos Narrow"/>
            <family val="2"/>
            <scheme val="minor"/>
          </rPr>
          <t>was 5790000
VNP50</t>
        </r>
      </text>
    </comment>
    <comment ref="E32" authorId="0" shapeId="0" xr:uid="{00000000-0006-0000-1700-00004A000000}">
      <text>
        <r>
          <rPr>
            <sz val="12"/>
            <color theme="1"/>
            <rFont val="Aptos Narrow"/>
            <family val="2"/>
            <scheme val="minor"/>
          </rPr>
          <t xml:space="preserve">Last week was: 5.520K
Giảm 10% tối đa 120K khi mở ví VNPAY
</t>
        </r>
      </text>
    </comment>
    <comment ref="B33" authorId="1" shapeId="0" xr:uid="{00000000-0006-0000-1700-00004B000000}">
      <text>
        <r>
          <rPr>
            <sz val="12"/>
            <color theme="1"/>
            <rFont val="Aptos Narrow"/>
            <family val="2"/>
            <scheme val="minor"/>
          </rPr>
          <t>was 4090000
VNP50</t>
        </r>
      </text>
    </comment>
    <comment ref="E33" authorId="0" shapeId="0" xr:uid="{00000000-0006-0000-1700-00004C000000}">
      <text>
        <r>
          <rPr>
            <sz val="12"/>
            <color theme="1"/>
            <rFont val="Aptos Narrow"/>
            <family val="2"/>
            <scheme val="minor"/>
          </rPr>
          <t xml:space="preserve">
Last week: 3.770.000</t>
        </r>
      </text>
    </comment>
    <comment ref="F35" authorId="2" shapeId="0" xr:uid="{00000000-0006-0000-1700-00004D000000}">
      <text>
        <r>
          <rPr>
            <sz val="12"/>
            <color theme="1"/>
            <rFont val="Aptos Narrow"/>
            <family val="2"/>
            <scheme val="minor"/>
          </rPr>
          <t>chit trang:
18.390.000</t>
        </r>
      </text>
    </comment>
    <comment ref="B36" authorId="1" shapeId="0" xr:uid="{00000000-0006-0000-1700-00004E000000}">
      <text>
        <r>
          <rPr>
            <sz val="12"/>
            <color theme="1"/>
            <rFont val="Aptos Narrow"/>
            <family val="2"/>
            <scheme val="minor"/>
          </rPr>
          <t>was 24790000
VNP100</t>
        </r>
      </text>
    </comment>
    <comment ref="C36" authorId="1" shapeId="0" xr:uid="{00000000-0006-0000-1700-00004F000000}">
      <text>
        <r>
          <rPr>
            <sz val="12"/>
            <color theme="1"/>
            <rFont val="Aptos Narrow"/>
            <family val="2"/>
            <scheme val="minor"/>
          </rPr>
          <t>w12 24790</t>
        </r>
      </text>
    </comment>
    <comment ref="F36" authorId="2" shapeId="0" xr:uid="{00000000-0006-0000-1700-000050000000}">
      <text>
        <r>
          <rPr>
            <sz val="12"/>
            <color theme="1"/>
            <rFont val="Aptos Narrow"/>
            <family val="2"/>
            <scheme val="minor"/>
          </rPr>
          <t>chit trang:
23.390.000</t>
        </r>
      </text>
    </comment>
    <comment ref="B37" authorId="1" shapeId="0" xr:uid="{00000000-0006-0000-1700-000051000000}">
      <text>
        <r>
          <rPr>
            <sz val="12"/>
            <color theme="1"/>
            <rFont val="Aptos Narrow"/>
            <family val="2"/>
            <scheme val="minor"/>
          </rPr>
          <t>was 27090000
VNP100</t>
        </r>
      </text>
    </comment>
    <comment ref="C37" authorId="1" shapeId="0" xr:uid="{00000000-0006-0000-1700-000052000000}">
      <text>
        <r>
          <rPr>
            <sz val="12"/>
            <color theme="1"/>
            <rFont val="Aptos Narrow"/>
            <family val="2"/>
            <scheme val="minor"/>
          </rPr>
          <t>w12 27090</t>
        </r>
      </text>
    </comment>
    <comment ref="F37" authorId="2" shapeId="0" xr:uid="{00000000-0006-0000-1700-000053000000}">
      <text>
        <r>
          <rPr>
            <sz val="12"/>
            <color theme="1"/>
            <rFont val="Aptos Narrow"/>
            <family val="2"/>
            <scheme val="minor"/>
          </rPr>
          <t>chit trang:
26.790.000</t>
        </r>
      </text>
    </comment>
    <comment ref="B38" authorId="1" shapeId="0" xr:uid="{00000000-0006-0000-1700-000054000000}">
      <text>
        <r>
          <rPr>
            <sz val="12"/>
            <color theme="1"/>
            <rFont val="Aptos Narrow"/>
            <family val="2"/>
            <scheme val="minor"/>
          </rPr>
          <t>was 31290000
VNP100</t>
        </r>
      </text>
    </comment>
    <comment ref="C38" authorId="1" shapeId="0" xr:uid="{00000000-0006-0000-1700-000055000000}">
      <text>
        <r>
          <rPr>
            <sz val="12"/>
            <color theme="1"/>
            <rFont val="Aptos Narrow"/>
            <family val="2"/>
            <scheme val="minor"/>
          </rPr>
          <t xml:space="preserve">w12: 31290
</t>
        </r>
      </text>
    </comment>
    <comment ref="F38" authorId="4" shapeId="0" xr:uid="{00000000-0006-0000-1700-000056000000}">
      <text>
        <r>
          <rPr>
            <sz val="12"/>
            <color theme="1"/>
            <rFont val="Aptos Narrow"/>
            <family val="2"/>
            <scheme val="minor"/>
          </rPr>
          <t>Người dùng Không xác định:
31.190.000</t>
        </r>
      </text>
    </comment>
    <comment ref="B39" authorId="1" shapeId="0" xr:uid="{00000000-0006-0000-1700-000057000000}">
      <text>
        <r>
          <rPr>
            <sz val="12"/>
            <color theme="1"/>
            <rFont val="Aptos Narrow"/>
            <family val="2"/>
            <scheme val="minor"/>
          </rPr>
          <t>was 38190000
VNP100</t>
        </r>
      </text>
    </comment>
    <comment ref="C39" authorId="1" shapeId="0" xr:uid="{00000000-0006-0000-1700-000058000000}">
      <text>
        <r>
          <rPr>
            <sz val="12"/>
            <color theme="1"/>
            <rFont val="Aptos Narrow"/>
            <family val="2"/>
            <scheme val="minor"/>
          </rPr>
          <t>w12: 38190</t>
        </r>
      </text>
    </comment>
  </commentList>
</comments>
</file>

<file path=xl/comments25.xml><?xml version="1.0" encoding="utf-8"?>
<comments xmlns="http://schemas.openxmlformats.org/spreadsheetml/2006/main" xmlns:mc="http://schemas.openxmlformats.org/markup-compatibility/2006" xmlns:xr="http://schemas.microsoft.com/office/spreadsheetml/2014/revision" mc:Ignorable="xr">
  <authors>
    <author>Microsoft Office User</author>
    <author>Sheva Son</author>
    <author>Người dùng Khách</author>
    <author>Tran Dat</author>
    <author>Việt Hoàng</author>
    <author>chit trang</author>
  </authors>
  <commentList>
    <comment ref="B2" authorId="0" shapeId="0" xr:uid="{00000000-0006-0000-1800-000001000000}">
      <text>
        <r>
          <rPr>
            <sz val="12"/>
            <color theme="1"/>
            <rFont val="Aptos Narrow"/>
            <family val="2"/>
            <scheme val="minor"/>
          </rPr>
          <t>was 22990000
VNP100</t>
        </r>
      </text>
    </comment>
    <comment ref="C2" authorId="0" shapeId="0" xr:uid="{00000000-0006-0000-1800-000002000000}">
      <text>
        <r>
          <rPr>
            <sz val="12"/>
            <color theme="1"/>
            <rFont val="Aptos Narrow"/>
            <family val="2"/>
            <scheme val="minor"/>
          </rPr>
          <t xml:space="preserve">w13 22.990
</t>
        </r>
      </text>
    </comment>
    <comment ref="E2" authorId="1" shapeId="0" xr:uid="{00000000-0006-0000-1800-000003000000}">
      <text>
        <r>
          <rPr>
            <sz val="12"/>
            <color theme="1"/>
            <rFont val="Aptos Narrow"/>
            <family val="2"/>
            <scheme val="minor"/>
          </rPr>
          <t>Giảm 500K cho khách Pre-order (trừ màu titan sa mạc).
Giảm 300K VNPAY
Giảm 500K khi thanh toán qua Zalo Pay (160 suất)
Giảm VPBank 2000K (200 suất mua iPhone 16 series)
Đổi điểm Viettel++ lên tới 6000K</t>
        </r>
      </text>
    </comment>
    <comment ref="F2" authorId="2" shapeId="0" xr:uid="{00000000-0006-0000-1800-000004000000}">
      <text>
        <r>
          <rPr>
            <sz val="12"/>
            <color theme="1"/>
            <rFont val="Aptos Narrow"/>
            <family val="2"/>
            <scheme val="minor"/>
          </rPr>
          <t>Người dùng Không xác định:
22.990.000</t>
        </r>
      </text>
    </comment>
    <comment ref="G2" authorId="3" shapeId="0" xr:uid="{00000000-0006-0000-1800-000005000000}">
      <text>
        <r>
          <rPr>
            <sz val="12"/>
            <color theme="1"/>
            <rFont val="Aptos Narrow"/>
            <family val="2"/>
            <scheme val="minor"/>
          </rPr>
          <t xml:space="preserve">Tran Dat:
21.990.000
</t>
        </r>
      </text>
    </comment>
    <comment ref="B3" authorId="0" shapeId="0" xr:uid="{00000000-0006-0000-1800-000006000000}">
      <text>
        <r>
          <rPr>
            <sz val="12"/>
            <color theme="1"/>
            <rFont val="Aptos Narrow"/>
            <family val="2"/>
            <scheme val="minor"/>
          </rPr>
          <t xml:space="preserve">was 25990000
VNP100
</t>
        </r>
      </text>
    </comment>
    <comment ref="C3" authorId="0" shapeId="0" xr:uid="{00000000-0006-0000-1800-000007000000}">
      <text>
        <r>
          <rPr>
            <sz val="12"/>
            <color theme="1"/>
            <rFont val="Aptos Narrow"/>
            <family val="2"/>
            <scheme val="minor"/>
          </rPr>
          <t xml:space="preserve">w13  25.990
</t>
        </r>
      </text>
    </comment>
    <comment ref="E3" authorId="1" shapeId="0" xr:uid="{00000000-0006-0000-1800-000008000000}">
      <text>
        <r>
          <rPr>
            <sz val="12"/>
            <color theme="1"/>
            <rFont val="Aptos Narrow"/>
            <family val="2"/>
            <scheme val="minor"/>
          </rPr>
          <t>Giảm 500K cho khách Pre-order (trừ màu titan sa mạc).
Giảm 300K VNPAY
Giảm 500K khi thanh toán qua Zalo Pay (160 suất)
Đổi điểm Viettel++ lên tới 6000K</t>
        </r>
      </text>
    </comment>
    <comment ref="F3" authorId="2" shapeId="0" xr:uid="{00000000-0006-0000-1800-000009000000}">
      <text>
        <r>
          <rPr>
            <sz val="12"/>
            <color theme="1"/>
            <rFont val="Aptos Narrow"/>
            <family val="2"/>
            <scheme val="minor"/>
          </rPr>
          <t>Người dùng Không xác định:
25.990.000</t>
        </r>
      </text>
    </comment>
    <comment ref="G3" authorId="3" shapeId="0" xr:uid="{00000000-0006-0000-1800-00000A000000}">
      <text>
        <r>
          <rPr>
            <sz val="12"/>
            <color theme="1"/>
            <rFont val="Aptos Narrow"/>
            <family val="2"/>
            <scheme val="minor"/>
          </rPr>
          <t>Tran Dat:
24.990.000</t>
        </r>
      </text>
    </comment>
    <comment ref="B4" authorId="0" shapeId="0" xr:uid="{00000000-0006-0000-1800-00000B000000}">
      <text>
        <r>
          <rPr>
            <sz val="12"/>
            <color theme="1"/>
            <rFont val="Aptos Narrow"/>
            <family val="2"/>
            <scheme val="minor"/>
          </rPr>
          <t>was 28990000
VNP100</t>
        </r>
      </text>
    </comment>
    <comment ref="C4" authorId="0" shapeId="0" xr:uid="{00000000-0006-0000-1800-00000C000000}">
      <text>
        <r>
          <rPr>
            <sz val="12"/>
            <color theme="1"/>
            <rFont val="Aptos Narrow"/>
            <family val="2"/>
            <scheme val="minor"/>
          </rPr>
          <t xml:space="preserve">w13  28.990
</t>
        </r>
      </text>
    </comment>
    <comment ref="E4" authorId="1" shapeId="0" xr:uid="{00000000-0006-0000-1800-00000D000000}">
      <text>
        <r>
          <rPr>
            <sz val="12"/>
            <color theme="1"/>
            <rFont val="Aptos Narrow"/>
            <family val="2"/>
            <scheme val="minor"/>
          </rPr>
          <t xml:space="preserve">Giảm 500K cho khách Pre-order (trừ màu titan sa mạc).
Giảm VPBank 2000K (200 suất mua iPhone 16 series)
Đổi điểm Viettel++ lên tới 6000K
Hoặc giảm ngay 1.500K ap dụng cho cả titan sa mạc
</t>
        </r>
      </text>
    </comment>
    <comment ref="F4" authorId="2" shapeId="0" xr:uid="{00000000-0006-0000-1800-00000E000000}">
      <text>
        <r>
          <rPr>
            <sz val="12"/>
            <color theme="1"/>
            <rFont val="Aptos Narrow"/>
            <family val="2"/>
            <scheme val="minor"/>
          </rPr>
          <t>Người dùng Không xác định:
28.990.000</t>
        </r>
      </text>
    </comment>
    <comment ref="G4" authorId="3" shapeId="0" xr:uid="{00000000-0006-0000-1800-00000F000000}">
      <text>
        <r>
          <rPr>
            <sz val="12"/>
            <color theme="1"/>
            <rFont val="Aptos Narrow"/>
            <family val="2"/>
            <scheme val="minor"/>
          </rPr>
          <t>Tran Dat:
28.990.000</t>
        </r>
      </text>
    </comment>
    <comment ref="B5" authorId="0" shapeId="0" xr:uid="{00000000-0006-0000-1800-000010000000}">
      <text>
        <r>
          <rPr>
            <sz val="12"/>
            <color theme="1"/>
            <rFont val="Aptos Narrow"/>
            <family val="2"/>
            <scheme val="minor"/>
          </rPr>
          <t>was 34990000
VNP100</t>
        </r>
      </text>
    </comment>
    <comment ref="C5" authorId="0" shapeId="0" xr:uid="{00000000-0006-0000-1800-000011000000}">
      <text>
        <r>
          <rPr>
            <sz val="12"/>
            <color theme="1"/>
            <rFont val="Aptos Narrow"/>
            <family val="2"/>
            <scheme val="minor"/>
          </rPr>
          <t xml:space="preserve">w13  34.990
</t>
        </r>
      </text>
    </comment>
    <comment ref="E5" authorId="1" shapeId="0" xr:uid="{00000000-0006-0000-1800-000012000000}">
      <text>
        <r>
          <rPr>
            <sz val="12"/>
            <color theme="1"/>
            <rFont val="Aptos Narrow"/>
            <family val="2"/>
            <scheme val="minor"/>
          </rPr>
          <t>Giảm 500K cho khách Pre-order (trừ màu titan sa mạc).
Giảm 500K khi thanh toán qua Zalo Pay (160 suất)
Giảm VPBank 2000K (200 suất mua iPhone 16 series)
Đổi điểm Viettel++ lên tới 6000K</t>
        </r>
      </text>
    </comment>
    <comment ref="F5" authorId="2" shapeId="0" xr:uid="{00000000-0006-0000-1800-000013000000}">
      <text>
        <r>
          <rPr>
            <sz val="12"/>
            <color theme="1"/>
            <rFont val="Aptos Narrow"/>
            <family val="2"/>
            <scheme val="minor"/>
          </rPr>
          <t>Người dùng Không xác định:
34.990.000</t>
        </r>
      </text>
    </comment>
    <comment ref="G5" authorId="3" shapeId="0" xr:uid="{00000000-0006-0000-1800-000014000000}">
      <text>
        <r>
          <rPr>
            <sz val="12"/>
            <color theme="1"/>
            <rFont val="Aptos Narrow"/>
            <family val="2"/>
            <scheme val="minor"/>
          </rPr>
          <t>Tran Dat:
34.990.000</t>
        </r>
      </text>
    </comment>
    <comment ref="D6" authorId="4" shapeId="0" xr:uid="{00000000-0006-0000-1800-000015000000}">
      <text>
        <r>
          <rPr>
            <sz val="12"/>
            <color theme="1"/>
            <rFont val="Aptos Narrow"/>
            <family val="2"/>
            <scheme val="minor"/>
          </rPr>
          <t>Việt Hoàng:
Last Week:
19.590.000</t>
        </r>
      </text>
    </comment>
    <comment ref="F6" authorId="2" shapeId="0" xr:uid="{00000000-0006-0000-1800-000016000000}">
      <text>
        <r>
          <rPr>
            <sz val="12"/>
            <color theme="1"/>
            <rFont val="Aptos Narrow"/>
            <family val="2"/>
            <scheme val="minor"/>
          </rPr>
          <t>Người dùng Không xác định:
19.090.000</t>
        </r>
      </text>
    </comment>
    <comment ref="D7" authorId="4" shapeId="0" xr:uid="{00000000-0006-0000-1800-000017000000}">
      <text>
        <r>
          <rPr>
            <sz val="12"/>
            <color theme="1"/>
            <rFont val="Aptos Narrow"/>
            <family val="2"/>
            <scheme val="minor"/>
          </rPr>
          <t>Việt Hoàng:
Last Week:
22.590.000</t>
        </r>
      </text>
    </comment>
    <comment ref="F7" authorId="2" shapeId="0" xr:uid="{00000000-0006-0000-1800-000018000000}">
      <text>
        <r>
          <rPr>
            <sz val="12"/>
            <color theme="1"/>
            <rFont val="Aptos Narrow"/>
            <family val="2"/>
            <scheme val="minor"/>
          </rPr>
          <t>Người dùng Không xác định:
22.490.000</t>
        </r>
      </text>
    </comment>
    <comment ref="B8" authorId="0" shapeId="0" xr:uid="{00000000-0006-0000-1800-000019000000}">
      <text>
        <r>
          <rPr>
            <sz val="12"/>
            <color theme="1"/>
            <rFont val="Aptos Narrow"/>
            <family val="2"/>
            <scheme val="minor"/>
          </rPr>
          <t xml:space="preserve">was 25090000
VNP100
</t>
        </r>
      </text>
    </comment>
    <comment ref="D8" authorId="4" shapeId="0" xr:uid="{00000000-0006-0000-1800-00001A000000}">
      <text>
        <r>
          <rPr>
            <sz val="12"/>
            <color theme="1"/>
            <rFont val="Aptos Narrow"/>
            <family val="2"/>
            <scheme val="minor"/>
          </rPr>
          <t>Việt Hoàng:
Last week:
24.990.000</t>
        </r>
      </text>
    </comment>
    <comment ref="E8" authorId="1" shapeId="0" xr:uid="{00000000-0006-0000-1800-00001B000000}">
      <text>
        <r>
          <rPr>
            <sz val="12"/>
            <color theme="1"/>
            <rFont val="Aptos Narrow"/>
            <family val="2"/>
            <scheme val="minor"/>
          </rPr>
          <t xml:space="preserve">Last week is: 23.990K
Giảm 500K màu Blue titanium
</t>
        </r>
      </text>
    </comment>
    <comment ref="F8" authorId="5" shapeId="0" xr:uid="{00000000-0006-0000-1800-00001C000000}">
      <text>
        <r>
          <rPr>
            <sz val="12"/>
            <color theme="1"/>
            <rFont val="Aptos Narrow"/>
            <family val="2"/>
            <scheme val="minor"/>
          </rPr>
          <t>chit trang:
24.790.000</t>
        </r>
      </text>
    </comment>
    <comment ref="D9" authorId="4" shapeId="0" xr:uid="{00000000-0006-0000-1800-00001D000000}">
      <text>
        <r>
          <rPr>
            <sz val="12"/>
            <color theme="1"/>
            <rFont val="Aptos Narrow"/>
            <family val="2"/>
            <scheme val="minor"/>
          </rPr>
          <t>Việt Hoàng:
Last Week:
29.290.000</t>
        </r>
      </text>
    </comment>
    <comment ref="E9" authorId="1" shapeId="0" xr:uid="{00000000-0006-0000-1800-00001E000000}">
      <text>
        <r>
          <rPr>
            <sz val="12"/>
            <color theme="1"/>
            <rFont val="Aptos Narrow"/>
            <family val="2"/>
            <scheme val="minor"/>
          </rPr>
          <t xml:space="preserve">Last week was: 28.690.000
Giảm 1.000.000VND mua hàng Online (đã trừ vào giá)
</t>
        </r>
      </text>
    </comment>
    <comment ref="F9" authorId="2" shapeId="0" xr:uid="{00000000-0006-0000-1800-00001F000000}">
      <text>
        <r>
          <rPr>
            <sz val="12"/>
            <color theme="1"/>
            <rFont val="Aptos Narrow"/>
            <family val="2"/>
            <scheme val="minor"/>
          </rPr>
          <t>Người dùng Không xác định:
28.750.000</t>
        </r>
      </text>
    </comment>
    <comment ref="D10" authorId="4" shapeId="0" xr:uid="{00000000-0006-0000-1800-000020000000}">
      <text>
        <r>
          <rPr>
            <sz val="12"/>
            <color theme="1"/>
            <rFont val="Aptos Narrow"/>
            <family val="2"/>
            <scheme val="minor"/>
          </rPr>
          <t>Việt Hoàng:
20.090.000</t>
        </r>
      </text>
    </comment>
    <comment ref="E10" authorId="1" shapeId="0" xr:uid="{00000000-0006-0000-1800-000021000000}">
      <text>
        <r>
          <rPr>
            <sz val="12"/>
            <color theme="1"/>
            <rFont val="Aptos Narrow"/>
            <family val="2"/>
            <scheme val="minor"/>
          </rPr>
          <t xml:space="preserve">Chỉ còn màu Purple
</t>
        </r>
      </text>
    </comment>
    <comment ref="F10" authorId="5" shapeId="0" xr:uid="{00000000-0006-0000-1800-000022000000}">
      <text>
        <r>
          <rPr>
            <sz val="12"/>
            <color theme="1"/>
            <rFont val="Aptos Narrow"/>
            <family val="2"/>
            <scheme val="minor"/>
          </rPr>
          <t>chit trang:
19.790.000</t>
        </r>
      </text>
    </comment>
    <comment ref="D11" authorId="4" shapeId="0" xr:uid="{00000000-0006-0000-1800-000023000000}">
      <text>
        <r>
          <rPr>
            <sz val="12"/>
            <color theme="1"/>
            <rFont val="Aptos Narrow"/>
            <family val="2"/>
            <scheme val="minor"/>
          </rPr>
          <t>Việt Hoàng:
Last week:
16.990.000</t>
        </r>
      </text>
    </comment>
    <comment ref="B12" authorId="0" shapeId="0" xr:uid="{00000000-0006-0000-1800-000024000000}">
      <text>
        <r>
          <rPr>
            <sz val="12"/>
            <color theme="1"/>
            <rFont val="Aptos Narrow"/>
            <family val="2"/>
            <scheme val="minor"/>
          </rPr>
          <t>was 14090000
VNP100</t>
        </r>
      </text>
    </comment>
    <comment ref="C12" authorId="0" shapeId="0" xr:uid="{00000000-0006-0000-1800-000025000000}">
      <text>
        <r>
          <rPr>
            <sz val="12"/>
            <color theme="1"/>
            <rFont val="Aptos Narrow"/>
            <family val="2"/>
            <scheme val="minor"/>
          </rPr>
          <t xml:space="preserve">w13  14.090
</t>
        </r>
      </text>
    </comment>
    <comment ref="D12" authorId="4" shapeId="0" xr:uid="{00000000-0006-0000-1800-000026000000}">
      <text>
        <r>
          <rPr>
            <sz val="12"/>
            <color theme="1"/>
            <rFont val="Aptos Narrow"/>
            <family val="2"/>
            <scheme val="minor"/>
          </rPr>
          <t>Việt Hoàng:
Last week was
13.990.000</t>
        </r>
      </text>
    </comment>
    <comment ref="E12" authorId="1" shapeId="0" xr:uid="{00000000-0006-0000-1800-000027000000}">
      <text>
        <r>
          <rPr>
            <sz val="12"/>
            <color theme="1"/>
            <rFont val="Aptos Narrow"/>
            <family val="2"/>
            <scheme val="minor"/>
          </rPr>
          <t xml:space="preserve">Giảm 100K mua Online(Đã trừ vào giá)
</t>
        </r>
      </text>
    </comment>
    <comment ref="F12" authorId="2" shapeId="0" xr:uid="{00000000-0006-0000-1800-000028000000}">
      <text>
        <r>
          <rPr>
            <sz val="12"/>
            <color theme="1"/>
            <rFont val="Aptos Narrow"/>
            <family val="2"/>
            <scheme val="minor"/>
          </rPr>
          <t>Người dùng Không xác định:
13.850.000</t>
        </r>
      </text>
    </comment>
    <comment ref="D13" authorId="4" shapeId="0" xr:uid="{00000000-0006-0000-1800-000029000000}">
      <text>
        <r>
          <rPr>
            <sz val="12"/>
            <color theme="1"/>
            <rFont val="Aptos Narrow"/>
            <family val="2"/>
            <scheme val="minor"/>
          </rPr>
          <t>Việt Hoàng:
Last week:
10.890.000</t>
        </r>
      </text>
    </comment>
    <comment ref="D14" authorId="4" shapeId="0" xr:uid="{00000000-0006-0000-1800-00002A000000}">
      <text>
        <r>
          <rPr>
            <sz val="12"/>
            <color theme="1"/>
            <rFont val="Aptos Narrow"/>
            <family val="2"/>
            <scheme val="minor"/>
          </rPr>
          <t>Việt Hoàng:
Last week:
8.940.000</t>
        </r>
      </text>
    </comment>
    <comment ref="E14" authorId="1" shapeId="0" xr:uid="{00000000-0006-0000-1800-00002B000000}">
      <text>
        <r>
          <rPr>
            <sz val="12"/>
            <color theme="1"/>
            <rFont val="Aptos Narrow"/>
            <family val="2"/>
            <scheme val="minor"/>
          </rPr>
          <t>Giảm 200K khi mua Online (đã trừ vào giá)</t>
        </r>
      </text>
    </comment>
    <comment ref="B16" authorId="0" shapeId="0" xr:uid="{00000000-0006-0000-1800-00002C000000}">
      <text>
        <r>
          <rPr>
            <sz val="12"/>
            <color theme="1"/>
            <rFont val="Aptos Narrow"/>
            <family val="2"/>
            <scheme val="minor"/>
          </rPr>
          <t xml:space="preserve">was 12890000
VNP100
</t>
        </r>
      </text>
    </comment>
    <comment ref="D16" authorId="4" shapeId="0" xr:uid="{00000000-0006-0000-1800-00002D000000}">
      <text>
        <r>
          <rPr>
            <sz val="12"/>
            <color theme="1"/>
            <rFont val="Aptos Narrow"/>
            <family val="2"/>
            <scheme val="minor"/>
          </rPr>
          <t>Việt Hoàng:
Last week:
12.690.000</t>
        </r>
      </text>
    </comment>
    <comment ref="D17" authorId="4" shapeId="0" xr:uid="{00000000-0006-0000-1800-00002E000000}">
      <text>
        <r>
          <rPr>
            <sz val="12"/>
            <color theme="1"/>
            <rFont val="Aptos Narrow"/>
            <family val="2"/>
            <scheme val="minor"/>
          </rPr>
          <t>Việt Hoàng:
Last week
9.940.000</t>
        </r>
      </text>
    </comment>
    <comment ref="E17" authorId="1" shapeId="0" xr:uid="{00000000-0006-0000-1800-00002F000000}">
      <text>
        <r>
          <rPr>
            <sz val="12"/>
            <color theme="1"/>
            <rFont val="Aptos Narrow"/>
            <family val="2"/>
            <scheme val="minor"/>
          </rPr>
          <t>Last week is: 9.690K
Giảm 200K mua Online
Giảm 10% tối đa 120K khi mở ví VNPAY</t>
        </r>
      </text>
    </comment>
    <comment ref="F17" authorId="5" shapeId="0" xr:uid="{00000000-0006-0000-1800-000030000000}">
      <text>
        <r>
          <rPr>
            <sz val="12"/>
            <color theme="1"/>
            <rFont val="Aptos Narrow"/>
            <family val="2"/>
            <scheme val="minor"/>
          </rPr>
          <t>chit trang:
9.490.000</t>
        </r>
      </text>
    </comment>
    <comment ref="D18" authorId="4" shapeId="0" xr:uid="{00000000-0006-0000-1800-000031000000}">
      <text>
        <r>
          <rPr>
            <sz val="12"/>
            <color theme="1"/>
            <rFont val="Aptos Narrow"/>
            <family val="2"/>
            <scheme val="minor"/>
          </rPr>
          <t>Việt Hoàng:
Last week:
7.140.000</t>
        </r>
      </text>
    </comment>
    <comment ref="E18" authorId="1" shapeId="0" xr:uid="{00000000-0006-0000-1800-000032000000}">
      <text>
        <r>
          <rPr>
            <sz val="12"/>
            <color theme="1"/>
            <rFont val="Aptos Narrow"/>
            <family val="2"/>
            <scheme val="minor"/>
          </rPr>
          <t>Giảm 10% tối đa 120K khi mở ví VNPAY</t>
        </r>
      </text>
    </comment>
    <comment ref="D19" authorId="4" shapeId="0" xr:uid="{00000000-0006-0000-1800-000033000000}">
      <text>
        <r>
          <rPr>
            <sz val="12"/>
            <color theme="1"/>
            <rFont val="Aptos Narrow"/>
            <family val="2"/>
            <scheme val="minor"/>
          </rPr>
          <t>Việt Hoàng:
Last week
16.890.000</t>
        </r>
      </text>
    </comment>
    <comment ref="E19" authorId="1" shapeId="0" xr:uid="{00000000-0006-0000-1800-000034000000}">
      <text>
        <r>
          <rPr>
            <sz val="12"/>
            <color theme="1"/>
            <rFont val="Aptos Narrow"/>
            <family val="2"/>
            <scheme val="minor"/>
          </rPr>
          <t>Last week is: 16.390K
Giảm 10% tối đa 300K VNPAY</t>
        </r>
      </text>
    </comment>
    <comment ref="D20" authorId="4" shapeId="0" xr:uid="{00000000-0006-0000-1800-000035000000}">
      <text>
        <r>
          <rPr>
            <sz val="12"/>
            <color theme="1"/>
            <rFont val="Aptos Narrow"/>
            <family val="2"/>
            <scheme val="minor"/>
          </rPr>
          <t>Việt Hoàng:
Last week
21.890.000</t>
        </r>
      </text>
    </comment>
    <comment ref="E20" authorId="1" shapeId="0" xr:uid="{00000000-0006-0000-1800-000036000000}">
      <text>
        <r>
          <rPr>
            <sz val="12"/>
            <color theme="1"/>
            <rFont val="Aptos Narrow"/>
            <family val="2"/>
            <scheme val="minor"/>
          </rPr>
          <t>Last week is: 21,490K
Giảm 10% tối đa 300K VNPAY</t>
        </r>
      </text>
    </comment>
    <comment ref="G20" authorId="3" shapeId="0" xr:uid="{00000000-0006-0000-1800-000037000000}">
      <text>
        <r>
          <rPr>
            <sz val="12"/>
            <color theme="1"/>
            <rFont val="Aptos Narrow"/>
            <family val="2"/>
            <scheme val="minor"/>
          </rPr>
          <t>Tran Dat:
21.990.000</t>
        </r>
      </text>
    </comment>
    <comment ref="D21" authorId="4" shapeId="0" xr:uid="{00000000-0006-0000-1800-000038000000}">
      <text>
        <r>
          <rPr>
            <sz val="12"/>
            <color theme="1"/>
            <rFont val="Aptos Narrow"/>
            <family val="2"/>
            <scheme val="minor"/>
          </rPr>
          <t>Việt Hoàng:
Last week
27.590.000</t>
        </r>
      </text>
    </comment>
    <comment ref="E21" authorId="1" shapeId="0" xr:uid="{00000000-0006-0000-1800-000039000000}">
      <text>
        <r>
          <rPr>
            <sz val="12"/>
            <color theme="1"/>
            <rFont val="Aptos Narrow"/>
            <family val="2"/>
            <scheme val="minor"/>
          </rPr>
          <t>Last week is: 27.490K
Giảm 10% tối đa 300K VNPAY</t>
        </r>
      </text>
    </comment>
    <comment ref="D22" authorId="4" shapeId="0" xr:uid="{00000000-0006-0000-1800-00003A000000}">
      <text>
        <r>
          <rPr>
            <sz val="12"/>
            <color theme="1"/>
            <rFont val="Aptos Narrow"/>
            <family val="2"/>
            <scheme val="minor"/>
          </rPr>
          <t>Việt Hoàng:
Last week
36.490.000</t>
        </r>
      </text>
    </comment>
    <comment ref="D23" authorId="4" shapeId="0" xr:uid="{00000000-0006-0000-1800-00003B000000}">
      <text>
        <r>
          <rPr>
            <sz val="12"/>
            <color theme="1"/>
            <rFont val="Aptos Narrow"/>
            <family val="2"/>
            <scheme val="minor"/>
          </rPr>
          <t>Việt Hoàng:
Last week
5.940.000</t>
        </r>
      </text>
    </comment>
    <comment ref="E23" authorId="1" shapeId="0" xr:uid="{00000000-0006-0000-1800-00003C000000}">
      <text>
        <r>
          <rPr>
            <sz val="12"/>
            <color theme="1"/>
            <rFont val="Aptos Narrow"/>
            <family val="2"/>
            <scheme val="minor"/>
          </rPr>
          <t>Last week: 5.870.000</t>
        </r>
      </text>
    </comment>
    <comment ref="F23" authorId="2" shapeId="0" xr:uid="{00000000-0006-0000-1800-00003D000000}">
      <text>
        <r>
          <rPr>
            <sz val="12"/>
            <color theme="1"/>
            <rFont val="Aptos Narrow"/>
            <family val="2"/>
            <scheme val="minor"/>
          </rPr>
          <t>Người dùng Không xác định:
5.990.000</t>
        </r>
      </text>
    </comment>
    <comment ref="D24" authorId="4" shapeId="0" xr:uid="{00000000-0006-0000-1800-00003E000000}">
      <text>
        <r>
          <rPr>
            <sz val="12"/>
            <color theme="1"/>
            <rFont val="Aptos Narrow"/>
            <family val="2"/>
            <scheme val="minor"/>
          </rPr>
          <t>Việt Hoàng:
Last week: 7.240;000</t>
        </r>
      </text>
    </comment>
    <comment ref="E24" authorId="1" shapeId="0" xr:uid="{00000000-0006-0000-1800-00003F000000}">
      <text>
        <r>
          <rPr>
            <sz val="12"/>
            <color theme="1"/>
            <rFont val="Aptos Narrow"/>
            <family val="2"/>
            <scheme val="minor"/>
          </rPr>
          <t>Last week: 7.190.000</t>
        </r>
      </text>
    </comment>
    <comment ref="F24" authorId="2" shapeId="0" xr:uid="{00000000-0006-0000-1800-000040000000}">
      <text>
        <r>
          <rPr>
            <sz val="12"/>
            <color theme="1"/>
            <rFont val="Aptos Narrow"/>
            <family val="2"/>
            <scheme val="minor"/>
          </rPr>
          <t>Người dùng Không xác định:
7.390.000</t>
        </r>
      </text>
    </comment>
    <comment ref="D25" authorId="4" shapeId="0" xr:uid="{00000000-0006-0000-1800-000041000000}">
      <text>
        <r>
          <rPr>
            <sz val="12"/>
            <color theme="1"/>
            <rFont val="Aptos Narrow"/>
            <family val="2"/>
            <scheme val="minor"/>
          </rPr>
          <t>Việt Hoàng:
Last week: 6.740.000</t>
        </r>
      </text>
    </comment>
    <comment ref="E25" authorId="1" shapeId="0" xr:uid="{00000000-0006-0000-1800-000042000000}">
      <text>
        <r>
          <rPr>
            <sz val="12"/>
            <color theme="1"/>
            <rFont val="Aptos Narrow"/>
            <family val="2"/>
            <scheme val="minor"/>
          </rPr>
          <t>Last week: 6.470.000</t>
        </r>
      </text>
    </comment>
    <comment ref="F25" authorId="2" shapeId="0" xr:uid="{00000000-0006-0000-1800-000043000000}">
      <text>
        <r>
          <rPr>
            <sz val="12"/>
            <color theme="1"/>
            <rFont val="Aptos Narrow"/>
            <family val="2"/>
            <scheme val="minor"/>
          </rPr>
          <t>Người dùng Không xác định:
6.990.000</t>
        </r>
      </text>
    </comment>
    <comment ref="D26" authorId="4" shapeId="0" xr:uid="{00000000-0006-0000-1800-000044000000}">
      <text>
        <r>
          <rPr>
            <sz val="12"/>
            <color theme="1"/>
            <rFont val="Aptos Narrow"/>
            <family val="2"/>
            <scheme val="minor"/>
          </rPr>
          <t>Việt Hoàng:
Last week: 8.040.000</t>
        </r>
      </text>
    </comment>
    <comment ref="E26" authorId="1" shapeId="0" xr:uid="{00000000-0006-0000-1800-000045000000}">
      <text>
        <r>
          <rPr>
            <sz val="12"/>
            <color theme="1"/>
            <rFont val="Aptos Narrow"/>
            <family val="2"/>
            <scheme val="minor"/>
          </rPr>
          <t>Last week was: 7.870.000</t>
        </r>
      </text>
    </comment>
    <comment ref="F26" authorId="2" shapeId="0" xr:uid="{00000000-0006-0000-1800-000046000000}">
      <text>
        <r>
          <rPr>
            <sz val="12"/>
            <color theme="1"/>
            <rFont val="Aptos Narrow"/>
            <family val="2"/>
            <scheme val="minor"/>
          </rPr>
          <t>Người dùng Không xác định:
8.190.000</t>
        </r>
      </text>
    </comment>
    <comment ref="G26" authorId="3" shapeId="0" xr:uid="{00000000-0006-0000-1800-000047000000}">
      <text>
        <r>
          <rPr>
            <sz val="12"/>
            <color theme="1"/>
            <rFont val="Aptos Narrow"/>
            <family val="2"/>
            <scheme val="minor"/>
          </rPr>
          <t>Tran Dat:
7.690.000</t>
        </r>
      </text>
    </comment>
    <comment ref="D27" authorId="4" shapeId="0" xr:uid="{00000000-0006-0000-1800-000048000000}">
      <text>
        <r>
          <rPr>
            <sz val="12"/>
            <color theme="1"/>
            <rFont val="Aptos Narrow"/>
            <family val="2"/>
            <scheme val="minor"/>
          </rPr>
          <t>Việt Hoàng:
Last week: 9.540.000</t>
        </r>
      </text>
    </comment>
    <comment ref="D28" authorId="4" shapeId="0" xr:uid="{00000000-0006-0000-1800-000049000000}">
      <text>
        <r>
          <rPr>
            <sz val="12"/>
            <color theme="1"/>
            <rFont val="Aptos Narrow"/>
            <family val="2"/>
            <scheme val="minor"/>
          </rPr>
          <t>Việt Hoàng:
Last week
12.190.000</t>
        </r>
      </text>
    </comment>
    <comment ref="D29" authorId="4" shapeId="0" xr:uid="{00000000-0006-0000-1800-00004A000000}">
      <text>
        <r>
          <rPr>
            <sz val="12"/>
            <color theme="1"/>
            <rFont val="Aptos Narrow"/>
            <family val="2"/>
            <scheme val="minor"/>
          </rPr>
          <t>Việt Hoàng:
Last week
10.490.000</t>
        </r>
      </text>
    </comment>
    <comment ref="F29" authorId="2" shapeId="0" xr:uid="{00000000-0006-0000-1800-00004B000000}">
      <text>
        <r>
          <rPr>
            <sz val="12"/>
            <color theme="1"/>
            <rFont val="Aptos Narrow"/>
            <family val="2"/>
            <scheme val="minor"/>
          </rPr>
          <t>Người dùng Không xác định:
10.390.000</t>
        </r>
      </text>
    </comment>
    <comment ref="D30" authorId="4" shapeId="0" xr:uid="{00000000-0006-0000-1800-00004C000000}">
      <text>
        <r>
          <rPr>
            <sz val="12"/>
            <color theme="1"/>
            <rFont val="Aptos Narrow"/>
            <family val="2"/>
            <scheme val="minor"/>
          </rPr>
          <t>Việt Hoàng:
Last week
13.390.000</t>
        </r>
      </text>
    </comment>
    <comment ref="E30" authorId="1" shapeId="0" xr:uid="{00000000-0006-0000-1800-00004D000000}">
      <text>
        <r>
          <rPr>
            <sz val="12"/>
            <color theme="1"/>
            <rFont val="Aptos Narrow"/>
            <family val="2"/>
            <scheme val="minor"/>
          </rPr>
          <t xml:space="preserve">
Last week: 12.870.000</t>
        </r>
      </text>
    </comment>
    <comment ref="B31" authorId="0" shapeId="0" xr:uid="{00000000-0006-0000-1800-00004E000000}">
      <text>
        <r>
          <rPr>
            <sz val="12"/>
            <color theme="1"/>
            <rFont val="Aptos Narrow"/>
            <family val="2"/>
            <scheme val="minor"/>
          </rPr>
          <t>was 20990000
VNP100</t>
        </r>
      </text>
    </comment>
    <comment ref="C31" authorId="0" shapeId="0" xr:uid="{00000000-0006-0000-1800-00004F000000}">
      <text>
        <r>
          <rPr>
            <sz val="12"/>
            <color theme="1"/>
            <rFont val="Aptos Narrow"/>
            <family val="2"/>
            <scheme val="minor"/>
          </rPr>
          <t xml:space="preserve">w13  20.990
</t>
        </r>
      </text>
    </comment>
    <comment ref="D31" authorId="4" shapeId="0" xr:uid="{00000000-0006-0000-1800-000050000000}">
      <text>
        <r>
          <rPr>
            <sz val="12"/>
            <color theme="1"/>
            <rFont val="Aptos Narrow"/>
            <family val="2"/>
            <scheme val="minor"/>
          </rPr>
          <t>Việt Hoàng:
Last week
20.890.000</t>
        </r>
      </text>
    </comment>
    <comment ref="D32" authorId="4" shapeId="0" xr:uid="{00000000-0006-0000-1800-000051000000}">
      <text>
        <r>
          <rPr>
            <sz val="12"/>
            <color theme="1"/>
            <rFont val="Aptos Narrow"/>
            <family val="2"/>
            <scheme val="minor"/>
          </rPr>
          <t>Việt Hoàng:
Last week
5.740.000</t>
        </r>
      </text>
    </comment>
    <comment ref="E32" authorId="1" shapeId="0" xr:uid="{00000000-0006-0000-1800-000052000000}">
      <text>
        <r>
          <rPr>
            <sz val="12"/>
            <color theme="1"/>
            <rFont val="Aptos Narrow"/>
            <family val="2"/>
            <scheme val="minor"/>
          </rPr>
          <t xml:space="preserve">Last week was: 5.419K
</t>
        </r>
      </text>
    </comment>
    <comment ref="E33" authorId="1" shapeId="0" xr:uid="{00000000-0006-0000-1800-000053000000}">
      <text>
        <r>
          <rPr>
            <sz val="12"/>
            <color theme="1"/>
            <rFont val="Aptos Narrow"/>
            <family val="2"/>
            <scheme val="minor"/>
          </rPr>
          <t xml:space="preserve">
Last week: 3.770.000</t>
        </r>
      </text>
    </comment>
    <comment ref="E34" authorId="1" shapeId="0" xr:uid="{00000000-0006-0000-1800-000054000000}">
      <text>
        <r>
          <rPr>
            <sz val="12"/>
            <color theme="1"/>
            <rFont val="Aptos Narrow"/>
            <family val="2"/>
            <scheme val="minor"/>
          </rPr>
          <t>Last week is: 2.690K</t>
        </r>
      </text>
    </comment>
    <comment ref="B35" authorId="0" shapeId="0" xr:uid="{00000000-0006-0000-1800-000055000000}">
      <text>
        <r>
          <rPr>
            <sz val="12"/>
            <color theme="1"/>
            <rFont val="Aptos Narrow"/>
            <family val="2"/>
            <scheme val="minor"/>
          </rPr>
          <t>was 18390000
VNP100</t>
        </r>
      </text>
    </comment>
    <comment ref="C35" authorId="0" shapeId="0" xr:uid="{00000000-0006-0000-1800-000056000000}">
      <text>
        <r>
          <rPr>
            <sz val="12"/>
            <color theme="1"/>
            <rFont val="Aptos Narrow"/>
            <family val="2"/>
            <scheme val="minor"/>
          </rPr>
          <t xml:space="preserve">w13  18.390
</t>
        </r>
      </text>
    </comment>
    <comment ref="F35" authorId="2" shapeId="0" xr:uid="{00000000-0006-0000-1800-000057000000}">
      <text>
        <r>
          <rPr>
            <sz val="12"/>
            <color theme="1"/>
            <rFont val="Aptos Narrow"/>
            <family val="2"/>
            <scheme val="minor"/>
          </rPr>
          <t>Người dùng Không xác định:
18.290.000</t>
        </r>
      </text>
    </comment>
    <comment ref="B36" authorId="0" shapeId="0" xr:uid="{00000000-0006-0000-1800-000058000000}">
      <text>
        <r>
          <rPr>
            <sz val="12"/>
            <color theme="1"/>
            <rFont val="Aptos Narrow"/>
            <family val="2"/>
            <scheme val="minor"/>
          </rPr>
          <t>was 24690000
VNP100
Giảm giá để bỏ tặng Office</t>
        </r>
      </text>
    </comment>
    <comment ref="C36" authorId="0" shapeId="0" xr:uid="{00000000-0006-0000-1800-000059000000}">
      <text>
        <r>
          <rPr>
            <sz val="12"/>
            <color theme="1"/>
            <rFont val="Aptos Narrow"/>
            <family val="2"/>
            <scheme val="minor"/>
          </rPr>
          <t xml:space="preserve">w13  24.690
</t>
        </r>
      </text>
    </comment>
    <comment ref="D36" authorId="4" shapeId="0" xr:uid="{00000000-0006-0000-1800-00005A000000}">
      <text>
        <r>
          <rPr>
            <sz val="12"/>
            <color theme="1"/>
            <rFont val="Aptos Narrow"/>
            <family val="2"/>
            <scheme val="minor"/>
          </rPr>
          <t>Việt Hoàng:
Last week
23.690.000</t>
        </r>
      </text>
    </comment>
    <comment ref="F36" authorId="5" shapeId="0" xr:uid="{00000000-0006-0000-1800-00005B000000}">
      <text>
        <r>
          <rPr>
            <sz val="12"/>
            <color theme="1"/>
            <rFont val="Aptos Narrow"/>
            <family val="2"/>
            <scheme val="minor"/>
          </rPr>
          <t>chit trang:
23.490.000</t>
        </r>
      </text>
    </comment>
    <comment ref="F38" authorId="2" shapeId="0" xr:uid="{00000000-0006-0000-1800-00005C000000}">
      <text>
        <r>
          <rPr>
            <sz val="12"/>
            <color theme="1"/>
            <rFont val="Aptos Narrow"/>
            <family val="2"/>
            <scheme val="minor"/>
          </rPr>
          <t>Người dùng Không xác định:
31.390.000</t>
        </r>
      </text>
    </comment>
  </commentList>
</comments>
</file>

<file path=xl/comments26.xml><?xml version="1.0" encoding="utf-8"?>
<comments xmlns="http://schemas.openxmlformats.org/spreadsheetml/2006/main" xmlns:mc="http://schemas.openxmlformats.org/markup-compatibility/2006" xmlns:xr="http://schemas.microsoft.com/office/spreadsheetml/2014/revision" mc:Ignorable="xr">
  <authors>
    <author>Việt Hoàng</author>
    <author>Sheva Son</author>
    <author>Người dùng Khách</author>
    <author>Microsoft Office User</author>
    <author>chit trang</author>
    <author>Tran Dat</author>
  </authors>
  <commentList>
    <comment ref="D2" authorId="0" shapeId="0" xr:uid="{00000000-0006-0000-1900-000001000000}">
      <text>
        <r>
          <rPr>
            <sz val="12"/>
            <color theme="1"/>
            <rFont val="Aptos Narrow"/>
            <family val="2"/>
            <scheme val="minor"/>
          </rPr>
          <t>Việt Hoàng:
Last week:
22.990.000 (VNP: 500k)</t>
        </r>
      </text>
    </comment>
    <comment ref="E2" authorId="1" shapeId="0" xr:uid="{00000000-0006-0000-1900-000002000000}">
      <text>
        <r>
          <rPr>
            <sz val="12"/>
            <color theme="1"/>
            <rFont val="Aptos Narrow"/>
            <family val="2"/>
            <scheme val="minor"/>
          </rPr>
          <t xml:space="preserve">Last week is: 22.990K
Giảm 500K cho khách Pre-order (trừ màu titan sa mạc).
Đổi điểm Viettel++ lên tới 6000K
Nhập mã VTQR tặng 1% tối đa 300.000 khi thanh toán qua VNPAY
  Nhập mã ZLP500 giảm ngay 500.000 khi thanh toán qua Zalopay
  Nhập mã KV_VTS_IPHONE16 giảm giá 10% tối đa 1.000.000 VNĐ trên giá trị của giao dịch trả góp 6-12 tháng Kredivo </t>
        </r>
      </text>
    </comment>
    <comment ref="F2" authorId="2" shapeId="0" xr:uid="{00000000-0006-0000-1900-000003000000}">
      <text>
        <r>
          <rPr>
            <sz val="12"/>
            <color theme="1"/>
            <rFont val="Aptos Narrow"/>
            <family val="2"/>
            <scheme val="minor"/>
          </rPr>
          <t>Người dùng Không xác định:
21.990.000</t>
        </r>
      </text>
    </comment>
    <comment ref="D3" authorId="0" shapeId="0" xr:uid="{00000000-0006-0000-1900-000004000000}">
      <text>
        <r>
          <rPr>
            <sz val="12"/>
            <color theme="1"/>
            <rFont val="Aptos Narrow"/>
            <family val="2"/>
            <scheme val="minor"/>
          </rPr>
          <t>Việt Hoàng:
Last week:
25.990.000 (VNP: 500k)</t>
        </r>
      </text>
    </comment>
    <comment ref="E3" authorId="1" shapeId="0" xr:uid="{00000000-0006-0000-1900-000005000000}">
      <text>
        <r>
          <rPr>
            <sz val="12"/>
            <color theme="1"/>
            <rFont val="Aptos Narrow"/>
            <family val="2"/>
            <scheme val="minor"/>
          </rPr>
          <t xml:space="preserve">Last week is: 25.990K
Giảm 500K cho khách Pre-order và thanh toán trong tháng 10/2024
Đổi điểm Viettel++ lên tới 6000K
 Nhập mã VTQR tặng 1% tối đa 300.000 khi thanh toán qua VNPAY
  Nhập mã ZLP500 giảm ngay 500.000 khi thanh toán qua Zalopay
  Nhập mã KV_VTS_IPHONE16 giảm giá 10% tối đa 1.000.000 VNĐ trên giá trị của giao dịch trả góp 6-12 tháng Kredivo </t>
        </r>
      </text>
    </comment>
    <comment ref="D4" authorId="0" shapeId="0" xr:uid="{00000000-0006-0000-1900-000006000000}">
      <text>
        <r>
          <rPr>
            <sz val="12"/>
            <color theme="1"/>
            <rFont val="Aptos Narrow"/>
            <family val="2"/>
            <scheme val="minor"/>
          </rPr>
          <t>Việt Hoàng:
Last week
28.990.000 (VNP: 500k)</t>
        </r>
      </text>
    </comment>
    <comment ref="E4" authorId="1" shapeId="0" xr:uid="{00000000-0006-0000-1900-000007000000}">
      <text>
        <r>
          <rPr>
            <sz val="12"/>
            <color theme="1"/>
            <rFont val="Aptos Narrow"/>
            <family val="2"/>
            <scheme val="minor"/>
          </rPr>
          <t xml:space="preserve">Last week is: 28.990K
Giảm 500K cho khách Pre-order và lấy hàng trong tháng 10/2024
Đổi điểm Viettel++ lên tới 6000K
Khách hàng chọn 01 trong các khuyến mại sau đây (Áp dụng cho Titan Sa Mạc trên giá 30.490.000đ) 
  Khuyến mại 1: Giảm ngay 1,500,000đ 
  Khuyến mại 2: Tặng ngay bảo hành 2 năm chính hãng và bộ phụ kiện ốp lưng kèm tấm dán màn hình iPhone 
  Khuyến mại 3: Tặng ngay bảo hành 2 năm chính hãng và phiếu mua hàng phụ kiện giảm giá 300,000đ 
</t>
        </r>
      </text>
    </comment>
    <comment ref="D5" authorId="0" shapeId="0" xr:uid="{00000000-0006-0000-1900-000008000000}">
      <text>
        <r>
          <rPr>
            <sz val="12"/>
            <color theme="1"/>
            <rFont val="Aptos Narrow"/>
            <family val="2"/>
            <scheme val="minor"/>
          </rPr>
          <t>Việt Hoàng:
Last week:
34.990.000 (VNP: 500k)</t>
        </r>
      </text>
    </comment>
    <comment ref="E5" authorId="1" shapeId="0" xr:uid="{00000000-0006-0000-1900-000009000000}">
      <text>
        <r>
          <rPr>
            <sz val="12"/>
            <color theme="1"/>
            <rFont val="Aptos Narrow"/>
            <family val="2"/>
            <scheme val="minor"/>
          </rPr>
          <t xml:space="preserve">Last week is: 34.990K
Giảm 500K cho khách Pre-order và nhận hàng trong tháng 10/2024
Đổi điểm Viettel++ lên tới 6000K
Áp dụng cho Titan Sa Mạc (Áp dụng trên giá 36.490.000đ) 
  Tặng ngay bảo hành 2 năm chính hãng và bộ phụ kiện ốp lưng kèm tấm dán màn hình iPhone Hoặc Tặng ngay bảo hành 2 năm chính hãng và phiếu mua hàng phụ kiện giảm giá 300,000đ 
</t>
        </r>
      </text>
    </comment>
    <comment ref="B6" authorId="3" shapeId="0" xr:uid="{00000000-0006-0000-1900-00000A000000}">
      <text>
        <r>
          <rPr>
            <sz val="12"/>
            <color theme="1"/>
            <rFont val="Aptos Narrow"/>
            <family val="2"/>
            <scheme val="minor"/>
          </rPr>
          <t>was 19590000
VNP100</t>
        </r>
      </text>
    </comment>
    <comment ref="C6" authorId="3" shapeId="0" xr:uid="{00000000-0006-0000-1900-00000B000000}">
      <text>
        <r>
          <rPr>
            <sz val="12"/>
            <color theme="1"/>
            <rFont val="Aptos Narrow"/>
            <family val="2"/>
            <scheme val="minor"/>
          </rPr>
          <t xml:space="preserve">W1 19.590
</t>
        </r>
      </text>
    </comment>
    <comment ref="B7" authorId="3" shapeId="0" xr:uid="{00000000-0006-0000-1900-00000C000000}">
      <text>
        <r>
          <rPr>
            <sz val="12"/>
            <color theme="1"/>
            <rFont val="Aptos Narrow"/>
            <family val="2"/>
            <scheme val="minor"/>
          </rPr>
          <t xml:space="preserve">was 22590
VNP 100
</t>
        </r>
      </text>
    </comment>
    <comment ref="C7" authorId="3" shapeId="0" xr:uid="{00000000-0006-0000-1900-00000D000000}">
      <text>
        <r>
          <rPr>
            <sz val="12"/>
            <color theme="1"/>
            <rFont val="Aptos Narrow"/>
            <family val="2"/>
            <scheme val="minor"/>
          </rPr>
          <t>w1 22.590</t>
        </r>
      </text>
    </comment>
    <comment ref="D7" authorId="0" shapeId="0" xr:uid="{00000000-0006-0000-1900-00000E000000}">
      <text>
        <r>
          <rPr>
            <sz val="12"/>
            <color theme="1"/>
            <rFont val="Aptos Narrow"/>
            <family val="2"/>
            <scheme val="minor"/>
          </rPr>
          <t>Việt Hoàng:
Last Week:
22.790.000</t>
        </r>
      </text>
    </comment>
    <comment ref="F7" authorId="2" shapeId="0" xr:uid="{00000000-0006-0000-1900-00000F000000}">
      <text>
        <r>
          <rPr>
            <sz val="12"/>
            <color theme="1"/>
            <rFont val="Aptos Narrow"/>
            <family val="2"/>
            <scheme val="minor"/>
          </rPr>
          <t>Người dùng Không xác định:
22.690.000</t>
        </r>
      </text>
    </comment>
    <comment ref="D8" authorId="0" shapeId="0" xr:uid="{00000000-0006-0000-1900-000010000000}">
      <text>
        <r>
          <rPr>
            <sz val="12"/>
            <color theme="1"/>
            <rFont val="Aptos Narrow"/>
            <family val="2"/>
            <scheme val="minor"/>
          </rPr>
          <t>Việt Hoàng:
Last week:
25.190.000</t>
        </r>
      </text>
    </comment>
    <comment ref="F8" authorId="4" shapeId="0" xr:uid="{00000000-0006-0000-1900-000011000000}">
      <text>
        <r>
          <rPr>
            <sz val="12"/>
            <color theme="1"/>
            <rFont val="Aptos Narrow"/>
            <family val="2"/>
            <scheme val="minor"/>
          </rPr>
          <t>chit trang:
24.790.000</t>
        </r>
      </text>
    </comment>
    <comment ref="E9" authorId="1" shapeId="0" xr:uid="{00000000-0006-0000-1900-000012000000}">
      <text>
        <r>
          <rPr>
            <sz val="12"/>
            <color theme="1"/>
            <rFont val="Aptos Narrow"/>
            <family val="2"/>
            <scheme val="minor"/>
          </rPr>
          <t xml:space="preserve">Last week was: 28.990.000
Giảm 1.000.000VND mua hàng Online (đã trừ vào giá)
</t>
        </r>
      </text>
    </comment>
    <comment ref="F9" authorId="2" shapeId="0" xr:uid="{00000000-0006-0000-1900-000013000000}">
      <text>
        <r>
          <rPr>
            <sz val="12"/>
            <color theme="1"/>
            <rFont val="Aptos Narrow"/>
            <family val="2"/>
            <scheme val="minor"/>
          </rPr>
          <t>Người dùng Không xác định:
29.250.000</t>
        </r>
      </text>
    </comment>
    <comment ref="G9" authorId="5" shapeId="0" xr:uid="{00000000-0006-0000-1900-000014000000}">
      <text>
        <r>
          <rPr>
            <sz val="12"/>
            <color theme="1"/>
            <rFont val="Aptos Narrow"/>
            <family val="2"/>
            <scheme val="minor"/>
          </rPr>
          <t>Tran Dat:
28.790.000</t>
        </r>
      </text>
    </comment>
    <comment ref="B10" authorId="3" shapeId="0" xr:uid="{00000000-0006-0000-1900-000015000000}">
      <text>
        <r>
          <rPr>
            <sz val="12"/>
            <color theme="1"/>
            <rFont val="Aptos Narrow"/>
            <family val="2"/>
            <scheme val="minor"/>
          </rPr>
          <t xml:space="preserve">was 19890000
VNP100
</t>
        </r>
      </text>
    </comment>
    <comment ref="C10" authorId="3" shapeId="0" xr:uid="{00000000-0006-0000-1900-000016000000}">
      <text>
        <r>
          <rPr>
            <sz val="12"/>
            <color theme="1"/>
            <rFont val="Aptos Narrow"/>
            <family val="2"/>
            <scheme val="minor"/>
          </rPr>
          <t>w1 19.890</t>
        </r>
      </text>
    </comment>
    <comment ref="D10" authorId="0" shapeId="0" xr:uid="{00000000-0006-0000-1900-000017000000}">
      <text>
        <r>
          <rPr>
            <sz val="12"/>
            <color theme="1"/>
            <rFont val="Aptos Narrow"/>
            <family val="2"/>
            <scheme val="minor"/>
          </rPr>
          <t>Việt Hoàng:
Last week:
20.190.000</t>
        </r>
      </text>
    </comment>
    <comment ref="E10" authorId="1" shapeId="0" xr:uid="{00000000-0006-0000-1900-000018000000}">
      <text>
        <r>
          <rPr>
            <sz val="12"/>
            <color theme="1"/>
            <rFont val="Aptos Narrow"/>
            <family val="2"/>
            <scheme val="minor"/>
          </rPr>
          <t xml:space="preserve">Chỉ còn màu Purple
</t>
        </r>
      </text>
    </comment>
    <comment ref="B12" authorId="3" shapeId="0" xr:uid="{00000000-0006-0000-1900-000019000000}">
      <text>
        <r>
          <rPr>
            <sz val="12"/>
            <color theme="1"/>
            <rFont val="Aptos Narrow"/>
            <family val="2"/>
            <scheme val="minor"/>
          </rPr>
          <t>was 14190000
VNP100</t>
        </r>
      </text>
    </comment>
    <comment ref="C12" authorId="3" shapeId="0" xr:uid="{00000000-0006-0000-1900-00001A000000}">
      <text>
        <r>
          <rPr>
            <sz val="12"/>
            <color theme="1"/>
            <rFont val="Aptos Narrow"/>
            <family val="2"/>
            <scheme val="minor"/>
          </rPr>
          <t>w1 14.190</t>
        </r>
      </text>
    </comment>
    <comment ref="D12" authorId="0" shapeId="0" xr:uid="{00000000-0006-0000-1900-00001B000000}">
      <text>
        <r>
          <rPr>
            <sz val="12"/>
            <color theme="1"/>
            <rFont val="Aptos Narrow"/>
            <family val="2"/>
            <scheme val="minor"/>
          </rPr>
          <t>Việt Hoàng:
Last week was
14.290.000</t>
        </r>
      </text>
    </comment>
    <comment ref="E12" authorId="1" shapeId="0" xr:uid="{00000000-0006-0000-1900-00001C000000}">
      <text>
        <r>
          <rPr>
            <sz val="12"/>
            <color theme="1"/>
            <rFont val="Aptos Narrow"/>
            <family val="2"/>
            <scheme val="minor"/>
          </rPr>
          <t xml:space="preserve">Giảm 100K mua Online(Đã trừ vào giá)
</t>
        </r>
      </text>
    </comment>
    <comment ref="G12" authorId="5" shapeId="0" xr:uid="{00000000-0006-0000-1900-00001D000000}">
      <text>
        <r>
          <rPr>
            <sz val="12"/>
            <color theme="1"/>
            <rFont val="Aptos Narrow"/>
            <family val="2"/>
            <scheme val="minor"/>
          </rPr>
          <t>Tran Dat:
13.790.000</t>
        </r>
      </text>
    </comment>
    <comment ref="E14" authorId="1" shapeId="0" xr:uid="{00000000-0006-0000-1900-00001E000000}">
      <text>
        <r>
          <rPr>
            <sz val="12"/>
            <color theme="1"/>
            <rFont val="Aptos Narrow"/>
            <family val="2"/>
            <scheme val="minor"/>
          </rPr>
          <t>Giảm 200K khi mua Online (đã trừ vào giá)</t>
        </r>
      </text>
    </comment>
    <comment ref="D17" authorId="0" shapeId="0" xr:uid="{00000000-0006-0000-1900-00001F000000}">
      <text>
        <r>
          <rPr>
            <sz val="12"/>
            <color theme="1"/>
            <rFont val="Aptos Narrow"/>
            <family val="2"/>
            <scheme val="minor"/>
          </rPr>
          <t>Việt Hoàng:
Last week
9.990.000</t>
        </r>
      </text>
    </comment>
    <comment ref="E17" authorId="1" shapeId="0" xr:uid="{00000000-0006-0000-1900-000020000000}">
      <text>
        <r>
          <rPr>
            <sz val="12"/>
            <color theme="1"/>
            <rFont val="Aptos Narrow"/>
            <family val="2"/>
            <scheme val="minor"/>
          </rPr>
          <t>Last week is: 9.690K
Giảm 200K mua Online
Giảm 10% tối đa 120K khi mở ví VNPAY</t>
        </r>
      </text>
    </comment>
    <comment ref="F17" authorId="4" shapeId="0" xr:uid="{00000000-0006-0000-1900-000021000000}">
      <text>
        <r>
          <rPr>
            <sz val="12"/>
            <color theme="1"/>
            <rFont val="Aptos Narrow"/>
            <family val="2"/>
            <scheme val="minor"/>
          </rPr>
          <t>chit trang:
9.390.000</t>
        </r>
      </text>
    </comment>
    <comment ref="E18" authorId="1" shapeId="0" xr:uid="{00000000-0006-0000-1900-000022000000}">
      <text>
        <r>
          <rPr>
            <sz val="12"/>
            <color theme="1"/>
            <rFont val="Aptos Narrow"/>
            <family val="2"/>
            <scheme val="minor"/>
          </rPr>
          <t>Giảm 10% tối đa 120K khi mở ví VNPAY</t>
        </r>
      </text>
    </comment>
    <comment ref="E19" authorId="1" shapeId="0" xr:uid="{00000000-0006-0000-1900-000023000000}">
      <text>
        <r>
          <rPr>
            <sz val="12"/>
            <color theme="1"/>
            <rFont val="Aptos Narrow"/>
            <family val="2"/>
            <scheme val="minor"/>
          </rPr>
          <t>Last week is: 16.390K
Giảm 10% tối đa 300K VNPAY</t>
        </r>
      </text>
    </comment>
    <comment ref="E20" authorId="1" shapeId="0" xr:uid="{00000000-0006-0000-1900-000024000000}">
      <text>
        <r>
          <rPr>
            <sz val="12"/>
            <color theme="1"/>
            <rFont val="Aptos Narrow"/>
            <family val="2"/>
            <scheme val="minor"/>
          </rPr>
          <t>Last week is: 21,490K
Giảm 10% tối đa 300K VNPAY</t>
        </r>
      </text>
    </comment>
    <comment ref="E21" authorId="1" shapeId="0" xr:uid="{00000000-0006-0000-1900-000025000000}">
      <text>
        <r>
          <rPr>
            <sz val="12"/>
            <color theme="1"/>
            <rFont val="Aptos Narrow"/>
            <family val="2"/>
            <scheme val="minor"/>
          </rPr>
          <t>Last week is: 27.490K
Giảm 10% tối đa 300K VNPAY</t>
        </r>
      </text>
    </comment>
    <comment ref="B23" authorId="3" shapeId="0" xr:uid="{00000000-0006-0000-1900-000026000000}">
      <text>
        <r>
          <rPr>
            <sz val="12"/>
            <color theme="1"/>
            <rFont val="Aptos Narrow"/>
            <family val="2"/>
            <scheme val="minor"/>
          </rPr>
          <t xml:space="preserve">was 6040000
VNP50
</t>
        </r>
      </text>
    </comment>
    <comment ref="C23" authorId="3" shapeId="0" xr:uid="{00000000-0006-0000-1900-000027000000}">
      <text>
        <r>
          <rPr>
            <sz val="12"/>
            <color theme="1"/>
            <rFont val="Aptos Narrow"/>
            <family val="2"/>
            <scheme val="minor"/>
          </rPr>
          <t>w1 6.040</t>
        </r>
      </text>
    </comment>
    <comment ref="E23" authorId="1" shapeId="0" xr:uid="{00000000-0006-0000-1900-000028000000}">
      <text>
        <r>
          <rPr>
            <sz val="12"/>
            <color theme="1"/>
            <rFont val="Aptos Narrow"/>
            <family val="2"/>
            <scheme val="minor"/>
          </rPr>
          <t>Last week: 5.870.000</t>
        </r>
      </text>
    </comment>
    <comment ref="G23" authorId="5" shapeId="0" xr:uid="{00000000-0006-0000-1900-000029000000}">
      <text>
        <r>
          <rPr>
            <sz val="12"/>
            <color theme="1"/>
            <rFont val="Aptos Narrow"/>
            <family val="2"/>
            <scheme val="minor"/>
          </rPr>
          <t xml:space="preserve">Tran Dat:
5.890.000
</t>
        </r>
      </text>
    </comment>
    <comment ref="B24" authorId="3" shapeId="0" xr:uid="{00000000-0006-0000-1900-00002A000000}">
      <text>
        <r>
          <rPr>
            <sz val="12"/>
            <color theme="1"/>
            <rFont val="Aptos Narrow"/>
            <family val="2"/>
            <scheme val="minor"/>
          </rPr>
          <t xml:space="preserve">was 7440000
VNP50
</t>
        </r>
      </text>
    </comment>
    <comment ref="E24" authorId="1" shapeId="0" xr:uid="{00000000-0006-0000-1900-00002B000000}">
      <text>
        <r>
          <rPr>
            <sz val="12"/>
            <color theme="1"/>
            <rFont val="Aptos Narrow"/>
            <family val="2"/>
            <scheme val="minor"/>
          </rPr>
          <t>Last week: 7.190.000</t>
        </r>
      </text>
    </comment>
    <comment ref="B25" authorId="3" shapeId="0" xr:uid="{00000000-0006-0000-1900-00002C000000}">
      <text>
        <r>
          <rPr>
            <sz val="12"/>
            <color theme="1"/>
            <rFont val="Aptos Narrow"/>
            <family val="2"/>
            <scheme val="minor"/>
          </rPr>
          <t xml:space="preserve">was 6940000
VNP50
</t>
        </r>
      </text>
    </comment>
    <comment ref="C25" authorId="3" shapeId="0" xr:uid="{00000000-0006-0000-1900-00002D000000}">
      <text>
        <r>
          <rPr>
            <sz val="12"/>
            <color theme="1"/>
            <rFont val="Aptos Narrow"/>
            <family val="2"/>
            <scheme val="minor"/>
          </rPr>
          <t>w1 6.940</t>
        </r>
      </text>
    </comment>
    <comment ref="E25" authorId="1" shapeId="0" xr:uid="{00000000-0006-0000-1900-00002E000000}">
      <text>
        <r>
          <rPr>
            <sz val="12"/>
            <color theme="1"/>
            <rFont val="Aptos Narrow"/>
            <family val="2"/>
            <scheme val="minor"/>
          </rPr>
          <t>Last week: 6.470.000</t>
        </r>
      </text>
    </comment>
    <comment ref="E26" authorId="1" shapeId="0" xr:uid="{00000000-0006-0000-1900-00002F000000}">
      <text>
        <r>
          <rPr>
            <sz val="12"/>
            <color theme="1"/>
            <rFont val="Aptos Narrow"/>
            <family val="2"/>
            <scheme val="minor"/>
          </rPr>
          <t>Last week was: 7.870.000</t>
        </r>
      </text>
    </comment>
    <comment ref="D27" authorId="0" shapeId="0" xr:uid="{00000000-0006-0000-1900-000030000000}">
      <text>
        <r>
          <rPr>
            <sz val="12"/>
            <color theme="1"/>
            <rFont val="Aptos Narrow"/>
            <family val="2"/>
            <scheme val="minor"/>
          </rPr>
          <t>Việt Hoàng:
Last week: 
9.490.000</t>
        </r>
      </text>
    </comment>
    <comment ref="D29" authorId="0" shapeId="0" xr:uid="{00000000-0006-0000-1900-000031000000}">
      <text>
        <r>
          <rPr>
            <sz val="12"/>
            <color theme="1"/>
            <rFont val="Aptos Narrow"/>
            <family val="2"/>
            <scheme val="minor"/>
          </rPr>
          <t>Việt Hoàng:
Last week
10.590.000</t>
        </r>
      </text>
    </comment>
    <comment ref="E30" authorId="1" shapeId="0" xr:uid="{00000000-0006-0000-1900-000032000000}">
      <text>
        <r>
          <rPr>
            <sz val="12"/>
            <color theme="1"/>
            <rFont val="Aptos Narrow"/>
            <family val="2"/>
            <scheme val="minor"/>
          </rPr>
          <t xml:space="preserve">
Last week: 12.870.000</t>
        </r>
      </text>
    </comment>
    <comment ref="E32" authorId="1" shapeId="0" xr:uid="{00000000-0006-0000-1900-000033000000}">
      <text>
        <r>
          <rPr>
            <sz val="12"/>
            <color theme="1"/>
            <rFont val="Aptos Narrow"/>
            <family val="2"/>
            <scheme val="minor"/>
          </rPr>
          <t xml:space="preserve">Last week was: 5.419K
</t>
        </r>
      </text>
    </comment>
    <comment ref="F32" authorId="2" shapeId="0" xr:uid="{00000000-0006-0000-1900-000034000000}">
      <text>
        <r>
          <rPr>
            <sz val="12"/>
            <color theme="1"/>
            <rFont val="Aptos Narrow"/>
            <family val="2"/>
            <scheme val="minor"/>
          </rPr>
          <t>Người dùng Không xác định:
5.550.000</t>
        </r>
      </text>
    </comment>
    <comment ref="E33" authorId="1" shapeId="0" xr:uid="{00000000-0006-0000-1900-000035000000}">
      <text>
        <r>
          <rPr>
            <sz val="12"/>
            <color theme="1"/>
            <rFont val="Aptos Narrow"/>
            <family val="2"/>
            <scheme val="minor"/>
          </rPr>
          <t xml:space="preserve">
Last week: 3.770.000</t>
        </r>
      </text>
    </comment>
    <comment ref="E34" authorId="1" shapeId="0" xr:uid="{00000000-0006-0000-1900-000036000000}">
      <text>
        <r>
          <rPr>
            <sz val="12"/>
            <color theme="1"/>
            <rFont val="Aptos Narrow"/>
            <family val="2"/>
            <scheme val="minor"/>
          </rPr>
          <t>Last week is: 2.690K</t>
        </r>
      </text>
    </comment>
    <comment ref="D35" authorId="0" shapeId="0" xr:uid="{00000000-0006-0000-1900-000037000000}">
      <text>
        <r>
          <rPr>
            <sz val="12"/>
            <color theme="1"/>
            <rFont val="Aptos Narrow"/>
            <family val="2"/>
            <scheme val="minor"/>
          </rPr>
          <t>Việt Hoàng:
Last week
18.490.000</t>
        </r>
      </text>
    </comment>
    <comment ref="B36" authorId="3" shapeId="0" xr:uid="{00000000-0006-0000-1900-000038000000}">
      <text>
        <r>
          <rPr>
            <sz val="12"/>
            <color theme="1"/>
            <rFont val="Aptos Narrow"/>
            <family val="2"/>
            <scheme val="minor"/>
          </rPr>
          <t>was 23890000
VNP100</t>
        </r>
      </text>
    </comment>
    <comment ref="C36" authorId="3" shapeId="0" xr:uid="{00000000-0006-0000-1900-000039000000}">
      <text>
        <r>
          <rPr>
            <sz val="12"/>
            <color theme="1"/>
            <rFont val="Aptos Narrow"/>
            <family val="2"/>
            <scheme val="minor"/>
          </rPr>
          <t>w1 23.890</t>
        </r>
      </text>
    </comment>
  </commentList>
</comments>
</file>

<file path=xl/comments27.xml><?xml version="1.0" encoding="utf-8"?>
<comments xmlns="http://schemas.openxmlformats.org/spreadsheetml/2006/main" xmlns:mc="http://schemas.openxmlformats.org/markup-compatibility/2006" xmlns:xr="http://schemas.microsoft.com/office/spreadsheetml/2014/revision" mc:Ignorable="xr">
  <authors>
    <author>Duy</author>
    <author>Sheva Son</author>
    <author>Người dùng Khách</author>
    <author>chit trang</author>
    <author>Microsoft Office User</author>
    <author>Việt Hoàng</author>
  </authors>
  <commentList>
    <comment ref="C2" authorId="0" shapeId="0" xr:uid="{00000000-0006-0000-1A00-000001000000}">
      <text>
        <r>
          <rPr>
            <sz val="12"/>
            <color theme="1"/>
            <rFont val="Aptos Narrow"/>
            <family val="2"/>
            <scheme val="minor"/>
          </rPr>
          <t xml:space="preserve">Duy:
</t>
        </r>
      </text>
    </comment>
    <comment ref="E2" authorId="1" shapeId="0" xr:uid="{00000000-0006-0000-1A00-000002000000}">
      <text>
        <r>
          <rPr>
            <sz val="12"/>
            <color theme="1"/>
            <rFont val="Aptos Narrow"/>
            <family val="2"/>
            <scheme val="minor"/>
          </rPr>
          <t xml:space="preserve">Last week is: 22.990K
Giảm 500K cho khách Pre-order (trừ màu titan sa mạc).
Đổi điểm Viettel++ lên tới 6000K
Nhập mã VTQR tặng 1% tối đa 300.000 khi thanh toán qua VNPAY
  Nhập mã ZLP500 giảm ngay 500.000 khi thanh toán qua Zalopay
  Nhập mã KV_VTS_IPHONE16 giảm giá 10% tối đa 1.000.000 VNĐ trên giá trị của giao dịch trả góp 6-12 tháng Kredivo </t>
        </r>
      </text>
    </comment>
    <comment ref="F2" authorId="2" shapeId="0" xr:uid="{00000000-0006-0000-1A00-000003000000}">
      <text>
        <r>
          <rPr>
            <sz val="12"/>
            <color theme="1"/>
            <rFont val="Aptos Narrow"/>
            <family val="2"/>
            <scheme val="minor"/>
          </rPr>
          <t>Người dùng Không xác định:
21.490.000</t>
        </r>
      </text>
    </comment>
    <comment ref="E3" authorId="1" shapeId="0" xr:uid="{00000000-0006-0000-1A00-000004000000}">
      <text>
        <r>
          <rPr>
            <sz val="12"/>
            <color theme="1"/>
            <rFont val="Aptos Narrow"/>
            <family val="2"/>
            <scheme val="minor"/>
          </rPr>
          <t xml:space="preserve">Last week is: 25.990K
Giảm 500K cho khách Pre-order và thanh toán trong tháng 10/2024
Đổi điểm Viettel++ lên tới 6000K
 Nhập mã VTQR tặng 1% tối đa 300.000 khi thanh toán qua VNPAY
  Nhập mã ZLP500 giảm ngay 500.000 khi thanh toán qua Zalopay
  Nhập mã KV_VTS_IPHONE16 giảm giá 10% tối đa 1.000.000 VNĐ trên giá trị của giao dịch trả góp 6-12 tháng Kredivo </t>
        </r>
      </text>
    </comment>
    <comment ref="F3" authorId="3" shapeId="0" xr:uid="{00000000-0006-0000-1A00-000005000000}">
      <text>
        <r>
          <rPr>
            <sz val="12"/>
            <color theme="1"/>
            <rFont val="Aptos Narrow"/>
            <family val="2"/>
            <scheme val="minor"/>
          </rPr>
          <t>chit trang:
24.990.000</t>
        </r>
      </text>
    </comment>
    <comment ref="E4" authorId="1" shapeId="0" xr:uid="{00000000-0006-0000-1A00-000006000000}">
      <text>
        <r>
          <rPr>
            <sz val="12"/>
            <color theme="1"/>
            <rFont val="Aptos Narrow"/>
            <family val="2"/>
            <scheme val="minor"/>
          </rPr>
          <t xml:space="preserve">Last week is: 28.990K
Giảm 500K cho khách Pre-order và lấy hàng trong tháng 10/2024
Đổi điểm Viettel++ lên tới 6000K
Khách hàng chọn 01 trong các khuyến mại sau đây (Áp dụng cho Titan Sa Mạc trên giá 30.490.000đ) 
  Khuyến mại 1: Giảm ngay 1,500,000đ 
  Khuyến mại 2: Tặng ngay bảo hành 2 năm chính hãng và bộ phụ kiện ốp lưng kèm tấm dán màn hình iPhone 
  Khuyến mại 3: Tặng ngay bảo hành 2 năm chính hãng và phiếu mua hàng phụ kiện giảm giá 300,000đ 
</t>
        </r>
      </text>
    </comment>
    <comment ref="B5" authorId="4" shapeId="0" xr:uid="{00000000-0006-0000-1A00-000007000000}">
      <text>
        <r>
          <rPr>
            <sz val="12"/>
            <color theme="1"/>
            <rFont val="Aptos Narrow"/>
            <family val="2"/>
            <scheme val="minor"/>
          </rPr>
          <t xml:space="preserve">was 34890000
</t>
        </r>
      </text>
    </comment>
    <comment ref="C5" authorId="4" shapeId="0" xr:uid="{00000000-0006-0000-1A00-000008000000}">
      <text>
        <r>
          <rPr>
            <sz val="12"/>
            <color theme="1"/>
            <rFont val="Aptos Narrow"/>
            <family val="2"/>
            <scheme val="minor"/>
          </rPr>
          <t xml:space="preserve">w2 34.890
</t>
        </r>
      </text>
    </comment>
    <comment ref="E5" authorId="1" shapeId="0" xr:uid="{00000000-0006-0000-1A00-000009000000}">
      <text>
        <r>
          <rPr>
            <sz val="12"/>
            <color theme="1"/>
            <rFont val="Aptos Narrow"/>
            <family val="2"/>
            <scheme val="minor"/>
          </rPr>
          <t xml:space="preserve">Last week is: 34.490K
Đổi điểm Viettel++ lên tới 6000K
Áp dụng cho Titan Sa Mạc (Áp dụng trên giá 36.490.000đ) 
  Tặng ngay bảo hành 2 năm chính hãng và bộ phụ kiện ốp lưng kèm tấm dán màn hình iPhone Hoặc Tặng ngay bảo hành 2 năm chính hãng và phiếu mua hàng phụ kiện giảm giá 300,000đ 
</t>
        </r>
      </text>
    </comment>
    <comment ref="F7" authorId="2" shapeId="0" xr:uid="{00000000-0006-0000-1A00-00000A000000}">
      <text>
        <r>
          <rPr>
            <sz val="12"/>
            <color theme="1"/>
            <rFont val="Aptos Narrow"/>
            <family val="2"/>
            <scheme val="minor"/>
          </rPr>
          <t>Người dùng Không xác định:
22.690.000</t>
        </r>
      </text>
    </comment>
    <comment ref="D8" authorId="5" shapeId="0" xr:uid="{00000000-0006-0000-1A00-00000B000000}">
      <text>
        <r>
          <rPr>
            <sz val="12"/>
            <color theme="1"/>
            <rFont val="Aptos Narrow"/>
            <family val="2"/>
            <scheme val="minor"/>
          </rPr>
          <t>Việt Hoàng:
Last week:
25.490.000</t>
        </r>
      </text>
    </comment>
    <comment ref="F8" authorId="3" shapeId="0" xr:uid="{00000000-0006-0000-1A00-00000C000000}">
      <text>
        <r>
          <rPr>
            <sz val="12"/>
            <color theme="1"/>
            <rFont val="Aptos Narrow"/>
            <family val="2"/>
            <scheme val="minor"/>
          </rPr>
          <t>chit trang:
24.790.000</t>
        </r>
      </text>
    </comment>
    <comment ref="E9" authorId="1" shapeId="0" xr:uid="{00000000-0006-0000-1A00-00000D000000}">
      <text>
        <r>
          <rPr>
            <sz val="12"/>
            <color theme="1"/>
            <rFont val="Aptos Narrow"/>
            <family val="2"/>
            <scheme val="minor"/>
          </rPr>
          <t xml:space="preserve">Last week was: 28.990.000
Giảm 1.000.000VND mua hàng Online (đã trừ vào giá)
</t>
        </r>
      </text>
    </comment>
    <comment ref="F9" authorId="2" shapeId="0" xr:uid="{00000000-0006-0000-1A00-00000E000000}">
      <text>
        <r>
          <rPr>
            <sz val="12"/>
            <color theme="1"/>
            <rFont val="Aptos Narrow"/>
            <family val="2"/>
            <scheme val="minor"/>
          </rPr>
          <t>Người dùng Không xác định:
29.550.000</t>
        </r>
      </text>
    </comment>
    <comment ref="B10" authorId="4" shapeId="0" xr:uid="{00000000-0006-0000-1A00-00000F000000}">
      <text>
        <r>
          <rPr>
            <sz val="12"/>
            <color theme="1"/>
            <rFont val="Aptos Narrow"/>
            <family val="2"/>
            <scheme val="minor"/>
          </rPr>
          <t>was 20490000
hoá ra bán theo màu Vàng đắt nhất</t>
        </r>
      </text>
    </comment>
    <comment ref="C10" authorId="4" shapeId="0" xr:uid="{00000000-0006-0000-1A00-000010000000}">
      <text>
        <r>
          <rPr>
            <sz val="12"/>
            <color theme="1"/>
            <rFont val="Aptos Narrow"/>
            <family val="2"/>
            <scheme val="minor"/>
          </rPr>
          <t xml:space="preserve">w2 20.490
</t>
        </r>
      </text>
    </comment>
    <comment ref="E10" authorId="1" shapeId="0" xr:uid="{00000000-0006-0000-1A00-000011000000}">
      <text>
        <r>
          <rPr>
            <sz val="12"/>
            <color theme="1"/>
            <rFont val="Aptos Narrow"/>
            <family val="2"/>
            <scheme val="minor"/>
          </rPr>
          <t xml:space="preserve">Chỉ còn màu Purple
</t>
        </r>
      </text>
    </comment>
    <comment ref="F11" authorId="3" shapeId="0" xr:uid="{00000000-0006-0000-1A00-000012000000}">
      <text>
        <r>
          <rPr>
            <sz val="12"/>
            <color theme="1"/>
            <rFont val="Aptos Narrow"/>
            <family val="2"/>
            <scheme val="minor"/>
          </rPr>
          <t>chit trang:
16.990.000</t>
        </r>
      </text>
    </comment>
    <comment ref="B12" authorId="4" shapeId="0" xr:uid="{00000000-0006-0000-1A00-000013000000}">
      <text>
        <r>
          <rPr>
            <sz val="12"/>
            <color theme="1"/>
            <rFont val="Aptos Narrow"/>
            <family val="2"/>
            <scheme val="minor"/>
          </rPr>
          <t>was 14290000
VNP100</t>
        </r>
      </text>
    </comment>
    <comment ref="C12" authorId="4" shapeId="0" xr:uid="{00000000-0006-0000-1A00-000014000000}">
      <text>
        <r>
          <rPr>
            <sz val="12"/>
            <color theme="1"/>
            <rFont val="Aptos Narrow"/>
            <family val="2"/>
            <scheme val="minor"/>
          </rPr>
          <t xml:space="preserve">w2 14.290
</t>
        </r>
      </text>
    </comment>
    <comment ref="D12" authorId="5" shapeId="0" xr:uid="{00000000-0006-0000-1A00-000015000000}">
      <text>
        <r>
          <rPr>
            <sz val="12"/>
            <color theme="1"/>
            <rFont val="Aptos Narrow"/>
            <family val="2"/>
            <scheme val="minor"/>
          </rPr>
          <t>Việt Hoàng:
Last week was
13.390.000</t>
        </r>
      </text>
    </comment>
    <comment ref="E12" authorId="1" shapeId="0" xr:uid="{00000000-0006-0000-1A00-000016000000}">
      <text>
        <r>
          <rPr>
            <sz val="12"/>
            <color theme="1"/>
            <rFont val="Aptos Narrow"/>
            <family val="2"/>
            <scheme val="minor"/>
          </rPr>
          <t xml:space="preserve">Giảm 100K mua Online(Đã trừ vào giá)
</t>
        </r>
      </text>
    </comment>
    <comment ref="F12" authorId="3" shapeId="0" xr:uid="{00000000-0006-0000-1A00-000017000000}">
      <text>
        <r>
          <rPr>
            <sz val="12"/>
            <color theme="1"/>
            <rFont val="Aptos Narrow"/>
            <family val="2"/>
            <scheme val="minor"/>
          </rPr>
          <t>chit trang:
13.790.000</t>
        </r>
      </text>
    </comment>
    <comment ref="E14" authorId="1" shapeId="0" xr:uid="{00000000-0006-0000-1A00-000018000000}">
      <text>
        <r>
          <rPr>
            <sz val="12"/>
            <color theme="1"/>
            <rFont val="Aptos Narrow"/>
            <family val="2"/>
            <scheme val="minor"/>
          </rPr>
          <t>Giảm 200K khi mua Online (đã trừ vào giá)</t>
        </r>
      </text>
    </comment>
    <comment ref="E17" authorId="1" shapeId="0" xr:uid="{00000000-0006-0000-1A00-000019000000}">
      <text>
        <r>
          <rPr>
            <sz val="12"/>
            <color theme="1"/>
            <rFont val="Aptos Narrow"/>
            <family val="2"/>
            <scheme val="minor"/>
          </rPr>
          <t>Last week is: 9.690K
Giảm 200K mua Online
Giảm 10% tối đa 120K khi mở ví VNPAY</t>
        </r>
      </text>
    </comment>
    <comment ref="B18" authorId="4" shapeId="0" xr:uid="{00000000-0006-0000-1A00-00001A000000}">
      <text>
        <r>
          <rPr>
            <sz val="12"/>
            <color theme="1"/>
            <rFont val="Aptos Narrow"/>
            <family val="2"/>
            <scheme val="minor"/>
          </rPr>
          <t>was 7640000
VNP50</t>
        </r>
      </text>
    </comment>
    <comment ref="C18" authorId="4" shapeId="0" xr:uid="{00000000-0006-0000-1A00-00001B000000}">
      <text>
        <r>
          <rPr>
            <sz val="12"/>
            <color theme="1"/>
            <rFont val="Aptos Narrow"/>
            <family val="2"/>
            <scheme val="minor"/>
          </rPr>
          <t>w2 7.640</t>
        </r>
      </text>
    </comment>
    <comment ref="E18" authorId="1" shapeId="0" xr:uid="{00000000-0006-0000-1A00-00001C000000}">
      <text>
        <r>
          <rPr>
            <sz val="12"/>
            <color theme="1"/>
            <rFont val="Aptos Narrow"/>
            <family val="2"/>
            <scheme val="minor"/>
          </rPr>
          <t>Giảm 10% tối đa 120K khi mở ví VNPAY</t>
        </r>
      </text>
    </comment>
    <comment ref="E19" authorId="1" shapeId="0" xr:uid="{00000000-0006-0000-1A00-00001D000000}">
      <text>
        <r>
          <rPr>
            <sz val="12"/>
            <color theme="1"/>
            <rFont val="Aptos Narrow"/>
            <family val="2"/>
            <scheme val="minor"/>
          </rPr>
          <t>Last week is: 16.390K
Giảm 10% tối đa 300K VNPAY</t>
        </r>
      </text>
    </comment>
    <comment ref="E20" authorId="1" shapeId="0" xr:uid="{00000000-0006-0000-1A00-00001E000000}">
      <text>
        <r>
          <rPr>
            <sz val="12"/>
            <color theme="1"/>
            <rFont val="Aptos Narrow"/>
            <family val="2"/>
            <scheme val="minor"/>
          </rPr>
          <t>Last week is: 21,490K
Giảm 10% tối đa 300K VNPAY</t>
        </r>
      </text>
    </comment>
    <comment ref="E21" authorId="1" shapeId="0" xr:uid="{00000000-0006-0000-1A00-00001F000000}">
      <text>
        <r>
          <rPr>
            <sz val="12"/>
            <color theme="1"/>
            <rFont val="Aptos Narrow"/>
            <family val="2"/>
            <scheme val="minor"/>
          </rPr>
          <t>Last week is: 27.490K
Giảm 10% tối đa 300K VNPAY</t>
        </r>
      </text>
    </comment>
    <comment ref="B23" authorId="4" shapeId="0" xr:uid="{00000000-0006-0000-1A00-000020000000}">
      <text>
        <r>
          <rPr>
            <sz val="12"/>
            <color theme="1"/>
            <rFont val="Aptos Narrow"/>
            <family val="2"/>
            <scheme val="minor"/>
          </rPr>
          <t>was 5940000
VNP50</t>
        </r>
      </text>
    </comment>
    <comment ref="C23" authorId="4" shapeId="0" xr:uid="{00000000-0006-0000-1A00-000021000000}">
      <text>
        <r>
          <rPr>
            <sz val="12"/>
            <color theme="1"/>
            <rFont val="Aptos Narrow"/>
            <family val="2"/>
            <scheme val="minor"/>
          </rPr>
          <t>w2 5.940</t>
        </r>
      </text>
    </comment>
    <comment ref="E23" authorId="1" shapeId="0" xr:uid="{00000000-0006-0000-1A00-000022000000}">
      <text>
        <r>
          <rPr>
            <sz val="12"/>
            <color theme="1"/>
            <rFont val="Aptos Narrow"/>
            <family val="2"/>
            <scheme val="minor"/>
          </rPr>
          <t>Last week: 5.870.000</t>
        </r>
      </text>
    </comment>
    <comment ref="B24" authorId="4" shapeId="0" xr:uid="{00000000-0006-0000-1A00-000023000000}">
      <text>
        <r>
          <rPr>
            <sz val="12"/>
            <color theme="1"/>
            <rFont val="Aptos Narrow"/>
            <family val="2"/>
            <scheme val="minor"/>
          </rPr>
          <t>was 7240000
VNP50</t>
        </r>
      </text>
    </comment>
    <comment ref="E24" authorId="1" shapeId="0" xr:uid="{00000000-0006-0000-1A00-000024000000}">
      <text>
        <r>
          <rPr>
            <sz val="12"/>
            <color theme="1"/>
            <rFont val="Aptos Narrow"/>
            <family val="2"/>
            <scheme val="minor"/>
          </rPr>
          <t>Last week: 7.190.000</t>
        </r>
      </text>
    </comment>
    <comment ref="B25" authorId="4" shapeId="0" xr:uid="{00000000-0006-0000-1A00-000025000000}">
      <text>
        <r>
          <rPr>
            <sz val="12"/>
            <color theme="1"/>
            <rFont val="Aptos Narrow"/>
            <family val="2"/>
            <scheme val="minor"/>
          </rPr>
          <t>was 6740000 
VNP50</t>
        </r>
      </text>
    </comment>
    <comment ref="C25" authorId="4" shapeId="0" xr:uid="{00000000-0006-0000-1A00-000026000000}">
      <text>
        <r>
          <rPr>
            <sz val="12"/>
            <color theme="1"/>
            <rFont val="Aptos Narrow"/>
            <family val="2"/>
            <scheme val="minor"/>
          </rPr>
          <t>w2 6.740</t>
        </r>
      </text>
    </comment>
    <comment ref="E25" authorId="1" shapeId="0" xr:uid="{00000000-0006-0000-1A00-000027000000}">
      <text>
        <r>
          <rPr>
            <sz val="12"/>
            <color theme="1"/>
            <rFont val="Aptos Narrow"/>
            <family val="2"/>
            <scheme val="minor"/>
          </rPr>
          <t>Last week: 6.470.000</t>
        </r>
      </text>
    </comment>
    <comment ref="B26" authorId="4" shapeId="0" xr:uid="{00000000-0006-0000-1A00-000028000000}">
      <text>
        <r>
          <rPr>
            <sz val="12"/>
            <color theme="1"/>
            <rFont val="Aptos Narrow"/>
            <family val="2"/>
            <scheme val="minor"/>
          </rPr>
          <t>was 7940000
VNP50</t>
        </r>
      </text>
    </comment>
    <comment ref="E26" authorId="1" shapeId="0" xr:uid="{00000000-0006-0000-1A00-000029000000}">
      <text>
        <r>
          <rPr>
            <sz val="12"/>
            <color theme="1"/>
            <rFont val="Aptos Narrow"/>
            <family val="2"/>
            <scheme val="minor"/>
          </rPr>
          <t>Last week was: 7.870.000</t>
        </r>
      </text>
    </comment>
    <comment ref="E27" authorId="1" shapeId="0" xr:uid="{00000000-0006-0000-1A00-00002A000000}">
      <text>
        <r>
          <rPr>
            <sz val="12"/>
            <color theme="1"/>
            <rFont val="Aptos Narrow"/>
            <family val="2"/>
            <scheme val="minor"/>
          </rPr>
          <t xml:space="preserve">Giảm 500K cho khách Pre-oder
</t>
        </r>
      </text>
    </comment>
    <comment ref="E28" authorId="1" shapeId="0" xr:uid="{00000000-0006-0000-1A00-00002B000000}">
      <text>
        <r>
          <rPr>
            <sz val="12"/>
            <color theme="1"/>
            <rFont val="Aptos Narrow"/>
            <family val="2"/>
            <scheme val="minor"/>
          </rPr>
          <t xml:space="preserve">Giảm 500K cho khách Pre-order
</t>
        </r>
      </text>
    </comment>
    <comment ref="E29" authorId="1" shapeId="0" xr:uid="{00000000-0006-0000-1A00-00002C000000}">
      <text>
        <r>
          <rPr>
            <sz val="12"/>
            <color theme="1"/>
            <rFont val="Aptos Narrow"/>
            <family val="2"/>
            <scheme val="minor"/>
          </rPr>
          <t>Giảm 500K cho khách hàng</t>
        </r>
      </text>
    </comment>
    <comment ref="E30" authorId="1" shapeId="0" xr:uid="{00000000-0006-0000-1A00-00002D000000}">
      <text>
        <r>
          <rPr>
            <sz val="12"/>
            <color theme="1"/>
            <rFont val="Aptos Narrow"/>
            <family val="2"/>
            <scheme val="minor"/>
          </rPr>
          <t xml:space="preserve">Giảm 500K cho đơn Pre-order
</t>
        </r>
      </text>
    </comment>
    <comment ref="E32" authorId="1" shapeId="0" xr:uid="{00000000-0006-0000-1A00-00002E000000}">
      <text>
        <r>
          <rPr>
            <sz val="12"/>
            <color theme="1"/>
            <rFont val="Aptos Narrow"/>
            <family val="2"/>
            <scheme val="minor"/>
          </rPr>
          <t xml:space="preserve">Last week was: 5.490K
</t>
        </r>
      </text>
    </comment>
    <comment ref="E34" authorId="1" shapeId="0" xr:uid="{00000000-0006-0000-1A00-00002F000000}">
      <text>
        <r>
          <rPr>
            <sz val="12"/>
            <color theme="1"/>
            <rFont val="Aptos Narrow"/>
            <family val="2"/>
            <scheme val="minor"/>
          </rPr>
          <t>Last week is: 2.690K</t>
        </r>
      </text>
    </comment>
    <comment ref="F36" authorId="3" shapeId="0" xr:uid="{00000000-0006-0000-1A00-000030000000}">
      <text>
        <r>
          <rPr>
            <sz val="12"/>
            <color theme="1"/>
            <rFont val="Aptos Narrow"/>
            <family val="2"/>
            <scheme val="minor"/>
          </rPr>
          <t>chit trang:
23.390.000</t>
        </r>
      </text>
    </comment>
    <comment ref="B37" authorId="4" shapeId="0" xr:uid="{00000000-0006-0000-1A00-000031000000}">
      <text>
        <r>
          <rPr>
            <sz val="12"/>
            <color theme="1"/>
            <rFont val="Aptos Narrow"/>
            <family val="2"/>
            <scheme val="minor"/>
          </rPr>
          <t xml:space="preserve">was 26990000
VNP100
</t>
        </r>
      </text>
    </comment>
    <comment ref="C37" authorId="4" shapeId="0" xr:uid="{00000000-0006-0000-1A00-000032000000}">
      <text>
        <r>
          <rPr>
            <sz val="12"/>
            <color theme="1"/>
            <rFont val="Aptos Narrow"/>
            <family val="2"/>
            <scheme val="minor"/>
          </rPr>
          <t xml:space="preserve">w2 26.990
</t>
        </r>
      </text>
    </comment>
    <comment ref="B39" authorId="4" shapeId="0" xr:uid="{00000000-0006-0000-1A00-000033000000}">
      <text>
        <r>
          <rPr>
            <sz val="12"/>
            <color theme="1"/>
            <rFont val="Aptos Narrow"/>
            <family val="2"/>
            <scheme val="minor"/>
          </rPr>
          <t>was 38090000
VNP100</t>
        </r>
      </text>
    </comment>
    <comment ref="C39" authorId="4" shapeId="0" xr:uid="{00000000-0006-0000-1A00-000034000000}">
      <text>
        <r>
          <rPr>
            <sz val="12"/>
            <color theme="1"/>
            <rFont val="Aptos Narrow"/>
            <family val="2"/>
            <scheme val="minor"/>
          </rPr>
          <t>w2 38.090</t>
        </r>
      </text>
    </comment>
  </commentList>
</comments>
</file>

<file path=xl/comments28.xml><?xml version="1.0" encoding="utf-8"?>
<comments xmlns="http://schemas.openxmlformats.org/spreadsheetml/2006/main" xmlns:mc="http://schemas.openxmlformats.org/markup-compatibility/2006" xmlns:xr="http://schemas.microsoft.com/office/spreadsheetml/2014/revision" mc:Ignorable="xr">
  <authors>
    <author>Duy</author>
    <author>Sheva Son</author>
    <author>Người dùng Khách</author>
    <author>chit trang</author>
    <author>Microsoft Office User</author>
    <author>Tran Dat</author>
    <author>Việt Hoàng</author>
  </authors>
  <commentList>
    <comment ref="C2" authorId="0" shapeId="0" xr:uid="{00000000-0006-0000-1B00-000001000000}">
      <text>
        <r>
          <rPr>
            <sz val="12"/>
            <color theme="1"/>
            <rFont val="Aptos Narrow"/>
            <family val="2"/>
            <scheme val="minor"/>
          </rPr>
          <t xml:space="preserve">Duy:
</t>
        </r>
      </text>
    </comment>
    <comment ref="E2" authorId="1" shapeId="0" xr:uid="{00000000-0006-0000-1B00-000002000000}">
      <text>
        <r>
          <rPr>
            <sz val="12"/>
            <color theme="1"/>
            <rFont val="Aptos Narrow"/>
            <family val="2"/>
            <scheme val="minor"/>
          </rPr>
          <t xml:space="preserve">Last week is: 22.990K
Giảm 500K cho khách Pre-order (trừ màu titan sa mạc).
Đổi điểm Viettel++ lên tới 6000K
Nhập mã VTQR tặng 1% tối đa 300.000 khi thanh toán qua VNPAY
  Nhập mã ZLP500 giảm ngay 500.000 khi thanh toán qua Zalopay
  Nhập mã KV_VTS_IPHONE16 giảm giá 10% tối đa 1.000.000 VNĐ trên giá trị của giao dịch trả góp 6-12 tháng Kredivo </t>
        </r>
      </text>
    </comment>
    <comment ref="F2" authorId="2" shapeId="0" xr:uid="{00000000-0006-0000-1B00-000003000000}">
      <text>
        <r>
          <rPr>
            <sz val="12"/>
            <color theme="1"/>
            <rFont val="Aptos Narrow"/>
            <family val="2"/>
            <scheme val="minor"/>
          </rPr>
          <t>Người dùng Không xác định:
21.390.000</t>
        </r>
      </text>
    </comment>
    <comment ref="E3" authorId="1" shapeId="0" xr:uid="{00000000-0006-0000-1B00-000004000000}">
      <text>
        <r>
          <rPr>
            <sz val="12"/>
            <color theme="1"/>
            <rFont val="Aptos Narrow"/>
            <family val="2"/>
            <scheme val="minor"/>
          </rPr>
          <t xml:space="preserve">Last week is: 25.990K
Giảm 500K cho khách Pre-order và thanh toán trong tháng 10/2024
Đổi điểm Viettel++ lên tới 6000K
 Nhập mã VTQR tặng 1% tối đa 300.000 khi thanh toán qua VNPAY
  Nhập mã ZLP500 giảm ngay 500.000 khi thanh toán qua Zalopay
  Nhập mã KV_VTS_IPHONE16 giảm giá 10% tối đa 1.000.000 VNĐ trên giá trị của giao dịch trả góp 6-12 tháng Kredivo </t>
        </r>
      </text>
    </comment>
    <comment ref="F3" authorId="3" shapeId="0" xr:uid="{00000000-0006-0000-1B00-000005000000}">
      <text>
        <r>
          <rPr>
            <sz val="12"/>
            <color theme="1"/>
            <rFont val="Aptos Narrow"/>
            <family val="2"/>
            <scheme val="minor"/>
          </rPr>
          <t>chit trang:
25.190.000</t>
        </r>
      </text>
    </comment>
    <comment ref="B4" authorId="4" shapeId="0" xr:uid="{00000000-0006-0000-1B00-000006000000}">
      <text>
        <r>
          <rPr>
            <sz val="12"/>
            <color theme="1"/>
            <rFont val="Aptos Narrow"/>
            <family val="2"/>
            <scheme val="minor"/>
          </rPr>
          <t xml:space="preserve">was was 28890000
</t>
        </r>
      </text>
    </comment>
    <comment ref="C4" authorId="4" shapeId="0" xr:uid="{00000000-0006-0000-1B00-000007000000}">
      <text>
        <r>
          <rPr>
            <sz val="12"/>
            <color theme="1"/>
            <rFont val="Aptos Narrow"/>
            <family val="2"/>
            <scheme val="minor"/>
          </rPr>
          <t>W3 28.890</t>
        </r>
      </text>
    </comment>
    <comment ref="E4" authorId="1" shapeId="0" xr:uid="{00000000-0006-0000-1B00-000008000000}">
      <text>
        <r>
          <rPr>
            <sz val="12"/>
            <color theme="1"/>
            <rFont val="Aptos Narrow"/>
            <family val="2"/>
            <scheme val="minor"/>
          </rPr>
          <t xml:space="preserve">Last week is: 28.990K
Giảm 500K cho khách Pre-order và lấy hàng trong tháng 10/2024
Đổi điểm Viettel++ lên tới 6000K
Khách hàng chọn 01 trong các khuyến mại sau đây (Áp dụng cho Titan Sa Mạc trên giá 30.490.000đ) 
  Khuyến mại 1: Giảm ngay 1,500,000đ 
  Khuyến mại 2: Tặng ngay bảo hành 2 năm chính hãng và bộ phụ kiện ốp lưng kèm tấm dán màn hình iPhone 
  Khuyến mại 3: Tặng ngay bảo hành 2 năm chính hãng và phiếu mua hàng phụ kiện giảm giá 300,000đ 
</t>
        </r>
      </text>
    </comment>
    <comment ref="B5" authorId="4" shapeId="0" xr:uid="{00000000-0006-0000-1B00-000009000000}">
      <text>
        <r>
          <rPr>
            <sz val="12"/>
            <color theme="1"/>
            <rFont val="Aptos Narrow"/>
            <family val="2"/>
            <scheme val="minor"/>
          </rPr>
          <t xml:space="preserve">was 34990000
</t>
        </r>
      </text>
    </comment>
    <comment ref="E5" authorId="1" shapeId="0" xr:uid="{00000000-0006-0000-1B00-00000A000000}">
      <text>
        <r>
          <rPr>
            <sz val="12"/>
            <color theme="1"/>
            <rFont val="Aptos Narrow"/>
            <family val="2"/>
            <scheme val="minor"/>
          </rPr>
          <t xml:space="preserve">Last week is: 34.490K
Đổi điểm Viettel++ lên tới 6000K
Áp dụng cho Titan Sa Mạc (Áp dụng trên giá 36.490.000đ) 
  Tặng ngay bảo hành 2 năm chính hãng và bộ phụ kiện ốp lưng kèm tấm dán màn hình iPhone Hoặc Tặng ngay bảo hành 2 năm chính hãng và phiếu mua hàng phụ kiện giảm giá 300,000đ 
</t>
        </r>
      </text>
    </comment>
    <comment ref="B6" authorId="4" shapeId="0" xr:uid="{00000000-0006-0000-1B00-00000B000000}">
      <text>
        <r>
          <rPr>
            <sz val="12"/>
            <color theme="1"/>
            <rFont val="Aptos Narrow"/>
            <family val="2"/>
            <scheme val="minor"/>
          </rPr>
          <t xml:space="preserve">was 19690000
</t>
        </r>
      </text>
    </comment>
    <comment ref="G6" authorId="5" shapeId="0" xr:uid="{00000000-0006-0000-1B00-00000C000000}">
      <text>
        <r>
          <rPr>
            <sz val="12"/>
            <color theme="1"/>
            <rFont val="Aptos Narrow"/>
            <family val="2"/>
            <scheme val="minor"/>
          </rPr>
          <t xml:space="preserve">Tran Dat:
19.190.000
</t>
        </r>
      </text>
    </comment>
    <comment ref="G7" authorId="5" shapeId="0" xr:uid="{00000000-0006-0000-1B00-00000D000000}">
      <text>
        <r>
          <rPr>
            <sz val="12"/>
            <color theme="1"/>
            <rFont val="Aptos Narrow"/>
            <family val="2"/>
            <scheme val="minor"/>
          </rPr>
          <t>Tran Dat:
22.250</t>
        </r>
      </text>
    </comment>
    <comment ref="D8" authorId="6" shapeId="0" xr:uid="{00000000-0006-0000-1B00-00000E000000}">
      <text>
        <r>
          <rPr>
            <sz val="12"/>
            <color theme="1"/>
            <rFont val="Aptos Narrow"/>
            <family val="2"/>
            <scheme val="minor"/>
          </rPr>
          <t>Việt Hoàng:
Last week:
25.490.000</t>
        </r>
      </text>
    </comment>
    <comment ref="B9" authorId="4" shapeId="0" xr:uid="{00000000-0006-0000-1B00-00000F000000}">
      <text>
        <r>
          <rPr>
            <sz val="12"/>
            <color theme="1"/>
            <rFont val="Aptos Narrow"/>
            <family val="2"/>
            <scheme val="minor"/>
          </rPr>
          <t xml:space="preserve">was 29490000
</t>
        </r>
      </text>
    </comment>
    <comment ref="E9" authorId="1" shapeId="0" xr:uid="{00000000-0006-0000-1B00-000010000000}">
      <text>
        <r>
          <rPr>
            <sz val="12"/>
            <color theme="1"/>
            <rFont val="Aptos Narrow"/>
            <family val="2"/>
            <scheme val="minor"/>
          </rPr>
          <t xml:space="preserve">Last week was: 28.990.000
Giảm 1.000.000VND mua hàng Online (đã trừ vào giá)
</t>
        </r>
      </text>
    </comment>
    <comment ref="E10" authorId="1" shapeId="0" xr:uid="{00000000-0006-0000-1B00-000011000000}">
      <text>
        <r>
          <rPr>
            <sz val="12"/>
            <color theme="1"/>
            <rFont val="Aptos Narrow"/>
            <family val="2"/>
            <scheme val="minor"/>
          </rPr>
          <t xml:space="preserve">Chỉ còn màu Purple
</t>
        </r>
      </text>
    </comment>
    <comment ref="G10" authorId="5" shapeId="0" xr:uid="{00000000-0006-0000-1B00-000012000000}">
      <text>
        <r>
          <rPr>
            <sz val="12"/>
            <color theme="1"/>
            <rFont val="Aptos Narrow"/>
            <family val="2"/>
            <scheme val="minor"/>
          </rPr>
          <t>Tran Dat:
19.390.000</t>
        </r>
      </text>
    </comment>
    <comment ref="B11" authorId="4" shapeId="0" xr:uid="{00000000-0006-0000-1B00-000013000000}">
      <text>
        <r>
          <rPr>
            <sz val="12"/>
            <color theme="1"/>
            <rFont val="Aptos Narrow"/>
            <family val="2"/>
            <scheme val="minor"/>
          </rPr>
          <t xml:space="preserve">was 17090000
</t>
        </r>
      </text>
    </comment>
    <comment ref="C11" authorId="4" shapeId="0" xr:uid="{00000000-0006-0000-1B00-000014000000}">
      <text>
        <r>
          <rPr>
            <sz val="12"/>
            <color theme="1"/>
            <rFont val="Aptos Narrow"/>
            <family val="2"/>
            <scheme val="minor"/>
          </rPr>
          <t xml:space="preserve">W3 17.090
</t>
        </r>
      </text>
    </comment>
    <comment ref="B12" authorId="4" shapeId="0" xr:uid="{00000000-0006-0000-1B00-000015000000}">
      <text>
        <r>
          <rPr>
            <sz val="12"/>
            <color theme="1"/>
            <rFont val="Aptos Narrow"/>
            <family val="2"/>
            <scheme val="minor"/>
          </rPr>
          <t xml:space="preserve">Bán theo màu loạn hết cả lên mỗi màu 1 giá </t>
        </r>
      </text>
    </comment>
    <comment ref="C12" authorId="4" shapeId="0" xr:uid="{00000000-0006-0000-1B00-000016000000}">
      <text>
        <r>
          <rPr>
            <sz val="12"/>
            <color theme="1"/>
            <rFont val="Aptos Narrow"/>
            <family val="2"/>
            <scheme val="minor"/>
          </rPr>
          <t>W3 13.790</t>
        </r>
      </text>
    </comment>
    <comment ref="D12" authorId="6" shapeId="0" xr:uid="{00000000-0006-0000-1B00-000017000000}">
      <text>
        <r>
          <rPr>
            <sz val="12"/>
            <color theme="1"/>
            <rFont val="Aptos Narrow"/>
            <family val="2"/>
            <scheme val="minor"/>
          </rPr>
          <t>Việt Hoàng:
Last week was
13.390.000</t>
        </r>
      </text>
    </comment>
    <comment ref="E12" authorId="1" shapeId="0" xr:uid="{00000000-0006-0000-1B00-000018000000}">
      <text>
        <r>
          <rPr>
            <sz val="12"/>
            <color theme="1"/>
            <rFont val="Aptos Narrow"/>
            <family val="2"/>
            <scheme val="minor"/>
          </rPr>
          <t>Giảm 200K cho màu Đen và Starlight</t>
        </r>
      </text>
    </comment>
    <comment ref="F12" authorId="3" shapeId="0" xr:uid="{00000000-0006-0000-1B00-000019000000}">
      <text>
        <r>
          <rPr>
            <sz val="12"/>
            <color theme="1"/>
            <rFont val="Aptos Narrow"/>
            <family val="2"/>
            <scheme val="minor"/>
          </rPr>
          <t>chit trang:
13.390.000</t>
        </r>
      </text>
    </comment>
    <comment ref="G12" authorId="5" shapeId="0" xr:uid="{00000000-0006-0000-1B00-00001A000000}">
      <text>
        <r>
          <rPr>
            <sz val="12"/>
            <color theme="1"/>
            <rFont val="Aptos Narrow"/>
            <family val="2"/>
            <scheme val="minor"/>
          </rPr>
          <t>Tran Dat:
13.590</t>
        </r>
      </text>
    </comment>
    <comment ref="B13" authorId="4" shapeId="0" xr:uid="{00000000-0006-0000-1B00-00001B000000}">
      <text>
        <r>
          <rPr>
            <sz val="12"/>
            <color theme="1"/>
            <rFont val="Aptos Narrow"/>
            <family val="2"/>
            <scheme val="minor"/>
          </rPr>
          <t>was 11490000</t>
        </r>
      </text>
    </comment>
    <comment ref="E14" authorId="1" shapeId="0" xr:uid="{00000000-0006-0000-1B00-00001C000000}">
      <text>
        <r>
          <rPr>
            <sz val="12"/>
            <color theme="1"/>
            <rFont val="Aptos Narrow"/>
            <family val="2"/>
            <scheme val="minor"/>
          </rPr>
          <t>Giảm 200K khi mua Online (đã trừ vào giá)</t>
        </r>
      </text>
    </comment>
    <comment ref="E17" authorId="1" shapeId="0" xr:uid="{00000000-0006-0000-1B00-00001D000000}">
      <text>
        <r>
          <rPr>
            <sz val="12"/>
            <color theme="1"/>
            <rFont val="Aptos Narrow"/>
            <family val="2"/>
            <scheme val="minor"/>
          </rPr>
          <t xml:space="preserve">Last week is: 9.490K
Giảm 200K đặt mua Online
</t>
        </r>
      </text>
    </comment>
    <comment ref="G17" authorId="5" shapeId="0" xr:uid="{00000000-0006-0000-1B00-00001E000000}">
      <text>
        <r>
          <rPr>
            <sz val="12"/>
            <color theme="1"/>
            <rFont val="Aptos Narrow"/>
            <family val="2"/>
            <scheme val="minor"/>
          </rPr>
          <t>Tran Dat:
9.490</t>
        </r>
      </text>
    </comment>
    <comment ref="B18" authorId="4" shapeId="0" xr:uid="{00000000-0006-0000-1B00-00001F000000}">
      <text>
        <r>
          <rPr>
            <sz val="12"/>
            <color theme="1"/>
            <rFont val="Aptos Narrow"/>
            <family val="2"/>
            <scheme val="minor"/>
          </rPr>
          <t>was 7640000
VNP50</t>
        </r>
      </text>
    </comment>
    <comment ref="E18" authorId="1" shapeId="0" xr:uid="{00000000-0006-0000-1B00-000020000000}">
      <text>
        <r>
          <rPr>
            <sz val="12"/>
            <color theme="1"/>
            <rFont val="Aptos Narrow"/>
            <family val="2"/>
            <scheme val="minor"/>
          </rPr>
          <t>Giảm 10% tối đa 120K khi mở ví VNPAY</t>
        </r>
      </text>
    </comment>
    <comment ref="F18" authorId="3" shapeId="0" xr:uid="{00000000-0006-0000-1B00-000021000000}">
      <text>
        <r>
          <rPr>
            <sz val="12"/>
            <color theme="1"/>
            <rFont val="Aptos Narrow"/>
            <family val="2"/>
            <scheme val="minor"/>
          </rPr>
          <t>chit trang:
7.159.000</t>
        </r>
      </text>
    </comment>
    <comment ref="E19" authorId="1" shapeId="0" xr:uid="{00000000-0006-0000-1B00-000022000000}">
      <text>
        <r>
          <rPr>
            <sz val="12"/>
            <color theme="1"/>
            <rFont val="Aptos Narrow"/>
            <family val="2"/>
            <scheme val="minor"/>
          </rPr>
          <t>Last week is: 16.390K
Giảm 10% tối đa 300K VNPAY</t>
        </r>
      </text>
    </comment>
    <comment ref="E20" authorId="1" shapeId="0" xr:uid="{00000000-0006-0000-1B00-000023000000}">
      <text>
        <r>
          <rPr>
            <sz val="12"/>
            <color theme="1"/>
            <rFont val="Aptos Narrow"/>
            <family val="2"/>
            <scheme val="minor"/>
          </rPr>
          <t>Last week is: 21,490K
Giảm 10% tối đa 300K VNPAY</t>
        </r>
      </text>
    </comment>
    <comment ref="E21" authorId="1" shapeId="0" xr:uid="{00000000-0006-0000-1B00-000024000000}">
      <text>
        <r>
          <rPr>
            <sz val="12"/>
            <color theme="1"/>
            <rFont val="Aptos Narrow"/>
            <family val="2"/>
            <scheme val="minor"/>
          </rPr>
          <t>Last week is: 27.490K
Giảm 10% tối đa 300K VNPAY</t>
        </r>
      </text>
    </comment>
    <comment ref="B22" authorId="4" shapeId="0" xr:uid="{00000000-0006-0000-1B00-000025000000}">
      <text>
        <r>
          <rPr>
            <sz val="12"/>
            <color theme="1"/>
            <rFont val="Aptos Narrow"/>
            <family val="2"/>
            <scheme val="minor"/>
          </rPr>
          <t xml:space="preserve">was 37190000
</t>
        </r>
      </text>
    </comment>
    <comment ref="C22" authorId="4" shapeId="0" xr:uid="{00000000-0006-0000-1B00-000026000000}">
      <text>
        <r>
          <rPr>
            <sz val="12"/>
            <color theme="1"/>
            <rFont val="Aptos Narrow"/>
            <family val="2"/>
            <scheme val="minor"/>
          </rPr>
          <t xml:space="preserve">W3 37.190
</t>
        </r>
      </text>
    </comment>
    <comment ref="E23" authorId="1" shapeId="0" xr:uid="{00000000-0006-0000-1B00-000027000000}">
      <text>
        <r>
          <rPr>
            <sz val="12"/>
            <color theme="1"/>
            <rFont val="Aptos Narrow"/>
            <family val="2"/>
            <scheme val="minor"/>
          </rPr>
          <t>Last week: 5.990.000</t>
        </r>
      </text>
    </comment>
    <comment ref="G23" authorId="5" shapeId="0" xr:uid="{00000000-0006-0000-1B00-000028000000}">
      <text>
        <r>
          <rPr>
            <sz val="12"/>
            <color theme="1"/>
            <rFont val="Aptos Narrow"/>
            <family val="2"/>
            <scheme val="minor"/>
          </rPr>
          <t>Tran Dat:
5.990</t>
        </r>
      </text>
    </comment>
    <comment ref="B24" authorId="4" shapeId="0" xr:uid="{00000000-0006-0000-1B00-000029000000}">
      <text>
        <r>
          <rPr>
            <sz val="12"/>
            <color theme="1"/>
            <rFont val="Aptos Narrow"/>
            <family val="2"/>
            <scheme val="minor"/>
          </rPr>
          <t>was 7190000</t>
        </r>
      </text>
    </comment>
    <comment ref="E24" authorId="1" shapeId="0" xr:uid="{00000000-0006-0000-1B00-00002A000000}">
      <text>
        <r>
          <rPr>
            <sz val="12"/>
            <color theme="1"/>
            <rFont val="Aptos Narrow"/>
            <family val="2"/>
            <scheme val="minor"/>
          </rPr>
          <t>Last week: 7.190.000</t>
        </r>
      </text>
    </comment>
    <comment ref="B25" authorId="4" shapeId="0" xr:uid="{00000000-0006-0000-1B00-00002B000000}">
      <text>
        <r>
          <rPr>
            <sz val="12"/>
            <color theme="1"/>
            <rFont val="Aptos Narrow"/>
            <family val="2"/>
            <scheme val="minor"/>
          </rPr>
          <t>was 6790000</t>
        </r>
      </text>
    </comment>
    <comment ref="C25" authorId="4" shapeId="0" xr:uid="{00000000-0006-0000-1B00-00002C000000}">
      <text>
        <r>
          <rPr>
            <sz val="12"/>
            <color theme="1"/>
            <rFont val="Aptos Narrow"/>
            <family val="2"/>
            <scheme val="minor"/>
          </rPr>
          <t>W3 6.790</t>
        </r>
      </text>
    </comment>
    <comment ref="E25" authorId="1" shapeId="0" xr:uid="{00000000-0006-0000-1B00-00002D000000}">
      <text>
        <r>
          <rPr>
            <sz val="12"/>
            <color theme="1"/>
            <rFont val="Aptos Narrow"/>
            <family val="2"/>
            <scheme val="minor"/>
          </rPr>
          <t>Last week: 6.590.000</t>
        </r>
      </text>
    </comment>
    <comment ref="E26" authorId="1" shapeId="0" xr:uid="{00000000-0006-0000-1B00-00002E000000}">
      <text>
        <r>
          <rPr>
            <sz val="12"/>
            <color theme="1"/>
            <rFont val="Aptos Narrow"/>
            <family val="2"/>
            <scheme val="minor"/>
          </rPr>
          <t>Last week was: 7.990.000</t>
        </r>
      </text>
    </comment>
    <comment ref="E27" authorId="1" shapeId="0" xr:uid="{00000000-0006-0000-1B00-00002F000000}">
      <text>
        <r>
          <rPr>
            <sz val="12"/>
            <color theme="1"/>
            <rFont val="Aptos Narrow"/>
            <family val="2"/>
            <scheme val="minor"/>
          </rPr>
          <t xml:space="preserve">Giảm 500K cho khách Pre-oder
</t>
        </r>
      </text>
    </comment>
    <comment ref="E28" authorId="1" shapeId="0" xr:uid="{00000000-0006-0000-1B00-000030000000}">
      <text>
        <r>
          <rPr>
            <sz val="12"/>
            <color theme="1"/>
            <rFont val="Aptos Narrow"/>
            <family val="2"/>
            <scheme val="minor"/>
          </rPr>
          <t xml:space="preserve">Giảm 500K cho khách Pre-order
</t>
        </r>
      </text>
    </comment>
    <comment ref="E29" authorId="1" shapeId="0" xr:uid="{00000000-0006-0000-1B00-000031000000}">
      <text>
        <r>
          <rPr>
            <sz val="12"/>
            <color theme="1"/>
            <rFont val="Aptos Narrow"/>
            <family val="2"/>
            <scheme val="minor"/>
          </rPr>
          <t>Giảm 500K cho khách hàng</t>
        </r>
      </text>
    </comment>
    <comment ref="E30" authorId="1" shapeId="0" xr:uid="{00000000-0006-0000-1B00-000032000000}">
      <text>
        <r>
          <rPr>
            <sz val="12"/>
            <color theme="1"/>
            <rFont val="Aptos Narrow"/>
            <family val="2"/>
            <scheme val="minor"/>
          </rPr>
          <t xml:space="preserve">Giảm 500K cho đơn Pre-order
</t>
        </r>
      </text>
    </comment>
    <comment ref="G30" authorId="5" shapeId="0" xr:uid="{00000000-0006-0000-1B00-000033000000}">
      <text>
        <r>
          <rPr>
            <sz val="12"/>
            <color theme="1"/>
            <rFont val="Aptos Narrow"/>
            <family val="2"/>
            <scheme val="minor"/>
          </rPr>
          <t>Tran Dat:
14.690</t>
        </r>
      </text>
    </comment>
    <comment ref="E32" authorId="1" shapeId="0" xr:uid="{00000000-0006-0000-1B00-000034000000}">
      <text>
        <r>
          <rPr>
            <sz val="12"/>
            <color theme="1"/>
            <rFont val="Aptos Narrow"/>
            <family val="2"/>
            <scheme val="minor"/>
          </rPr>
          <t xml:space="preserve">Last week was: 5.490K
</t>
        </r>
      </text>
    </comment>
    <comment ref="E34" authorId="1" shapeId="0" xr:uid="{00000000-0006-0000-1B00-000035000000}">
      <text>
        <r>
          <rPr>
            <sz val="12"/>
            <color theme="1"/>
            <rFont val="Aptos Narrow"/>
            <family val="2"/>
            <scheme val="minor"/>
          </rPr>
          <t>Last week is: 2.690K</t>
        </r>
      </text>
    </comment>
    <comment ref="G35" authorId="5" shapeId="0" xr:uid="{00000000-0006-0000-1B00-000036000000}">
      <text>
        <r>
          <rPr>
            <sz val="12"/>
            <color theme="1"/>
            <rFont val="Aptos Narrow"/>
            <family val="2"/>
            <scheme val="minor"/>
          </rPr>
          <t>Tran Dat:
17.790</t>
        </r>
      </text>
    </comment>
    <comment ref="B36" authorId="4" shapeId="0" xr:uid="{00000000-0006-0000-1B00-000037000000}">
      <text>
        <r>
          <rPr>
            <sz val="12"/>
            <color theme="1"/>
            <rFont val="Aptos Narrow"/>
            <family val="2"/>
            <scheme val="minor"/>
          </rPr>
          <t>was 23990000</t>
        </r>
      </text>
    </comment>
    <comment ref="C36" authorId="4" shapeId="0" xr:uid="{00000000-0006-0000-1B00-000038000000}">
      <text>
        <r>
          <rPr>
            <sz val="12"/>
            <color theme="1"/>
            <rFont val="Aptos Narrow"/>
            <family val="2"/>
            <scheme val="minor"/>
          </rPr>
          <t>W3 23.990</t>
        </r>
      </text>
    </comment>
    <comment ref="F36" authorId="3" shapeId="0" xr:uid="{00000000-0006-0000-1B00-000039000000}">
      <text>
        <r>
          <rPr>
            <sz val="12"/>
            <color theme="1"/>
            <rFont val="Aptos Narrow"/>
            <family val="2"/>
            <scheme val="minor"/>
          </rPr>
          <t>chit trang:
23.590.000</t>
        </r>
      </text>
    </comment>
    <comment ref="B37" authorId="4" shapeId="0" xr:uid="{00000000-0006-0000-1B00-00003A000000}">
      <text>
        <r>
          <rPr>
            <sz val="12"/>
            <color theme="1"/>
            <rFont val="Aptos Narrow"/>
            <family val="2"/>
            <scheme val="minor"/>
          </rPr>
          <t>was 26890000</t>
        </r>
      </text>
    </comment>
    <comment ref="C37" authorId="4" shapeId="0" xr:uid="{00000000-0006-0000-1B00-00003B000000}">
      <text>
        <r>
          <rPr>
            <sz val="12"/>
            <color theme="1"/>
            <rFont val="Aptos Narrow"/>
            <family val="2"/>
            <scheme val="minor"/>
          </rPr>
          <t>W3 26.890</t>
        </r>
      </text>
    </comment>
    <comment ref="F37" authorId="3" shapeId="0" xr:uid="{00000000-0006-0000-1B00-00003C000000}">
      <text>
        <r>
          <rPr>
            <sz val="12"/>
            <color theme="1"/>
            <rFont val="Aptos Narrow"/>
            <family val="2"/>
            <scheme val="minor"/>
          </rPr>
          <t>chit trang:
26.990.000</t>
        </r>
      </text>
    </comment>
    <comment ref="B38" authorId="4" shapeId="0" xr:uid="{00000000-0006-0000-1B00-00003D000000}">
      <text>
        <r>
          <rPr>
            <sz val="12"/>
            <color theme="1"/>
            <rFont val="Aptos Narrow"/>
            <family val="2"/>
            <scheme val="minor"/>
          </rPr>
          <t>was 31190000</t>
        </r>
      </text>
    </comment>
    <comment ref="C38" authorId="4" shapeId="0" xr:uid="{00000000-0006-0000-1B00-00003E000000}">
      <text>
        <r>
          <rPr>
            <sz val="12"/>
            <color theme="1"/>
            <rFont val="Aptos Narrow"/>
            <family val="2"/>
            <scheme val="minor"/>
          </rPr>
          <t>W3 31.190</t>
        </r>
      </text>
    </comment>
    <comment ref="G38" authorId="5" shapeId="0" xr:uid="{00000000-0006-0000-1B00-00003F000000}">
      <text>
        <r>
          <rPr>
            <sz val="12"/>
            <color theme="1"/>
            <rFont val="Aptos Narrow"/>
            <family val="2"/>
            <scheme val="minor"/>
          </rPr>
          <t xml:space="preserve">Tran Dat:
30.790.000
</t>
        </r>
      </text>
    </comment>
    <comment ref="B39" authorId="4" shapeId="0" xr:uid="{00000000-0006-0000-1B00-000040000000}">
      <text>
        <r>
          <rPr>
            <sz val="12"/>
            <color theme="1"/>
            <rFont val="Aptos Narrow"/>
            <family val="2"/>
            <scheme val="minor"/>
          </rPr>
          <t>was 37790000</t>
        </r>
      </text>
    </comment>
    <comment ref="C39" authorId="4" shapeId="0" xr:uid="{00000000-0006-0000-1B00-000041000000}">
      <text>
        <r>
          <rPr>
            <sz val="12"/>
            <color theme="1"/>
            <rFont val="Aptos Narrow"/>
            <family val="2"/>
            <scheme val="minor"/>
          </rPr>
          <t>W3 37.790</t>
        </r>
      </text>
    </comment>
  </commentList>
</comments>
</file>

<file path=xl/comments29.xml><?xml version="1.0" encoding="utf-8"?>
<comments xmlns="http://schemas.openxmlformats.org/spreadsheetml/2006/main" xmlns:mc="http://schemas.openxmlformats.org/markup-compatibility/2006" xmlns:xr="http://schemas.microsoft.com/office/spreadsheetml/2014/revision" mc:Ignorable="xr">
  <authors>
    <author>Microsoft Office User</author>
    <author>Việt Hoàng</author>
    <author>Sheva Son</author>
    <author>Người dùng Khách</author>
    <author>chit trang</author>
    <author>Tran Dat</author>
  </authors>
  <commentList>
    <comment ref="B2" authorId="0" shapeId="0" xr:uid="{00000000-0006-0000-1C00-000001000000}">
      <text>
        <r>
          <rPr>
            <sz val="12"/>
            <color theme="1"/>
            <rFont val="Aptos Narrow"/>
            <family val="2"/>
            <scheme val="minor"/>
          </rPr>
          <t>was 22890000</t>
        </r>
      </text>
    </comment>
    <comment ref="C2" authorId="0" shapeId="0" xr:uid="{00000000-0006-0000-1C00-000002000000}">
      <text>
        <r>
          <rPr>
            <sz val="12"/>
            <color theme="1"/>
            <rFont val="Aptos Narrow"/>
            <family val="2"/>
            <scheme val="minor"/>
          </rPr>
          <t>W4: 22.890</t>
        </r>
      </text>
    </comment>
    <comment ref="D2" authorId="1" shapeId="0" xr:uid="{00000000-0006-0000-1C00-000003000000}">
      <text>
        <r>
          <rPr>
            <sz val="12"/>
            <color theme="1"/>
            <rFont val="Aptos Narrow"/>
            <family val="2"/>
            <scheme val="minor"/>
          </rPr>
          <t>Việt Hoàng:
Last week
21.990.000</t>
        </r>
      </text>
    </comment>
    <comment ref="E2" authorId="2" shapeId="0" xr:uid="{00000000-0006-0000-1C00-000004000000}">
      <text>
        <r>
          <rPr>
            <sz val="12"/>
            <color theme="1"/>
            <rFont val="Aptos Narrow"/>
            <family val="2"/>
            <scheme val="minor"/>
          </rPr>
          <t xml:space="preserve">Last week is: 22.490K
Giảm 500K (đã trừ vào giá, ko kèm CTKM đổi điểm VT++).
Đổi điểm Viettel++ lên tới 6000K
Nhập mã VTQR tặng 1% tối đa 300.000 khi thanh toán qua VNPAY
Nhập mã KV_VTS_IPHONE16 giảm giá 10% tối đa 700.000 VNĐ trên giá trị của giao dịch trả góp 6-12 tháng Kredivo (300 suất) </t>
        </r>
      </text>
    </comment>
    <comment ref="F2" authorId="3" shapeId="0" xr:uid="{00000000-0006-0000-1C00-000005000000}">
      <text>
        <r>
          <rPr>
            <sz val="12"/>
            <color theme="1"/>
            <rFont val="Aptos Narrow"/>
            <family val="2"/>
            <scheme val="minor"/>
          </rPr>
          <t>Người dùng Không xác định:
22.290.000</t>
        </r>
      </text>
    </comment>
    <comment ref="B3" authorId="0" shapeId="0" xr:uid="{00000000-0006-0000-1C00-000006000000}">
      <text>
        <r>
          <rPr>
            <sz val="12"/>
            <color theme="1"/>
            <rFont val="Aptos Narrow"/>
            <family val="2"/>
            <scheme val="minor"/>
          </rPr>
          <t>was 25890000</t>
        </r>
      </text>
    </comment>
    <comment ref="C3" authorId="0" shapeId="0" xr:uid="{00000000-0006-0000-1C00-000007000000}">
      <text>
        <r>
          <rPr>
            <sz val="12"/>
            <color theme="1"/>
            <rFont val="Aptos Narrow"/>
            <family val="2"/>
            <scheme val="minor"/>
          </rPr>
          <t>W4: 25.890</t>
        </r>
      </text>
    </comment>
    <comment ref="E3" authorId="2" shapeId="0" xr:uid="{00000000-0006-0000-1C00-000008000000}">
      <text>
        <r>
          <rPr>
            <sz val="12"/>
            <color theme="1"/>
            <rFont val="Aptos Narrow"/>
            <family val="2"/>
            <scheme val="minor"/>
          </rPr>
          <t xml:space="preserve">Last week is: 25.490K
Giảm 500K (đã trừ vào giá, ko kèm CTKM đổi điểm VT++).
Đổi điểm Viettel++ lên tới 6000K
Nhập mã VTQR tặng 1% tối đa 300.000 khi thanh toán qua VNPAY
Nhập mã KV_VTS_IPHONE16 giảm giá 10% tối đa 700.000 VNĐ trên giá trị của giao dịch trả góp 6-12 tháng Kredivo (300 suất) </t>
        </r>
      </text>
    </comment>
    <comment ref="F3" authorId="4" shapeId="0" xr:uid="{00000000-0006-0000-1C00-000009000000}">
      <text>
        <r>
          <rPr>
            <sz val="12"/>
            <color theme="1"/>
            <rFont val="Aptos Narrow"/>
            <family val="2"/>
            <scheme val="minor"/>
          </rPr>
          <t>chit trang:
25.190.000</t>
        </r>
      </text>
    </comment>
    <comment ref="G3" authorId="5" shapeId="0" xr:uid="{00000000-0006-0000-1C00-00000A000000}">
      <text>
        <r>
          <rPr>
            <sz val="12"/>
            <color theme="1"/>
            <rFont val="Aptos Narrow"/>
            <family val="2"/>
            <scheme val="minor"/>
          </rPr>
          <t xml:space="preserve">Tran Dat:
24590000
</t>
        </r>
      </text>
    </comment>
    <comment ref="E4" authorId="2" shapeId="0" xr:uid="{00000000-0006-0000-1C00-00000B000000}">
      <text>
        <r>
          <rPr>
            <sz val="12"/>
            <color theme="1"/>
            <rFont val="Aptos Narrow"/>
            <family val="2"/>
            <scheme val="minor"/>
          </rPr>
          <t>Last week is: 28.490K
Đổi điểm Viettel++ lên tới 6000K
Voucher VNPAY giảm 1 triệu cho đơn hàng mua giá trị trên 20 triệu đồng (số lượng có hạn)</t>
        </r>
      </text>
    </comment>
    <comment ref="F4" authorId="4" shapeId="0" xr:uid="{00000000-0006-0000-1C00-00000C000000}">
      <text>
        <r>
          <rPr>
            <sz val="12"/>
            <color theme="1"/>
            <rFont val="Aptos Narrow"/>
            <family val="2"/>
            <scheme val="minor"/>
          </rPr>
          <t>chit trang:
28.990.000</t>
        </r>
      </text>
    </comment>
    <comment ref="B5" authorId="0" shapeId="0" xr:uid="{00000000-0006-0000-1C00-00000D000000}">
      <text>
        <r>
          <rPr>
            <sz val="12"/>
            <color theme="1"/>
            <rFont val="Aptos Narrow"/>
            <family val="2"/>
            <scheme val="minor"/>
          </rPr>
          <t xml:space="preserve">was OOS
</t>
        </r>
      </text>
    </comment>
    <comment ref="E5" authorId="2" shapeId="0" xr:uid="{00000000-0006-0000-1C00-00000E000000}">
      <text>
        <r>
          <rPr>
            <sz val="12"/>
            <color theme="1"/>
            <rFont val="Aptos Narrow"/>
            <family val="2"/>
            <scheme val="minor"/>
          </rPr>
          <t>Last week is: 34.990K
Đổi điểm Viettel++ lên tới 6000K
Voucher VNPAY giảm 1 triệu cho đơn hàng mua giá trị trên 20 triệu đồng (số lượng có hạn)</t>
        </r>
      </text>
    </comment>
    <comment ref="F5" authorId="4" shapeId="0" xr:uid="{00000000-0006-0000-1C00-00000F000000}">
      <text>
        <r>
          <rPr>
            <sz val="12"/>
            <color theme="1"/>
            <rFont val="Aptos Narrow"/>
            <family val="2"/>
            <scheme val="minor"/>
          </rPr>
          <t>chit trang:
34.990.000</t>
        </r>
      </text>
    </comment>
    <comment ref="G5" authorId="5" shapeId="0" xr:uid="{00000000-0006-0000-1C00-000010000000}">
      <text>
        <r>
          <rPr>
            <sz val="12"/>
            <color theme="1"/>
            <rFont val="Aptos Narrow"/>
            <family val="2"/>
            <scheme val="minor"/>
          </rPr>
          <t>Tran Dat:
34.590.000</t>
        </r>
      </text>
    </comment>
    <comment ref="B6" authorId="0" shapeId="0" xr:uid="{00000000-0006-0000-1C00-000011000000}">
      <text>
        <r>
          <rPr>
            <sz val="12"/>
            <color theme="1"/>
            <rFont val="Aptos Narrow"/>
            <family val="2"/>
            <scheme val="minor"/>
          </rPr>
          <t>was OOS</t>
        </r>
      </text>
    </comment>
    <comment ref="B7" authorId="0" shapeId="0" xr:uid="{00000000-0006-0000-1C00-000012000000}">
      <text>
        <r>
          <rPr>
            <sz val="12"/>
            <color theme="1"/>
            <rFont val="Aptos Narrow"/>
            <family val="2"/>
            <scheme val="minor"/>
          </rPr>
          <t>was 22690000</t>
        </r>
      </text>
    </comment>
    <comment ref="C7" authorId="0" shapeId="0" xr:uid="{00000000-0006-0000-1C00-000013000000}">
      <text>
        <r>
          <rPr>
            <sz val="12"/>
            <color theme="1"/>
            <rFont val="Aptos Narrow"/>
            <family val="2"/>
            <scheme val="minor"/>
          </rPr>
          <t>W4:  22.690</t>
        </r>
      </text>
    </comment>
    <comment ref="B8" authorId="0" shapeId="0" xr:uid="{00000000-0006-0000-1C00-000014000000}">
      <text>
        <r>
          <rPr>
            <sz val="12"/>
            <color theme="1"/>
            <rFont val="Aptos Narrow"/>
            <family val="2"/>
            <scheme val="minor"/>
          </rPr>
          <t>was OOS</t>
        </r>
      </text>
    </comment>
    <comment ref="B9" authorId="0" shapeId="0" xr:uid="{00000000-0006-0000-1C00-000015000000}">
      <text>
        <r>
          <rPr>
            <sz val="12"/>
            <color theme="1"/>
            <rFont val="Aptos Narrow"/>
            <family val="2"/>
            <scheme val="minor"/>
          </rPr>
          <t>was OOS
TN: 30090000</t>
        </r>
      </text>
    </comment>
    <comment ref="E9" authorId="2" shapeId="0" xr:uid="{00000000-0006-0000-1C00-000016000000}">
      <text>
        <r>
          <rPr>
            <sz val="12"/>
            <color theme="1"/>
            <rFont val="Aptos Narrow"/>
            <family val="2"/>
            <scheme val="minor"/>
          </rPr>
          <t xml:space="preserve">Last week was: 28.990.000
Giảm 1.000.000VND mua hàng Online (đã trừ vào giá)
</t>
        </r>
      </text>
    </comment>
    <comment ref="G9" authorId="5" shapeId="0" xr:uid="{00000000-0006-0000-1C00-000017000000}">
      <text>
        <r>
          <rPr>
            <sz val="12"/>
            <color theme="1"/>
            <rFont val="Aptos Narrow"/>
            <family val="2"/>
            <scheme val="minor"/>
          </rPr>
          <t>Tran Dat:
28.590.000</t>
        </r>
      </text>
    </comment>
    <comment ref="B10" authorId="0" shapeId="0" xr:uid="{00000000-0006-0000-1C00-000018000000}">
      <text>
        <r>
          <rPr>
            <sz val="12"/>
            <color theme="1"/>
            <rFont val="Aptos Narrow"/>
            <family val="2"/>
            <scheme val="minor"/>
          </rPr>
          <t>was 20490000</t>
        </r>
      </text>
    </comment>
    <comment ref="C10" authorId="0" shapeId="0" xr:uid="{00000000-0006-0000-1C00-000019000000}">
      <text>
        <r>
          <rPr>
            <sz val="12"/>
            <color theme="1"/>
            <rFont val="Aptos Narrow"/>
            <family val="2"/>
            <scheme val="minor"/>
          </rPr>
          <t>W4: 20.490</t>
        </r>
      </text>
    </comment>
    <comment ref="E10" authorId="2" shapeId="0" xr:uid="{00000000-0006-0000-1C00-00001A000000}">
      <text>
        <r>
          <rPr>
            <sz val="12"/>
            <color theme="1"/>
            <rFont val="Aptos Narrow"/>
            <family val="2"/>
            <scheme val="minor"/>
          </rPr>
          <t xml:space="preserve">Chỉ còn màu Purple
</t>
        </r>
      </text>
    </comment>
    <comment ref="B11" authorId="0" shapeId="0" xr:uid="{00000000-0006-0000-1C00-00001B000000}">
      <text>
        <r>
          <rPr>
            <sz val="12"/>
            <color theme="1"/>
            <rFont val="Aptos Narrow"/>
            <family val="2"/>
            <scheme val="minor"/>
          </rPr>
          <t>was 17490000</t>
        </r>
      </text>
    </comment>
    <comment ref="C11" authorId="0" shapeId="0" xr:uid="{00000000-0006-0000-1C00-00001C000000}">
      <text>
        <r>
          <rPr>
            <sz val="12"/>
            <color theme="1"/>
            <rFont val="Aptos Narrow"/>
            <family val="2"/>
            <scheme val="minor"/>
          </rPr>
          <t>W4:  17.490</t>
        </r>
      </text>
    </comment>
    <comment ref="B12" authorId="0" shapeId="0" xr:uid="{00000000-0006-0000-1C00-00001D000000}">
      <text>
        <r>
          <rPr>
            <sz val="12"/>
            <color theme="1"/>
            <rFont val="Aptos Narrow"/>
            <family val="2"/>
            <scheme val="minor"/>
          </rPr>
          <t>was 13790000</t>
        </r>
      </text>
    </comment>
    <comment ref="C12" authorId="0" shapeId="0" xr:uid="{00000000-0006-0000-1C00-00001E000000}">
      <text>
        <r>
          <rPr>
            <sz val="12"/>
            <color theme="1"/>
            <rFont val="Aptos Narrow"/>
            <family val="2"/>
            <scheme val="minor"/>
          </rPr>
          <t>W4:  13.790</t>
        </r>
      </text>
    </comment>
    <comment ref="D12" authorId="1" shapeId="0" xr:uid="{00000000-0006-0000-1C00-00001F000000}">
      <text>
        <r>
          <rPr>
            <sz val="12"/>
            <color theme="1"/>
            <rFont val="Aptos Narrow"/>
            <family val="2"/>
            <scheme val="minor"/>
          </rPr>
          <t>Việt Hoàng:
Last week was
13.590.000</t>
        </r>
      </text>
    </comment>
    <comment ref="E12" authorId="2" shapeId="0" xr:uid="{00000000-0006-0000-1C00-000020000000}">
      <text>
        <r>
          <rPr>
            <sz val="12"/>
            <color theme="1"/>
            <rFont val="Aptos Narrow"/>
            <family val="2"/>
            <scheme val="minor"/>
          </rPr>
          <t>Giảm 200K cho màu Đen và Starlight</t>
        </r>
      </text>
    </comment>
    <comment ref="F12" authorId="4" shapeId="0" xr:uid="{00000000-0006-0000-1C00-000021000000}">
      <text>
        <r>
          <rPr>
            <sz val="12"/>
            <color theme="1"/>
            <rFont val="Aptos Narrow"/>
            <family val="2"/>
            <scheme val="minor"/>
          </rPr>
          <t>chit trang:
13.690.000</t>
        </r>
      </text>
    </comment>
    <comment ref="G12" authorId="5" shapeId="0" xr:uid="{00000000-0006-0000-1C00-000022000000}">
      <text>
        <r>
          <rPr>
            <sz val="12"/>
            <color theme="1"/>
            <rFont val="Aptos Narrow"/>
            <family val="2"/>
            <scheme val="minor"/>
          </rPr>
          <t>Tran Dat:
13.590</t>
        </r>
      </text>
    </comment>
    <comment ref="B13" authorId="0" shapeId="0" xr:uid="{00000000-0006-0000-1C00-000023000000}">
      <text>
        <r>
          <rPr>
            <sz val="12"/>
            <color theme="1"/>
            <rFont val="Aptos Narrow"/>
            <family val="2"/>
            <scheme val="minor"/>
          </rPr>
          <t>was OOS
Green: 10990000</t>
        </r>
      </text>
    </comment>
    <comment ref="B14" authorId="0" shapeId="0" xr:uid="{00000000-0006-0000-1C00-000024000000}">
      <text>
        <r>
          <rPr>
            <sz val="12"/>
            <color theme="1"/>
            <rFont val="Aptos Narrow"/>
            <family val="2"/>
            <scheme val="minor"/>
          </rPr>
          <t>was 8940000</t>
        </r>
      </text>
    </comment>
    <comment ref="C14" authorId="0" shapeId="0" xr:uid="{00000000-0006-0000-1C00-000025000000}">
      <text>
        <r>
          <rPr>
            <sz val="12"/>
            <color theme="1"/>
            <rFont val="Aptos Narrow"/>
            <family val="2"/>
            <scheme val="minor"/>
          </rPr>
          <t>W4:  8.940</t>
        </r>
      </text>
    </comment>
    <comment ref="E14" authorId="2" shapeId="0" xr:uid="{00000000-0006-0000-1C00-000026000000}">
      <text>
        <r>
          <rPr>
            <sz val="12"/>
            <color theme="1"/>
            <rFont val="Aptos Narrow"/>
            <family val="2"/>
            <scheme val="minor"/>
          </rPr>
          <t xml:space="preserve">Giảm 200K khi mua Online (đã trừ vào giá)
Trợ giá 4G giảm 300K đã trừ vào giá
</t>
        </r>
      </text>
    </comment>
    <comment ref="F14" authorId="4" shapeId="0" xr:uid="{00000000-0006-0000-1C00-000027000000}">
      <text>
        <r>
          <rPr>
            <sz val="12"/>
            <color theme="1"/>
            <rFont val="Aptos Narrow"/>
            <family val="2"/>
            <scheme val="minor"/>
          </rPr>
          <t>chit trang:
8.890.000</t>
        </r>
      </text>
    </comment>
    <comment ref="B15" authorId="0" shapeId="0" xr:uid="{00000000-0006-0000-1C00-000028000000}">
      <text>
        <r>
          <rPr>
            <sz val="12"/>
            <color theme="1"/>
            <rFont val="Aptos Narrow"/>
            <family val="2"/>
            <scheme val="minor"/>
          </rPr>
          <t>was 12790000</t>
        </r>
      </text>
    </comment>
    <comment ref="B16" authorId="0" shapeId="0" xr:uid="{00000000-0006-0000-1C00-000029000000}">
      <text>
        <r>
          <rPr>
            <sz val="12"/>
            <color theme="1"/>
            <rFont val="Aptos Narrow"/>
            <family val="2"/>
            <scheme val="minor"/>
          </rPr>
          <t>was 9890000</t>
        </r>
      </text>
    </comment>
    <comment ref="C16" authorId="0" shapeId="0" xr:uid="{00000000-0006-0000-1C00-00002A000000}">
      <text>
        <r>
          <rPr>
            <sz val="12"/>
            <color theme="1"/>
            <rFont val="Aptos Narrow"/>
            <family val="2"/>
            <scheme val="minor"/>
          </rPr>
          <t>W4: 9.890</t>
        </r>
      </text>
    </comment>
    <comment ref="E16" authorId="2" shapeId="0" xr:uid="{00000000-0006-0000-1C00-00002B000000}">
      <text>
        <r>
          <rPr>
            <sz val="12"/>
            <color theme="1"/>
            <rFont val="Aptos Narrow"/>
            <family val="2"/>
            <scheme val="minor"/>
          </rPr>
          <t xml:space="preserve">Last week is: 8.990K
Giảm 200K đặt mua Online
</t>
        </r>
      </text>
    </comment>
    <comment ref="F16" authorId="4" shapeId="0" xr:uid="{00000000-0006-0000-1C00-00002C000000}">
      <text>
        <r>
          <rPr>
            <sz val="12"/>
            <color theme="1"/>
            <rFont val="Aptos Narrow"/>
            <family val="2"/>
            <scheme val="minor"/>
          </rPr>
          <t>chit trang:
9.490.000</t>
        </r>
      </text>
    </comment>
    <comment ref="B17" authorId="0" shapeId="0" xr:uid="{00000000-0006-0000-1C00-00002D000000}">
      <text>
        <r>
          <rPr>
            <sz val="12"/>
            <color theme="1"/>
            <rFont val="Aptos Narrow"/>
            <family val="2"/>
            <scheme val="minor"/>
          </rPr>
          <t>was 7340000</t>
        </r>
      </text>
    </comment>
    <comment ref="C17" authorId="0" shapeId="0" xr:uid="{00000000-0006-0000-1C00-00002E000000}">
      <text>
        <r>
          <rPr>
            <sz val="12"/>
            <color theme="1"/>
            <rFont val="Aptos Narrow"/>
            <family val="2"/>
            <scheme val="minor"/>
          </rPr>
          <t>W4: 7.340</t>
        </r>
      </text>
    </comment>
    <comment ref="E17" authorId="2" shapeId="0" xr:uid="{00000000-0006-0000-1C00-00002F000000}">
      <text>
        <r>
          <rPr>
            <sz val="12"/>
            <color theme="1"/>
            <rFont val="Aptos Narrow"/>
            <family val="2"/>
            <scheme val="minor"/>
          </rPr>
          <t>Giảm 10% tối đa 120K khi mở ví VNPAY</t>
        </r>
      </text>
    </comment>
    <comment ref="B18" authorId="0" shapeId="0" xr:uid="{00000000-0006-0000-1C00-000030000000}">
      <text>
        <r>
          <rPr>
            <sz val="12"/>
            <color theme="1"/>
            <rFont val="Aptos Narrow"/>
            <family val="2"/>
            <scheme val="minor"/>
          </rPr>
          <t>was 16890000</t>
        </r>
      </text>
    </comment>
    <comment ref="C18" authorId="0" shapeId="0" xr:uid="{00000000-0006-0000-1C00-000031000000}">
      <text>
        <r>
          <rPr>
            <sz val="12"/>
            <color theme="1"/>
            <rFont val="Aptos Narrow"/>
            <family val="2"/>
            <scheme val="minor"/>
          </rPr>
          <t>W4: 16.890</t>
        </r>
      </text>
    </comment>
    <comment ref="E18" authorId="2" shapeId="0" xr:uid="{00000000-0006-0000-1C00-000032000000}">
      <text>
        <r>
          <rPr>
            <sz val="12"/>
            <color theme="1"/>
            <rFont val="Aptos Narrow"/>
            <family val="2"/>
            <scheme val="minor"/>
          </rPr>
          <t>Last week is: 16226K
Voucher giảm 10% tối đa 300K VNPAY</t>
        </r>
      </text>
    </comment>
    <comment ref="G18" authorId="5" shapeId="0" xr:uid="{00000000-0006-0000-1C00-000033000000}">
      <text>
        <r>
          <rPr>
            <sz val="12"/>
            <color theme="1"/>
            <rFont val="Aptos Narrow"/>
            <family val="2"/>
            <scheme val="minor"/>
          </rPr>
          <t>Tran Dat:
15.690.000</t>
        </r>
      </text>
    </comment>
    <comment ref="B19" authorId="0" shapeId="0" xr:uid="{00000000-0006-0000-1C00-000034000000}">
      <text>
        <r>
          <rPr>
            <sz val="12"/>
            <color theme="1"/>
            <rFont val="Aptos Narrow"/>
            <family val="2"/>
            <scheme val="minor"/>
          </rPr>
          <t>was 22390000</t>
        </r>
      </text>
    </comment>
    <comment ref="C19" authorId="0" shapeId="0" xr:uid="{00000000-0006-0000-1C00-000035000000}">
      <text>
        <r>
          <rPr>
            <sz val="12"/>
            <color theme="1"/>
            <rFont val="Aptos Narrow"/>
            <family val="2"/>
            <scheme val="minor"/>
          </rPr>
          <t>W4: 22.390</t>
        </r>
      </text>
    </comment>
    <comment ref="E19" authorId="2" shapeId="0" xr:uid="{00000000-0006-0000-1C00-000036000000}">
      <text>
        <r>
          <rPr>
            <sz val="12"/>
            <color theme="1"/>
            <rFont val="Aptos Narrow"/>
            <family val="2"/>
            <scheme val="minor"/>
          </rPr>
          <t>Last week is: 21275K
Voucher giảm 10% tối đa 300K VNPAY</t>
        </r>
      </text>
    </comment>
    <comment ref="B20" authorId="0" shapeId="0" xr:uid="{00000000-0006-0000-1C00-000037000000}">
      <text>
        <r>
          <rPr>
            <sz val="12"/>
            <color theme="1"/>
            <rFont val="Aptos Narrow"/>
            <family val="2"/>
            <scheme val="minor"/>
          </rPr>
          <t>was 27690000</t>
        </r>
      </text>
    </comment>
    <comment ref="C20" authorId="0" shapeId="0" xr:uid="{00000000-0006-0000-1C00-000038000000}">
      <text>
        <r>
          <rPr>
            <sz val="12"/>
            <color theme="1"/>
            <rFont val="Aptos Narrow"/>
            <family val="2"/>
            <scheme val="minor"/>
          </rPr>
          <t>W4: 27.690</t>
        </r>
      </text>
    </comment>
    <comment ref="B21" authorId="0" shapeId="0" xr:uid="{00000000-0006-0000-1C00-000039000000}">
      <text>
        <r>
          <rPr>
            <sz val="12"/>
            <color theme="1"/>
            <rFont val="Aptos Narrow"/>
            <family val="2"/>
            <scheme val="minor"/>
          </rPr>
          <t>was 36890000</t>
        </r>
      </text>
    </comment>
    <comment ref="C21" authorId="0" shapeId="0" xr:uid="{00000000-0006-0000-1C00-00003A000000}">
      <text>
        <r>
          <rPr>
            <sz val="12"/>
            <color theme="1"/>
            <rFont val="Aptos Narrow"/>
            <family val="2"/>
            <scheme val="minor"/>
          </rPr>
          <t>W4: 36.890</t>
        </r>
      </text>
    </comment>
    <comment ref="B22" authorId="0" shapeId="0" xr:uid="{00000000-0006-0000-1C00-00003B000000}">
      <text>
        <r>
          <rPr>
            <sz val="12"/>
            <color theme="1"/>
            <rFont val="Aptos Narrow"/>
            <family val="2"/>
            <scheme val="minor"/>
          </rPr>
          <t>was 5790000</t>
        </r>
      </text>
    </comment>
    <comment ref="C22" authorId="0" shapeId="0" xr:uid="{00000000-0006-0000-1C00-00003C000000}">
      <text>
        <r>
          <rPr>
            <sz val="12"/>
            <color theme="1"/>
            <rFont val="Aptos Narrow"/>
            <family val="2"/>
            <scheme val="minor"/>
          </rPr>
          <t>W4:  5.790</t>
        </r>
      </text>
    </comment>
    <comment ref="B23" authorId="0" shapeId="0" xr:uid="{00000000-0006-0000-1C00-00003D000000}">
      <text>
        <r>
          <rPr>
            <sz val="12"/>
            <color theme="1"/>
            <rFont val="Aptos Narrow"/>
            <family val="2"/>
            <scheme val="minor"/>
          </rPr>
          <t>was 7290000</t>
        </r>
      </text>
    </comment>
    <comment ref="B24" authorId="0" shapeId="0" xr:uid="{00000000-0006-0000-1C00-00003E000000}">
      <text>
        <r>
          <rPr>
            <sz val="12"/>
            <color theme="1"/>
            <rFont val="Aptos Narrow"/>
            <family val="2"/>
            <scheme val="minor"/>
          </rPr>
          <t>was 6590000</t>
        </r>
      </text>
    </comment>
    <comment ref="C24" authorId="0" shapeId="0" xr:uid="{00000000-0006-0000-1C00-00003F000000}">
      <text>
        <r>
          <rPr>
            <sz val="12"/>
            <color theme="1"/>
            <rFont val="Aptos Narrow"/>
            <family val="2"/>
            <scheme val="minor"/>
          </rPr>
          <t>W4: 6.590</t>
        </r>
      </text>
    </comment>
    <comment ref="B25" authorId="0" shapeId="0" xr:uid="{00000000-0006-0000-1C00-000040000000}">
      <text>
        <r>
          <rPr>
            <sz val="12"/>
            <color theme="1"/>
            <rFont val="Aptos Narrow"/>
            <family val="2"/>
            <scheme val="minor"/>
          </rPr>
          <t>was 7790000</t>
        </r>
      </text>
    </comment>
    <comment ref="B26" authorId="0" shapeId="0" xr:uid="{00000000-0006-0000-1C00-000041000000}">
      <text>
        <r>
          <rPr>
            <sz val="12"/>
            <color theme="1"/>
            <rFont val="Aptos Narrow"/>
            <family val="2"/>
            <scheme val="minor"/>
          </rPr>
          <t>was 10890000</t>
        </r>
      </text>
    </comment>
    <comment ref="C26" authorId="0" shapeId="0" xr:uid="{00000000-0006-0000-1C00-000042000000}">
      <text>
        <r>
          <rPr>
            <sz val="12"/>
            <color theme="1"/>
            <rFont val="Aptos Narrow"/>
            <family val="2"/>
            <scheme val="minor"/>
          </rPr>
          <t>W4: 10.890</t>
        </r>
      </text>
    </comment>
    <comment ref="E26" authorId="2" shapeId="0" xr:uid="{00000000-0006-0000-1C00-000043000000}">
      <text>
        <r>
          <rPr>
            <sz val="12"/>
            <color theme="1"/>
            <rFont val="Aptos Narrow"/>
            <family val="2"/>
            <scheme val="minor"/>
          </rPr>
          <t xml:space="preserve">Giảm 500K cho khách Pre-oder
</t>
        </r>
      </text>
    </comment>
    <comment ref="B27" authorId="0" shapeId="0" xr:uid="{00000000-0006-0000-1C00-000044000000}">
      <text>
        <r>
          <rPr>
            <sz val="12"/>
            <color theme="1"/>
            <rFont val="Aptos Narrow"/>
            <family val="2"/>
            <scheme val="minor"/>
          </rPr>
          <t>was 13490000</t>
        </r>
      </text>
    </comment>
    <comment ref="D27" authorId="1" shapeId="0" xr:uid="{00000000-0006-0000-1C00-000045000000}">
      <text>
        <r>
          <rPr>
            <sz val="12"/>
            <color theme="1"/>
            <rFont val="Aptos Narrow"/>
            <family val="2"/>
            <scheme val="minor"/>
          </rPr>
          <t>Việt Hoàng:
Last week
13.390.000</t>
        </r>
      </text>
    </comment>
    <comment ref="E27" authorId="2" shapeId="0" xr:uid="{00000000-0006-0000-1C00-000046000000}">
      <text>
        <r>
          <rPr>
            <sz val="12"/>
            <color theme="1"/>
            <rFont val="Aptos Narrow"/>
            <family val="2"/>
            <scheme val="minor"/>
          </rPr>
          <t>Last week is: 13.590K</t>
        </r>
      </text>
    </comment>
    <comment ref="B28" authorId="0" shapeId="0" xr:uid="{00000000-0006-0000-1C00-000047000000}">
      <text>
        <r>
          <rPr>
            <sz val="12"/>
            <color theme="1"/>
            <rFont val="Aptos Narrow"/>
            <family val="2"/>
            <scheme val="minor"/>
          </rPr>
          <t>was 11690000</t>
        </r>
      </text>
    </comment>
    <comment ref="C28" authorId="0" shapeId="0" xr:uid="{00000000-0006-0000-1C00-000048000000}">
      <text>
        <r>
          <rPr>
            <sz val="12"/>
            <color theme="1"/>
            <rFont val="Aptos Narrow"/>
            <family val="2"/>
            <scheme val="minor"/>
          </rPr>
          <t>W4 11.690</t>
        </r>
      </text>
    </comment>
    <comment ref="E28" authorId="2" shapeId="0" xr:uid="{00000000-0006-0000-1C00-000049000000}">
      <text>
        <r>
          <rPr>
            <sz val="12"/>
            <color theme="1"/>
            <rFont val="Aptos Narrow"/>
            <family val="2"/>
            <scheme val="minor"/>
          </rPr>
          <t>Last week is: 11.790K</t>
        </r>
      </text>
    </comment>
    <comment ref="D29" authorId="1" shapeId="0" xr:uid="{00000000-0006-0000-1C00-00004A000000}">
      <text>
        <r>
          <rPr>
            <sz val="12"/>
            <color theme="1"/>
            <rFont val="Aptos Narrow"/>
            <family val="2"/>
            <scheme val="minor"/>
          </rPr>
          <t>Việt Hoàng:
Last week
14.190.000</t>
        </r>
      </text>
    </comment>
    <comment ref="E29" authorId="2" shapeId="0" xr:uid="{00000000-0006-0000-1C00-00004B000000}">
      <text>
        <r>
          <rPr>
            <sz val="12"/>
            <color theme="1"/>
            <rFont val="Aptos Narrow"/>
            <family val="2"/>
            <scheme val="minor"/>
          </rPr>
          <t>Last week is: 14.390K</t>
        </r>
      </text>
    </comment>
    <comment ref="B30" authorId="0" shapeId="0" xr:uid="{00000000-0006-0000-1C00-00004C000000}">
      <text>
        <r>
          <rPr>
            <sz val="12"/>
            <color theme="1"/>
            <rFont val="Aptos Narrow"/>
            <family val="2"/>
            <scheme val="minor"/>
          </rPr>
          <t>was 22890000</t>
        </r>
      </text>
    </comment>
    <comment ref="C30" authorId="0" shapeId="0" xr:uid="{00000000-0006-0000-1C00-00004D000000}">
      <text>
        <r>
          <rPr>
            <sz val="12"/>
            <color theme="1"/>
            <rFont val="Aptos Narrow"/>
            <family val="2"/>
            <scheme val="minor"/>
          </rPr>
          <t>W4: 22.890</t>
        </r>
      </text>
    </comment>
    <comment ref="B31" authorId="0" shapeId="0" xr:uid="{00000000-0006-0000-1C00-00004E000000}">
      <text>
        <r>
          <rPr>
            <sz val="12"/>
            <color theme="1"/>
            <rFont val="Aptos Narrow"/>
            <family val="2"/>
            <scheme val="minor"/>
          </rPr>
          <t>was 5740000</t>
        </r>
      </text>
    </comment>
    <comment ref="C31" authorId="0" shapeId="0" xr:uid="{00000000-0006-0000-1C00-00004F000000}">
      <text>
        <r>
          <rPr>
            <sz val="12"/>
            <color theme="1"/>
            <rFont val="Aptos Narrow"/>
            <family val="2"/>
            <scheme val="minor"/>
          </rPr>
          <t>W4: 5.740</t>
        </r>
      </text>
    </comment>
    <comment ref="D31" authorId="1" shapeId="0" xr:uid="{00000000-0006-0000-1C00-000050000000}">
      <text>
        <r>
          <rPr>
            <sz val="12"/>
            <color theme="1"/>
            <rFont val="Aptos Narrow"/>
            <family val="2"/>
            <scheme val="minor"/>
          </rPr>
          <t>Việt Hoàng:
Last week
5.590.000</t>
        </r>
      </text>
    </comment>
    <comment ref="E31" authorId="2" shapeId="0" xr:uid="{00000000-0006-0000-1C00-000051000000}">
      <text>
        <r>
          <rPr>
            <sz val="12"/>
            <color theme="1"/>
            <rFont val="Aptos Narrow"/>
            <family val="2"/>
            <scheme val="minor"/>
          </rPr>
          <t xml:space="preserve">Last week was: 5.290K
</t>
        </r>
      </text>
    </comment>
    <comment ref="F31" authorId="4" shapeId="0" xr:uid="{00000000-0006-0000-1C00-000052000000}">
      <text>
        <r>
          <rPr>
            <sz val="12"/>
            <color theme="1"/>
            <rFont val="Aptos Narrow"/>
            <family val="2"/>
            <scheme val="minor"/>
          </rPr>
          <t>chit trang:
5.650.000</t>
        </r>
      </text>
    </comment>
    <comment ref="E32" authorId="2" shapeId="0" xr:uid="{00000000-0006-0000-1C00-000053000000}">
      <text>
        <r>
          <rPr>
            <sz val="12"/>
            <color theme="1"/>
            <rFont val="Aptos Narrow"/>
            <family val="2"/>
            <scheme val="minor"/>
          </rPr>
          <t xml:space="preserve">
Voucher giảm 1% tối đa 300K VNPAY</t>
        </r>
      </text>
    </comment>
    <comment ref="E33" authorId="0" shapeId="0" xr:uid="{00000000-0006-0000-1C00-000054000000}">
      <text>
        <r>
          <rPr>
            <sz val="12"/>
            <color theme="1"/>
            <rFont val="Aptos Narrow"/>
            <family val="2"/>
            <scheme val="minor"/>
          </rPr>
          <t>was 3490000</t>
        </r>
      </text>
    </comment>
    <comment ref="B34" authorId="0" shapeId="0" xr:uid="{00000000-0006-0000-1C00-000055000000}">
      <text>
        <r>
          <rPr>
            <sz val="12"/>
            <color theme="1"/>
            <rFont val="Aptos Narrow"/>
            <family val="2"/>
            <scheme val="minor"/>
          </rPr>
          <t>was 4040000</t>
        </r>
      </text>
    </comment>
    <comment ref="C34" authorId="0" shapeId="0" xr:uid="{00000000-0006-0000-1C00-000056000000}">
      <text>
        <r>
          <rPr>
            <sz val="12"/>
            <color theme="1"/>
            <rFont val="Aptos Narrow"/>
            <family val="2"/>
            <scheme val="minor"/>
          </rPr>
          <t>W4: 4.040</t>
        </r>
      </text>
    </comment>
    <comment ref="E35" authorId="2" shapeId="0" xr:uid="{00000000-0006-0000-1C00-000057000000}">
      <text>
        <r>
          <rPr>
            <sz val="12"/>
            <color theme="1"/>
            <rFont val="Aptos Narrow"/>
            <family val="2"/>
            <scheme val="minor"/>
          </rPr>
          <t>Last week is: 2.690K</t>
        </r>
      </text>
    </comment>
    <comment ref="B36" authorId="0" shapeId="0" xr:uid="{00000000-0006-0000-1C00-000058000000}">
      <text>
        <r>
          <rPr>
            <sz val="12"/>
            <color theme="1"/>
            <rFont val="Aptos Narrow"/>
            <family val="2"/>
            <scheme val="minor"/>
          </rPr>
          <t xml:space="preserve">was 18490000
</t>
        </r>
      </text>
    </comment>
    <comment ref="C36" authorId="0" shapeId="0" xr:uid="{00000000-0006-0000-1C00-000059000000}">
      <text>
        <r>
          <rPr>
            <sz val="12"/>
            <color theme="1"/>
            <rFont val="Aptos Narrow"/>
            <family val="2"/>
            <scheme val="minor"/>
          </rPr>
          <t xml:space="preserve">W4: 18.490
</t>
        </r>
      </text>
    </comment>
    <comment ref="D36" authorId="1" shapeId="0" xr:uid="{00000000-0006-0000-1C00-00005A000000}">
      <text>
        <r>
          <rPr>
            <sz val="12"/>
            <color theme="1"/>
            <rFont val="Aptos Narrow"/>
            <family val="2"/>
            <scheme val="minor"/>
          </rPr>
          <t>Việt Hoàng:
Last week:
18.290.000</t>
        </r>
      </text>
    </comment>
    <comment ref="F36" authorId="4" shapeId="0" xr:uid="{00000000-0006-0000-1C00-00005B000000}">
      <text>
        <r>
          <rPr>
            <sz val="12"/>
            <color theme="1"/>
            <rFont val="Aptos Narrow"/>
            <family val="2"/>
            <scheme val="minor"/>
          </rPr>
          <t>chit trang:
18.490.000</t>
        </r>
      </text>
    </comment>
    <comment ref="G36" authorId="5" shapeId="0" xr:uid="{00000000-0006-0000-1C00-00005C000000}">
      <text>
        <r>
          <rPr>
            <sz val="12"/>
            <color theme="1"/>
            <rFont val="Aptos Narrow"/>
            <family val="2"/>
            <scheme val="minor"/>
          </rPr>
          <t>Tran Dat:
17.790</t>
        </r>
      </text>
    </comment>
    <comment ref="B37" authorId="0" shapeId="0" xr:uid="{00000000-0006-0000-1C00-00005D000000}">
      <text>
        <r>
          <rPr>
            <sz val="12"/>
            <color theme="1"/>
            <rFont val="Aptos Narrow"/>
            <family val="2"/>
            <scheme val="minor"/>
          </rPr>
          <t>was 24390000</t>
        </r>
      </text>
    </comment>
    <comment ref="C37" authorId="0" shapeId="0" xr:uid="{00000000-0006-0000-1C00-00005E000000}">
      <text>
        <r>
          <rPr>
            <sz val="12"/>
            <color theme="1"/>
            <rFont val="Aptos Narrow"/>
            <family val="2"/>
            <scheme val="minor"/>
          </rPr>
          <t>W4: 24.390</t>
        </r>
      </text>
    </comment>
    <comment ref="D37" authorId="1" shapeId="0" xr:uid="{00000000-0006-0000-1C00-00005F000000}">
      <text>
        <r>
          <rPr>
            <sz val="12"/>
            <color theme="1"/>
            <rFont val="Aptos Narrow"/>
            <family val="2"/>
            <scheme val="minor"/>
          </rPr>
          <t>Việt Hoàng:
Last week:
23.790.000</t>
        </r>
      </text>
    </comment>
    <comment ref="F37" authorId="4" shapeId="0" xr:uid="{00000000-0006-0000-1C00-000060000000}">
      <text>
        <r>
          <rPr>
            <sz val="12"/>
            <color theme="1"/>
            <rFont val="Aptos Narrow"/>
            <family val="2"/>
            <scheme val="minor"/>
          </rPr>
          <t>chit trang:
23.490.000</t>
        </r>
      </text>
    </comment>
    <comment ref="B38" authorId="0" shapeId="0" xr:uid="{00000000-0006-0000-1C00-000061000000}">
      <text>
        <r>
          <rPr>
            <sz val="12"/>
            <color theme="1"/>
            <rFont val="Aptos Narrow"/>
            <family val="2"/>
            <scheme val="minor"/>
          </rPr>
          <t>was 27390000</t>
        </r>
      </text>
    </comment>
    <comment ref="C38" authorId="0" shapeId="0" xr:uid="{00000000-0006-0000-1C00-000062000000}">
      <text>
        <r>
          <rPr>
            <sz val="12"/>
            <color theme="1"/>
            <rFont val="Aptos Narrow"/>
            <family val="2"/>
            <scheme val="minor"/>
          </rPr>
          <t>W4 27.390</t>
        </r>
      </text>
    </comment>
    <comment ref="D38" authorId="1" shapeId="0" xr:uid="{00000000-0006-0000-1C00-000063000000}">
      <text>
        <r>
          <rPr>
            <sz val="12"/>
            <color theme="1"/>
            <rFont val="Aptos Narrow"/>
            <family val="2"/>
            <scheme val="minor"/>
          </rPr>
          <t>Việt Hoàng:
Last week:
26.790.000</t>
        </r>
      </text>
    </comment>
    <comment ref="F38" authorId="4" shapeId="0" xr:uid="{00000000-0006-0000-1C00-000064000000}">
      <text>
        <r>
          <rPr>
            <sz val="12"/>
            <color theme="1"/>
            <rFont val="Aptos Narrow"/>
            <family val="2"/>
            <scheme val="minor"/>
          </rPr>
          <t>chit trang:
26.490.000</t>
        </r>
      </text>
    </comment>
    <comment ref="G38" authorId="5" shapeId="0" xr:uid="{00000000-0006-0000-1C00-000065000000}">
      <text>
        <r>
          <rPr>
            <sz val="12"/>
            <color theme="1"/>
            <rFont val="Aptos Narrow"/>
            <family val="2"/>
            <scheme val="minor"/>
          </rPr>
          <t>Tran Dat:
26290000</t>
        </r>
      </text>
    </comment>
    <comment ref="B39" authorId="0" shapeId="0" xr:uid="{00000000-0006-0000-1C00-000066000000}">
      <text>
        <r>
          <rPr>
            <sz val="12"/>
            <color theme="1"/>
            <rFont val="Aptos Narrow"/>
            <family val="2"/>
            <scheme val="minor"/>
          </rPr>
          <t>was 32090000</t>
        </r>
      </text>
    </comment>
    <comment ref="C39" authorId="0" shapeId="0" xr:uid="{00000000-0006-0000-1C00-000067000000}">
      <text>
        <r>
          <rPr>
            <sz val="12"/>
            <color theme="1"/>
            <rFont val="Aptos Narrow"/>
            <family val="2"/>
            <scheme val="minor"/>
          </rPr>
          <t>W4: 32.090</t>
        </r>
      </text>
    </comment>
    <comment ref="D39" authorId="1" shapeId="0" xr:uid="{00000000-0006-0000-1C00-000068000000}">
      <text>
        <r>
          <rPr>
            <sz val="12"/>
            <color theme="1"/>
            <rFont val="Aptos Narrow"/>
            <family val="2"/>
            <scheme val="minor"/>
          </rPr>
          <t>Việt Hoàng:
Last week:
31.090.000</t>
        </r>
      </text>
    </comment>
    <comment ref="G39" authorId="5" shapeId="0" xr:uid="{00000000-0006-0000-1C00-000069000000}">
      <text>
        <r>
          <rPr>
            <sz val="12"/>
            <color theme="1"/>
            <rFont val="Aptos Narrow"/>
            <family val="2"/>
            <scheme val="minor"/>
          </rPr>
          <t xml:space="preserve">Tran Dat:
30.990.000
</t>
        </r>
      </text>
    </comment>
    <comment ref="B40" authorId="0" shapeId="0" xr:uid="{00000000-0006-0000-1C00-00006A000000}">
      <text>
        <r>
          <rPr>
            <sz val="12"/>
            <color theme="1"/>
            <rFont val="Aptos Narrow"/>
            <family val="2"/>
            <scheme val="minor"/>
          </rPr>
          <t>was 38090000</t>
        </r>
      </text>
    </comment>
    <comment ref="C40" authorId="0" shapeId="0" xr:uid="{00000000-0006-0000-1C00-00006B000000}">
      <text>
        <r>
          <rPr>
            <sz val="12"/>
            <color theme="1"/>
            <rFont val="Aptos Narrow"/>
            <family val="2"/>
            <scheme val="minor"/>
          </rPr>
          <t>W4: 38090</t>
        </r>
      </text>
    </comment>
    <comment ref="D40" authorId="1" shapeId="0" xr:uid="{00000000-0006-0000-1C00-00006C000000}">
      <text>
        <r>
          <rPr>
            <sz val="12"/>
            <color theme="1"/>
            <rFont val="Aptos Narrow"/>
            <family val="2"/>
            <scheme val="minor"/>
          </rPr>
          <t>Việt Hoàng:
Last week:
37.990.000</t>
        </r>
      </text>
    </comment>
    <comment ref="F40" authorId="4" shapeId="0" xr:uid="{00000000-0006-0000-1C00-00006D000000}">
      <text>
        <r>
          <rPr>
            <sz val="12"/>
            <color theme="1"/>
            <rFont val="Aptos Narrow"/>
            <family val="2"/>
            <scheme val="minor"/>
          </rPr>
          <t xml:space="preserve">chit trang:
</t>
        </r>
      </text>
    </comment>
  </commentList>
</comments>
</file>

<file path=xl/comments30.xml><?xml version="1.0" encoding="utf-8"?>
<comments xmlns="http://schemas.openxmlformats.org/spreadsheetml/2006/main" xmlns:mc="http://schemas.openxmlformats.org/markup-compatibility/2006" xmlns:xr="http://schemas.microsoft.com/office/spreadsheetml/2014/revision" mc:Ignorable="xr">
  <authors>
    <author>Microsoft Office User</author>
    <author>Sheva Son</author>
    <author>Người dùng Khách</author>
    <author>Tran Dat</author>
    <author>Việt Hoàng</author>
    <author>chit trang</author>
  </authors>
  <commentList>
    <comment ref="B2" authorId="0" shapeId="0" xr:uid="{00000000-0006-0000-1D00-000001000000}">
      <text>
        <r>
          <rPr>
            <sz val="12"/>
            <color theme="1"/>
            <rFont val="Aptos Narrow"/>
            <family val="2"/>
            <scheme val="minor"/>
          </rPr>
          <t>was 22990000
VNP200</t>
        </r>
      </text>
    </comment>
    <comment ref="C2" authorId="0" shapeId="0" xr:uid="{00000000-0006-0000-1D00-000002000000}">
      <text>
        <r>
          <rPr>
            <sz val="12"/>
            <color theme="1"/>
            <rFont val="Aptos Narrow"/>
            <family val="2"/>
            <scheme val="minor"/>
          </rPr>
          <t xml:space="preserve">W5 22.990
</t>
        </r>
      </text>
    </comment>
    <comment ref="E2" authorId="1" shapeId="0" xr:uid="{00000000-0006-0000-1D00-000003000000}">
      <text>
        <r>
          <rPr>
            <sz val="12"/>
            <color theme="1"/>
            <rFont val="Aptos Narrow"/>
            <family val="2"/>
            <scheme val="minor"/>
          </rPr>
          <t xml:space="preserve">Last week is: 22.490K
Giảm 500K (đã trừ vào giá, ko kèm CTKM đổi điểm VT++).
Đổi điểm Viettel++ lên tới 6000K
Nhập mã VTQR tặng 1% tối đa 300.000 khi thanh toán qua VNPAY
Nhập mã KV_VTS_IPHONE16 giảm giá 10% tối đa 700.000 VNĐ trên giá trị của giao dịch trả góp 6-12 tháng Kredivo (300 suất) </t>
        </r>
      </text>
    </comment>
    <comment ref="F2" authorId="2" shapeId="0" xr:uid="{00000000-0006-0000-1D00-000004000000}">
      <text>
        <r>
          <rPr>
            <sz val="12"/>
            <color theme="1"/>
            <rFont val="Aptos Narrow"/>
            <family val="2"/>
            <scheme val="minor"/>
          </rPr>
          <t>Người dùng Không xác định:
21.290.000</t>
        </r>
      </text>
    </comment>
    <comment ref="G2" authorId="3" shapeId="0" xr:uid="{00000000-0006-0000-1D00-000005000000}">
      <text>
        <r>
          <rPr>
            <sz val="12"/>
            <color theme="1"/>
            <rFont val="Aptos Narrow"/>
            <family val="2"/>
            <scheme val="minor"/>
          </rPr>
          <t xml:space="preserve">Tran Dat:
21.590.000
</t>
        </r>
      </text>
    </comment>
    <comment ref="B3" authorId="0" shapeId="0" xr:uid="{00000000-0006-0000-1D00-000006000000}">
      <text>
        <r>
          <rPr>
            <sz val="12"/>
            <color theme="1"/>
            <rFont val="Aptos Narrow"/>
            <family val="2"/>
            <scheme val="minor"/>
          </rPr>
          <t>was 25990
VNp200</t>
        </r>
      </text>
    </comment>
    <comment ref="C3" authorId="0" shapeId="0" xr:uid="{00000000-0006-0000-1D00-000007000000}">
      <text>
        <r>
          <rPr>
            <sz val="12"/>
            <color theme="1"/>
            <rFont val="Aptos Narrow"/>
            <family val="2"/>
            <scheme val="minor"/>
          </rPr>
          <t xml:space="preserve">W5 25.990
</t>
        </r>
      </text>
    </comment>
    <comment ref="D3" authorId="4" shapeId="0" xr:uid="{00000000-0006-0000-1D00-000008000000}">
      <text>
        <r>
          <rPr>
            <sz val="12"/>
            <color theme="1"/>
            <rFont val="Aptos Narrow"/>
            <family val="2"/>
            <scheme val="minor"/>
          </rPr>
          <t>Việt Hoàng:
Last week:
25.490.000</t>
        </r>
      </text>
    </comment>
    <comment ref="E3" authorId="1" shapeId="0" xr:uid="{00000000-0006-0000-1D00-000009000000}">
      <text>
        <r>
          <rPr>
            <sz val="12"/>
            <color theme="1"/>
            <rFont val="Aptos Narrow"/>
            <family val="2"/>
            <scheme val="minor"/>
          </rPr>
          <t xml:space="preserve">Last week is: 25.490K
Giảm 500K (đã trừ vào giá, ko kèm CTKM đổi điểm VT++).
Đổi điểm Viettel++ lên tới 6000K
Nhập mã VTQR tặng 1% tối đa 300.000 khi thanh toán qua VNPAY
Nhập mã KV_VTS_IPHONE16 giảm giá 10% tối đa 700.000 VNĐ trên giá trị của giao dịch trả góp 6-12 tháng Kredivo (300 suất) </t>
        </r>
      </text>
    </comment>
    <comment ref="F3" authorId="5" shapeId="0" xr:uid="{00000000-0006-0000-1D00-00000A000000}">
      <text>
        <r>
          <rPr>
            <sz val="12"/>
            <color theme="1"/>
            <rFont val="Aptos Narrow"/>
            <family val="2"/>
            <scheme val="minor"/>
          </rPr>
          <t>chit trang:
24.490.000</t>
        </r>
      </text>
    </comment>
    <comment ref="G3" authorId="3" shapeId="0" xr:uid="{00000000-0006-0000-1D00-00000B000000}">
      <text>
        <r>
          <rPr>
            <sz val="12"/>
            <color theme="1"/>
            <rFont val="Aptos Narrow"/>
            <family val="2"/>
            <scheme val="minor"/>
          </rPr>
          <t xml:space="preserve">Tran Dat:
25490000
</t>
        </r>
      </text>
    </comment>
    <comment ref="B4" authorId="0" shapeId="0" xr:uid="{00000000-0006-0000-1D00-00000C000000}">
      <text>
        <r>
          <rPr>
            <sz val="12"/>
            <color theme="1"/>
            <rFont val="Aptos Narrow"/>
            <family val="2"/>
            <scheme val="minor"/>
          </rPr>
          <t>was 28990
VNP200</t>
        </r>
      </text>
    </comment>
    <comment ref="C4" authorId="0" shapeId="0" xr:uid="{00000000-0006-0000-1D00-00000D000000}">
      <text>
        <r>
          <rPr>
            <sz val="12"/>
            <color theme="1"/>
            <rFont val="Aptos Narrow"/>
            <family val="2"/>
            <scheme val="minor"/>
          </rPr>
          <t xml:space="preserve">W5 28.990
</t>
        </r>
      </text>
    </comment>
    <comment ref="E4" authorId="1" shapeId="0" xr:uid="{00000000-0006-0000-1D00-00000E000000}">
      <text>
        <r>
          <rPr>
            <sz val="12"/>
            <color theme="1"/>
            <rFont val="Aptos Narrow"/>
            <family val="2"/>
            <scheme val="minor"/>
          </rPr>
          <t>Last week is: 27.490K
Đổi điểm Viettel++ lên tới 6000K
Voucher VNPAY giảm 1 triệu cho đơn hàng mua giá trị trên 20 triệu đồng (số lượng có hạn)</t>
        </r>
      </text>
    </comment>
    <comment ref="F4" authorId="5" shapeId="0" xr:uid="{00000000-0006-0000-1D00-00000F000000}">
      <text>
        <r>
          <rPr>
            <sz val="12"/>
            <color theme="1"/>
            <rFont val="Aptos Narrow"/>
            <family val="2"/>
            <scheme val="minor"/>
          </rPr>
          <t>chit trang:
27.990.000</t>
        </r>
      </text>
    </comment>
    <comment ref="B5" authorId="0" shapeId="0" xr:uid="{00000000-0006-0000-1D00-000010000000}">
      <text>
        <r>
          <rPr>
            <sz val="12"/>
            <color theme="1"/>
            <rFont val="Aptos Narrow"/>
            <family val="2"/>
            <scheme val="minor"/>
          </rPr>
          <t>was 34990
VNP200</t>
        </r>
      </text>
    </comment>
    <comment ref="C5" authorId="0" shapeId="0" xr:uid="{00000000-0006-0000-1D00-000011000000}">
      <text>
        <r>
          <rPr>
            <sz val="12"/>
            <color theme="1"/>
            <rFont val="Aptos Narrow"/>
            <family val="2"/>
            <scheme val="minor"/>
          </rPr>
          <t xml:space="preserve">W5 34.990
</t>
        </r>
      </text>
    </comment>
    <comment ref="D5" authorId="4" shapeId="0" xr:uid="{00000000-0006-0000-1D00-000012000000}">
      <text>
        <r>
          <rPr>
            <sz val="12"/>
            <color theme="1"/>
            <rFont val="Aptos Narrow"/>
            <family val="2"/>
            <scheme val="minor"/>
          </rPr>
          <t>Việt Hoàng:
Last week:
34.490.000</t>
        </r>
      </text>
    </comment>
    <comment ref="E5" authorId="1" shapeId="0" xr:uid="{00000000-0006-0000-1D00-000013000000}">
      <text>
        <r>
          <rPr>
            <sz val="12"/>
            <color theme="1"/>
            <rFont val="Aptos Narrow"/>
            <family val="2"/>
            <scheme val="minor"/>
          </rPr>
          <t>Last week is: 33.990K
Đổi điểm Viettel++ lên tới 6000K
Voucher VNPAY giảm 1 triệu cho đơn hàng mua giá trị trên 20 triệu đồng (số lượng có hạn)</t>
        </r>
      </text>
    </comment>
    <comment ref="F5" authorId="5" shapeId="0" xr:uid="{00000000-0006-0000-1D00-000014000000}">
      <text>
        <r>
          <rPr>
            <sz val="12"/>
            <color theme="1"/>
            <rFont val="Aptos Narrow"/>
            <family val="2"/>
            <scheme val="minor"/>
          </rPr>
          <t>chit trang:
33.790.000</t>
        </r>
      </text>
    </comment>
    <comment ref="B6" authorId="0" shapeId="0" xr:uid="{00000000-0006-0000-1D00-000015000000}">
      <text>
        <r>
          <rPr>
            <sz val="12"/>
            <color theme="1"/>
            <rFont val="Aptos Narrow"/>
            <family val="2"/>
            <scheme val="minor"/>
          </rPr>
          <t>was 20190000
VNP200</t>
        </r>
      </text>
    </comment>
    <comment ref="C6" authorId="0" shapeId="0" xr:uid="{00000000-0006-0000-1D00-000016000000}">
      <text>
        <r>
          <rPr>
            <sz val="12"/>
            <color theme="1"/>
            <rFont val="Aptos Narrow"/>
            <family val="2"/>
            <scheme val="minor"/>
          </rPr>
          <t xml:space="preserve">W5 20.190
</t>
        </r>
      </text>
    </comment>
    <comment ref="E6" authorId="1" shapeId="0" xr:uid="{00000000-0006-0000-1D00-000017000000}">
      <text>
        <r>
          <rPr>
            <sz val="12"/>
            <color theme="1"/>
            <rFont val="Aptos Narrow"/>
            <family val="2"/>
            <scheme val="minor"/>
          </rPr>
          <t xml:space="preserve">Last week is: 19.490K
Giảm ngay 200,000đ cho khách hàng mua gói cước 3V200B </t>
        </r>
      </text>
    </comment>
    <comment ref="F6" authorId="5" shapeId="0" xr:uid="{00000000-0006-0000-1D00-000018000000}">
      <text>
        <r>
          <rPr>
            <sz val="12"/>
            <color theme="1"/>
            <rFont val="Aptos Narrow"/>
            <family val="2"/>
            <scheme val="minor"/>
          </rPr>
          <t>chit trang:
19.590.000</t>
        </r>
      </text>
    </comment>
    <comment ref="B7" authorId="0" shapeId="0" xr:uid="{00000000-0006-0000-1D00-000019000000}">
      <text>
        <r>
          <rPr>
            <sz val="12"/>
            <color theme="1"/>
            <rFont val="Aptos Narrow"/>
            <family val="2"/>
            <scheme val="minor"/>
          </rPr>
          <t>was 23190000
VNP200</t>
        </r>
      </text>
    </comment>
    <comment ref="C7" authorId="0" shapeId="0" xr:uid="{00000000-0006-0000-1D00-00001A000000}">
      <text>
        <r>
          <rPr>
            <sz val="12"/>
            <color theme="1"/>
            <rFont val="Aptos Narrow"/>
            <family val="2"/>
            <scheme val="minor"/>
          </rPr>
          <t xml:space="preserve">W5 23.190
</t>
        </r>
      </text>
    </comment>
    <comment ref="E7" authorId="1" shapeId="0" xr:uid="{00000000-0006-0000-1D00-00001B000000}">
      <text>
        <r>
          <rPr>
            <sz val="12"/>
            <color theme="1"/>
            <rFont val="Aptos Narrow"/>
            <family val="2"/>
            <scheme val="minor"/>
          </rPr>
          <t xml:space="preserve">Last week is: 22.490K
Giảm ngay 200,000đ cho khách hàng mua gói cước 3V200B </t>
        </r>
      </text>
    </comment>
    <comment ref="B8" authorId="0" shapeId="0" xr:uid="{00000000-0006-0000-1D00-00001C000000}">
      <text>
        <r>
          <rPr>
            <sz val="12"/>
            <color theme="1"/>
            <rFont val="Aptos Narrow"/>
            <family val="2"/>
            <scheme val="minor"/>
          </rPr>
          <t xml:space="preserve">was 25590000
</t>
        </r>
      </text>
    </comment>
    <comment ref="B9" authorId="0" shapeId="0" xr:uid="{00000000-0006-0000-1D00-00001D000000}">
      <text>
        <r>
          <rPr>
            <sz val="12"/>
            <color theme="1"/>
            <rFont val="Aptos Narrow"/>
            <family val="2"/>
            <scheme val="minor"/>
          </rPr>
          <t>was 29590000
TN: 30090000
VNP200</t>
        </r>
      </text>
    </comment>
    <comment ref="C9" authorId="0" shapeId="0" xr:uid="{00000000-0006-0000-1D00-00001E000000}">
      <text>
        <r>
          <rPr>
            <sz val="12"/>
            <color theme="1"/>
            <rFont val="Aptos Narrow"/>
            <family val="2"/>
            <scheme val="minor"/>
          </rPr>
          <t>W5 29.590</t>
        </r>
      </text>
    </comment>
    <comment ref="D9" authorId="4" shapeId="0" xr:uid="{00000000-0006-0000-1D00-00001F000000}">
      <text>
        <r>
          <rPr>
            <sz val="12"/>
            <color theme="1"/>
            <rFont val="Aptos Narrow"/>
            <family val="2"/>
            <scheme val="minor"/>
          </rPr>
          <t>Việt Hoàng:
Last week:
29.390.000</t>
        </r>
      </text>
    </comment>
    <comment ref="E9" authorId="1" shapeId="0" xr:uid="{00000000-0006-0000-1D00-000020000000}">
      <text>
        <r>
          <rPr>
            <sz val="12"/>
            <color theme="1"/>
            <rFont val="Aptos Narrow"/>
            <family val="2"/>
            <scheme val="minor"/>
          </rPr>
          <t>Last week was: 28.990.000
Màu titan xanh, titan đen giảm 500K còn 28.490K</t>
        </r>
      </text>
    </comment>
    <comment ref="G9" authorId="3" shapeId="0" xr:uid="{00000000-0006-0000-1D00-000021000000}">
      <text>
        <r>
          <rPr>
            <sz val="12"/>
            <color theme="1"/>
            <rFont val="Aptos Narrow"/>
            <family val="2"/>
            <scheme val="minor"/>
          </rPr>
          <t>Tran Dat:
28.690.000</t>
        </r>
      </text>
    </comment>
    <comment ref="B10" authorId="0" shapeId="0" xr:uid="{00000000-0006-0000-1D00-000022000000}">
      <text>
        <r>
          <rPr>
            <sz val="12"/>
            <color theme="1"/>
            <rFont val="Aptos Narrow"/>
            <family val="2"/>
            <scheme val="minor"/>
          </rPr>
          <t>was 20590000
VNP200</t>
        </r>
      </text>
    </comment>
    <comment ref="C10" authorId="0" shapeId="0" xr:uid="{00000000-0006-0000-1D00-000023000000}">
      <text>
        <r>
          <rPr>
            <sz val="12"/>
            <color theme="1"/>
            <rFont val="Aptos Narrow"/>
            <family val="2"/>
            <scheme val="minor"/>
          </rPr>
          <t>W5 20.590</t>
        </r>
      </text>
    </comment>
    <comment ref="E10" authorId="1" shapeId="0" xr:uid="{00000000-0006-0000-1D00-000024000000}">
      <text>
        <r>
          <rPr>
            <sz val="12"/>
            <color theme="1"/>
            <rFont val="Aptos Narrow"/>
            <family val="2"/>
            <scheme val="minor"/>
          </rPr>
          <t xml:space="preserve">Chỉ còn màu Purple, Blue, White số lượng ít
</t>
        </r>
      </text>
    </comment>
    <comment ref="G10" authorId="3" shapeId="0" xr:uid="{00000000-0006-0000-1D00-000025000000}">
      <text>
        <r>
          <rPr>
            <sz val="12"/>
            <color theme="1"/>
            <rFont val="Aptos Narrow"/>
            <family val="2"/>
            <scheme val="minor"/>
          </rPr>
          <t>Tran Dat:
19.090.000</t>
        </r>
      </text>
    </comment>
    <comment ref="B11" authorId="0" shapeId="0" xr:uid="{00000000-0006-0000-1D00-000026000000}">
      <text>
        <r>
          <rPr>
            <sz val="12"/>
            <color theme="1"/>
            <rFont val="Aptos Narrow"/>
            <family val="2"/>
            <scheme val="minor"/>
          </rPr>
          <t>was 17590000
VNP200</t>
        </r>
      </text>
    </comment>
    <comment ref="C11" authorId="0" shapeId="0" xr:uid="{00000000-0006-0000-1D00-000027000000}">
      <text>
        <r>
          <rPr>
            <sz val="12"/>
            <color theme="1"/>
            <rFont val="Aptos Narrow"/>
            <family val="2"/>
            <scheme val="minor"/>
          </rPr>
          <t>W5 17.590</t>
        </r>
      </text>
    </comment>
    <comment ref="B12" authorId="0" shapeId="0" xr:uid="{00000000-0006-0000-1D00-000028000000}">
      <text>
        <r>
          <rPr>
            <sz val="12"/>
            <color theme="1"/>
            <rFont val="Aptos Narrow"/>
            <family val="2"/>
            <scheme val="minor"/>
          </rPr>
          <t>was 13990000
VNP100
Nhiều màu chênh nhau quá</t>
        </r>
      </text>
    </comment>
    <comment ref="C12" authorId="0" shapeId="0" xr:uid="{00000000-0006-0000-1D00-000029000000}">
      <text>
        <r>
          <rPr>
            <sz val="12"/>
            <color theme="1"/>
            <rFont val="Aptos Narrow"/>
            <family val="2"/>
            <scheme val="minor"/>
          </rPr>
          <t>W5 13.990</t>
        </r>
      </text>
    </comment>
    <comment ref="E12" authorId="1" shapeId="0" xr:uid="{00000000-0006-0000-1D00-00002A000000}">
      <text>
        <r>
          <rPr>
            <sz val="12"/>
            <color theme="1"/>
            <rFont val="Aptos Narrow"/>
            <family val="2"/>
            <scheme val="minor"/>
          </rPr>
          <t>Giảm 200K cho màu Đen và Starlight</t>
        </r>
      </text>
    </comment>
    <comment ref="F12" authorId="5" shapeId="0" xr:uid="{00000000-0006-0000-1D00-00002B000000}">
      <text>
        <r>
          <rPr>
            <sz val="12"/>
            <color theme="1"/>
            <rFont val="Aptos Narrow"/>
            <family val="2"/>
            <scheme val="minor"/>
          </rPr>
          <t>chit trang:
13.590.000</t>
        </r>
      </text>
    </comment>
    <comment ref="B13" authorId="0" shapeId="0" xr:uid="{00000000-0006-0000-1D00-00002C000000}">
      <text>
        <r>
          <rPr>
            <sz val="12"/>
            <color theme="1"/>
            <rFont val="Aptos Narrow"/>
            <family val="2"/>
            <scheme val="minor"/>
          </rPr>
          <t>was 12090000
VNP100
Green: 10990000</t>
        </r>
      </text>
    </comment>
    <comment ref="C13" authorId="0" shapeId="0" xr:uid="{00000000-0006-0000-1D00-00002D000000}">
      <text>
        <r>
          <rPr>
            <sz val="12"/>
            <color theme="1"/>
            <rFont val="Aptos Narrow"/>
            <family val="2"/>
            <scheme val="minor"/>
          </rPr>
          <t>W5 12.090</t>
        </r>
      </text>
    </comment>
    <comment ref="B14" authorId="0" shapeId="0" xr:uid="{00000000-0006-0000-1D00-00002E000000}">
      <text>
        <r>
          <rPr>
            <sz val="12"/>
            <color theme="1"/>
            <rFont val="Aptos Narrow"/>
            <family val="2"/>
            <scheme val="minor"/>
          </rPr>
          <t xml:space="preserve">was 8990000
VNP50
</t>
        </r>
      </text>
    </comment>
    <comment ref="C14" authorId="0" shapeId="0" xr:uid="{00000000-0006-0000-1D00-00002F000000}">
      <text>
        <r>
          <rPr>
            <sz val="12"/>
            <color theme="1"/>
            <rFont val="Aptos Narrow"/>
            <family val="2"/>
            <scheme val="minor"/>
          </rPr>
          <t>W5 8.990</t>
        </r>
      </text>
    </comment>
    <comment ref="E14" authorId="1" shapeId="0" xr:uid="{00000000-0006-0000-1D00-000030000000}">
      <text>
        <r>
          <rPr>
            <sz val="12"/>
            <color theme="1"/>
            <rFont val="Aptos Narrow"/>
            <family val="2"/>
            <scheme val="minor"/>
          </rPr>
          <t xml:space="preserve">Giảm 200K khi mua Online (đã trừ vào giá)
Trợ giá 4G giảm 300K đã trừ vào giá
</t>
        </r>
      </text>
    </comment>
    <comment ref="B15" authorId="0" shapeId="0" xr:uid="{00000000-0006-0000-1D00-000031000000}">
      <text>
        <r>
          <rPr>
            <sz val="12"/>
            <color theme="1"/>
            <rFont val="Aptos Narrow"/>
            <family val="2"/>
            <scheme val="minor"/>
          </rPr>
          <t>was 12090000
VNP100</t>
        </r>
      </text>
    </comment>
    <comment ref="D15" authorId="4" shapeId="0" xr:uid="{00000000-0006-0000-1D00-000032000000}">
      <text>
        <r>
          <rPr>
            <sz val="12"/>
            <color theme="1"/>
            <rFont val="Aptos Narrow"/>
            <family val="2"/>
            <scheme val="minor"/>
          </rPr>
          <t>Việt Hoàng:
Last week:
12.490.000</t>
        </r>
      </text>
    </comment>
    <comment ref="F15" authorId="5" shapeId="0" xr:uid="{00000000-0006-0000-1D00-000033000000}">
      <text>
        <r>
          <rPr>
            <sz val="12"/>
            <color theme="1"/>
            <rFont val="Aptos Narrow"/>
            <family val="2"/>
            <scheme val="minor"/>
          </rPr>
          <t>chit trang:
12.690.000</t>
        </r>
      </text>
    </comment>
    <comment ref="B16" authorId="0" shapeId="0" xr:uid="{00000000-0006-0000-1D00-000034000000}">
      <text>
        <r>
          <rPr>
            <sz val="12"/>
            <color theme="1"/>
            <rFont val="Aptos Narrow"/>
            <family val="2"/>
            <scheme val="minor"/>
          </rPr>
          <t>was 9990000
VNP100</t>
        </r>
      </text>
    </comment>
    <comment ref="C16" authorId="0" shapeId="0" xr:uid="{00000000-0006-0000-1D00-000035000000}">
      <text>
        <r>
          <rPr>
            <sz val="12"/>
            <color theme="1"/>
            <rFont val="Aptos Narrow"/>
            <family val="2"/>
            <scheme val="minor"/>
          </rPr>
          <t>W5 9.990</t>
        </r>
      </text>
    </comment>
    <comment ref="D16" authorId="4" shapeId="0" xr:uid="{00000000-0006-0000-1D00-000036000000}">
      <text>
        <r>
          <rPr>
            <sz val="12"/>
            <color theme="1"/>
            <rFont val="Aptos Narrow"/>
            <family val="2"/>
            <scheme val="minor"/>
          </rPr>
          <t>Việt Hoàng:
Last week:
9.790.000</t>
        </r>
      </text>
    </comment>
    <comment ref="E16" authorId="1" shapeId="0" xr:uid="{00000000-0006-0000-1D00-000037000000}">
      <text>
        <r>
          <rPr>
            <sz val="12"/>
            <color theme="1"/>
            <rFont val="Aptos Narrow"/>
            <family val="2"/>
            <scheme val="minor"/>
          </rPr>
          <t xml:space="preserve">Last week is: 8.990K
Giảm 200K đặt mua Online
</t>
        </r>
      </text>
    </comment>
    <comment ref="B17" authorId="0" shapeId="0" xr:uid="{00000000-0006-0000-1D00-000038000000}">
      <text>
        <r>
          <rPr>
            <sz val="12"/>
            <color theme="1"/>
            <rFont val="Aptos Narrow"/>
            <family val="2"/>
            <scheme val="minor"/>
          </rPr>
          <t>was 7090000
VNP50</t>
        </r>
      </text>
    </comment>
    <comment ref="C17" authorId="0" shapeId="0" xr:uid="{00000000-0006-0000-1D00-000039000000}">
      <text>
        <r>
          <rPr>
            <sz val="12"/>
            <color theme="1"/>
            <rFont val="Aptos Narrow"/>
            <family val="2"/>
            <scheme val="minor"/>
          </rPr>
          <t>W5 7.090</t>
        </r>
      </text>
    </comment>
    <comment ref="D17" authorId="4" shapeId="0" xr:uid="{00000000-0006-0000-1D00-00003A000000}">
      <text>
        <r>
          <rPr>
            <sz val="12"/>
            <color theme="1"/>
            <rFont val="Aptos Narrow"/>
            <family val="2"/>
            <scheme val="minor"/>
          </rPr>
          <t>Việt Hoàng:
Last week:
7.190.000</t>
        </r>
      </text>
    </comment>
    <comment ref="E17" authorId="1" shapeId="0" xr:uid="{00000000-0006-0000-1D00-00003B000000}">
      <text>
        <r>
          <rPr>
            <sz val="12"/>
            <color theme="1"/>
            <rFont val="Aptos Narrow"/>
            <family val="2"/>
            <scheme val="minor"/>
          </rPr>
          <t>Giảm 10% tối đa 120K khi mở ví VNPAY</t>
        </r>
      </text>
    </comment>
    <comment ref="B18" authorId="0" shapeId="0" xr:uid="{00000000-0006-0000-1D00-00003C000000}">
      <text>
        <r>
          <rPr>
            <sz val="12"/>
            <color theme="1"/>
            <rFont val="Aptos Narrow"/>
            <family val="2"/>
            <scheme val="minor"/>
          </rPr>
          <t>was 16990000
VNP100</t>
        </r>
      </text>
    </comment>
    <comment ref="C18" authorId="0" shapeId="0" xr:uid="{00000000-0006-0000-1D00-00003D000000}">
      <text>
        <r>
          <rPr>
            <sz val="12"/>
            <color theme="1"/>
            <rFont val="Aptos Narrow"/>
            <family val="2"/>
            <scheme val="minor"/>
          </rPr>
          <t>W5 16.990</t>
        </r>
      </text>
    </comment>
    <comment ref="D18" authorId="4" shapeId="0" xr:uid="{00000000-0006-0000-1D00-00003E000000}">
      <text>
        <r>
          <rPr>
            <sz val="12"/>
            <color theme="1"/>
            <rFont val="Aptos Narrow"/>
            <family val="2"/>
            <scheme val="minor"/>
          </rPr>
          <t>Việt Hoàng:
Last week:
16.990.000</t>
        </r>
      </text>
    </comment>
    <comment ref="E18" authorId="1" shapeId="0" xr:uid="{00000000-0006-0000-1D00-00003F000000}">
      <text>
        <r>
          <rPr>
            <sz val="12"/>
            <color theme="1"/>
            <rFont val="Aptos Narrow"/>
            <family val="2"/>
            <scheme val="minor"/>
          </rPr>
          <t>Last week is: 16226K
Voucher giảm 1% tối đa 300K VNPAY</t>
        </r>
      </text>
    </comment>
    <comment ref="F18" authorId="5" shapeId="0" xr:uid="{00000000-0006-0000-1D00-000040000000}">
      <text>
        <r>
          <rPr>
            <sz val="12"/>
            <color theme="1"/>
            <rFont val="Aptos Narrow"/>
            <family val="2"/>
            <scheme val="minor"/>
          </rPr>
          <t>chit trang:
16.490.000</t>
        </r>
      </text>
    </comment>
    <comment ref="G18" authorId="3" shapeId="0" xr:uid="{00000000-0006-0000-1D00-000041000000}">
      <text>
        <r>
          <rPr>
            <sz val="12"/>
            <color theme="1"/>
            <rFont val="Aptos Narrow"/>
            <family val="2"/>
            <scheme val="minor"/>
          </rPr>
          <t>Tran Dat:
16.290.000</t>
        </r>
      </text>
    </comment>
    <comment ref="B19" authorId="0" shapeId="0" xr:uid="{00000000-0006-0000-1D00-000042000000}">
      <text>
        <r>
          <rPr>
            <sz val="12"/>
            <color theme="1"/>
            <rFont val="Aptos Narrow"/>
            <family val="2"/>
            <scheme val="minor"/>
          </rPr>
          <t>was 22490000
VNP200</t>
        </r>
      </text>
    </comment>
    <comment ref="C19" authorId="0" shapeId="0" xr:uid="{00000000-0006-0000-1D00-000043000000}">
      <text>
        <r>
          <rPr>
            <sz val="12"/>
            <color theme="1"/>
            <rFont val="Aptos Narrow"/>
            <family val="2"/>
            <scheme val="minor"/>
          </rPr>
          <t>W5 22.490</t>
        </r>
      </text>
    </comment>
    <comment ref="E19" authorId="1" shapeId="0" xr:uid="{00000000-0006-0000-1D00-000044000000}">
      <text>
        <r>
          <rPr>
            <sz val="12"/>
            <color theme="1"/>
            <rFont val="Aptos Narrow"/>
            <family val="2"/>
            <scheme val="minor"/>
          </rPr>
          <t>Last week is: 21275K
Voucher giảm 10% tối đa 300K VNPAY</t>
        </r>
      </text>
    </comment>
    <comment ref="G19" authorId="3" shapeId="0" xr:uid="{00000000-0006-0000-1D00-000045000000}">
      <text>
        <r>
          <rPr>
            <sz val="12"/>
            <color theme="1"/>
            <rFont val="Aptos Narrow"/>
            <family val="2"/>
            <scheme val="minor"/>
          </rPr>
          <t>Tran Dat:
21.790</t>
        </r>
      </text>
    </comment>
    <comment ref="B20" authorId="0" shapeId="0" xr:uid="{00000000-0006-0000-1D00-000046000000}">
      <text>
        <r>
          <rPr>
            <sz val="12"/>
            <color theme="1"/>
            <rFont val="Aptos Narrow"/>
            <family val="2"/>
            <scheme val="minor"/>
          </rPr>
          <t>was 27790000
VNP200</t>
        </r>
      </text>
    </comment>
    <comment ref="C20" authorId="0" shapeId="0" xr:uid="{00000000-0006-0000-1D00-000047000000}">
      <text>
        <r>
          <rPr>
            <sz val="12"/>
            <color theme="1"/>
            <rFont val="Aptos Narrow"/>
            <family val="2"/>
            <scheme val="minor"/>
          </rPr>
          <t>W5 27.790</t>
        </r>
      </text>
    </comment>
    <comment ref="D20" authorId="4" shapeId="0" xr:uid="{00000000-0006-0000-1D00-000048000000}">
      <text>
        <r>
          <rPr>
            <sz val="12"/>
            <color theme="1"/>
            <rFont val="Aptos Narrow"/>
            <family val="2"/>
            <scheme val="minor"/>
          </rPr>
          <t>Việt Hoàng:
Last week:
27.690.000</t>
        </r>
      </text>
    </comment>
    <comment ref="B21" authorId="0" shapeId="0" xr:uid="{00000000-0006-0000-1D00-000049000000}">
      <text>
        <r>
          <rPr>
            <sz val="12"/>
            <color theme="1"/>
            <rFont val="Aptos Narrow"/>
            <family val="2"/>
            <scheme val="minor"/>
          </rPr>
          <t>was 37290000
VNP200</t>
        </r>
      </text>
    </comment>
    <comment ref="C21" authorId="0" shapeId="0" xr:uid="{00000000-0006-0000-1D00-00004A000000}">
      <text>
        <r>
          <rPr>
            <sz val="12"/>
            <color theme="1"/>
            <rFont val="Aptos Narrow"/>
            <family val="2"/>
            <scheme val="minor"/>
          </rPr>
          <t>W5 37.290</t>
        </r>
      </text>
    </comment>
    <comment ref="B22" authorId="0" shapeId="0" xr:uid="{00000000-0006-0000-1D00-00004B000000}">
      <text>
        <r>
          <rPr>
            <sz val="12"/>
            <color theme="1"/>
            <rFont val="Aptos Narrow"/>
            <family val="2"/>
            <scheme val="minor"/>
          </rPr>
          <t>was 5990000
VNP50</t>
        </r>
      </text>
    </comment>
    <comment ref="C22" authorId="0" shapeId="0" xr:uid="{00000000-0006-0000-1D00-00004C000000}">
      <text>
        <r>
          <rPr>
            <sz val="12"/>
            <color theme="1"/>
            <rFont val="Aptos Narrow"/>
            <family val="2"/>
            <scheme val="minor"/>
          </rPr>
          <t>W5 5.990</t>
        </r>
      </text>
    </comment>
    <comment ref="D22" authorId="4" shapeId="0" xr:uid="{00000000-0006-0000-1D00-00004D000000}">
      <text>
        <r>
          <rPr>
            <sz val="12"/>
            <color theme="1"/>
            <rFont val="Aptos Narrow"/>
            <family val="2"/>
            <scheme val="minor"/>
          </rPr>
          <t>Việt Hoàng:
Last week:
5.790.000</t>
        </r>
      </text>
    </comment>
    <comment ref="B23" authorId="0" shapeId="0" xr:uid="{00000000-0006-0000-1D00-00004E000000}">
      <text>
        <r>
          <rPr>
            <sz val="12"/>
            <color theme="1"/>
            <rFont val="Aptos Narrow"/>
            <family val="2"/>
            <scheme val="minor"/>
          </rPr>
          <t>was 7490000
VNP100</t>
        </r>
      </text>
    </comment>
    <comment ref="D23" authorId="4" shapeId="0" xr:uid="{00000000-0006-0000-1D00-00004F000000}">
      <text>
        <r>
          <rPr>
            <sz val="12"/>
            <color theme="1"/>
            <rFont val="Aptos Narrow"/>
            <family val="2"/>
            <scheme val="minor"/>
          </rPr>
          <t>Việt Hoàng:
Last week:
7.090.000</t>
        </r>
      </text>
    </comment>
    <comment ref="B24" authorId="0" shapeId="0" xr:uid="{00000000-0006-0000-1D00-000050000000}">
      <text>
        <r>
          <rPr>
            <sz val="12"/>
            <color theme="1"/>
            <rFont val="Aptos Narrow"/>
            <family val="2"/>
            <scheme val="minor"/>
          </rPr>
          <t>was 6990000
VNP50</t>
        </r>
      </text>
    </comment>
    <comment ref="C24" authorId="0" shapeId="0" xr:uid="{00000000-0006-0000-1D00-000051000000}">
      <text>
        <r>
          <rPr>
            <sz val="12"/>
            <color theme="1"/>
            <rFont val="Aptos Narrow"/>
            <family val="2"/>
            <scheme val="minor"/>
          </rPr>
          <t>W5 6.990</t>
        </r>
      </text>
    </comment>
    <comment ref="D24" authorId="4" shapeId="0" xr:uid="{00000000-0006-0000-1D00-000052000000}">
      <text>
        <r>
          <rPr>
            <sz val="12"/>
            <color theme="1"/>
            <rFont val="Aptos Narrow"/>
            <family val="2"/>
            <scheme val="minor"/>
          </rPr>
          <t>Việt Hoàng:
Last week:
6.590.000</t>
        </r>
      </text>
    </comment>
    <comment ref="B25" authorId="0" shapeId="0" xr:uid="{00000000-0006-0000-1D00-000053000000}">
      <text>
        <r>
          <rPr>
            <sz val="12"/>
            <color theme="1"/>
            <rFont val="Aptos Narrow"/>
            <family val="2"/>
            <scheme val="minor"/>
          </rPr>
          <t>was 7990000
VNP50</t>
        </r>
      </text>
    </comment>
    <comment ref="D25" authorId="4" shapeId="0" xr:uid="{00000000-0006-0000-1D00-000054000000}">
      <text>
        <r>
          <rPr>
            <sz val="12"/>
            <color theme="1"/>
            <rFont val="Aptos Narrow"/>
            <family val="2"/>
            <scheme val="minor"/>
          </rPr>
          <t>Việt Hoàng:
Last week:
7.890.000</t>
        </r>
      </text>
    </comment>
    <comment ref="G25" authorId="3" shapeId="0" xr:uid="{00000000-0006-0000-1D00-000055000000}">
      <text>
        <r>
          <rPr>
            <sz val="12"/>
            <color theme="1"/>
            <rFont val="Aptos Narrow"/>
            <family val="2"/>
            <scheme val="minor"/>
          </rPr>
          <t>Tran Dat:
8.090.000</t>
        </r>
      </text>
    </comment>
    <comment ref="B26" authorId="0" shapeId="0" xr:uid="{00000000-0006-0000-1D00-000056000000}">
      <text>
        <r>
          <rPr>
            <sz val="12"/>
            <color theme="1"/>
            <rFont val="Aptos Narrow"/>
            <family val="2"/>
            <scheme val="minor"/>
          </rPr>
          <t>was 10990000
VNP100</t>
        </r>
      </text>
    </comment>
    <comment ref="C26" authorId="0" shapeId="0" xr:uid="{00000000-0006-0000-1D00-000057000000}">
      <text>
        <r>
          <rPr>
            <sz val="12"/>
            <color theme="1"/>
            <rFont val="Aptos Narrow"/>
            <family val="2"/>
            <scheme val="minor"/>
          </rPr>
          <t>W5 10.990</t>
        </r>
      </text>
    </comment>
    <comment ref="E26" authorId="1" shapeId="0" xr:uid="{00000000-0006-0000-1D00-000058000000}">
      <text>
        <r>
          <rPr>
            <sz val="12"/>
            <color theme="1"/>
            <rFont val="Aptos Narrow"/>
            <family val="2"/>
            <scheme val="minor"/>
          </rPr>
          <t xml:space="preserve">Giảm 500K cho khách Pre-oder
</t>
        </r>
      </text>
    </comment>
    <comment ref="B27" authorId="0" shapeId="0" xr:uid="{00000000-0006-0000-1D00-000059000000}">
      <text>
        <r>
          <rPr>
            <sz val="12"/>
            <color theme="1"/>
            <rFont val="Aptos Narrow"/>
            <family val="2"/>
            <scheme val="minor"/>
          </rPr>
          <t>was 13590000
VNP100</t>
        </r>
      </text>
    </comment>
    <comment ref="E27" authorId="1" shapeId="0" xr:uid="{00000000-0006-0000-1D00-00005A000000}">
      <text>
        <r>
          <rPr>
            <sz val="12"/>
            <color theme="1"/>
            <rFont val="Aptos Narrow"/>
            <family val="2"/>
            <scheme val="minor"/>
          </rPr>
          <t>Last week is: 13.590K</t>
        </r>
      </text>
    </comment>
    <comment ref="B28" authorId="0" shapeId="0" xr:uid="{00000000-0006-0000-1D00-00005B000000}">
      <text>
        <r>
          <rPr>
            <sz val="12"/>
            <color theme="1"/>
            <rFont val="Aptos Narrow"/>
            <family val="2"/>
            <scheme val="minor"/>
          </rPr>
          <t>was 11790000
VNP100</t>
        </r>
      </text>
    </comment>
    <comment ref="C28" authorId="0" shapeId="0" xr:uid="{00000000-0006-0000-1D00-00005C000000}">
      <text>
        <r>
          <rPr>
            <sz val="12"/>
            <color theme="1"/>
            <rFont val="Aptos Narrow"/>
            <family val="2"/>
            <scheme val="minor"/>
          </rPr>
          <t>W5 11.790</t>
        </r>
      </text>
    </comment>
    <comment ref="E28" authorId="1" shapeId="0" xr:uid="{00000000-0006-0000-1D00-00005D000000}">
      <text>
        <r>
          <rPr>
            <sz val="12"/>
            <color theme="1"/>
            <rFont val="Aptos Narrow"/>
            <family val="2"/>
            <scheme val="minor"/>
          </rPr>
          <t>Last week is: 11.790K</t>
        </r>
      </text>
    </comment>
    <comment ref="F28" authorId="5" shapeId="0" xr:uid="{00000000-0006-0000-1D00-00005E000000}">
      <text>
        <r>
          <rPr>
            <sz val="12"/>
            <color theme="1"/>
            <rFont val="Aptos Narrow"/>
            <family val="2"/>
            <scheme val="minor"/>
          </rPr>
          <t>chit trang:
11. 790.000</t>
        </r>
      </text>
    </comment>
    <comment ref="B29" authorId="0" shapeId="0" xr:uid="{00000000-0006-0000-1D00-00005F000000}">
      <text>
        <r>
          <rPr>
            <sz val="12"/>
            <color theme="1"/>
            <rFont val="Aptos Narrow"/>
            <family val="2"/>
            <scheme val="minor"/>
          </rPr>
          <t>was 14390000
VNP100</t>
        </r>
      </text>
    </comment>
    <comment ref="E29" authorId="1" shapeId="0" xr:uid="{00000000-0006-0000-1D00-000060000000}">
      <text>
        <r>
          <rPr>
            <sz val="12"/>
            <color theme="1"/>
            <rFont val="Aptos Narrow"/>
            <family val="2"/>
            <scheme val="minor"/>
          </rPr>
          <t>Last week is: 14.390K</t>
        </r>
      </text>
    </comment>
    <comment ref="B31" authorId="0" shapeId="0" xr:uid="{00000000-0006-0000-1D00-000061000000}">
      <text>
        <r>
          <rPr>
            <sz val="12"/>
            <color theme="1"/>
            <rFont val="Aptos Narrow"/>
            <family val="2"/>
            <scheme val="minor"/>
          </rPr>
          <t>was 5790000
VNP50</t>
        </r>
      </text>
    </comment>
    <comment ref="C31" authorId="0" shapeId="0" xr:uid="{00000000-0006-0000-1D00-000062000000}">
      <text>
        <r>
          <rPr>
            <sz val="12"/>
            <color theme="1"/>
            <rFont val="Aptos Narrow"/>
            <family val="2"/>
            <scheme val="minor"/>
          </rPr>
          <t>W5 5.790</t>
        </r>
      </text>
    </comment>
    <comment ref="E31" authorId="1" shapeId="0" xr:uid="{00000000-0006-0000-1D00-000063000000}">
      <text>
        <r>
          <rPr>
            <sz val="12"/>
            <color theme="1"/>
            <rFont val="Aptos Narrow"/>
            <family val="2"/>
            <scheme val="minor"/>
          </rPr>
          <t xml:space="preserve">Last week was: 5.490K
</t>
        </r>
      </text>
    </comment>
    <comment ref="B32" authorId="0" shapeId="0" xr:uid="{00000000-0006-0000-1D00-000064000000}">
      <text>
        <r>
          <rPr>
            <sz val="12"/>
            <color theme="1"/>
            <rFont val="Aptos Narrow"/>
            <family val="2"/>
            <scheme val="minor"/>
          </rPr>
          <t xml:space="preserve">was 4790000
VNP50
</t>
        </r>
      </text>
    </comment>
    <comment ref="E32" authorId="1" shapeId="0" xr:uid="{00000000-0006-0000-1D00-000065000000}">
      <text>
        <r>
          <rPr>
            <sz val="12"/>
            <color theme="1"/>
            <rFont val="Aptos Narrow"/>
            <family val="2"/>
            <scheme val="minor"/>
          </rPr>
          <t>Last week was: 4.790K
Voucher giảm 1% tối đa 300K VNPAY</t>
        </r>
      </text>
    </comment>
    <comment ref="G32" authorId="3" shapeId="0" xr:uid="{00000000-0006-0000-1D00-000066000000}">
      <text>
        <r>
          <rPr>
            <sz val="12"/>
            <color theme="1"/>
            <rFont val="Aptos Narrow"/>
            <family val="2"/>
            <scheme val="minor"/>
          </rPr>
          <t xml:space="preserve">Tran Dat:
4.790.000
</t>
        </r>
      </text>
    </comment>
    <comment ref="E33" authorId="0" shapeId="0" xr:uid="{00000000-0006-0000-1D00-000067000000}">
      <text>
        <r>
          <rPr>
            <sz val="12"/>
            <color theme="1"/>
            <rFont val="Aptos Narrow"/>
            <family val="2"/>
            <scheme val="minor"/>
          </rPr>
          <t>was 3490000</t>
        </r>
      </text>
    </comment>
    <comment ref="B34" authorId="0" shapeId="0" xr:uid="{00000000-0006-0000-1D00-000068000000}">
      <text>
        <r>
          <rPr>
            <sz val="12"/>
            <color theme="1"/>
            <rFont val="Aptos Narrow"/>
            <family val="2"/>
            <scheme val="minor"/>
          </rPr>
          <t>was 4090000
VNP50</t>
        </r>
      </text>
    </comment>
    <comment ref="C34" authorId="0" shapeId="0" xr:uid="{00000000-0006-0000-1D00-000069000000}">
      <text>
        <r>
          <rPr>
            <sz val="12"/>
            <color theme="1"/>
            <rFont val="Aptos Narrow"/>
            <family val="2"/>
            <scheme val="minor"/>
          </rPr>
          <t xml:space="preserve">W5 4.090
</t>
        </r>
      </text>
    </comment>
    <comment ref="E35" authorId="1" shapeId="0" xr:uid="{00000000-0006-0000-1D00-00006A000000}">
      <text>
        <r>
          <rPr>
            <sz val="12"/>
            <color theme="1"/>
            <rFont val="Aptos Narrow"/>
            <family val="2"/>
            <scheme val="minor"/>
          </rPr>
          <t>Last week is: 2.690K</t>
        </r>
      </text>
    </comment>
    <comment ref="B36" authorId="0" shapeId="0" xr:uid="{00000000-0006-0000-1D00-00006B000000}">
      <text>
        <r>
          <rPr>
            <sz val="12"/>
            <color theme="1"/>
            <rFont val="Aptos Narrow"/>
            <family val="2"/>
            <scheme val="minor"/>
          </rPr>
          <t xml:space="preserve">was 18990000
VNP200
</t>
        </r>
      </text>
    </comment>
    <comment ref="C36" authorId="0" shapeId="0" xr:uid="{00000000-0006-0000-1D00-00006C000000}">
      <text>
        <r>
          <rPr>
            <sz val="12"/>
            <color theme="1"/>
            <rFont val="Aptos Narrow"/>
            <family val="2"/>
            <scheme val="minor"/>
          </rPr>
          <t>W5 18.990</t>
        </r>
      </text>
    </comment>
    <comment ref="D36" authorId="4" shapeId="0" xr:uid="{00000000-0006-0000-1D00-00006D000000}">
      <text>
        <r>
          <rPr>
            <sz val="12"/>
            <color theme="1"/>
            <rFont val="Aptos Narrow"/>
            <family val="2"/>
            <scheme val="minor"/>
          </rPr>
          <t>Việt Hoàng:
Last week:
18.490.000</t>
        </r>
      </text>
    </comment>
    <comment ref="F36" authorId="5" shapeId="0" xr:uid="{00000000-0006-0000-1D00-00006E000000}">
      <text>
        <r>
          <rPr>
            <sz val="12"/>
            <color theme="1"/>
            <rFont val="Aptos Narrow"/>
            <family val="2"/>
            <scheme val="minor"/>
          </rPr>
          <t>chit trang:
18.390.000</t>
        </r>
      </text>
    </comment>
    <comment ref="B37" authorId="0" shapeId="0" xr:uid="{00000000-0006-0000-1D00-00006F000000}">
      <text>
        <r>
          <rPr>
            <sz val="12"/>
            <color theme="1"/>
            <rFont val="Aptos Narrow"/>
            <family val="2"/>
            <scheme val="minor"/>
          </rPr>
          <t>was 24490000</t>
        </r>
      </text>
    </comment>
    <comment ref="D37" authorId="4" shapeId="0" xr:uid="{00000000-0006-0000-1D00-000070000000}">
      <text>
        <r>
          <rPr>
            <sz val="12"/>
            <color theme="1"/>
            <rFont val="Aptos Narrow"/>
            <family val="2"/>
            <scheme val="minor"/>
          </rPr>
          <t>Việt Hoàng:
Last week:
23.990.000</t>
        </r>
      </text>
    </comment>
    <comment ref="F37" authorId="5" shapeId="0" xr:uid="{00000000-0006-0000-1D00-000071000000}">
      <text>
        <r>
          <rPr>
            <sz val="12"/>
            <color theme="1"/>
            <rFont val="Aptos Narrow"/>
            <family val="2"/>
            <scheme val="minor"/>
          </rPr>
          <t>chit trang:
22.990.000</t>
        </r>
      </text>
    </comment>
    <comment ref="G37" authorId="3" shapeId="0" xr:uid="{00000000-0006-0000-1D00-000072000000}">
      <text>
        <r>
          <rPr>
            <sz val="12"/>
            <color theme="1"/>
            <rFont val="Aptos Narrow"/>
            <family val="2"/>
            <scheme val="minor"/>
          </rPr>
          <t>Tran Dat:
22.990.000</t>
        </r>
      </text>
    </comment>
    <comment ref="B38" authorId="0" shapeId="0" xr:uid="{00000000-0006-0000-1D00-000073000000}">
      <text>
        <r>
          <rPr>
            <sz val="12"/>
            <color theme="1"/>
            <rFont val="Aptos Narrow"/>
            <family val="2"/>
            <scheme val="minor"/>
          </rPr>
          <t>was 27490000
VNP200</t>
        </r>
      </text>
    </comment>
    <comment ref="C38" authorId="0" shapeId="0" xr:uid="{00000000-0006-0000-1D00-000074000000}">
      <text>
        <r>
          <rPr>
            <sz val="12"/>
            <color theme="1"/>
            <rFont val="Aptos Narrow"/>
            <family val="2"/>
            <scheme val="minor"/>
          </rPr>
          <t>W5 27.490</t>
        </r>
      </text>
    </comment>
    <comment ref="D38" authorId="4" shapeId="0" xr:uid="{00000000-0006-0000-1D00-000075000000}">
      <text>
        <r>
          <rPr>
            <sz val="12"/>
            <color theme="1"/>
            <rFont val="Aptos Narrow"/>
            <family val="2"/>
            <scheme val="minor"/>
          </rPr>
          <t>Việt Hoàng:
Last week:
26.990.000</t>
        </r>
      </text>
    </comment>
    <comment ref="B39" authorId="0" shapeId="0" xr:uid="{00000000-0006-0000-1D00-000076000000}">
      <text>
        <r>
          <rPr>
            <sz val="12"/>
            <color theme="1"/>
            <rFont val="Aptos Narrow"/>
            <family val="2"/>
            <scheme val="minor"/>
          </rPr>
          <t>was 31990000</t>
        </r>
      </text>
    </comment>
    <comment ref="D39" authorId="4" shapeId="0" xr:uid="{00000000-0006-0000-1D00-000077000000}">
      <text>
        <r>
          <rPr>
            <sz val="12"/>
            <color theme="1"/>
            <rFont val="Aptos Narrow"/>
            <family val="2"/>
            <scheme val="minor"/>
          </rPr>
          <t>Việt Hoàng:
Last week:
31.290.000</t>
        </r>
      </text>
    </comment>
    <comment ref="F39" authorId="5" shapeId="0" xr:uid="{00000000-0006-0000-1D00-000078000000}">
      <text>
        <r>
          <rPr>
            <sz val="12"/>
            <color theme="1"/>
            <rFont val="Aptos Narrow"/>
            <family val="2"/>
            <scheme val="minor"/>
          </rPr>
          <t>chit trang:
31.190.000</t>
        </r>
      </text>
    </comment>
    <comment ref="G39" authorId="3" shapeId="0" xr:uid="{00000000-0006-0000-1D00-000079000000}">
      <text>
        <r>
          <rPr>
            <sz val="12"/>
            <color theme="1"/>
            <rFont val="Aptos Narrow"/>
            <family val="2"/>
            <scheme val="minor"/>
          </rPr>
          <t xml:space="preserve">Tran Dat:
31.590.000
</t>
        </r>
      </text>
    </comment>
    <comment ref="B40" authorId="0" shapeId="0" xr:uid="{00000000-0006-0000-1D00-00007A000000}">
      <text>
        <r>
          <rPr>
            <sz val="12"/>
            <color theme="1"/>
            <rFont val="Aptos Narrow"/>
            <family val="2"/>
            <scheme val="minor"/>
          </rPr>
          <t>was 38990000
VNP200</t>
        </r>
      </text>
    </comment>
    <comment ref="C40" authorId="0" shapeId="0" xr:uid="{00000000-0006-0000-1D00-00007B000000}">
      <text>
        <r>
          <rPr>
            <sz val="12"/>
            <color theme="1"/>
            <rFont val="Aptos Narrow"/>
            <family val="2"/>
            <scheme val="minor"/>
          </rPr>
          <t>W5 38.990</t>
        </r>
      </text>
    </comment>
    <comment ref="D40" authorId="4" shapeId="0" xr:uid="{00000000-0006-0000-1D00-00007C000000}">
      <text>
        <r>
          <rPr>
            <sz val="12"/>
            <color theme="1"/>
            <rFont val="Aptos Narrow"/>
            <family val="2"/>
            <scheme val="minor"/>
          </rPr>
          <t>Việt Hoàng:
Last week:
38.190.000</t>
        </r>
      </text>
    </comment>
  </commentList>
</comments>
</file>

<file path=xl/comments31.xml><?xml version="1.0" encoding="utf-8"?>
<comments xmlns="http://schemas.openxmlformats.org/spreadsheetml/2006/main" xmlns:mc="http://schemas.openxmlformats.org/markup-compatibility/2006" xmlns:xr="http://schemas.microsoft.com/office/spreadsheetml/2014/revision" mc:Ignorable="xr">
  <authors>
    <author>Sheva Son</author>
    <author>Người dùng Khách</author>
    <author>Tran Dat</author>
    <author>Microsoft Office User</author>
    <author>Việt Hoàng</author>
    <author>chit trang</author>
  </authors>
  <commentList>
    <comment ref="E2" authorId="0" shapeId="0" xr:uid="{00000000-0006-0000-1E00-000001000000}">
      <text>
        <r>
          <rPr>
            <sz val="12"/>
            <color theme="1"/>
            <rFont val="Aptos Narrow"/>
            <family val="2"/>
            <scheme val="minor"/>
          </rPr>
          <t>Last week is: 21.690K
Giảm 500K (đã trừ vào giá, ko kèm CTKM đổi điểm VT++).
Đổi điểm Viettel++ lên tới 6000K</t>
        </r>
      </text>
    </comment>
    <comment ref="F2" authorId="1" shapeId="0" xr:uid="{00000000-0006-0000-1E00-000002000000}">
      <text>
        <r>
          <rPr>
            <sz val="12"/>
            <color theme="1"/>
            <rFont val="Aptos Narrow"/>
            <family val="2"/>
            <scheme val="minor"/>
          </rPr>
          <t>Người dùng Không xác định:
21.690.000</t>
        </r>
      </text>
    </comment>
    <comment ref="G2" authorId="2" shapeId="0" xr:uid="{00000000-0006-0000-1E00-000003000000}">
      <text>
        <r>
          <rPr>
            <sz val="12"/>
            <color theme="1"/>
            <rFont val="Aptos Narrow"/>
            <family val="2"/>
            <scheme val="minor"/>
          </rPr>
          <t xml:space="preserve">Tran Dat:
21.790.000
</t>
        </r>
      </text>
    </comment>
    <comment ref="B3" authorId="3" shapeId="0" xr:uid="{00000000-0006-0000-1E00-000004000000}">
      <text>
        <r>
          <rPr>
            <sz val="12"/>
            <color theme="1"/>
            <rFont val="Aptos Narrow"/>
            <family val="2"/>
            <scheme val="minor"/>
          </rPr>
          <t>was 25790000
VNp200</t>
        </r>
      </text>
    </comment>
    <comment ref="C3" authorId="3" shapeId="0" xr:uid="{00000000-0006-0000-1E00-000005000000}">
      <text>
        <r>
          <rPr>
            <sz val="12"/>
            <color theme="1"/>
            <rFont val="Aptos Narrow"/>
            <family val="2"/>
            <scheme val="minor"/>
          </rPr>
          <t>W6 25.790</t>
        </r>
      </text>
    </comment>
    <comment ref="D3" authorId="4" shapeId="0" xr:uid="{00000000-0006-0000-1E00-000006000000}">
      <text>
        <r>
          <rPr>
            <sz val="12"/>
            <color theme="1"/>
            <rFont val="Aptos Narrow"/>
            <family val="2"/>
            <scheme val="minor"/>
          </rPr>
          <t>Việt Hoàng:
Last week:
25.290.000</t>
        </r>
      </text>
    </comment>
    <comment ref="E3" authorId="0" shapeId="0" xr:uid="{00000000-0006-0000-1E00-000007000000}">
      <text>
        <r>
          <rPr>
            <sz val="12"/>
            <color theme="1"/>
            <rFont val="Aptos Narrow"/>
            <family val="2"/>
            <scheme val="minor"/>
          </rPr>
          <t xml:space="preserve">Last week is: 24.890K
Giảm 500K (đã trừ vào giá, ko kèm CTKM đổi điểm VT++).
Đổi điểm Viettel++ lên tới 6000K
</t>
        </r>
      </text>
    </comment>
    <comment ref="F3" authorId="5" shapeId="0" xr:uid="{00000000-0006-0000-1E00-000008000000}">
      <text>
        <r>
          <rPr>
            <sz val="12"/>
            <color theme="1"/>
            <rFont val="Aptos Narrow"/>
            <family val="2"/>
            <scheme val="minor"/>
          </rPr>
          <t>chit trang:
24.490.000</t>
        </r>
      </text>
    </comment>
    <comment ref="B4" authorId="3" shapeId="0" xr:uid="{00000000-0006-0000-1E00-000009000000}">
      <text>
        <r>
          <rPr>
            <sz val="12"/>
            <color theme="1"/>
            <rFont val="Aptos Narrow"/>
            <family val="2"/>
            <scheme val="minor"/>
          </rPr>
          <t>was 28790000
VNP200</t>
        </r>
      </text>
    </comment>
    <comment ref="C4" authorId="3" shapeId="0" xr:uid="{00000000-0006-0000-1E00-00000A000000}">
      <text>
        <r>
          <rPr>
            <sz val="12"/>
            <color theme="1"/>
            <rFont val="Aptos Narrow"/>
            <family val="2"/>
            <scheme val="minor"/>
          </rPr>
          <t>W6 28.790</t>
        </r>
      </text>
    </comment>
    <comment ref="D4" authorId="4" shapeId="0" xr:uid="{00000000-0006-0000-1E00-00000B000000}">
      <text>
        <r>
          <rPr>
            <sz val="12"/>
            <color theme="1"/>
            <rFont val="Aptos Narrow"/>
            <family val="2"/>
            <scheme val="minor"/>
          </rPr>
          <t>Việt Hoàng:
Last week was:
28.490.000</t>
        </r>
      </text>
    </comment>
    <comment ref="E4" authorId="3" shapeId="0" xr:uid="{00000000-0006-0000-1E00-00000C000000}">
      <text>
        <r>
          <rPr>
            <sz val="12"/>
            <color theme="1"/>
            <rFont val="Aptos Narrow"/>
            <family val="2"/>
            <scheme val="minor"/>
          </rPr>
          <t>was 28490
VNP300</t>
        </r>
      </text>
    </comment>
    <comment ref="F4" authorId="5" shapeId="0" xr:uid="{00000000-0006-0000-1E00-00000D000000}">
      <text>
        <r>
          <rPr>
            <sz val="12"/>
            <color theme="1"/>
            <rFont val="Aptos Narrow"/>
            <family val="2"/>
            <scheme val="minor"/>
          </rPr>
          <t>chit trang:
28.490.000</t>
        </r>
      </text>
    </comment>
    <comment ref="G4" authorId="2" shapeId="0" xr:uid="{00000000-0006-0000-1E00-00000E000000}">
      <text>
        <r>
          <rPr>
            <sz val="12"/>
            <color theme="1"/>
            <rFont val="Aptos Narrow"/>
            <family val="2"/>
            <scheme val="minor"/>
          </rPr>
          <t xml:space="preserve">Tran Dat:
28.590.000
</t>
        </r>
      </text>
    </comment>
    <comment ref="B5" authorId="3" shapeId="0" xr:uid="{00000000-0006-0000-1E00-00000F000000}">
      <text>
        <r>
          <rPr>
            <sz val="12"/>
            <color theme="1"/>
            <rFont val="Aptos Narrow"/>
            <family val="2"/>
            <scheme val="minor"/>
          </rPr>
          <t>was 34790
VNP200</t>
        </r>
      </text>
    </comment>
    <comment ref="C5" authorId="3" shapeId="0" xr:uid="{00000000-0006-0000-1E00-000010000000}">
      <text>
        <r>
          <rPr>
            <sz val="12"/>
            <color theme="1"/>
            <rFont val="Aptos Narrow"/>
            <family val="2"/>
            <scheme val="minor"/>
          </rPr>
          <t xml:space="preserve">W6 34.790
</t>
        </r>
      </text>
    </comment>
    <comment ref="D5" authorId="4" shapeId="0" xr:uid="{00000000-0006-0000-1E00-000011000000}">
      <text>
        <r>
          <rPr>
            <sz val="12"/>
            <color theme="1"/>
            <rFont val="Aptos Narrow"/>
            <family val="2"/>
            <scheme val="minor"/>
          </rPr>
          <t>Việt Hoàng:
Last week:
34.290.000</t>
        </r>
      </text>
    </comment>
    <comment ref="E5" authorId="0" shapeId="0" xr:uid="{00000000-0006-0000-1E00-000012000000}">
      <text>
        <r>
          <rPr>
            <sz val="12"/>
            <color theme="1"/>
            <rFont val="Aptos Narrow"/>
            <family val="2"/>
            <scheme val="minor"/>
          </rPr>
          <t xml:space="preserve">Last week is: 33.490K
Đổi điểm Viettel++ lên tới 6000K
Voucher VNPAY giảm 1% tối đa 300.000 cho đơn hàng có giá trị từ 3.000.000đ </t>
        </r>
      </text>
    </comment>
    <comment ref="F5" authorId="5" shapeId="0" xr:uid="{00000000-0006-0000-1E00-000013000000}">
      <text>
        <r>
          <rPr>
            <sz val="12"/>
            <color theme="1"/>
            <rFont val="Aptos Narrow"/>
            <family val="2"/>
            <scheme val="minor"/>
          </rPr>
          <t>chit trang:
34.090.000</t>
        </r>
      </text>
    </comment>
    <comment ref="G5" authorId="2" shapeId="0" xr:uid="{00000000-0006-0000-1E00-000014000000}">
      <text>
        <r>
          <rPr>
            <sz val="12"/>
            <color theme="1"/>
            <rFont val="Aptos Narrow"/>
            <family val="2"/>
            <scheme val="minor"/>
          </rPr>
          <t>Tran Dat:
34.390.000</t>
        </r>
      </text>
    </comment>
    <comment ref="E6" authorId="0" shapeId="0" xr:uid="{00000000-0006-0000-1E00-000015000000}">
      <text>
        <r>
          <rPr>
            <sz val="12"/>
            <color theme="1"/>
            <rFont val="Aptos Narrow"/>
            <family val="2"/>
            <scheme val="minor"/>
          </rPr>
          <t xml:space="preserve">Last week is: 19.190K
Giảm ngay 200,000đ cho khách hàng mua gói cước 3V200B </t>
        </r>
      </text>
    </comment>
    <comment ref="G6" authorId="2" shapeId="0" xr:uid="{00000000-0006-0000-1E00-000016000000}">
      <text>
        <r>
          <rPr>
            <sz val="12"/>
            <color theme="1"/>
            <rFont val="Aptos Narrow"/>
            <family val="2"/>
            <scheme val="minor"/>
          </rPr>
          <t>Tran Dat:
19.290.000</t>
        </r>
      </text>
    </comment>
    <comment ref="E7" authorId="0" shapeId="0" xr:uid="{00000000-0006-0000-1E00-000017000000}">
      <text>
        <r>
          <rPr>
            <sz val="12"/>
            <color theme="1"/>
            <rFont val="Aptos Narrow"/>
            <family val="2"/>
            <scheme val="minor"/>
          </rPr>
          <t xml:space="preserve">Last week is: 21.990K
Giảm ngay 200,000đ cho khách hàng mua gói cước 3V200B </t>
        </r>
      </text>
    </comment>
    <comment ref="G7" authorId="2" shapeId="0" xr:uid="{00000000-0006-0000-1E00-000018000000}">
      <text>
        <r>
          <rPr>
            <sz val="12"/>
            <color theme="1"/>
            <rFont val="Aptos Narrow"/>
            <family val="2"/>
            <scheme val="minor"/>
          </rPr>
          <t>Tran Dat:
22.690.000</t>
        </r>
      </text>
    </comment>
    <comment ref="E9" authorId="0" shapeId="0" xr:uid="{00000000-0006-0000-1E00-000019000000}">
      <text>
        <r>
          <rPr>
            <sz val="12"/>
            <color theme="1"/>
            <rFont val="Aptos Narrow"/>
            <family val="2"/>
            <scheme val="minor"/>
          </rPr>
          <t xml:space="preserve">Last week was: 28.490.000
</t>
        </r>
      </text>
    </comment>
    <comment ref="G9" authorId="2" shapeId="0" xr:uid="{00000000-0006-0000-1E00-00001A000000}">
      <text>
        <r>
          <rPr>
            <sz val="12"/>
            <color theme="1"/>
            <rFont val="Aptos Narrow"/>
            <family val="2"/>
            <scheme val="minor"/>
          </rPr>
          <t>Tran Dat:
28.690.000</t>
        </r>
      </text>
    </comment>
    <comment ref="E10" authorId="0" shapeId="0" xr:uid="{00000000-0006-0000-1E00-00001B000000}">
      <text>
        <r>
          <rPr>
            <sz val="12"/>
            <color theme="1"/>
            <rFont val="Aptos Narrow"/>
            <family val="2"/>
            <scheme val="minor"/>
          </rPr>
          <t xml:space="preserve">Chỉ còn màu Purple, Blue, White số lượng ít
</t>
        </r>
      </text>
    </comment>
    <comment ref="G10" authorId="2" shapeId="0" xr:uid="{00000000-0006-0000-1E00-00001C000000}">
      <text>
        <r>
          <rPr>
            <sz val="12"/>
            <color theme="1"/>
            <rFont val="Aptos Narrow"/>
            <family val="2"/>
            <scheme val="minor"/>
          </rPr>
          <t>Tran Dat:
19.090.000</t>
        </r>
      </text>
    </comment>
    <comment ref="B11" authorId="3" shapeId="0" xr:uid="{00000000-0006-0000-1E00-00001D000000}">
      <text>
        <r>
          <rPr>
            <sz val="12"/>
            <color theme="1"/>
            <rFont val="Aptos Narrow"/>
            <family val="2"/>
            <scheme val="minor"/>
          </rPr>
          <t>was 17390000
VNP200</t>
        </r>
      </text>
    </comment>
    <comment ref="C11" authorId="3" shapeId="0" xr:uid="{00000000-0006-0000-1E00-00001E000000}">
      <text>
        <r>
          <rPr>
            <sz val="12"/>
            <color theme="1"/>
            <rFont val="Aptos Narrow"/>
            <family val="2"/>
            <scheme val="minor"/>
          </rPr>
          <t>W6 17.390</t>
        </r>
      </text>
    </comment>
    <comment ref="D11" authorId="4" shapeId="0" xr:uid="{00000000-0006-0000-1E00-00001F000000}">
      <text>
        <r>
          <rPr>
            <sz val="12"/>
            <color theme="1"/>
            <rFont val="Aptos Narrow"/>
            <family val="2"/>
            <scheme val="minor"/>
          </rPr>
          <t>Việt Hoàng:
Last week was:
17.090.000</t>
        </r>
      </text>
    </comment>
    <comment ref="B12" authorId="3" shapeId="0" xr:uid="{00000000-0006-0000-1E00-000020000000}">
      <text>
        <r>
          <rPr>
            <sz val="12"/>
            <color theme="1"/>
            <rFont val="Aptos Narrow"/>
            <family val="2"/>
            <scheme val="minor"/>
          </rPr>
          <t>was 13990000
VNP100
Nhiều màu chênh nhau quá</t>
        </r>
      </text>
    </comment>
    <comment ref="C12" authorId="3" shapeId="0" xr:uid="{00000000-0006-0000-1E00-000021000000}">
      <text>
        <r>
          <rPr>
            <sz val="12"/>
            <color theme="1"/>
            <rFont val="Aptos Narrow"/>
            <family val="2"/>
            <scheme val="minor"/>
          </rPr>
          <t>W6 13.990</t>
        </r>
      </text>
    </comment>
    <comment ref="E12" authorId="0" shapeId="0" xr:uid="{00000000-0006-0000-1E00-000022000000}">
      <text>
        <r>
          <rPr>
            <sz val="12"/>
            <color theme="1"/>
            <rFont val="Aptos Narrow"/>
            <family val="2"/>
            <scheme val="minor"/>
          </rPr>
          <t>Giảm 300K cho màu Đen và Starlight</t>
        </r>
      </text>
    </comment>
    <comment ref="G12" authorId="2" shapeId="0" xr:uid="{00000000-0006-0000-1E00-000023000000}">
      <text>
        <r>
          <rPr>
            <sz val="12"/>
            <color theme="1"/>
            <rFont val="Aptos Narrow"/>
            <family val="2"/>
            <scheme val="minor"/>
          </rPr>
          <t>Tran Dat:
13.490.000</t>
        </r>
      </text>
    </comment>
    <comment ref="B13" authorId="3" shapeId="0" xr:uid="{00000000-0006-0000-1E00-000024000000}">
      <text>
        <r>
          <rPr>
            <sz val="12"/>
            <color theme="1"/>
            <rFont val="Aptos Narrow"/>
            <family val="2"/>
            <scheme val="minor"/>
          </rPr>
          <t>was 11990000
VNP100
Green: 11590000</t>
        </r>
      </text>
    </comment>
    <comment ref="C13" authorId="3" shapeId="0" xr:uid="{00000000-0006-0000-1E00-000025000000}">
      <text>
        <r>
          <rPr>
            <sz val="12"/>
            <color theme="1"/>
            <rFont val="Aptos Narrow"/>
            <family val="2"/>
            <scheme val="minor"/>
          </rPr>
          <t>W6 11.990</t>
        </r>
      </text>
    </comment>
    <comment ref="E14" authorId="0" shapeId="0" xr:uid="{00000000-0006-0000-1E00-000026000000}">
      <text>
        <r>
          <rPr>
            <sz val="12"/>
            <color theme="1"/>
            <rFont val="Aptos Narrow"/>
            <family val="2"/>
            <scheme val="minor"/>
          </rPr>
          <t xml:space="preserve">Giảm 200K khi mua Online (đã trừ vào giá)
Trợ giá 4G giảm 300K đã trừ vào giá
</t>
        </r>
      </text>
    </comment>
    <comment ref="F15" authorId="5" shapeId="0" xr:uid="{00000000-0006-0000-1E00-000027000000}">
      <text>
        <r>
          <rPr>
            <sz val="12"/>
            <color theme="1"/>
            <rFont val="Aptos Narrow"/>
            <family val="2"/>
            <scheme val="minor"/>
          </rPr>
          <t>chit trang:
11.990.000</t>
        </r>
      </text>
    </comment>
    <comment ref="G15" authorId="2" shapeId="0" xr:uid="{00000000-0006-0000-1E00-000028000000}">
      <text>
        <r>
          <rPr>
            <sz val="12"/>
            <color theme="1"/>
            <rFont val="Aptos Narrow"/>
            <family val="2"/>
            <scheme val="minor"/>
          </rPr>
          <t>Tran Dat:
12.650.000</t>
        </r>
      </text>
    </comment>
    <comment ref="D16" authorId="4" shapeId="0" xr:uid="{00000000-0006-0000-1E00-000029000000}">
      <text>
        <r>
          <rPr>
            <sz val="12"/>
            <color theme="1"/>
            <rFont val="Aptos Narrow"/>
            <family val="2"/>
            <scheme val="minor"/>
          </rPr>
          <t>Việt Hoàng:
Last week:
8.990.000</t>
        </r>
      </text>
    </comment>
    <comment ref="E16" authorId="0" shapeId="0" xr:uid="{00000000-0006-0000-1E00-00002A000000}">
      <text>
        <r>
          <rPr>
            <sz val="12"/>
            <color theme="1"/>
            <rFont val="Aptos Narrow"/>
            <family val="2"/>
            <scheme val="minor"/>
          </rPr>
          <t xml:space="preserve">Last week is: 9.690K
</t>
        </r>
      </text>
    </comment>
    <comment ref="G16" authorId="2" shapeId="0" xr:uid="{00000000-0006-0000-1E00-00002B000000}">
      <text>
        <r>
          <rPr>
            <sz val="12"/>
            <color theme="1"/>
            <rFont val="Aptos Narrow"/>
            <family val="2"/>
            <scheme val="minor"/>
          </rPr>
          <t xml:space="preserve">Tran Dat:
9.290.000
</t>
        </r>
      </text>
    </comment>
    <comment ref="E17" authorId="0" shapeId="0" xr:uid="{00000000-0006-0000-1E00-00002C000000}">
      <text>
        <r>
          <rPr>
            <sz val="12"/>
            <color theme="1"/>
            <rFont val="Aptos Narrow"/>
            <family val="2"/>
            <scheme val="minor"/>
          </rPr>
          <t>Giảm 10% tối đa 120K khi mở ví VNPAY</t>
        </r>
      </text>
    </comment>
    <comment ref="B18" authorId="3" shapeId="0" xr:uid="{00000000-0006-0000-1E00-00002D000000}">
      <text>
        <r>
          <rPr>
            <sz val="12"/>
            <color theme="1"/>
            <rFont val="Aptos Narrow"/>
            <family val="2"/>
            <scheme val="minor"/>
          </rPr>
          <t>was 16890000
VNP100</t>
        </r>
      </text>
    </comment>
    <comment ref="C18" authorId="3" shapeId="0" xr:uid="{00000000-0006-0000-1E00-00002E000000}">
      <text>
        <r>
          <rPr>
            <sz val="12"/>
            <color theme="1"/>
            <rFont val="Aptos Narrow"/>
            <family val="2"/>
            <scheme val="minor"/>
          </rPr>
          <t>W6 16.890</t>
        </r>
      </text>
    </comment>
    <comment ref="D18" authorId="4" shapeId="0" xr:uid="{00000000-0006-0000-1E00-00002F000000}">
      <text>
        <r>
          <rPr>
            <sz val="12"/>
            <color theme="1"/>
            <rFont val="Aptos Narrow"/>
            <family val="2"/>
            <scheme val="minor"/>
          </rPr>
          <t>Việt Hoàng:
Last week:
16.690.000</t>
        </r>
      </text>
    </comment>
    <comment ref="E18" authorId="0" shapeId="0" xr:uid="{00000000-0006-0000-1E00-000030000000}">
      <text>
        <r>
          <rPr>
            <sz val="12"/>
            <color theme="1"/>
            <rFont val="Aptos Narrow"/>
            <family val="2"/>
            <scheme val="minor"/>
          </rPr>
          <t>Last week is: 16226K
Voucher giảm 1% tối đa 300K VNPAY</t>
        </r>
      </text>
    </comment>
    <comment ref="F18" authorId="5" shapeId="0" xr:uid="{00000000-0006-0000-1E00-000031000000}">
      <text>
        <r>
          <rPr>
            <sz val="12"/>
            <color theme="1"/>
            <rFont val="Aptos Narrow"/>
            <family val="2"/>
            <scheme val="minor"/>
          </rPr>
          <t>chit trang:
16.590.000</t>
        </r>
      </text>
    </comment>
    <comment ref="G18" authorId="2" shapeId="0" xr:uid="{00000000-0006-0000-1E00-000032000000}">
      <text>
        <r>
          <rPr>
            <sz val="12"/>
            <color theme="1"/>
            <rFont val="Aptos Narrow"/>
            <family val="2"/>
            <scheme val="minor"/>
          </rPr>
          <t>Tran Dat:
15.990.000</t>
        </r>
      </text>
    </comment>
    <comment ref="B19" authorId="3" shapeId="0" xr:uid="{00000000-0006-0000-1E00-000033000000}">
      <text>
        <r>
          <rPr>
            <sz val="12"/>
            <color theme="1"/>
            <rFont val="Aptos Narrow"/>
            <family val="2"/>
            <scheme val="minor"/>
          </rPr>
          <t>was 22290000
VNP200</t>
        </r>
      </text>
    </comment>
    <comment ref="C19" authorId="3" shapeId="0" xr:uid="{00000000-0006-0000-1E00-000034000000}">
      <text>
        <r>
          <rPr>
            <sz val="12"/>
            <color theme="1"/>
            <rFont val="Aptos Narrow"/>
            <family val="2"/>
            <scheme val="minor"/>
          </rPr>
          <t>W6 22.290</t>
        </r>
      </text>
    </comment>
    <comment ref="D19" authorId="4" shapeId="0" xr:uid="{00000000-0006-0000-1E00-000035000000}">
      <text>
        <r>
          <rPr>
            <sz val="12"/>
            <color theme="1"/>
            <rFont val="Aptos Narrow"/>
            <family val="2"/>
            <scheme val="minor"/>
          </rPr>
          <t>Việt Hoàng:
Last week was:
21.990.000</t>
        </r>
      </text>
    </comment>
    <comment ref="E19" authorId="0" shapeId="0" xr:uid="{00000000-0006-0000-1E00-000036000000}">
      <text>
        <r>
          <rPr>
            <sz val="12"/>
            <color theme="1"/>
            <rFont val="Aptos Narrow"/>
            <family val="2"/>
            <scheme val="minor"/>
          </rPr>
          <t>Last week is: 21275K
Voucher giảm 10% tối đa 300K VNPAY</t>
        </r>
      </text>
    </comment>
    <comment ref="G19" authorId="2" shapeId="0" xr:uid="{00000000-0006-0000-1E00-000037000000}">
      <text>
        <r>
          <rPr>
            <sz val="12"/>
            <color theme="1"/>
            <rFont val="Aptos Narrow"/>
            <family val="2"/>
            <scheme val="minor"/>
          </rPr>
          <t>Tran Dat:
21.290</t>
        </r>
      </text>
    </comment>
    <comment ref="E20" authorId="0" shapeId="0" xr:uid="{00000000-0006-0000-1E00-000038000000}">
      <text>
        <r>
          <rPr>
            <sz val="12"/>
            <color theme="1"/>
            <rFont val="Aptos Narrow"/>
            <family val="2"/>
            <scheme val="minor"/>
          </rPr>
          <t xml:space="preserve">Last week is: 27.190K
</t>
        </r>
      </text>
    </comment>
    <comment ref="G21" authorId="2" shapeId="0" xr:uid="{00000000-0006-0000-1E00-000039000000}">
      <text>
        <r>
          <rPr>
            <sz val="12"/>
            <color theme="1"/>
            <rFont val="Aptos Narrow"/>
            <family val="2"/>
            <scheme val="minor"/>
          </rPr>
          <t xml:space="preserve">Tran Dat:
36,890,000
</t>
        </r>
      </text>
    </comment>
    <comment ref="G22" authorId="2" shapeId="0" xr:uid="{00000000-0006-0000-1E00-00003A000000}">
      <text>
        <r>
          <rPr>
            <sz val="12"/>
            <color theme="1"/>
            <rFont val="Aptos Narrow"/>
            <family val="2"/>
            <scheme val="minor"/>
          </rPr>
          <t>Tran Dat:
5.690</t>
        </r>
      </text>
    </comment>
    <comment ref="B23" authorId="3" shapeId="0" xr:uid="{00000000-0006-0000-1E00-00003B000000}">
      <text>
        <r>
          <rPr>
            <sz val="12"/>
            <color theme="1"/>
            <rFont val="Aptos Narrow"/>
            <family val="2"/>
            <scheme val="minor"/>
          </rPr>
          <t>was 7240000
VNP50</t>
        </r>
      </text>
    </comment>
    <comment ref="G23" authorId="2" shapeId="0" xr:uid="{00000000-0006-0000-1E00-00003C000000}">
      <text>
        <r>
          <rPr>
            <sz val="12"/>
            <color theme="1"/>
            <rFont val="Aptos Narrow"/>
            <family val="2"/>
            <scheme val="minor"/>
          </rPr>
          <t>Tran Dat:
7.390.000</t>
        </r>
      </text>
    </comment>
    <comment ref="G24" authorId="2" shapeId="0" xr:uid="{00000000-0006-0000-1E00-00003D000000}">
      <text>
        <r>
          <rPr>
            <sz val="12"/>
            <color theme="1"/>
            <rFont val="Aptos Narrow"/>
            <family val="2"/>
            <scheme val="minor"/>
          </rPr>
          <t>Tran Dat:
6.790.000</t>
        </r>
      </text>
    </comment>
    <comment ref="B25" authorId="3" shapeId="0" xr:uid="{00000000-0006-0000-1E00-00003E000000}">
      <text>
        <r>
          <rPr>
            <sz val="12"/>
            <color theme="1"/>
            <rFont val="Aptos Narrow"/>
            <family val="2"/>
            <scheme val="minor"/>
          </rPr>
          <t>was 7940000
VNP50</t>
        </r>
      </text>
    </comment>
    <comment ref="B26" authorId="3" shapeId="0" xr:uid="{00000000-0006-0000-1E00-00003F000000}">
      <text>
        <r>
          <rPr>
            <sz val="12"/>
            <color theme="1"/>
            <rFont val="Aptos Narrow"/>
            <family val="2"/>
            <scheme val="minor"/>
          </rPr>
          <t>was 10990000
VNP100</t>
        </r>
      </text>
    </comment>
    <comment ref="E26" authorId="0" shapeId="0" xr:uid="{00000000-0006-0000-1E00-000040000000}">
      <text>
        <r>
          <rPr>
            <sz val="12"/>
            <color theme="1"/>
            <rFont val="Aptos Narrow"/>
            <family val="2"/>
            <scheme val="minor"/>
          </rPr>
          <t xml:space="preserve">Giảm 500K cho khách Pre-oder
</t>
        </r>
      </text>
    </comment>
    <comment ref="F26" authorId="5" shapeId="0" xr:uid="{00000000-0006-0000-1E00-000041000000}">
      <text>
        <r>
          <rPr>
            <sz val="12"/>
            <color theme="1"/>
            <rFont val="Aptos Narrow"/>
            <family val="2"/>
            <scheme val="minor"/>
          </rPr>
          <t>chit trang:
10.990.000</t>
        </r>
      </text>
    </comment>
    <comment ref="B27" authorId="3" shapeId="0" xr:uid="{00000000-0006-0000-1E00-000042000000}">
      <text>
        <r>
          <rPr>
            <sz val="12"/>
            <color theme="1"/>
            <rFont val="Aptos Narrow"/>
            <family val="2"/>
            <scheme val="minor"/>
          </rPr>
          <t>was 13290000
VNP100</t>
        </r>
      </text>
    </comment>
    <comment ref="E27" authorId="0" shapeId="0" xr:uid="{00000000-0006-0000-1E00-000043000000}">
      <text>
        <r>
          <rPr>
            <sz val="12"/>
            <color theme="1"/>
            <rFont val="Aptos Narrow"/>
            <family val="2"/>
            <scheme val="minor"/>
          </rPr>
          <t>Last week is: 13.590K</t>
        </r>
      </text>
    </comment>
    <comment ref="B28" authorId="3" shapeId="0" xr:uid="{00000000-0006-0000-1E00-000044000000}">
      <text>
        <r>
          <rPr>
            <sz val="12"/>
            <color theme="1"/>
            <rFont val="Aptos Narrow"/>
            <family val="2"/>
            <scheme val="minor"/>
          </rPr>
          <t>was 11790000
VNP100</t>
        </r>
      </text>
    </comment>
    <comment ref="E28" authorId="0" shapeId="0" xr:uid="{00000000-0006-0000-1E00-000045000000}">
      <text>
        <r>
          <rPr>
            <sz val="12"/>
            <color theme="1"/>
            <rFont val="Aptos Narrow"/>
            <family val="2"/>
            <scheme val="minor"/>
          </rPr>
          <t>Last week is: 11.790K</t>
        </r>
      </text>
    </comment>
    <comment ref="F28" authorId="5" shapeId="0" xr:uid="{00000000-0006-0000-1E00-000046000000}">
      <text>
        <r>
          <rPr>
            <sz val="12"/>
            <color theme="1"/>
            <rFont val="Aptos Narrow"/>
            <family val="2"/>
            <scheme val="minor"/>
          </rPr>
          <t>chit trang:
11. 790.000</t>
        </r>
      </text>
    </comment>
    <comment ref="E29" authorId="0" shapeId="0" xr:uid="{00000000-0006-0000-1E00-000047000000}">
      <text>
        <r>
          <rPr>
            <sz val="12"/>
            <color theme="1"/>
            <rFont val="Aptos Narrow"/>
            <family val="2"/>
            <scheme val="minor"/>
          </rPr>
          <t>Last week is: 14.390K</t>
        </r>
      </text>
    </comment>
    <comment ref="B30" authorId="3" shapeId="0" xr:uid="{00000000-0006-0000-1E00-000048000000}">
      <text>
        <r>
          <rPr>
            <sz val="12"/>
            <color theme="1"/>
            <rFont val="Aptos Narrow"/>
            <family val="2"/>
            <scheme val="minor"/>
          </rPr>
          <t>was 22990000
VNP200</t>
        </r>
      </text>
    </comment>
    <comment ref="C30" authorId="3" shapeId="0" xr:uid="{00000000-0006-0000-1E00-000049000000}">
      <text>
        <r>
          <rPr>
            <sz val="12"/>
            <color theme="1"/>
            <rFont val="Aptos Narrow"/>
            <family val="2"/>
            <scheme val="minor"/>
          </rPr>
          <t>W6 22.990</t>
        </r>
      </text>
    </comment>
    <comment ref="F30" authorId="5" shapeId="0" xr:uid="{00000000-0006-0000-1E00-00004A000000}">
      <text>
        <r>
          <rPr>
            <sz val="12"/>
            <color theme="1"/>
            <rFont val="Aptos Narrow"/>
            <family val="2"/>
            <scheme val="minor"/>
          </rPr>
          <t>chit trang:
22.990.000</t>
        </r>
      </text>
    </comment>
    <comment ref="B31" authorId="3" shapeId="0" xr:uid="{00000000-0006-0000-1E00-00004B000000}">
      <text>
        <r>
          <rPr>
            <sz val="12"/>
            <color theme="1"/>
            <rFont val="Aptos Narrow"/>
            <family val="2"/>
            <scheme val="minor"/>
          </rPr>
          <t>was 5740000
VNP50</t>
        </r>
      </text>
    </comment>
    <comment ref="C31" authorId="3" shapeId="0" xr:uid="{00000000-0006-0000-1E00-00004C000000}">
      <text>
        <r>
          <rPr>
            <sz val="12"/>
            <color theme="1"/>
            <rFont val="Aptos Narrow"/>
            <family val="2"/>
            <scheme val="minor"/>
          </rPr>
          <t>W6 5.740</t>
        </r>
      </text>
    </comment>
    <comment ref="E31" authorId="0" shapeId="0" xr:uid="{00000000-0006-0000-1E00-00004D000000}">
      <text>
        <r>
          <rPr>
            <sz val="12"/>
            <color theme="1"/>
            <rFont val="Aptos Narrow"/>
            <family val="2"/>
            <scheme val="minor"/>
          </rPr>
          <t xml:space="preserve">Last week was: 5.490K
</t>
        </r>
      </text>
    </comment>
    <comment ref="F31" authorId="5" shapeId="0" xr:uid="{00000000-0006-0000-1E00-00004E000000}">
      <text>
        <r>
          <rPr>
            <sz val="12"/>
            <color theme="1"/>
            <rFont val="Aptos Narrow"/>
            <family val="2"/>
            <scheme val="minor"/>
          </rPr>
          <t>chit trang:
5.750.000</t>
        </r>
      </text>
    </comment>
    <comment ref="B32" authorId="3" shapeId="0" xr:uid="{00000000-0006-0000-1E00-00004F000000}">
      <text>
        <r>
          <rPr>
            <sz val="12"/>
            <color theme="1"/>
            <rFont val="Aptos Narrow"/>
            <family val="2"/>
            <scheme val="minor"/>
          </rPr>
          <t xml:space="preserve">was 4740000
VNP50
</t>
        </r>
      </text>
    </comment>
    <comment ref="C32" authorId="3" shapeId="0" xr:uid="{00000000-0006-0000-1E00-000050000000}">
      <text>
        <r>
          <rPr>
            <sz val="12"/>
            <color theme="1"/>
            <rFont val="Aptos Narrow"/>
            <family val="2"/>
            <scheme val="minor"/>
          </rPr>
          <t>W6 4.740</t>
        </r>
      </text>
    </comment>
    <comment ref="D32" authorId="4" shapeId="0" xr:uid="{00000000-0006-0000-1E00-000051000000}">
      <text>
        <r>
          <rPr>
            <sz val="12"/>
            <color theme="1"/>
            <rFont val="Aptos Narrow"/>
            <family val="2"/>
            <scheme val="minor"/>
          </rPr>
          <t>Việt Hoàng:
Last week was:
4.790.000</t>
        </r>
      </text>
    </comment>
    <comment ref="E32" authorId="0" shapeId="0" xr:uid="{00000000-0006-0000-1E00-000052000000}">
      <text>
        <r>
          <rPr>
            <sz val="12"/>
            <color theme="1"/>
            <rFont val="Aptos Narrow"/>
            <family val="2"/>
            <scheme val="minor"/>
          </rPr>
          <t>Last week was: 4.790K
Voucher giảm 1% tối đa 300K VNPAY</t>
        </r>
      </text>
    </comment>
    <comment ref="G32" authorId="2" shapeId="0" xr:uid="{00000000-0006-0000-1E00-000053000000}">
      <text>
        <r>
          <rPr>
            <sz val="12"/>
            <color theme="1"/>
            <rFont val="Aptos Narrow"/>
            <family val="2"/>
            <scheme val="minor"/>
          </rPr>
          <t xml:space="preserve">Tran Dat:
4.690.000
</t>
        </r>
      </text>
    </comment>
    <comment ref="B33" authorId="3" shapeId="0" xr:uid="{00000000-0006-0000-1E00-000054000000}">
      <text>
        <r>
          <rPr>
            <sz val="12"/>
            <color theme="1"/>
            <rFont val="Aptos Narrow"/>
            <family val="2"/>
            <scheme val="minor"/>
          </rPr>
          <t>was 3490000</t>
        </r>
      </text>
    </comment>
    <comment ref="D33" authorId="4" shapeId="0" xr:uid="{00000000-0006-0000-1E00-000055000000}">
      <text>
        <r>
          <rPr>
            <sz val="12"/>
            <color theme="1"/>
            <rFont val="Aptos Narrow"/>
            <family val="2"/>
            <scheme val="minor"/>
          </rPr>
          <t>Việt Hoàng:
Last week was:
3.490.000</t>
        </r>
      </text>
    </comment>
    <comment ref="E33" authorId="3" shapeId="0" xr:uid="{00000000-0006-0000-1E00-000056000000}">
      <text>
        <r>
          <rPr>
            <sz val="12"/>
            <color theme="1"/>
            <rFont val="Aptos Narrow"/>
            <family val="2"/>
            <scheme val="minor"/>
          </rPr>
          <t>was 3490000</t>
        </r>
      </text>
    </comment>
    <comment ref="G33" authorId="2" shapeId="0" xr:uid="{00000000-0006-0000-1E00-000057000000}">
      <text>
        <r>
          <rPr>
            <sz val="12"/>
            <color theme="1"/>
            <rFont val="Aptos Narrow"/>
            <family val="2"/>
            <scheme val="minor"/>
          </rPr>
          <t>Tran Dat:
3390000</t>
        </r>
      </text>
    </comment>
    <comment ref="D34" authorId="4" shapeId="0" xr:uid="{00000000-0006-0000-1E00-000058000000}">
      <text>
        <r>
          <rPr>
            <sz val="12"/>
            <color theme="1"/>
            <rFont val="Aptos Narrow"/>
            <family val="2"/>
            <scheme val="minor"/>
          </rPr>
          <t>Việt Hoàng:
Last week was:
4.090.000</t>
        </r>
      </text>
    </comment>
    <comment ref="D35" authorId="4" shapeId="0" xr:uid="{00000000-0006-0000-1E00-000059000000}">
      <text>
        <r>
          <rPr>
            <sz val="12"/>
            <color theme="1"/>
            <rFont val="Aptos Narrow"/>
            <family val="2"/>
            <scheme val="minor"/>
          </rPr>
          <t>Việt Hoàng:
Last week was:
3.090.000</t>
        </r>
      </text>
    </comment>
    <comment ref="E35" authorId="0" shapeId="0" xr:uid="{00000000-0006-0000-1E00-00005A000000}">
      <text>
        <r>
          <rPr>
            <sz val="12"/>
            <color theme="1"/>
            <rFont val="Aptos Narrow"/>
            <family val="2"/>
            <scheme val="minor"/>
          </rPr>
          <t>Last week is: 2.690K</t>
        </r>
      </text>
    </comment>
    <comment ref="B36" authorId="3" shapeId="0" xr:uid="{00000000-0006-0000-1E00-00005B000000}">
      <text>
        <r>
          <rPr>
            <sz val="12"/>
            <color theme="1"/>
            <rFont val="Aptos Narrow"/>
            <family val="2"/>
            <scheme val="minor"/>
          </rPr>
          <t xml:space="preserve">was 18290000
HSSV300
VNP200
</t>
        </r>
      </text>
    </comment>
    <comment ref="C36" authorId="3" shapeId="0" xr:uid="{00000000-0006-0000-1E00-00005C000000}">
      <text>
        <r>
          <rPr>
            <sz val="12"/>
            <color theme="1"/>
            <rFont val="Aptos Narrow"/>
            <family val="2"/>
            <scheme val="minor"/>
          </rPr>
          <t xml:space="preserve">W6 18.290
</t>
        </r>
      </text>
    </comment>
    <comment ref="D36" authorId="4" shapeId="0" xr:uid="{00000000-0006-0000-1E00-00005D000000}">
      <text>
        <r>
          <rPr>
            <sz val="12"/>
            <color theme="1"/>
            <rFont val="Aptos Narrow"/>
            <family val="2"/>
            <scheme val="minor"/>
          </rPr>
          <t>Việt Hoàng:
Last week:
18.390.000</t>
        </r>
      </text>
    </comment>
    <comment ref="F36" authorId="5" shapeId="0" xr:uid="{00000000-0006-0000-1E00-00005E000000}">
      <text>
        <r>
          <rPr>
            <sz val="12"/>
            <color theme="1"/>
            <rFont val="Aptos Narrow"/>
            <family val="2"/>
            <scheme val="minor"/>
          </rPr>
          <t>chit trang:
18.190.000</t>
        </r>
      </text>
    </comment>
    <comment ref="B37" authorId="3" shapeId="0" xr:uid="{00000000-0006-0000-1E00-00005F000000}">
      <text>
        <r>
          <rPr>
            <sz val="12"/>
            <color theme="1"/>
            <rFont val="Aptos Narrow"/>
            <family val="2"/>
            <scheme val="minor"/>
          </rPr>
          <t>was OOS
chạy lại HSSV</t>
        </r>
      </text>
    </comment>
    <comment ref="C37" authorId="3" shapeId="0" xr:uid="{00000000-0006-0000-1E00-000060000000}">
      <text>
        <r>
          <rPr>
            <sz val="12"/>
            <color theme="1"/>
            <rFont val="Aptos Narrow"/>
            <family val="2"/>
            <scheme val="minor"/>
          </rPr>
          <t>W6 23.490</t>
        </r>
      </text>
    </comment>
    <comment ref="D37" authorId="4" shapeId="0" xr:uid="{00000000-0006-0000-1E00-000061000000}">
      <text>
        <r>
          <rPr>
            <sz val="12"/>
            <color theme="1"/>
            <rFont val="Aptos Narrow"/>
            <family val="2"/>
            <scheme val="minor"/>
          </rPr>
          <t>Việt Hoàng:
Last week:
22.690.000</t>
        </r>
      </text>
    </comment>
    <comment ref="F37" authorId="5" shapeId="0" xr:uid="{00000000-0006-0000-1E00-000062000000}">
      <text>
        <r>
          <rPr>
            <sz val="12"/>
            <color theme="1"/>
            <rFont val="Aptos Narrow"/>
            <family val="2"/>
            <scheme val="minor"/>
          </rPr>
          <t>chit trang:
22.590.000</t>
        </r>
      </text>
    </comment>
    <comment ref="G37" authorId="2" shapeId="0" xr:uid="{00000000-0006-0000-1E00-000063000000}">
      <text>
        <r>
          <rPr>
            <sz val="12"/>
            <color theme="1"/>
            <rFont val="Aptos Narrow"/>
            <family val="2"/>
            <scheme val="minor"/>
          </rPr>
          <t>Tran Dat:
23.290.000</t>
        </r>
      </text>
    </comment>
    <comment ref="B38" authorId="3" shapeId="0" xr:uid="{00000000-0006-0000-1E00-000064000000}">
      <text>
        <r>
          <rPr>
            <sz val="12"/>
            <color theme="1"/>
            <rFont val="Aptos Narrow"/>
            <family val="2"/>
            <scheme val="minor"/>
          </rPr>
          <t>was 25590000
HSSV
VNP200</t>
        </r>
      </text>
    </comment>
    <comment ref="C38" authorId="3" shapeId="0" xr:uid="{00000000-0006-0000-1E00-000065000000}">
      <text>
        <r>
          <rPr>
            <sz val="12"/>
            <color theme="1"/>
            <rFont val="Aptos Narrow"/>
            <family val="2"/>
            <scheme val="minor"/>
          </rPr>
          <t>W6 25.590</t>
        </r>
      </text>
    </comment>
    <comment ref="D38" authorId="4" shapeId="0" xr:uid="{00000000-0006-0000-1E00-000066000000}">
      <text>
        <r>
          <rPr>
            <sz val="12"/>
            <color theme="1"/>
            <rFont val="Aptos Narrow"/>
            <family val="2"/>
            <scheme val="minor"/>
          </rPr>
          <t>Việt Hoàng:
Last week:
25.790.000</t>
        </r>
      </text>
    </comment>
    <comment ref="B39" authorId="3" shapeId="0" xr:uid="{00000000-0006-0000-1E00-000067000000}">
      <text>
        <r>
          <rPr>
            <sz val="12"/>
            <color theme="1"/>
            <rFont val="Aptos Narrow"/>
            <family val="2"/>
            <scheme val="minor"/>
          </rPr>
          <t>was OOS
VNP200
HSSV500</t>
        </r>
      </text>
    </comment>
    <comment ref="C39" authorId="3" shapeId="0" xr:uid="{00000000-0006-0000-1E00-000068000000}">
      <text>
        <r>
          <rPr>
            <sz val="12"/>
            <color theme="1"/>
            <rFont val="Aptos Narrow"/>
            <family val="2"/>
            <scheme val="minor"/>
          </rPr>
          <t>W6 31.090</t>
        </r>
      </text>
    </comment>
    <comment ref="D39" authorId="4" shapeId="0" xr:uid="{00000000-0006-0000-1E00-000069000000}">
      <text>
        <r>
          <rPr>
            <sz val="12"/>
            <color theme="1"/>
            <rFont val="Aptos Narrow"/>
            <family val="2"/>
            <scheme val="minor"/>
          </rPr>
          <t>Việt Hoàng:
Last week:
30.990.000</t>
        </r>
      </text>
    </comment>
    <comment ref="F39" authorId="5" shapeId="0" xr:uid="{00000000-0006-0000-1E00-00006A000000}">
      <text>
        <r>
          <rPr>
            <sz val="12"/>
            <color theme="1"/>
            <rFont val="Aptos Narrow"/>
            <family val="2"/>
            <scheme val="minor"/>
          </rPr>
          <t>chit trang:
31.190.000</t>
        </r>
      </text>
    </comment>
    <comment ref="D40" authorId="4" shapeId="0" xr:uid="{00000000-0006-0000-1E00-00006B000000}">
      <text>
        <r>
          <rPr>
            <sz val="12"/>
            <color theme="1"/>
            <rFont val="Aptos Narrow"/>
            <family val="2"/>
            <scheme val="minor"/>
          </rPr>
          <t>Việt Hoàng:
Last week:
36.490.000</t>
        </r>
      </text>
    </comment>
  </commentList>
</comments>
</file>

<file path=xl/comments32.xml><?xml version="1.0" encoding="utf-8"?>
<comments xmlns="http://schemas.openxmlformats.org/spreadsheetml/2006/main" xmlns:mc="http://schemas.openxmlformats.org/markup-compatibility/2006" xmlns:xr="http://schemas.microsoft.com/office/spreadsheetml/2014/revision" mc:Ignorable="xr">
  <authors>
    <author>Microsoft Office User</author>
    <author>Việt Hoàng</author>
    <author>Sheva Son</author>
    <author>Người dùng Khách</author>
    <author>Tran Dat</author>
    <author>chit trang</author>
  </authors>
  <commentList>
    <comment ref="B2" authorId="0" shapeId="0" xr:uid="{00000000-0006-0000-1F00-000001000000}">
      <text>
        <r>
          <rPr>
            <sz val="12"/>
            <color theme="1"/>
            <rFont val="Aptos Narrow"/>
            <family val="2"/>
            <scheme val="minor"/>
          </rPr>
          <t>was 22390000
Bán theo màu chênh tối đa 300</t>
        </r>
      </text>
    </comment>
    <comment ref="C2" authorId="0" shapeId="0" xr:uid="{00000000-0006-0000-1F00-000002000000}">
      <text>
        <r>
          <rPr>
            <sz val="12"/>
            <color theme="1"/>
            <rFont val="Aptos Narrow"/>
            <family val="2"/>
            <scheme val="minor"/>
          </rPr>
          <t xml:space="preserve">W7 22.390
</t>
        </r>
      </text>
    </comment>
    <comment ref="D2" authorId="1" shapeId="0" xr:uid="{00000000-0006-0000-1F00-000003000000}">
      <text>
        <r>
          <rPr>
            <sz val="12"/>
            <color theme="1"/>
            <rFont val="Aptos Narrow"/>
            <family val="2"/>
            <scheme val="minor"/>
          </rPr>
          <t>Việt Hoàng:
Last week:
21.690.000</t>
        </r>
      </text>
    </comment>
    <comment ref="E2" authorId="2" shapeId="0" xr:uid="{00000000-0006-0000-1F00-000004000000}">
      <text>
        <r>
          <rPr>
            <sz val="12"/>
            <color theme="1"/>
            <rFont val="Aptos Narrow"/>
            <family val="2"/>
            <scheme val="minor"/>
          </rPr>
          <t>Last week is: 21.690K
Giảm 500K (đã trừ vào giá, ko kèm CTKM đổi điểm VT++).
Đổi điểm Viettel++ lên tới 6000K</t>
        </r>
      </text>
    </comment>
    <comment ref="F2" authorId="3" shapeId="0" xr:uid="{00000000-0006-0000-1F00-000005000000}">
      <text>
        <r>
          <rPr>
            <sz val="12"/>
            <color theme="1"/>
            <rFont val="Aptos Narrow"/>
            <family val="2"/>
            <scheme val="minor"/>
          </rPr>
          <t>Người dùng Không xác định:
21.790.000</t>
        </r>
      </text>
    </comment>
    <comment ref="B3" authorId="0" shapeId="0" xr:uid="{00000000-0006-0000-1F00-000006000000}">
      <text>
        <r>
          <rPr>
            <sz val="12"/>
            <color theme="1"/>
            <rFont val="Aptos Narrow"/>
            <family val="2"/>
            <scheme val="minor"/>
          </rPr>
          <t>was 25490000</t>
        </r>
      </text>
    </comment>
    <comment ref="C3" authorId="0" shapeId="0" xr:uid="{00000000-0006-0000-1F00-000007000000}">
      <text>
        <r>
          <rPr>
            <sz val="12"/>
            <color theme="1"/>
            <rFont val="Aptos Narrow"/>
            <family val="2"/>
            <scheme val="minor"/>
          </rPr>
          <t>W7 25.490</t>
        </r>
      </text>
    </comment>
    <comment ref="D3" authorId="1" shapeId="0" xr:uid="{00000000-0006-0000-1F00-000008000000}">
      <text>
        <r>
          <rPr>
            <sz val="12"/>
            <color theme="1"/>
            <rFont val="Aptos Narrow"/>
            <family val="2"/>
            <scheme val="minor"/>
          </rPr>
          <t>Việt Hoàng:
Last week:
24.990.000</t>
        </r>
      </text>
    </comment>
    <comment ref="E3" authorId="2" shapeId="0" xr:uid="{00000000-0006-0000-1F00-000009000000}">
      <text>
        <r>
          <rPr>
            <sz val="12"/>
            <color theme="1"/>
            <rFont val="Aptos Narrow"/>
            <family val="2"/>
            <scheme val="minor"/>
          </rPr>
          <t xml:space="preserve">Last week is: 24.890K
Giảm 500K (đã trừ vào giá, ko kèm CTKM đổi điểm VT++).
Đổi điểm Viettel++ lên tới 6000K
</t>
        </r>
      </text>
    </comment>
    <comment ref="B4" authorId="0" shapeId="0" xr:uid="{00000000-0006-0000-1F00-00000A000000}">
      <text>
        <r>
          <rPr>
            <sz val="12"/>
            <color theme="1"/>
            <rFont val="Aptos Narrow"/>
            <family val="2"/>
            <scheme val="minor"/>
          </rPr>
          <t>was 28690</t>
        </r>
      </text>
    </comment>
    <comment ref="C4" authorId="0" shapeId="0" xr:uid="{00000000-0006-0000-1F00-00000B000000}">
      <text>
        <r>
          <rPr>
            <sz val="12"/>
            <color theme="1"/>
            <rFont val="Aptos Narrow"/>
            <family val="2"/>
            <scheme val="minor"/>
          </rPr>
          <t>W7 28.690</t>
        </r>
      </text>
    </comment>
    <comment ref="D4" authorId="1" shapeId="0" xr:uid="{00000000-0006-0000-1F00-00000C000000}">
      <text>
        <r>
          <rPr>
            <sz val="12"/>
            <color theme="1"/>
            <rFont val="Aptos Narrow"/>
            <family val="2"/>
            <scheme val="minor"/>
          </rPr>
          <t>Việt Hoàng:
Last week was:
28.290.000</t>
        </r>
      </text>
    </comment>
    <comment ref="E4" authorId="0" shapeId="0" xr:uid="{00000000-0006-0000-1F00-00000D000000}">
      <text>
        <r>
          <rPr>
            <sz val="12"/>
            <color theme="1"/>
            <rFont val="Aptos Narrow"/>
            <family val="2"/>
            <scheme val="minor"/>
          </rPr>
          <t>was 28490
VNP300</t>
        </r>
      </text>
    </comment>
    <comment ref="G4" authorId="4" shapeId="0" xr:uid="{00000000-0006-0000-1F00-00000E000000}">
      <text>
        <r>
          <rPr>
            <sz val="12"/>
            <color theme="1"/>
            <rFont val="Aptos Narrow"/>
            <family val="2"/>
            <scheme val="minor"/>
          </rPr>
          <t xml:space="preserve">Tran Dat:
28.490.000
</t>
        </r>
      </text>
    </comment>
    <comment ref="B5" authorId="0" shapeId="0" xr:uid="{00000000-0006-0000-1F00-00000F000000}">
      <text>
        <r>
          <rPr>
            <sz val="12"/>
            <color theme="1"/>
            <rFont val="Aptos Narrow"/>
            <family val="2"/>
            <scheme val="minor"/>
          </rPr>
          <t>was 34290
Bỏ vnp</t>
        </r>
      </text>
    </comment>
    <comment ref="C5" authorId="0" shapeId="0" xr:uid="{00000000-0006-0000-1F00-000010000000}">
      <text>
        <r>
          <rPr>
            <sz val="12"/>
            <color theme="1"/>
            <rFont val="Aptos Narrow"/>
            <family val="2"/>
            <scheme val="minor"/>
          </rPr>
          <t>W7 34.290</t>
        </r>
      </text>
    </comment>
    <comment ref="D5" authorId="1" shapeId="0" xr:uid="{00000000-0006-0000-1F00-000011000000}">
      <text>
        <r>
          <rPr>
            <sz val="12"/>
            <color theme="1"/>
            <rFont val="Aptos Narrow"/>
            <family val="2"/>
            <scheme val="minor"/>
          </rPr>
          <t>Việt Hoàng:
Last week:
33.890.000</t>
        </r>
      </text>
    </comment>
    <comment ref="E5" authorId="2" shapeId="0" xr:uid="{00000000-0006-0000-1F00-000012000000}">
      <text>
        <r>
          <rPr>
            <sz val="12"/>
            <color theme="1"/>
            <rFont val="Aptos Narrow"/>
            <family val="2"/>
            <scheme val="minor"/>
          </rPr>
          <t xml:space="preserve">Last week is: 33.190K
Đổi điểm Viettel++ lên tới 6000K
Black Friday từ 11h-14h ngày 12-31/11/2024 màu black titanium bản 256GB giá 32.990K
</t>
        </r>
      </text>
    </comment>
    <comment ref="F5" authorId="5" shapeId="0" xr:uid="{00000000-0006-0000-1F00-000013000000}">
      <text>
        <r>
          <rPr>
            <sz val="12"/>
            <color theme="1"/>
            <rFont val="Aptos Narrow"/>
            <family val="2"/>
            <scheme val="minor"/>
          </rPr>
          <t>chit trang:
33.890.000</t>
        </r>
      </text>
    </comment>
    <comment ref="G5" authorId="4" shapeId="0" xr:uid="{00000000-0006-0000-1F00-000014000000}">
      <text>
        <r>
          <rPr>
            <sz val="12"/>
            <color theme="1"/>
            <rFont val="Aptos Narrow"/>
            <family val="2"/>
            <scheme val="minor"/>
          </rPr>
          <t>Tran Dat:
33.890.000</t>
        </r>
      </text>
    </comment>
    <comment ref="B6" authorId="0" shapeId="0" xr:uid="{00000000-0006-0000-1F00-000015000000}">
      <text>
        <r>
          <rPr>
            <sz val="12"/>
            <color theme="1"/>
            <rFont val="Aptos Narrow"/>
            <family val="2"/>
            <scheme val="minor"/>
          </rPr>
          <t>was 19590000</t>
        </r>
      </text>
    </comment>
    <comment ref="C6" authorId="0" shapeId="0" xr:uid="{00000000-0006-0000-1F00-000016000000}">
      <text>
        <r>
          <rPr>
            <sz val="12"/>
            <color theme="1"/>
            <rFont val="Aptos Narrow"/>
            <family val="2"/>
            <scheme val="minor"/>
          </rPr>
          <t>W7 19.590</t>
        </r>
      </text>
    </comment>
    <comment ref="D6" authorId="1" shapeId="0" xr:uid="{00000000-0006-0000-1F00-000017000000}">
      <text>
        <r>
          <rPr>
            <sz val="12"/>
            <color theme="1"/>
            <rFont val="Aptos Narrow"/>
            <family val="2"/>
            <scheme val="minor"/>
          </rPr>
          <t>Việt Hoàng:
Last week:
19.690.000</t>
        </r>
      </text>
    </comment>
    <comment ref="E6" authorId="2" shapeId="0" xr:uid="{00000000-0006-0000-1F00-000018000000}">
      <text>
        <r>
          <rPr>
            <sz val="12"/>
            <color theme="1"/>
            <rFont val="Aptos Narrow"/>
            <family val="2"/>
            <scheme val="minor"/>
          </rPr>
          <t xml:space="preserve">Last week is: 19.190K
Giảm ngay 200,000đ cho khách hàng mua gói cước 3V200B </t>
        </r>
      </text>
    </comment>
    <comment ref="B7" authorId="0" shapeId="0" xr:uid="{00000000-0006-0000-1F00-000019000000}">
      <text>
        <r>
          <rPr>
            <sz val="12"/>
            <color theme="1"/>
            <rFont val="Aptos Narrow"/>
            <family val="2"/>
            <scheme val="minor"/>
          </rPr>
          <t>was 22590000</t>
        </r>
      </text>
    </comment>
    <comment ref="C7" authorId="0" shapeId="0" xr:uid="{00000000-0006-0000-1F00-00001A000000}">
      <text>
        <r>
          <rPr>
            <sz val="12"/>
            <color theme="1"/>
            <rFont val="Aptos Narrow"/>
            <family val="2"/>
            <scheme val="minor"/>
          </rPr>
          <t>W7 22.590</t>
        </r>
      </text>
    </comment>
    <comment ref="E7" authorId="2" shapeId="0" xr:uid="{00000000-0006-0000-1F00-00001B000000}">
      <text>
        <r>
          <rPr>
            <sz val="12"/>
            <color theme="1"/>
            <rFont val="Aptos Narrow"/>
            <family val="2"/>
            <scheme val="minor"/>
          </rPr>
          <t xml:space="preserve">Last week is: 21.990K
Giảm ngay 200,000đ cho khách hàng mua gói cước 3V200B </t>
        </r>
      </text>
    </comment>
    <comment ref="B9" authorId="0" shapeId="0" xr:uid="{00000000-0006-0000-1F00-00001C000000}">
      <text>
        <r>
          <rPr>
            <sz val="12"/>
            <color theme="1"/>
            <rFont val="Aptos Narrow"/>
            <family val="2"/>
            <scheme val="minor"/>
          </rPr>
          <t>was 29390000</t>
        </r>
      </text>
    </comment>
    <comment ref="C9" authorId="0" shapeId="0" xr:uid="{00000000-0006-0000-1F00-00001D000000}">
      <text>
        <r>
          <rPr>
            <sz val="12"/>
            <color theme="1"/>
            <rFont val="Aptos Narrow"/>
            <family val="2"/>
            <scheme val="minor"/>
          </rPr>
          <t>W7 29.390</t>
        </r>
      </text>
    </comment>
    <comment ref="D9" authorId="1" shapeId="0" xr:uid="{00000000-0006-0000-1F00-00001E000000}">
      <text>
        <r>
          <rPr>
            <sz val="12"/>
            <color theme="1"/>
            <rFont val="Aptos Narrow"/>
            <family val="2"/>
            <scheme val="minor"/>
          </rPr>
          <t>Việt Hoàng:
Last week:
29.490.000</t>
        </r>
      </text>
    </comment>
    <comment ref="E9" authorId="2" shapeId="0" xr:uid="{00000000-0006-0000-1F00-00001F000000}">
      <text>
        <r>
          <rPr>
            <sz val="12"/>
            <color theme="1"/>
            <rFont val="Aptos Narrow"/>
            <family val="2"/>
            <scheme val="minor"/>
          </rPr>
          <t xml:space="preserve">Last week was: 28.490.000
</t>
        </r>
      </text>
    </comment>
    <comment ref="B10" authorId="0" shapeId="0" xr:uid="{00000000-0006-0000-1F00-000020000000}">
      <text>
        <r>
          <rPr>
            <sz val="12"/>
            <color theme="1"/>
            <rFont val="Aptos Narrow"/>
            <family val="2"/>
            <scheme val="minor"/>
          </rPr>
          <t>was 20390000</t>
        </r>
      </text>
    </comment>
    <comment ref="C10" authorId="0" shapeId="0" xr:uid="{00000000-0006-0000-1F00-000021000000}">
      <text>
        <r>
          <rPr>
            <sz val="12"/>
            <color theme="1"/>
            <rFont val="Aptos Narrow"/>
            <family val="2"/>
            <scheme val="minor"/>
          </rPr>
          <t>W7 20.390</t>
        </r>
      </text>
    </comment>
    <comment ref="D10" authorId="1" shapeId="0" xr:uid="{00000000-0006-0000-1F00-000022000000}">
      <text>
        <r>
          <rPr>
            <sz val="12"/>
            <color theme="1"/>
            <rFont val="Aptos Narrow"/>
            <family val="2"/>
            <scheme val="minor"/>
          </rPr>
          <t>Việt Hoàng:
Last week:
19.990.000</t>
        </r>
      </text>
    </comment>
    <comment ref="E10" authorId="2" shapeId="0" xr:uid="{00000000-0006-0000-1F00-000023000000}">
      <text>
        <r>
          <rPr>
            <sz val="12"/>
            <color theme="1"/>
            <rFont val="Aptos Narrow"/>
            <family val="2"/>
            <scheme val="minor"/>
          </rPr>
          <t xml:space="preserve">Chỉ còn màu Purple, Blue, White số lượng ít
</t>
        </r>
      </text>
    </comment>
    <comment ref="B11" authorId="0" shapeId="0" xr:uid="{00000000-0006-0000-1F00-000024000000}">
      <text>
        <r>
          <rPr>
            <sz val="12"/>
            <color theme="1"/>
            <rFont val="Aptos Narrow"/>
            <family val="2"/>
            <scheme val="minor"/>
          </rPr>
          <t>was 17190000</t>
        </r>
      </text>
    </comment>
    <comment ref="C11" authorId="0" shapeId="0" xr:uid="{00000000-0006-0000-1F00-000025000000}">
      <text>
        <r>
          <rPr>
            <sz val="12"/>
            <color theme="1"/>
            <rFont val="Aptos Narrow"/>
            <family val="2"/>
            <scheme val="minor"/>
          </rPr>
          <t>W7 17.190</t>
        </r>
      </text>
    </comment>
    <comment ref="D11" authorId="1" shapeId="0" xr:uid="{00000000-0006-0000-1F00-000026000000}">
      <text>
        <r>
          <rPr>
            <sz val="12"/>
            <color theme="1"/>
            <rFont val="Aptos Narrow"/>
            <family val="2"/>
            <scheme val="minor"/>
          </rPr>
          <t>Việt Hoàng:
Last week was:
17.490.000</t>
        </r>
      </text>
    </comment>
    <comment ref="B12" authorId="0" shapeId="0" xr:uid="{00000000-0006-0000-1F00-000027000000}">
      <text>
        <r>
          <rPr>
            <sz val="12"/>
            <color theme="1"/>
            <rFont val="Aptos Narrow"/>
            <family val="2"/>
            <scheme val="minor"/>
          </rPr>
          <t>bỏ VNP bán màu lung tung chênh tối đa 500</t>
        </r>
      </text>
    </comment>
    <comment ref="C12" authorId="0" shapeId="0" xr:uid="{00000000-0006-0000-1F00-000028000000}">
      <text>
        <r>
          <rPr>
            <sz val="12"/>
            <color theme="1"/>
            <rFont val="Aptos Narrow"/>
            <family val="2"/>
            <scheme val="minor"/>
          </rPr>
          <t>W7 13.290</t>
        </r>
      </text>
    </comment>
    <comment ref="D12" authorId="1" shapeId="0" xr:uid="{00000000-0006-0000-1F00-000029000000}">
      <text>
        <r>
          <rPr>
            <sz val="12"/>
            <color theme="1"/>
            <rFont val="Aptos Narrow"/>
            <family val="2"/>
            <scheme val="minor"/>
          </rPr>
          <t>Việt Hoàng:
Last week:
13.490.000</t>
        </r>
      </text>
    </comment>
    <comment ref="E12" authorId="2" shapeId="0" xr:uid="{00000000-0006-0000-1F00-00002A000000}">
      <text>
        <r>
          <rPr>
            <sz val="12"/>
            <color theme="1"/>
            <rFont val="Aptos Narrow"/>
            <family val="2"/>
            <scheme val="minor"/>
          </rPr>
          <t>Giảm 300K cho màu Đen và Starlight</t>
        </r>
      </text>
    </comment>
    <comment ref="B13" authorId="0" shapeId="0" xr:uid="{00000000-0006-0000-1F00-00002B000000}">
      <text>
        <r>
          <rPr>
            <sz val="12"/>
            <color theme="1"/>
            <rFont val="Aptos Narrow"/>
            <family val="2"/>
            <scheme val="minor"/>
          </rPr>
          <t>was 11890000</t>
        </r>
      </text>
    </comment>
    <comment ref="C13" authorId="0" shapeId="0" xr:uid="{00000000-0006-0000-1F00-00002C000000}">
      <text>
        <r>
          <rPr>
            <sz val="12"/>
            <color theme="1"/>
            <rFont val="Aptos Narrow"/>
            <family val="2"/>
            <scheme val="minor"/>
          </rPr>
          <t>W7 11.890</t>
        </r>
      </text>
    </comment>
    <comment ref="B14" authorId="0" shapeId="0" xr:uid="{00000000-0006-0000-1F00-00002D000000}">
      <text>
        <r>
          <rPr>
            <sz val="12"/>
            <color theme="1"/>
            <rFont val="Aptos Narrow"/>
            <family val="2"/>
            <scheme val="minor"/>
          </rPr>
          <t>was 8940000</t>
        </r>
      </text>
    </comment>
    <comment ref="C14" authorId="0" shapeId="0" xr:uid="{00000000-0006-0000-1F00-00002E000000}">
      <text>
        <r>
          <rPr>
            <sz val="12"/>
            <color theme="1"/>
            <rFont val="Aptos Narrow"/>
            <family val="2"/>
            <scheme val="minor"/>
          </rPr>
          <t>W7 8.940</t>
        </r>
      </text>
    </comment>
    <comment ref="E14" authorId="2" shapeId="0" xr:uid="{00000000-0006-0000-1F00-00002F000000}">
      <text>
        <r>
          <rPr>
            <sz val="12"/>
            <color theme="1"/>
            <rFont val="Aptos Narrow"/>
            <family val="2"/>
            <scheme val="minor"/>
          </rPr>
          <t xml:space="preserve">Giảm 200K khi mua Online (đã trừ vào giá)
Trợ giá 4G giảm 300K đã trừ vào giá
</t>
        </r>
      </text>
    </comment>
    <comment ref="B16" authorId="0" shapeId="0" xr:uid="{00000000-0006-0000-1F00-000030000000}">
      <text>
        <r>
          <rPr>
            <sz val="12"/>
            <color theme="1"/>
            <rFont val="Aptos Narrow"/>
            <family val="2"/>
            <scheme val="minor"/>
          </rPr>
          <t>was 9290000</t>
        </r>
      </text>
    </comment>
    <comment ref="C16" authorId="0" shapeId="0" xr:uid="{00000000-0006-0000-1F00-000031000000}">
      <text>
        <r>
          <rPr>
            <sz val="12"/>
            <color theme="1"/>
            <rFont val="Aptos Narrow"/>
            <family val="2"/>
            <scheme val="minor"/>
          </rPr>
          <t>W7 9.290</t>
        </r>
      </text>
    </comment>
    <comment ref="D16" authorId="1" shapeId="0" xr:uid="{00000000-0006-0000-1F00-000032000000}">
      <text>
        <r>
          <rPr>
            <sz val="12"/>
            <color theme="1"/>
            <rFont val="Aptos Narrow"/>
            <family val="2"/>
            <scheme val="minor"/>
          </rPr>
          <t>Việt Hoàng:
Last week:
8.890.000</t>
        </r>
      </text>
    </comment>
    <comment ref="E16" authorId="2" shapeId="0" xr:uid="{00000000-0006-0000-1F00-000033000000}">
      <text>
        <r>
          <rPr>
            <sz val="12"/>
            <color theme="1"/>
            <rFont val="Aptos Narrow"/>
            <family val="2"/>
            <scheme val="minor"/>
          </rPr>
          <t xml:space="preserve">Last week is: 8.990K
</t>
        </r>
      </text>
    </comment>
    <comment ref="F16" authorId="5" shapeId="0" xr:uid="{00000000-0006-0000-1F00-000034000000}">
      <text>
        <r>
          <rPr>
            <sz val="12"/>
            <color theme="1"/>
            <rFont val="Aptos Narrow"/>
            <family val="2"/>
            <scheme val="minor"/>
          </rPr>
          <t>chit trang:
8.790.000</t>
        </r>
      </text>
    </comment>
    <comment ref="G16" authorId="4" shapeId="0" xr:uid="{00000000-0006-0000-1F00-000035000000}">
      <text>
        <r>
          <rPr>
            <sz val="12"/>
            <color theme="1"/>
            <rFont val="Aptos Narrow"/>
            <family val="2"/>
            <scheme val="minor"/>
          </rPr>
          <t xml:space="preserve">Tran Dat:
9.290.000
</t>
        </r>
      </text>
    </comment>
    <comment ref="B17" authorId="0" shapeId="0" xr:uid="{00000000-0006-0000-1F00-000036000000}">
      <text>
        <r>
          <rPr>
            <sz val="12"/>
            <color theme="1"/>
            <rFont val="Aptos Narrow"/>
            <family val="2"/>
            <scheme val="minor"/>
          </rPr>
          <t>was 7040000</t>
        </r>
      </text>
    </comment>
    <comment ref="C17" authorId="0" shapeId="0" xr:uid="{00000000-0006-0000-1F00-000037000000}">
      <text>
        <r>
          <rPr>
            <sz val="12"/>
            <color theme="1"/>
            <rFont val="Aptos Narrow"/>
            <family val="2"/>
            <scheme val="minor"/>
          </rPr>
          <t>W7 7.040</t>
        </r>
      </text>
    </comment>
    <comment ref="D17" authorId="1" shapeId="0" xr:uid="{00000000-0006-0000-1F00-000038000000}">
      <text>
        <r>
          <rPr>
            <sz val="12"/>
            <color theme="1"/>
            <rFont val="Aptos Narrow"/>
            <family val="2"/>
            <scheme val="minor"/>
          </rPr>
          <t>Việt Hoàng:
Last week:
7.090.000</t>
        </r>
      </text>
    </comment>
    <comment ref="E17" authorId="2" shapeId="0" xr:uid="{00000000-0006-0000-1F00-000039000000}">
      <text>
        <r>
          <rPr>
            <sz val="12"/>
            <color theme="1"/>
            <rFont val="Aptos Narrow"/>
            <family val="2"/>
            <scheme val="minor"/>
          </rPr>
          <t>Giảm 10% tối đa 120K khi mở ví VNPAY</t>
        </r>
      </text>
    </comment>
    <comment ref="B18" authorId="0" shapeId="0" xr:uid="{00000000-0006-0000-1F00-00003A000000}">
      <text>
        <r>
          <rPr>
            <sz val="12"/>
            <color theme="1"/>
            <rFont val="Aptos Narrow"/>
            <family val="2"/>
            <scheme val="minor"/>
          </rPr>
          <t>was 15190000</t>
        </r>
      </text>
    </comment>
    <comment ref="C18" authorId="0" shapeId="0" xr:uid="{00000000-0006-0000-1F00-00003B000000}">
      <text>
        <r>
          <rPr>
            <sz val="12"/>
            <color theme="1"/>
            <rFont val="Aptos Narrow"/>
            <family val="2"/>
            <scheme val="minor"/>
          </rPr>
          <t>W7 15.190</t>
        </r>
      </text>
    </comment>
    <comment ref="E18" authorId="2" shapeId="0" xr:uid="{00000000-0006-0000-1F00-00003C000000}">
      <text>
        <r>
          <rPr>
            <sz val="12"/>
            <color theme="1"/>
            <rFont val="Aptos Narrow"/>
            <family val="2"/>
            <scheme val="minor"/>
          </rPr>
          <t>Last week is: 15.190K
Voucher giảm 1% tối đa 300K VNPAY</t>
        </r>
      </text>
    </comment>
    <comment ref="F18" authorId="5" shapeId="0" xr:uid="{00000000-0006-0000-1F00-00003D000000}">
      <text>
        <r>
          <rPr>
            <sz val="12"/>
            <color theme="1"/>
            <rFont val="Aptos Narrow"/>
            <family val="2"/>
            <scheme val="minor"/>
          </rPr>
          <t>chit trang:
15.290.000</t>
        </r>
      </text>
    </comment>
    <comment ref="B19" authorId="0" shapeId="0" xr:uid="{00000000-0006-0000-1F00-00003E000000}">
      <text>
        <r>
          <rPr>
            <sz val="12"/>
            <color theme="1"/>
            <rFont val="Aptos Narrow"/>
            <family val="2"/>
            <scheme val="minor"/>
          </rPr>
          <t>was 20790000</t>
        </r>
      </text>
    </comment>
    <comment ref="C19" authorId="0" shapeId="0" xr:uid="{00000000-0006-0000-1F00-00003F000000}">
      <text>
        <r>
          <rPr>
            <sz val="12"/>
            <color theme="1"/>
            <rFont val="Aptos Narrow"/>
            <family val="2"/>
            <scheme val="minor"/>
          </rPr>
          <t>W7 20.790</t>
        </r>
      </text>
    </comment>
    <comment ref="E19" authorId="2" shapeId="0" xr:uid="{00000000-0006-0000-1F00-000040000000}">
      <text>
        <r>
          <rPr>
            <sz val="12"/>
            <color theme="1"/>
            <rFont val="Aptos Narrow"/>
            <family val="2"/>
            <scheme val="minor"/>
          </rPr>
          <t>Last week is: 21.190K
Voucher giảm 10% tối đa 300K VNPAY</t>
        </r>
      </text>
    </comment>
    <comment ref="F19" authorId="5" shapeId="0" xr:uid="{00000000-0006-0000-1F00-000041000000}">
      <text>
        <r>
          <rPr>
            <sz val="12"/>
            <color theme="1"/>
            <rFont val="Aptos Narrow"/>
            <family val="2"/>
            <scheme val="minor"/>
          </rPr>
          <t>chit trang:
21.490.000</t>
        </r>
      </text>
    </comment>
    <comment ref="B20" authorId="0" shapeId="0" xr:uid="{00000000-0006-0000-1F00-000042000000}">
      <text>
        <r>
          <rPr>
            <sz val="12"/>
            <color theme="1"/>
            <rFont val="Aptos Narrow"/>
            <family val="2"/>
            <scheme val="minor"/>
          </rPr>
          <t>was 27590000</t>
        </r>
      </text>
    </comment>
    <comment ref="C20" authorId="0" shapeId="0" xr:uid="{00000000-0006-0000-1F00-000043000000}">
      <text>
        <r>
          <rPr>
            <sz val="12"/>
            <color theme="1"/>
            <rFont val="Aptos Narrow"/>
            <family val="2"/>
            <scheme val="minor"/>
          </rPr>
          <t>W7 27.590</t>
        </r>
      </text>
    </comment>
    <comment ref="D20" authorId="1" shapeId="0" xr:uid="{00000000-0006-0000-1F00-000044000000}">
      <text>
        <r>
          <rPr>
            <sz val="12"/>
            <color theme="1"/>
            <rFont val="Aptos Narrow"/>
            <family val="2"/>
            <scheme val="minor"/>
          </rPr>
          <t>Việt Hoàng:
Last week:
27.590.000</t>
        </r>
      </text>
    </comment>
    <comment ref="E20" authorId="2" shapeId="0" xr:uid="{00000000-0006-0000-1F00-000045000000}">
      <text>
        <r>
          <rPr>
            <sz val="12"/>
            <color theme="1"/>
            <rFont val="Aptos Narrow"/>
            <family val="2"/>
            <scheme val="minor"/>
          </rPr>
          <t xml:space="preserve">Last week is: 26.890K
</t>
        </r>
      </text>
    </comment>
    <comment ref="B22" authorId="0" shapeId="0" xr:uid="{00000000-0006-0000-1F00-000046000000}">
      <text>
        <r>
          <rPr>
            <sz val="12"/>
            <color theme="1"/>
            <rFont val="Aptos Narrow"/>
            <family val="2"/>
            <scheme val="minor"/>
          </rPr>
          <t>was 5740000</t>
        </r>
      </text>
    </comment>
    <comment ref="C22" authorId="0" shapeId="0" xr:uid="{00000000-0006-0000-1F00-000047000000}">
      <text>
        <r>
          <rPr>
            <sz val="12"/>
            <color theme="1"/>
            <rFont val="Aptos Narrow"/>
            <family val="2"/>
            <scheme val="minor"/>
          </rPr>
          <t>W7 5.740</t>
        </r>
      </text>
    </comment>
    <comment ref="B23" authorId="0" shapeId="0" xr:uid="{00000000-0006-0000-1F00-000048000000}">
      <text>
        <r>
          <rPr>
            <sz val="12"/>
            <color theme="1"/>
            <rFont val="Aptos Narrow"/>
            <family val="2"/>
            <scheme val="minor"/>
          </rPr>
          <t>was 7040000</t>
        </r>
      </text>
    </comment>
    <comment ref="G23" authorId="4" shapeId="0" xr:uid="{00000000-0006-0000-1F00-000049000000}">
      <text>
        <r>
          <rPr>
            <sz val="12"/>
            <color theme="1"/>
            <rFont val="Aptos Narrow"/>
            <family val="2"/>
            <scheme val="minor"/>
          </rPr>
          <t>Tran Dat:
7.3
90.000</t>
        </r>
      </text>
    </comment>
    <comment ref="B24" authorId="0" shapeId="0" xr:uid="{00000000-0006-0000-1F00-00004A000000}">
      <text>
        <r>
          <rPr>
            <sz val="12"/>
            <color theme="1"/>
            <rFont val="Aptos Narrow"/>
            <family val="2"/>
            <scheme val="minor"/>
          </rPr>
          <t>was 6540000</t>
        </r>
      </text>
    </comment>
    <comment ref="C24" authorId="0" shapeId="0" xr:uid="{00000000-0006-0000-1F00-00004B000000}">
      <text>
        <r>
          <rPr>
            <sz val="12"/>
            <color theme="1"/>
            <rFont val="Aptos Narrow"/>
            <family val="2"/>
            <scheme val="minor"/>
          </rPr>
          <t>W7 6.540</t>
        </r>
      </text>
    </comment>
    <comment ref="B25" authorId="0" shapeId="0" xr:uid="{00000000-0006-0000-1F00-00004C000000}">
      <text>
        <r>
          <rPr>
            <sz val="12"/>
            <color theme="1"/>
            <rFont val="Aptos Narrow"/>
            <family val="2"/>
            <scheme val="minor"/>
          </rPr>
          <t>was 7740000</t>
        </r>
      </text>
    </comment>
    <comment ref="B26" authorId="0" shapeId="0" xr:uid="{00000000-0006-0000-1F00-00004D000000}">
      <text>
        <r>
          <rPr>
            <sz val="12"/>
            <color theme="1"/>
            <rFont val="Aptos Narrow"/>
            <family val="2"/>
            <scheme val="minor"/>
          </rPr>
          <t>was 10690000</t>
        </r>
      </text>
    </comment>
    <comment ref="C26" authorId="0" shapeId="0" xr:uid="{00000000-0006-0000-1F00-00004E000000}">
      <text>
        <r>
          <rPr>
            <sz val="12"/>
            <color theme="1"/>
            <rFont val="Aptos Narrow"/>
            <family val="2"/>
            <scheme val="minor"/>
          </rPr>
          <t>W7 10.690</t>
        </r>
      </text>
    </comment>
    <comment ref="E26" authorId="2" shapeId="0" xr:uid="{00000000-0006-0000-1F00-00004F000000}">
      <text>
        <r>
          <rPr>
            <sz val="12"/>
            <color theme="1"/>
            <rFont val="Aptos Narrow"/>
            <family val="2"/>
            <scheme val="minor"/>
          </rPr>
          <t xml:space="preserve">Giảm 500K cho khách Pre-oder
</t>
        </r>
      </text>
    </comment>
    <comment ref="B27" authorId="0" shapeId="0" xr:uid="{00000000-0006-0000-1F00-000050000000}">
      <text>
        <r>
          <rPr>
            <sz val="12"/>
            <color theme="1"/>
            <rFont val="Aptos Narrow"/>
            <family val="2"/>
            <scheme val="minor"/>
          </rPr>
          <t>was 13490000</t>
        </r>
      </text>
    </comment>
    <comment ref="E27" authorId="2" shapeId="0" xr:uid="{00000000-0006-0000-1F00-000051000000}">
      <text>
        <r>
          <rPr>
            <sz val="12"/>
            <color theme="1"/>
            <rFont val="Aptos Narrow"/>
            <family val="2"/>
            <scheme val="minor"/>
          </rPr>
          <t>Last week is: 13.590K</t>
        </r>
      </text>
    </comment>
    <comment ref="B28" authorId="0" shapeId="0" xr:uid="{00000000-0006-0000-1F00-000052000000}">
      <text>
        <r>
          <rPr>
            <sz val="12"/>
            <color theme="1"/>
            <rFont val="Aptos Narrow"/>
            <family val="2"/>
            <scheme val="minor"/>
          </rPr>
          <t>was 11690000</t>
        </r>
      </text>
    </comment>
    <comment ref="C28" authorId="0" shapeId="0" xr:uid="{00000000-0006-0000-1F00-000053000000}">
      <text>
        <r>
          <rPr>
            <sz val="12"/>
            <color theme="1"/>
            <rFont val="Aptos Narrow"/>
            <family val="2"/>
            <scheme val="minor"/>
          </rPr>
          <t>W7 11.690</t>
        </r>
      </text>
    </comment>
    <comment ref="E28" authorId="2" shapeId="0" xr:uid="{00000000-0006-0000-1F00-000054000000}">
      <text>
        <r>
          <rPr>
            <sz val="12"/>
            <color theme="1"/>
            <rFont val="Aptos Narrow"/>
            <family val="2"/>
            <scheme val="minor"/>
          </rPr>
          <t>Last week is: 11.790K</t>
        </r>
      </text>
    </comment>
    <comment ref="B29" authorId="0" shapeId="0" xr:uid="{00000000-0006-0000-1F00-000055000000}">
      <text>
        <r>
          <rPr>
            <sz val="12"/>
            <color theme="1"/>
            <rFont val="Aptos Narrow"/>
            <family val="2"/>
            <scheme val="minor"/>
          </rPr>
          <t>was 14290000</t>
        </r>
      </text>
    </comment>
    <comment ref="E29" authorId="2" shapeId="0" xr:uid="{00000000-0006-0000-1F00-000056000000}">
      <text>
        <r>
          <rPr>
            <sz val="12"/>
            <color theme="1"/>
            <rFont val="Aptos Narrow"/>
            <family val="2"/>
            <scheme val="minor"/>
          </rPr>
          <t>Last week is: 14.390K</t>
        </r>
      </text>
    </comment>
    <comment ref="B30" authorId="0" shapeId="0" xr:uid="{00000000-0006-0000-1F00-000057000000}">
      <text>
        <r>
          <rPr>
            <sz val="12"/>
            <color theme="1"/>
            <rFont val="Aptos Narrow"/>
            <family val="2"/>
            <scheme val="minor"/>
          </rPr>
          <t>was 22790000</t>
        </r>
      </text>
    </comment>
    <comment ref="C30" authorId="0" shapeId="0" xr:uid="{00000000-0006-0000-1F00-000058000000}">
      <text>
        <r>
          <rPr>
            <sz val="12"/>
            <color theme="1"/>
            <rFont val="Aptos Narrow"/>
            <family val="2"/>
            <scheme val="minor"/>
          </rPr>
          <t>W7 22.790</t>
        </r>
      </text>
    </comment>
    <comment ref="B31" authorId="0" shapeId="0" xr:uid="{00000000-0006-0000-1F00-000059000000}">
      <text>
        <r>
          <rPr>
            <sz val="12"/>
            <color theme="1"/>
            <rFont val="Aptos Narrow"/>
            <family val="2"/>
            <scheme val="minor"/>
          </rPr>
          <t>was 5640000</t>
        </r>
      </text>
    </comment>
    <comment ref="C31" authorId="0" shapeId="0" xr:uid="{00000000-0006-0000-1F00-00005A000000}">
      <text>
        <r>
          <rPr>
            <sz val="12"/>
            <color theme="1"/>
            <rFont val="Aptos Narrow"/>
            <family val="2"/>
            <scheme val="minor"/>
          </rPr>
          <t>W7 5.640</t>
        </r>
      </text>
    </comment>
    <comment ref="D31" authorId="1" shapeId="0" xr:uid="{00000000-0006-0000-1F00-00005B000000}">
      <text>
        <r>
          <rPr>
            <sz val="12"/>
            <color theme="1"/>
            <rFont val="Aptos Narrow"/>
            <family val="2"/>
            <scheme val="minor"/>
          </rPr>
          <t>Việt Hoàng:
Last week:
5.790.000</t>
        </r>
      </text>
    </comment>
    <comment ref="E31" authorId="2" shapeId="0" xr:uid="{00000000-0006-0000-1F00-00005C000000}">
      <text>
        <r>
          <rPr>
            <sz val="12"/>
            <color theme="1"/>
            <rFont val="Aptos Narrow"/>
            <family val="2"/>
            <scheme val="minor"/>
          </rPr>
          <t xml:space="preserve">Last week was: 5.520K
</t>
        </r>
      </text>
    </comment>
    <comment ref="B32" authorId="0" shapeId="0" xr:uid="{00000000-0006-0000-1F00-00005D000000}">
      <text>
        <r>
          <rPr>
            <sz val="12"/>
            <color theme="1"/>
            <rFont val="Aptos Narrow"/>
            <family val="2"/>
            <scheme val="minor"/>
          </rPr>
          <t>was 4540000</t>
        </r>
      </text>
    </comment>
    <comment ref="C32" authorId="0" shapeId="0" xr:uid="{00000000-0006-0000-1F00-00005E000000}">
      <text>
        <r>
          <rPr>
            <sz val="12"/>
            <color theme="1"/>
            <rFont val="Aptos Narrow"/>
            <family val="2"/>
            <scheme val="minor"/>
          </rPr>
          <t>W7 4.540</t>
        </r>
      </text>
    </comment>
    <comment ref="D32" authorId="1" shapeId="0" xr:uid="{00000000-0006-0000-1F00-00005F000000}">
      <text>
        <r>
          <rPr>
            <sz val="12"/>
            <color theme="1"/>
            <rFont val="Aptos Narrow"/>
            <family val="2"/>
            <scheme val="minor"/>
          </rPr>
          <t>Việt Hoàng:
Last week was:
4.590.000</t>
        </r>
      </text>
    </comment>
    <comment ref="E32" authorId="2" shapeId="0" xr:uid="{00000000-0006-0000-1F00-000060000000}">
      <text>
        <r>
          <rPr>
            <sz val="12"/>
            <color theme="1"/>
            <rFont val="Aptos Narrow"/>
            <family val="2"/>
            <scheme val="minor"/>
          </rPr>
          <t>Last week was: 4.790K
Voucher giảm 1% tối đa 300K VNPAY</t>
        </r>
      </text>
    </comment>
    <comment ref="F32" authorId="5" shapeId="0" xr:uid="{00000000-0006-0000-1F00-000061000000}">
      <text>
        <r>
          <rPr>
            <sz val="12"/>
            <color theme="1"/>
            <rFont val="Aptos Narrow"/>
            <family val="2"/>
            <scheme val="minor"/>
          </rPr>
          <t>chit trang:
4.660.000</t>
        </r>
      </text>
    </comment>
    <comment ref="G32" authorId="4" shapeId="0" xr:uid="{00000000-0006-0000-1F00-000062000000}">
      <text>
        <r>
          <rPr>
            <sz val="12"/>
            <color theme="1"/>
            <rFont val="Aptos Narrow"/>
            <family val="2"/>
            <scheme val="minor"/>
          </rPr>
          <t xml:space="preserve">Tran Dat:
4.690.000
</t>
        </r>
      </text>
    </comment>
    <comment ref="B33" authorId="0" shapeId="0" xr:uid="{00000000-0006-0000-1F00-000063000000}">
      <text>
        <r>
          <rPr>
            <sz val="12"/>
            <color theme="1"/>
            <rFont val="Aptos Narrow"/>
            <family val="2"/>
            <scheme val="minor"/>
          </rPr>
          <t>was 3340000</t>
        </r>
      </text>
    </comment>
    <comment ref="C33" authorId="0" shapeId="0" xr:uid="{00000000-0006-0000-1F00-000064000000}">
      <text>
        <r>
          <rPr>
            <sz val="12"/>
            <color theme="1"/>
            <rFont val="Aptos Narrow"/>
            <family val="2"/>
            <scheme val="minor"/>
          </rPr>
          <t>W7 3.340</t>
        </r>
      </text>
    </comment>
    <comment ref="D33" authorId="1" shapeId="0" xr:uid="{00000000-0006-0000-1F00-000065000000}">
      <text>
        <r>
          <rPr>
            <sz val="12"/>
            <color theme="1"/>
            <rFont val="Aptos Narrow"/>
            <family val="2"/>
            <scheme val="minor"/>
          </rPr>
          <t>Việt Hoàng:
Last week was:
3.390.000</t>
        </r>
      </text>
    </comment>
    <comment ref="E33" authorId="0" shapeId="0" xr:uid="{00000000-0006-0000-1F00-000066000000}">
      <text>
        <r>
          <rPr>
            <sz val="12"/>
            <color theme="1"/>
            <rFont val="Aptos Narrow"/>
            <family val="2"/>
            <scheme val="minor"/>
          </rPr>
          <t>was 3490000</t>
        </r>
      </text>
    </comment>
    <comment ref="G33" authorId="4" shapeId="0" xr:uid="{00000000-0006-0000-1F00-000067000000}">
      <text>
        <r>
          <rPr>
            <sz val="12"/>
            <color theme="1"/>
            <rFont val="Aptos Narrow"/>
            <family val="2"/>
            <scheme val="minor"/>
          </rPr>
          <t>Tran Dat:
3390000</t>
        </r>
      </text>
    </comment>
    <comment ref="B34" authorId="0" shapeId="0" xr:uid="{00000000-0006-0000-1F00-000068000000}">
      <text>
        <r>
          <rPr>
            <sz val="12"/>
            <color theme="1"/>
            <rFont val="Aptos Narrow"/>
            <family val="2"/>
            <scheme val="minor"/>
          </rPr>
          <t>was 4040000</t>
        </r>
      </text>
    </comment>
    <comment ref="C34" authorId="0" shapeId="0" xr:uid="{00000000-0006-0000-1F00-000069000000}">
      <text>
        <r>
          <rPr>
            <sz val="12"/>
            <color theme="1"/>
            <rFont val="Aptos Narrow"/>
            <family val="2"/>
            <scheme val="minor"/>
          </rPr>
          <t>w7 4.040</t>
        </r>
      </text>
    </comment>
    <comment ref="D34" authorId="1" shapeId="0" xr:uid="{00000000-0006-0000-1F00-00006A000000}">
      <text>
        <r>
          <rPr>
            <sz val="12"/>
            <color theme="1"/>
            <rFont val="Aptos Narrow"/>
            <family val="2"/>
            <scheme val="minor"/>
          </rPr>
          <t>Việt Hoàng:
Last week was:
3.690.000</t>
        </r>
      </text>
    </comment>
    <comment ref="E35" authorId="2" shapeId="0" xr:uid="{00000000-0006-0000-1F00-00006B000000}">
      <text>
        <r>
          <rPr>
            <sz val="12"/>
            <color theme="1"/>
            <rFont val="Aptos Narrow"/>
            <family val="2"/>
            <scheme val="minor"/>
          </rPr>
          <t>Last week is: 2.690K</t>
        </r>
      </text>
    </comment>
    <comment ref="B36" authorId="0" shapeId="0" xr:uid="{00000000-0006-0000-1F00-00006C000000}">
      <text>
        <r>
          <rPr>
            <sz val="12"/>
            <color theme="1"/>
            <rFont val="Aptos Narrow"/>
            <family val="2"/>
            <scheme val="minor"/>
          </rPr>
          <t>was 18090000
HS300</t>
        </r>
      </text>
    </comment>
    <comment ref="C36" authorId="0" shapeId="0" xr:uid="{00000000-0006-0000-1F00-00006D000000}">
      <text>
        <r>
          <rPr>
            <sz val="12"/>
            <color theme="1"/>
            <rFont val="Aptos Narrow"/>
            <family val="2"/>
            <scheme val="minor"/>
          </rPr>
          <t>W7 18.090</t>
        </r>
      </text>
    </comment>
    <comment ref="D36" authorId="1" shapeId="0" xr:uid="{00000000-0006-0000-1F00-00006E000000}">
      <text>
        <r>
          <rPr>
            <sz val="12"/>
            <color theme="1"/>
            <rFont val="Aptos Narrow"/>
            <family val="2"/>
            <scheme val="minor"/>
          </rPr>
          <t>Việt Hoàng:
Last week:
17.890.000</t>
        </r>
      </text>
    </comment>
    <comment ref="F36" authorId="5" shapeId="0" xr:uid="{00000000-0006-0000-1F00-00006F000000}">
      <text>
        <r>
          <rPr>
            <sz val="12"/>
            <color theme="1"/>
            <rFont val="Aptos Narrow"/>
            <family val="2"/>
            <scheme val="minor"/>
          </rPr>
          <t>chit trang:
18.290.000</t>
        </r>
      </text>
    </comment>
    <comment ref="B37" authorId="0" shapeId="0" xr:uid="{00000000-0006-0000-1F00-000070000000}">
      <text>
        <r>
          <rPr>
            <sz val="12"/>
            <color theme="1"/>
            <rFont val="Aptos Narrow"/>
            <family val="2"/>
            <scheme val="minor"/>
          </rPr>
          <t>was 23190000
JS300</t>
        </r>
      </text>
    </comment>
    <comment ref="C37" authorId="0" shapeId="0" xr:uid="{00000000-0006-0000-1F00-000071000000}">
      <text>
        <r>
          <rPr>
            <sz val="12"/>
            <color theme="1"/>
            <rFont val="Aptos Narrow"/>
            <family val="2"/>
            <scheme val="minor"/>
          </rPr>
          <t>W7 23.190</t>
        </r>
      </text>
    </comment>
    <comment ref="D37" authorId="1" shapeId="0" xr:uid="{00000000-0006-0000-1F00-000072000000}">
      <text>
        <r>
          <rPr>
            <sz val="12"/>
            <color theme="1"/>
            <rFont val="Aptos Narrow"/>
            <family val="2"/>
            <scheme val="minor"/>
          </rPr>
          <t>Việt Hoàng:
Last week:
22.790.000</t>
        </r>
      </text>
    </comment>
    <comment ref="F37" authorId="5" shapeId="0" xr:uid="{00000000-0006-0000-1F00-000073000000}">
      <text>
        <r>
          <rPr>
            <sz val="12"/>
            <color theme="1"/>
            <rFont val="Aptos Narrow"/>
            <family val="2"/>
            <scheme val="minor"/>
          </rPr>
          <t>chit trang:
22.490.000</t>
        </r>
      </text>
    </comment>
    <comment ref="G37" authorId="4" shapeId="0" xr:uid="{00000000-0006-0000-1F00-000074000000}">
      <text>
        <r>
          <rPr>
            <sz val="12"/>
            <color theme="1"/>
            <rFont val="Aptos Narrow"/>
            <family val="2"/>
            <scheme val="minor"/>
          </rPr>
          <t>Tran Dat:
22.990.000</t>
        </r>
      </text>
    </comment>
    <comment ref="B38" authorId="0" shapeId="0" xr:uid="{00000000-0006-0000-1F00-000075000000}">
      <text>
        <r>
          <rPr>
            <sz val="12"/>
            <color theme="1"/>
            <rFont val="Aptos Narrow"/>
            <family val="2"/>
            <scheme val="minor"/>
          </rPr>
          <t>was 25790000
HS300</t>
        </r>
      </text>
    </comment>
    <comment ref="C38" authorId="0" shapeId="0" xr:uid="{00000000-0006-0000-1F00-000076000000}">
      <text>
        <r>
          <rPr>
            <sz val="12"/>
            <color theme="1"/>
            <rFont val="Aptos Narrow"/>
            <family val="2"/>
            <scheme val="minor"/>
          </rPr>
          <t>W7 25.790</t>
        </r>
      </text>
    </comment>
    <comment ref="D38" authorId="1" shapeId="0" xr:uid="{00000000-0006-0000-1F00-000077000000}">
      <text>
        <r>
          <rPr>
            <sz val="12"/>
            <color theme="1"/>
            <rFont val="Aptos Narrow"/>
            <family val="2"/>
            <scheme val="minor"/>
          </rPr>
          <t>Việt Hoàng:
Last week:
25.690.000</t>
        </r>
      </text>
    </comment>
    <comment ref="F38" authorId="5" shapeId="0" xr:uid="{00000000-0006-0000-1F00-000078000000}">
      <text>
        <r>
          <rPr>
            <sz val="12"/>
            <color theme="1"/>
            <rFont val="Aptos Narrow"/>
            <family val="2"/>
            <scheme val="minor"/>
          </rPr>
          <t>chit trang:
26.490.000</t>
        </r>
      </text>
    </comment>
    <comment ref="B39" authorId="0" shapeId="0" xr:uid="{00000000-0006-0000-1F00-000079000000}">
      <text>
        <r>
          <rPr>
            <sz val="12"/>
            <color theme="1"/>
            <rFont val="Aptos Narrow"/>
            <family val="2"/>
            <scheme val="minor"/>
          </rPr>
          <t>was 30890000
HS500</t>
        </r>
      </text>
    </comment>
    <comment ref="C39" authorId="0" shapeId="0" xr:uid="{00000000-0006-0000-1F00-00007A000000}">
      <text>
        <r>
          <rPr>
            <sz val="12"/>
            <color theme="1"/>
            <rFont val="Aptos Narrow"/>
            <family val="2"/>
            <scheme val="minor"/>
          </rPr>
          <t>W7 30.890</t>
        </r>
      </text>
    </comment>
    <comment ref="D39" authorId="1" shapeId="0" xr:uid="{00000000-0006-0000-1F00-00007B000000}">
      <text>
        <r>
          <rPr>
            <sz val="12"/>
            <color theme="1"/>
            <rFont val="Aptos Narrow"/>
            <family val="2"/>
            <scheme val="minor"/>
          </rPr>
          <t>Việt Hoàng:
Last week:
31.390.000</t>
        </r>
      </text>
    </comment>
    <comment ref="F39" authorId="5" shapeId="0" xr:uid="{00000000-0006-0000-1F00-00007C000000}">
      <text>
        <r>
          <rPr>
            <sz val="12"/>
            <color theme="1"/>
            <rFont val="Aptos Narrow"/>
            <family val="2"/>
            <scheme val="minor"/>
          </rPr>
          <t>chit trang:
30.990.000</t>
        </r>
      </text>
    </comment>
    <comment ref="B40" authorId="0" shapeId="0" xr:uid="{00000000-0006-0000-1F00-00007D000000}">
      <text>
        <r>
          <rPr>
            <sz val="12"/>
            <color theme="1"/>
            <rFont val="Aptos Narrow"/>
            <family val="2"/>
            <scheme val="minor"/>
          </rPr>
          <t>was 36690000</t>
        </r>
      </text>
    </comment>
    <comment ref="C40" authorId="0" shapeId="0" xr:uid="{00000000-0006-0000-1F00-00007E000000}">
      <text>
        <r>
          <rPr>
            <sz val="12"/>
            <color theme="1"/>
            <rFont val="Aptos Narrow"/>
            <family val="2"/>
            <scheme val="minor"/>
          </rPr>
          <t>W7 36.690</t>
        </r>
      </text>
    </comment>
  </commentList>
</comments>
</file>

<file path=xl/comments33.xml><?xml version="1.0" encoding="utf-8"?>
<comments xmlns="http://schemas.openxmlformats.org/spreadsheetml/2006/main" xmlns:mc="http://schemas.openxmlformats.org/markup-compatibility/2006" xmlns:xr="http://schemas.microsoft.com/office/spreadsheetml/2014/revision" mc:Ignorable="xr">
  <authors>
    <author>Microsoft Office User</author>
    <author>Sheva Son</author>
    <author>Người dùng Khách</author>
    <author>Tran Dat</author>
    <author>Việt Hoàng</author>
    <author>chit trang</author>
    <author>Duy</author>
  </authors>
  <commentList>
    <comment ref="B2" authorId="0" shapeId="0" xr:uid="{00000000-0006-0000-2000-000001000000}">
      <text>
        <r>
          <rPr>
            <sz val="12"/>
            <color theme="1"/>
            <rFont val="Aptos Narrow"/>
            <family val="2"/>
            <scheme val="minor"/>
          </rPr>
          <t>was 22290000
Bán theo màu chênh tối đa 300</t>
        </r>
      </text>
    </comment>
    <comment ref="C2" authorId="0" shapeId="0" xr:uid="{00000000-0006-0000-2000-000002000000}">
      <text>
        <r>
          <rPr>
            <sz val="12"/>
            <color theme="1"/>
            <rFont val="Aptos Narrow"/>
            <family val="2"/>
            <scheme val="minor"/>
          </rPr>
          <t xml:space="preserve">W8 22.290
</t>
        </r>
      </text>
    </comment>
    <comment ref="E2" authorId="1" shapeId="0" xr:uid="{00000000-0006-0000-2000-000003000000}">
      <text>
        <r>
          <rPr>
            <sz val="12"/>
            <color theme="1"/>
            <rFont val="Aptos Narrow"/>
            <family val="2"/>
            <scheme val="minor"/>
          </rPr>
          <t>Last week is: 21.690K
Giảm 500K (đã trừ vào giá, ko kèm CTKM đổi điểm VT++).
Đổi điểm Viettel++ lên tới 6000K</t>
        </r>
      </text>
    </comment>
    <comment ref="F2" authorId="2" shapeId="0" xr:uid="{00000000-0006-0000-2000-000004000000}">
      <text>
        <r>
          <rPr>
            <sz val="12"/>
            <color theme="1"/>
            <rFont val="Aptos Narrow"/>
            <family val="2"/>
            <scheme val="minor"/>
          </rPr>
          <t>Người dùng Không xác định:
21.490.000</t>
        </r>
      </text>
    </comment>
    <comment ref="G2" authorId="3" shapeId="0" xr:uid="{00000000-0006-0000-2000-000005000000}">
      <text>
        <r>
          <rPr>
            <sz val="12"/>
            <color theme="1"/>
            <rFont val="Aptos Narrow"/>
            <family val="2"/>
            <scheme val="minor"/>
          </rPr>
          <t>Tran Dat:
21.690</t>
        </r>
      </text>
    </comment>
    <comment ref="B3" authorId="0" shapeId="0" xr:uid="{00000000-0006-0000-2000-000006000000}">
      <text>
        <r>
          <rPr>
            <sz val="12"/>
            <color theme="1"/>
            <rFont val="Aptos Narrow"/>
            <family val="2"/>
            <scheme val="minor"/>
          </rPr>
          <t>was 25690000</t>
        </r>
      </text>
    </comment>
    <comment ref="C3" authorId="0" shapeId="0" xr:uid="{00000000-0006-0000-2000-000007000000}">
      <text>
        <r>
          <rPr>
            <sz val="12"/>
            <color theme="1"/>
            <rFont val="Aptos Narrow"/>
            <family val="2"/>
            <scheme val="minor"/>
          </rPr>
          <t>W8 25.690</t>
        </r>
      </text>
    </comment>
    <comment ref="D3" authorId="4" shapeId="0" xr:uid="{00000000-0006-0000-2000-000008000000}">
      <text>
        <r>
          <rPr>
            <sz val="12"/>
            <color theme="1"/>
            <rFont val="Aptos Narrow"/>
            <family val="2"/>
            <scheme val="minor"/>
          </rPr>
          <t>Việt Hoàng:
Last week:
25.090.000</t>
        </r>
      </text>
    </comment>
    <comment ref="E3" authorId="1" shapeId="0" xr:uid="{00000000-0006-0000-2000-000009000000}">
      <text>
        <r>
          <rPr>
            <sz val="12"/>
            <color theme="1"/>
            <rFont val="Aptos Narrow"/>
            <family val="2"/>
            <scheme val="minor"/>
          </rPr>
          <t xml:space="preserve">Last week is: 24.890K
Giảm 500K (đã trừ vào giá, ko kèm CTKM đổi điểm VT++).
Đổi điểm Viettel++ lên tới 6000K
</t>
        </r>
      </text>
    </comment>
    <comment ref="G3" authorId="3" shapeId="0" xr:uid="{00000000-0006-0000-2000-00000A000000}">
      <text>
        <r>
          <rPr>
            <sz val="12"/>
            <color theme="1"/>
            <rFont val="Aptos Narrow"/>
            <family val="2"/>
            <scheme val="minor"/>
          </rPr>
          <t>Tran Dat:
24.990.000</t>
        </r>
      </text>
    </comment>
    <comment ref="B4" authorId="0" shapeId="0" xr:uid="{00000000-0006-0000-2000-00000B000000}">
      <text>
        <r>
          <rPr>
            <sz val="12"/>
            <color theme="1"/>
            <rFont val="Aptos Narrow"/>
            <family val="2"/>
            <scheme val="minor"/>
          </rPr>
          <t>was 28890</t>
        </r>
      </text>
    </comment>
    <comment ref="C4" authorId="0" shapeId="0" xr:uid="{00000000-0006-0000-2000-00000C000000}">
      <text>
        <r>
          <rPr>
            <sz val="12"/>
            <color theme="1"/>
            <rFont val="Aptos Narrow"/>
            <family val="2"/>
            <scheme val="minor"/>
          </rPr>
          <t>W8 28.890</t>
        </r>
      </text>
    </comment>
    <comment ref="D4" authorId="4" shapeId="0" xr:uid="{00000000-0006-0000-2000-00000D000000}">
      <text>
        <r>
          <rPr>
            <sz val="12"/>
            <color theme="1"/>
            <rFont val="Aptos Narrow"/>
            <family val="2"/>
            <scheme val="minor"/>
          </rPr>
          <t>Việt Hoàng:
Last week was:
28.090.000</t>
        </r>
      </text>
    </comment>
    <comment ref="E4" authorId="0" shapeId="0" xr:uid="{00000000-0006-0000-2000-00000E000000}">
      <text>
        <r>
          <rPr>
            <sz val="12"/>
            <color theme="1"/>
            <rFont val="Aptos Narrow"/>
            <family val="2"/>
            <scheme val="minor"/>
          </rPr>
          <t xml:space="preserve">Last week was: 27.990K
Nhập mã VTQR300 tặng 1% tối đa 300K cho đơn hàng có giá trị từ 3M trở lên khi thanh toán qua VNPAY-QR. </t>
        </r>
      </text>
    </comment>
    <comment ref="F4" authorId="5" shapeId="0" xr:uid="{00000000-0006-0000-2000-00000F000000}">
      <text>
        <r>
          <rPr>
            <sz val="12"/>
            <color theme="1"/>
            <rFont val="Aptos Narrow"/>
            <family val="2"/>
            <scheme val="minor"/>
          </rPr>
          <t>chit trang:
28.290.000</t>
        </r>
      </text>
    </comment>
    <comment ref="G4" authorId="3" shapeId="0" xr:uid="{00000000-0006-0000-2000-000010000000}">
      <text>
        <r>
          <rPr>
            <sz val="12"/>
            <color theme="1"/>
            <rFont val="Aptos Narrow"/>
            <family val="2"/>
            <scheme val="minor"/>
          </rPr>
          <t xml:space="preserve">Tran Dat:
28.290.000
</t>
        </r>
      </text>
    </comment>
    <comment ref="B5" authorId="0" shapeId="0" xr:uid="{00000000-0006-0000-2000-000011000000}">
      <text>
        <r>
          <rPr>
            <sz val="12"/>
            <color theme="1"/>
            <rFont val="Aptos Narrow"/>
            <family val="2"/>
            <scheme val="minor"/>
          </rPr>
          <t>was 34490
Bỏ vnp</t>
        </r>
      </text>
    </comment>
    <comment ref="C5" authorId="0" shapeId="0" xr:uid="{00000000-0006-0000-2000-000012000000}">
      <text>
        <r>
          <rPr>
            <sz val="12"/>
            <color theme="1"/>
            <rFont val="Aptos Narrow"/>
            <family val="2"/>
            <scheme val="minor"/>
          </rPr>
          <t>W8 34.490</t>
        </r>
      </text>
    </comment>
    <comment ref="D5" authorId="4" shapeId="0" xr:uid="{00000000-0006-0000-2000-000013000000}">
      <text>
        <r>
          <rPr>
            <sz val="12"/>
            <color theme="1"/>
            <rFont val="Aptos Narrow"/>
            <family val="2"/>
            <scheme val="minor"/>
          </rPr>
          <t>Việt Hoàng:
Last week:
33.590.000</t>
        </r>
      </text>
    </comment>
    <comment ref="E5" authorId="1" shapeId="0" xr:uid="{00000000-0006-0000-2000-000014000000}">
      <text>
        <r>
          <rPr>
            <sz val="12"/>
            <color theme="1"/>
            <rFont val="Aptos Narrow"/>
            <family val="2"/>
            <scheme val="minor"/>
          </rPr>
          <t xml:space="preserve">Last week is: 33.490K
Từ 27-30/11 giá Black Friday cho các màu bản 256GB là 32.990K
</t>
        </r>
      </text>
    </comment>
    <comment ref="F5" authorId="5" shapeId="0" xr:uid="{00000000-0006-0000-2000-000015000000}">
      <text>
        <r>
          <rPr>
            <sz val="12"/>
            <color theme="1"/>
            <rFont val="Aptos Narrow"/>
            <family val="2"/>
            <scheme val="minor"/>
          </rPr>
          <t>chit trang:
33.490.000</t>
        </r>
      </text>
    </comment>
    <comment ref="B6" authorId="0" shapeId="0" xr:uid="{00000000-0006-0000-2000-000016000000}">
      <text>
        <r>
          <rPr>
            <sz val="12"/>
            <color theme="1"/>
            <rFont val="Aptos Narrow"/>
            <family val="2"/>
            <scheme val="minor"/>
          </rPr>
          <t>was 19890000</t>
        </r>
      </text>
    </comment>
    <comment ref="C6" authorId="0" shapeId="0" xr:uid="{00000000-0006-0000-2000-000017000000}">
      <text>
        <r>
          <rPr>
            <sz val="12"/>
            <color theme="1"/>
            <rFont val="Aptos Narrow"/>
            <family val="2"/>
            <scheme val="minor"/>
          </rPr>
          <t>W8 19.890</t>
        </r>
      </text>
    </comment>
    <comment ref="E6" authorId="1" shapeId="0" xr:uid="{00000000-0006-0000-2000-000018000000}">
      <text>
        <r>
          <rPr>
            <sz val="12"/>
            <color theme="1"/>
            <rFont val="Aptos Narrow"/>
            <family val="2"/>
            <scheme val="minor"/>
          </rPr>
          <t xml:space="preserve">Last week is: 19.190K
Giảm ngay 200,000đ cho khách hàng mua gói cước 3V200B </t>
        </r>
      </text>
    </comment>
    <comment ref="B7" authorId="0" shapeId="0" xr:uid="{00000000-0006-0000-2000-000019000000}">
      <text>
        <r>
          <rPr>
            <sz val="12"/>
            <color theme="1"/>
            <rFont val="Aptos Narrow"/>
            <family val="2"/>
            <scheme val="minor"/>
          </rPr>
          <t>was 22890000</t>
        </r>
      </text>
    </comment>
    <comment ref="C7" authorId="0" shapeId="0" xr:uid="{00000000-0006-0000-2000-00001A000000}">
      <text>
        <r>
          <rPr>
            <sz val="12"/>
            <color theme="1"/>
            <rFont val="Aptos Narrow"/>
            <family val="2"/>
            <scheme val="minor"/>
          </rPr>
          <t>W8 22.890</t>
        </r>
      </text>
    </comment>
    <comment ref="E7" authorId="1" shapeId="0" xr:uid="{00000000-0006-0000-2000-00001B000000}">
      <text>
        <r>
          <rPr>
            <sz val="12"/>
            <color theme="1"/>
            <rFont val="Aptos Narrow"/>
            <family val="2"/>
            <scheme val="minor"/>
          </rPr>
          <t xml:space="preserve">Last week is: 21.990K
Giảm ngay 200,000đ cho khách hàng mua gói cước 3V200B </t>
        </r>
      </text>
    </comment>
    <comment ref="D9" authorId="4" shapeId="0" xr:uid="{00000000-0006-0000-2000-00001C000000}">
      <text>
        <r>
          <rPr>
            <sz val="12"/>
            <color theme="1"/>
            <rFont val="Aptos Narrow"/>
            <family val="2"/>
            <scheme val="minor"/>
          </rPr>
          <t>Việt Hoàng:
Last week:
29.590.000</t>
        </r>
      </text>
    </comment>
    <comment ref="E9" authorId="1" shapeId="0" xr:uid="{00000000-0006-0000-2000-00001D000000}">
      <text>
        <r>
          <rPr>
            <sz val="12"/>
            <color theme="1"/>
            <rFont val="Aptos Narrow"/>
            <family val="2"/>
            <scheme val="minor"/>
          </rPr>
          <t xml:space="preserve">Last week was: 28.490.000
</t>
        </r>
      </text>
    </comment>
    <comment ref="B10" authorId="0" shapeId="0" xr:uid="{00000000-0006-0000-2000-00001E000000}">
      <text>
        <r>
          <rPr>
            <sz val="12"/>
            <color theme="1"/>
            <rFont val="Aptos Narrow"/>
            <family val="2"/>
            <scheme val="minor"/>
          </rPr>
          <t>was 20090000</t>
        </r>
      </text>
    </comment>
    <comment ref="C10" authorId="0" shapeId="0" xr:uid="{00000000-0006-0000-2000-00001F000000}">
      <text>
        <r>
          <rPr>
            <sz val="12"/>
            <color theme="1"/>
            <rFont val="Aptos Narrow"/>
            <family val="2"/>
            <scheme val="minor"/>
          </rPr>
          <t>W8 20.090</t>
        </r>
      </text>
    </comment>
    <comment ref="D10" authorId="4" shapeId="0" xr:uid="{00000000-0006-0000-2000-000020000000}">
      <text>
        <r>
          <rPr>
            <sz val="12"/>
            <color theme="1"/>
            <rFont val="Aptos Narrow"/>
            <family val="2"/>
            <scheme val="minor"/>
          </rPr>
          <t>Việt Hoàng:
Last week:
20.090.000</t>
        </r>
      </text>
    </comment>
    <comment ref="E10" authorId="1" shapeId="0" xr:uid="{00000000-0006-0000-2000-000021000000}">
      <text>
        <r>
          <rPr>
            <sz val="12"/>
            <color theme="1"/>
            <rFont val="Aptos Narrow"/>
            <family val="2"/>
            <scheme val="minor"/>
          </rPr>
          <t xml:space="preserve">Chỉ còn màu Purple, Blue, White số lượng ít
</t>
        </r>
      </text>
    </comment>
    <comment ref="B11" authorId="0" shapeId="0" xr:uid="{00000000-0006-0000-2000-000022000000}">
      <text>
        <r>
          <rPr>
            <sz val="12"/>
            <color theme="1"/>
            <rFont val="Aptos Narrow"/>
            <family val="2"/>
            <scheme val="minor"/>
          </rPr>
          <t>was 17490000</t>
        </r>
      </text>
    </comment>
    <comment ref="C11" authorId="0" shapeId="0" xr:uid="{00000000-0006-0000-2000-000023000000}">
      <text>
        <r>
          <rPr>
            <sz val="12"/>
            <color theme="1"/>
            <rFont val="Aptos Narrow"/>
            <family val="2"/>
            <scheme val="minor"/>
          </rPr>
          <t>W8 17.490</t>
        </r>
      </text>
    </comment>
    <comment ref="D11" authorId="4" shapeId="0" xr:uid="{00000000-0006-0000-2000-000024000000}">
      <text>
        <r>
          <rPr>
            <sz val="12"/>
            <color theme="1"/>
            <rFont val="Aptos Narrow"/>
            <family val="2"/>
            <scheme val="minor"/>
          </rPr>
          <t>Việt Hoàng:
Last week was:
17.390.000</t>
        </r>
      </text>
    </comment>
    <comment ref="B12" authorId="0" shapeId="0" xr:uid="{00000000-0006-0000-2000-000025000000}">
      <text>
        <r>
          <rPr>
            <sz val="12"/>
            <color theme="1"/>
            <rFont val="Aptos Narrow"/>
            <family val="2"/>
            <scheme val="minor"/>
          </rPr>
          <t>was 13490000</t>
        </r>
      </text>
    </comment>
    <comment ref="C12" authorId="0" shapeId="0" xr:uid="{00000000-0006-0000-2000-000026000000}">
      <text>
        <r>
          <rPr>
            <sz val="12"/>
            <color theme="1"/>
            <rFont val="Aptos Narrow"/>
            <family val="2"/>
            <scheme val="minor"/>
          </rPr>
          <t>W8 13.490</t>
        </r>
      </text>
    </comment>
    <comment ref="D12" authorId="4" shapeId="0" xr:uid="{00000000-0006-0000-2000-000027000000}">
      <text>
        <r>
          <rPr>
            <sz val="12"/>
            <color theme="1"/>
            <rFont val="Aptos Narrow"/>
            <family val="2"/>
            <scheme val="minor"/>
          </rPr>
          <t>Việt Hoàng:
Last week:
13.390.000</t>
        </r>
      </text>
    </comment>
    <comment ref="E12" authorId="1" shapeId="0" xr:uid="{00000000-0006-0000-2000-000028000000}">
      <text>
        <r>
          <rPr>
            <sz val="12"/>
            <color theme="1"/>
            <rFont val="Aptos Narrow"/>
            <family val="2"/>
            <scheme val="minor"/>
          </rPr>
          <t>Giảm 300K cho màu Đen và Starlight</t>
        </r>
      </text>
    </comment>
    <comment ref="F12" authorId="5" shapeId="0" xr:uid="{00000000-0006-0000-2000-000029000000}">
      <text>
        <r>
          <rPr>
            <sz val="12"/>
            <color theme="1"/>
            <rFont val="Aptos Narrow"/>
            <family val="2"/>
            <scheme val="minor"/>
          </rPr>
          <t>chit trang:
13.390.000</t>
        </r>
      </text>
    </comment>
    <comment ref="G12" authorId="3" shapeId="0" xr:uid="{00000000-0006-0000-2000-00002A000000}">
      <text>
        <r>
          <rPr>
            <sz val="12"/>
            <color theme="1"/>
            <rFont val="Aptos Narrow"/>
            <family val="2"/>
            <scheme val="minor"/>
          </rPr>
          <t>Tran Dat:
13.390</t>
        </r>
      </text>
    </comment>
    <comment ref="D14" authorId="4" shapeId="0" xr:uid="{00000000-0006-0000-2000-00002B000000}">
      <text>
        <r>
          <rPr>
            <sz val="12"/>
            <color theme="1"/>
            <rFont val="Aptos Narrow"/>
            <family val="2"/>
            <scheme val="minor"/>
          </rPr>
          <t>Việt Hoàng:
Last week:
8.990.000</t>
        </r>
      </text>
    </comment>
    <comment ref="E14" authorId="1" shapeId="0" xr:uid="{00000000-0006-0000-2000-00002C000000}">
      <text>
        <r>
          <rPr>
            <sz val="12"/>
            <color theme="1"/>
            <rFont val="Aptos Narrow"/>
            <family val="2"/>
            <scheme val="minor"/>
          </rPr>
          <t xml:space="preserve">Giảm 200K khi mua Online (đã trừ vào giá)
Trợ giá 4G giảm 300K đã trừ vào giá
</t>
        </r>
      </text>
    </comment>
    <comment ref="F14" authorId="5" shapeId="0" xr:uid="{00000000-0006-0000-2000-00002D000000}">
      <text>
        <r>
          <rPr>
            <sz val="12"/>
            <color theme="1"/>
            <rFont val="Aptos Narrow"/>
            <family val="2"/>
            <scheme val="minor"/>
          </rPr>
          <t>chit trang:
8.790.000</t>
        </r>
      </text>
    </comment>
    <comment ref="B16" authorId="0" shapeId="0" xr:uid="{00000000-0006-0000-2000-00002E000000}">
      <text>
        <r>
          <rPr>
            <sz val="12"/>
            <color theme="1"/>
            <rFont val="Aptos Narrow"/>
            <family val="2"/>
            <scheme val="minor"/>
          </rPr>
          <t>was 9190000</t>
        </r>
      </text>
    </comment>
    <comment ref="C16" authorId="0" shapeId="0" xr:uid="{00000000-0006-0000-2000-00002F000000}">
      <text>
        <r>
          <rPr>
            <sz val="12"/>
            <color theme="1"/>
            <rFont val="Aptos Narrow"/>
            <family val="2"/>
            <scheme val="minor"/>
          </rPr>
          <t>W8 9.190</t>
        </r>
      </text>
    </comment>
    <comment ref="E16" authorId="1" shapeId="0" xr:uid="{00000000-0006-0000-2000-000030000000}">
      <text>
        <r>
          <rPr>
            <sz val="12"/>
            <color theme="1"/>
            <rFont val="Aptos Narrow"/>
            <family val="2"/>
            <scheme val="minor"/>
          </rPr>
          <t xml:space="preserve">Last week is: 8.690K
Giảm 200K cho khách mua Online
</t>
        </r>
      </text>
    </comment>
    <comment ref="F16" authorId="5" shapeId="0" xr:uid="{00000000-0006-0000-2000-000031000000}">
      <text>
        <r>
          <rPr>
            <sz val="12"/>
            <color theme="1"/>
            <rFont val="Aptos Narrow"/>
            <family val="2"/>
            <scheme val="minor"/>
          </rPr>
          <t>chit trang:
8.750.000</t>
        </r>
      </text>
    </comment>
    <comment ref="E17" authorId="1" shapeId="0" xr:uid="{00000000-0006-0000-2000-000032000000}">
      <text>
        <r>
          <rPr>
            <sz val="12"/>
            <color theme="1"/>
            <rFont val="Aptos Narrow"/>
            <family val="2"/>
            <scheme val="minor"/>
          </rPr>
          <t>Giảm 10% tối đa 120K khi mở ví VNPAY</t>
        </r>
      </text>
    </comment>
    <comment ref="B18" authorId="0" shapeId="0" xr:uid="{00000000-0006-0000-2000-000033000000}">
      <text>
        <r>
          <rPr>
            <sz val="12"/>
            <color theme="1"/>
            <rFont val="Aptos Narrow"/>
            <family val="2"/>
            <scheme val="minor"/>
          </rPr>
          <t>was 15090000</t>
        </r>
      </text>
    </comment>
    <comment ref="E18" authorId="1" shapeId="0" xr:uid="{00000000-0006-0000-2000-000034000000}">
      <text>
        <r>
          <rPr>
            <sz val="12"/>
            <color theme="1"/>
            <rFont val="Aptos Narrow"/>
            <family val="2"/>
            <scheme val="minor"/>
          </rPr>
          <t>Last week is: 15.190K
Voucher giảm 1% tối đa 300K VNPAY</t>
        </r>
      </text>
    </comment>
    <comment ref="G18" authorId="3" shapeId="0" xr:uid="{00000000-0006-0000-2000-000035000000}">
      <text>
        <r>
          <rPr>
            <sz val="12"/>
            <color theme="1"/>
            <rFont val="Aptos Narrow"/>
            <family val="2"/>
            <scheme val="minor"/>
          </rPr>
          <t xml:space="preserve">Tran Dat:
14.790
</t>
        </r>
      </text>
    </comment>
    <comment ref="B19" authorId="0" shapeId="0" xr:uid="{00000000-0006-0000-2000-000036000000}">
      <text>
        <r>
          <rPr>
            <sz val="12"/>
            <color theme="1"/>
            <rFont val="Aptos Narrow"/>
            <family val="2"/>
            <scheme val="minor"/>
          </rPr>
          <t>was 20840000</t>
        </r>
      </text>
    </comment>
    <comment ref="E19" authorId="1" shapeId="0" xr:uid="{00000000-0006-0000-2000-000037000000}">
      <text>
        <r>
          <rPr>
            <sz val="12"/>
            <color theme="1"/>
            <rFont val="Aptos Narrow"/>
            <family val="2"/>
            <scheme val="minor"/>
          </rPr>
          <t>Last week is: 21.190K
Voucher giảm 10% tối đa 300K VNPAY</t>
        </r>
      </text>
    </comment>
    <comment ref="B20" authorId="0" shapeId="0" xr:uid="{00000000-0006-0000-2000-000038000000}">
      <text>
        <r>
          <rPr>
            <sz val="12"/>
            <color theme="1"/>
            <rFont val="Aptos Narrow"/>
            <family val="2"/>
            <scheme val="minor"/>
          </rPr>
          <t>was 27490000</t>
        </r>
      </text>
    </comment>
    <comment ref="E20" authorId="1" shapeId="0" xr:uid="{00000000-0006-0000-2000-000039000000}">
      <text>
        <r>
          <rPr>
            <sz val="12"/>
            <color theme="1"/>
            <rFont val="Aptos Narrow"/>
            <family val="2"/>
            <scheme val="minor"/>
          </rPr>
          <t xml:space="preserve">Last week is: 26.890K
</t>
        </r>
      </text>
    </comment>
    <comment ref="B21" authorId="0" shapeId="0" xr:uid="{00000000-0006-0000-2000-00003A000000}">
      <text>
        <r>
          <rPr>
            <sz val="12"/>
            <color theme="1"/>
            <rFont val="Aptos Narrow"/>
            <family val="2"/>
            <scheme val="minor"/>
          </rPr>
          <t>was 36790000</t>
        </r>
      </text>
    </comment>
    <comment ref="B22" authorId="0" shapeId="0" xr:uid="{00000000-0006-0000-2000-00003B000000}">
      <text>
        <r>
          <rPr>
            <sz val="12"/>
            <color theme="1"/>
            <rFont val="Aptos Narrow"/>
            <family val="2"/>
            <scheme val="minor"/>
          </rPr>
          <t>was 5990000</t>
        </r>
      </text>
    </comment>
    <comment ref="C22" authorId="0" shapeId="0" xr:uid="{00000000-0006-0000-2000-00003C000000}">
      <text>
        <r>
          <rPr>
            <sz val="12"/>
            <color theme="1"/>
            <rFont val="Aptos Narrow"/>
            <family val="2"/>
            <scheme val="minor"/>
          </rPr>
          <t>W8 5.990</t>
        </r>
      </text>
    </comment>
    <comment ref="D22" authorId="4" shapeId="0" xr:uid="{00000000-0006-0000-2000-00003D000000}">
      <text>
        <r>
          <rPr>
            <sz val="12"/>
            <color theme="1"/>
            <rFont val="Aptos Narrow"/>
            <family val="2"/>
            <scheme val="minor"/>
          </rPr>
          <t>Việt Hoàng:
Last week:
5.890.000</t>
        </r>
      </text>
    </comment>
    <comment ref="F22" authorId="5" shapeId="0" xr:uid="{00000000-0006-0000-2000-00003E000000}">
      <text>
        <r>
          <rPr>
            <sz val="12"/>
            <color theme="1"/>
            <rFont val="Aptos Narrow"/>
            <family val="2"/>
            <scheme val="minor"/>
          </rPr>
          <t>chit trang:
5.990.000</t>
        </r>
      </text>
    </comment>
    <comment ref="B23" authorId="0" shapeId="0" xr:uid="{00000000-0006-0000-2000-00003F000000}">
      <text>
        <r>
          <rPr>
            <sz val="12"/>
            <color theme="1"/>
            <rFont val="Aptos Narrow"/>
            <family val="2"/>
            <scheme val="minor"/>
          </rPr>
          <t>was 7290000</t>
        </r>
      </text>
    </comment>
    <comment ref="C23" authorId="0" shapeId="0" xr:uid="{00000000-0006-0000-2000-000040000000}">
      <text>
        <r>
          <rPr>
            <sz val="12"/>
            <color theme="1"/>
            <rFont val="Aptos Narrow"/>
            <family val="2"/>
            <scheme val="minor"/>
          </rPr>
          <t>W8 7.290</t>
        </r>
      </text>
    </comment>
    <comment ref="D23" authorId="4" shapeId="0" xr:uid="{00000000-0006-0000-2000-000041000000}">
      <text>
        <r>
          <rPr>
            <sz val="12"/>
            <color theme="1"/>
            <rFont val="Aptos Narrow"/>
            <family val="2"/>
            <scheme val="minor"/>
          </rPr>
          <t>Việt Hoàng:
Last week:
7.190.000</t>
        </r>
      </text>
    </comment>
    <comment ref="B24" authorId="0" shapeId="0" xr:uid="{00000000-0006-0000-2000-000042000000}">
      <text>
        <r>
          <rPr>
            <sz val="12"/>
            <color theme="1"/>
            <rFont val="Aptos Narrow"/>
            <family val="2"/>
            <scheme val="minor"/>
          </rPr>
          <t>was 6790000</t>
        </r>
      </text>
    </comment>
    <comment ref="C24" authorId="0" shapeId="0" xr:uid="{00000000-0006-0000-2000-000043000000}">
      <text>
        <r>
          <rPr>
            <sz val="12"/>
            <color theme="1"/>
            <rFont val="Aptos Narrow"/>
            <family val="2"/>
            <scheme val="minor"/>
          </rPr>
          <t>W8 6.790</t>
        </r>
      </text>
    </comment>
    <comment ref="D24" authorId="4" shapeId="0" xr:uid="{00000000-0006-0000-2000-000044000000}">
      <text>
        <r>
          <rPr>
            <sz val="12"/>
            <color theme="1"/>
            <rFont val="Aptos Narrow"/>
            <family val="2"/>
            <scheme val="minor"/>
          </rPr>
          <t>Việt Hoàng:
Last week:
6.690.000</t>
        </r>
      </text>
    </comment>
    <comment ref="B25" authorId="0" shapeId="0" xr:uid="{00000000-0006-0000-2000-000045000000}">
      <text>
        <r>
          <rPr>
            <sz val="12"/>
            <color theme="1"/>
            <rFont val="Aptos Narrow"/>
            <family val="2"/>
            <scheme val="minor"/>
          </rPr>
          <t>was 7990000</t>
        </r>
      </text>
    </comment>
    <comment ref="C25" authorId="0" shapeId="0" xr:uid="{00000000-0006-0000-2000-000046000000}">
      <text>
        <r>
          <rPr>
            <sz val="12"/>
            <color theme="1"/>
            <rFont val="Aptos Narrow"/>
            <family val="2"/>
            <scheme val="minor"/>
          </rPr>
          <t>W8 7.990</t>
        </r>
      </text>
    </comment>
    <comment ref="D25" authorId="4" shapeId="0" xr:uid="{00000000-0006-0000-2000-000047000000}">
      <text>
        <r>
          <rPr>
            <sz val="12"/>
            <color theme="1"/>
            <rFont val="Aptos Narrow"/>
            <family val="2"/>
            <scheme val="minor"/>
          </rPr>
          <t>Việt Hoàng:
Last week:
7.990.000</t>
        </r>
      </text>
    </comment>
    <comment ref="B26" authorId="0" shapeId="0" xr:uid="{00000000-0006-0000-2000-000048000000}">
      <text>
        <r>
          <rPr>
            <sz val="12"/>
            <color theme="1"/>
            <rFont val="Aptos Narrow"/>
            <family val="2"/>
            <scheme val="minor"/>
          </rPr>
          <t>was 10990000</t>
        </r>
      </text>
    </comment>
    <comment ref="C26" authorId="0" shapeId="0" xr:uid="{00000000-0006-0000-2000-000049000000}">
      <text>
        <r>
          <rPr>
            <sz val="12"/>
            <color theme="1"/>
            <rFont val="Aptos Narrow"/>
            <family val="2"/>
            <scheme val="minor"/>
          </rPr>
          <t>W8 10.990</t>
        </r>
      </text>
    </comment>
    <comment ref="D26" authorId="4" shapeId="0" xr:uid="{00000000-0006-0000-2000-00004A000000}">
      <text>
        <r>
          <rPr>
            <sz val="12"/>
            <color theme="1"/>
            <rFont val="Aptos Narrow"/>
            <family val="2"/>
            <scheme val="minor"/>
          </rPr>
          <t>Việt Hoàng:
Last week:
10.990.000</t>
        </r>
      </text>
    </comment>
    <comment ref="E26" authorId="1" shapeId="0" xr:uid="{00000000-0006-0000-2000-00004B000000}">
      <text>
        <r>
          <rPr>
            <sz val="12"/>
            <color theme="1"/>
            <rFont val="Aptos Narrow"/>
            <family val="2"/>
            <scheme val="minor"/>
          </rPr>
          <t xml:space="preserve">Giảm 500K cho khách Pre-oder
</t>
        </r>
      </text>
    </comment>
    <comment ref="B27" authorId="0" shapeId="0" xr:uid="{00000000-0006-0000-2000-00004C000000}">
      <text>
        <r>
          <rPr>
            <sz val="12"/>
            <color theme="1"/>
            <rFont val="Aptos Narrow"/>
            <family val="2"/>
            <scheme val="minor"/>
          </rPr>
          <t>was 13590000</t>
        </r>
      </text>
    </comment>
    <comment ref="C27" authorId="0" shapeId="0" xr:uid="{00000000-0006-0000-2000-00004D000000}">
      <text>
        <r>
          <rPr>
            <sz val="12"/>
            <color theme="1"/>
            <rFont val="Aptos Narrow"/>
            <family val="2"/>
            <scheme val="minor"/>
          </rPr>
          <t>W8 13.590</t>
        </r>
      </text>
    </comment>
    <comment ref="E27" authorId="1" shapeId="0" xr:uid="{00000000-0006-0000-2000-00004E000000}">
      <text>
        <r>
          <rPr>
            <sz val="12"/>
            <color theme="1"/>
            <rFont val="Aptos Narrow"/>
            <family val="2"/>
            <scheme val="minor"/>
          </rPr>
          <t>Last week is: 13.590K</t>
        </r>
      </text>
    </comment>
    <comment ref="E28" authorId="1" shapeId="0" xr:uid="{00000000-0006-0000-2000-00004F000000}">
      <text>
        <r>
          <rPr>
            <sz val="12"/>
            <color theme="1"/>
            <rFont val="Aptos Narrow"/>
            <family val="2"/>
            <scheme val="minor"/>
          </rPr>
          <t>Last week is: 11.790K</t>
        </r>
      </text>
    </comment>
    <comment ref="E29" authorId="1" shapeId="0" xr:uid="{00000000-0006-0000-2000-000050000000}">
      <text>
        <r>
          <rPr>
            <sz val="12"/>
            <color theme="1"/>
            <rFont val="Aptos Narrow"/>
            <family val="2"/>
            <scheme val="minor"/>
          </rPr>
          <t>Last week is: 14.390K</t>
        </r>
      </text>
    </comment>
    <comment ref="B31" authorId="0" shapeId="0" xr:uid="{00000000-0006-0000-2000-000051000000}">
      <text>
        <r>
          <rPr>
            <sz val="12"/>
            <color theme="1"/>
            <rFont val="Aptos Narrow"/>
            <family val="2"/>
            <scheme val="minor"/>
          </rPr>
          <t>was 5790000</t>
        </r>
      </text>
    </comment>
    <comment ref="C31" authorId="0" shapeId="0" xr:uid="{00000000-0006-0000-2000-000052000000}">
      <text>
        <r>
          <rPr>
            <sz val="12"/>
            <color theme="1"/>
            <rFont val="Aptos Narrow"/>
            <family val="2"/>
            <scheme val="minor"/>
          </rPr>
          <t>W8 5.790</t>
        </r>
      </text>
    </comment>
    <comment ref="E31" authorId="1" shapeId="0" xr:uid="{00000000-0006-0000-2000-000053000000}">
      <text>
        <r>
          <rPr>
            <sz val="12"/>
            <color theme="1"/>
            <rFont val="Aptos Narrow"/>
            <family val="2"/>
            <scheme val="minor"/>
          </rPr>
          <t xml:space="preserve">Last week was: 5.520K
</t>
        </r>
      </text>
    </comment>
    <comment ref="B32" authorId="0" shapeId="0" xr:uid="{00000000-0006-0000-2000-000054000000}">
      <text>
        <r>
          <rPr>
            <sz val="12"/>
            <color theme="1"/>
            <rFont val="Aptos Narrow"/>
            <family val="2"/>
            <scheme val="minor"/>
          </rPr>
          <t>was 4790000</t>
        </r>
      </text>
    </comment>
    <comment ref="C32" authorId="0" shapeId="0" xr:uid="{00000000-0006-0000-2000-000055000000}">
      <text>
        <r>
          <rPr>
            <sz val="12"/>
            <color theme="1"/>
            <rFont val="Aptos Narrow"/>
            <family val="2"/>
            <scheme val="minor"/>
          </rPr>
          <t>W8 4.790</t>
        </r>
      </text>
    </comment>
    <comment ref="D32" authorId="4" shapeId="0" xr:uid="{00000000-0006-0000-2000-000056000000}">
      <text>
        <r>
          <rPr>
            <sz val="12"/>
            <color theme="1"/>
            <rFont val="Aptos Narrow"/>
            <family val="2"/>
            <scheme val="minor"/>
          </rPr>
          <t>Việt Hoàng:
Last week was:
4.790.000</t>
        </r>
      </text>
    </comment>
    <comment ref="E32" authorId="1" shapeId="0" xr:uid="{00000000-0006-0000-2000-000057000000}">
      <text>
        <r>
          <rPr>
            <sz val="12"/>
            <color theme="1"/>
            <rFont val="Aptos Narrow"/>
            <family val="2"/>
            <scheme val="minor"/>
          </rPr>
          <t>Last week was: 4.790K
Voucher giảm 1% tối đa 300K VNPAY</t>
        </r>
      </text>
    </comment>
    <comment ref="B33" authorId="0" shapeId="0" xr:uid="{00000000-0006-0000-2000-000058000000}">
      <text>
        <r>
          <rPr>
            <sz val="12"/>
            <color theme="1"/>
            <rFont val="Aptos Narrow"/>
            <family val="2"/>
            <scheme val="minor"/>
          </rPr>
          <t>was 3490000</t>
        </r>
      </text>
    </comment>
    <comment ref="C33" authorId="0" shapeId="0" xr:uid="{00000000-0006-0000-2000-000059000000}">
      <text>
        <r>
          <rPr>
            <sz val="12"/>
            <color theme="1"/>
            <rFont val="Aptos Narrow"/>
            <family val="2"/>
            <scheme val="minor"/>
          </rPr>
          <t>W8 3.490</t>
        </r>
      </text>
    </comment>
    <comment ref="D33" authorId="4" shapeId="0" xr:uid="{00000000-0006-0000-2000-00005A000000}">
      <text>
        <r>
          <rPr>
            <sz val="12"/>
            <color theme="1"/>
            <rFont val="Aptos Narrow"/>
            <family val="2"/>
            <scheme val="minor"/>
          </rPr>
          <t>Việt Hoàng:
Last week was:
3.490.000</t>
        </r>
      </text>
    </comment>
    <comment ref="E33" authorId="0" shapeId="0" xr:uid="{00000000-0006-0000-2000-00005B000000}">
      <text>
        <r>
          <rPr>
            <sz val="12"/>
            <color theme="1"/>
            <rFont val="Aptos Narrow"/>
            <family val="2"/>
            <scheme val="minor"/>
          </rPr>
          <t>was 3490000</t>
        </r>
      </text>
    </comment>
    <comment ref="F33" authorId="5" shapeId="0" xr:uid="{00000000-0006-0000-2000-00005C000000}">
      <text>
        <r>
          <rPr>
            <sz val="12"/>
            <color theme="1"/>
            <rFont val="Aptos Narrow"/>
            <family val="2"/>
            <scheme val="minor"/>
          </rPr>
          <t>chit trang:
3.360.000</t>
        </r>
      </text>
    </comment>
    <comment ref="E35" authorId="1" shapeId="0" xr:uid="{00000000-0006-0000-2000-00005D000000}">
      <text>
        <r>
          <rPr>
            <sz val="12"/>
            <color theme="1"/>
            <rFont val="Aptos Narrow"/>
            <family val="2"/>
            <scheme val="minor"/>
          </rPr>
          <t>Last week is: 2.690K</t>
        </r>
      </text>
    </comment>
    <comment ref="C36" authorId="6" shapeId="0" xr:uid="{00000000-0006-0000-2000-00005E000000}">
      <text>
        <r>
          <rPr>
            <sz val="12"/>
            <color theme="1"/>
            <rFont val="Aptos Narrow"/>
            <family val="2"/>
            <scheme val="minor"/>
          </rPr>
          <t>W8 18.190</t>
        </r>
      </text>
    </comment>
    <comment ref="D36" authorId="4" shapeId="0" xr:uid="{00000000-0006-0000-2000-00005F000000}">
      <text>
        <r>
          <rPr>
            <sz val="12"/>
            <color theme="1"/>
            <rFont val="Aptos Narrow"/>
            <family val="2"/>
            <scheme val="minor"/>
          </rPr>
          <t>Việt Hoàng:
Last week:
17.990.000</t>
        </r>
      </text>
    </comment>
    <comment ref="F36" authorId="5" shapeId="0" xr:uid="{00000000-0006-0000-2000-000060000000}">
      <text>
        <r>
          <rPr>
            <sz val="12"/>
            <color theme="1"/>
            <rFont val="Aptos Narrow"/>
            <family val="2"/>
            <scheme val="minor"/>
          </rPr>
          <t>chit trang:
18.090.000</t>
        </r>
      </text>
    </comment>
    <comment ref="G36" authorId="3" shapeId="0" xr:uid="{00000000-0006-0000-2000-000061000000}">
      <text>
        <r>
          <rPr>
            <sz val="12"/>
            <color theme="1"/>
            <rFont val="Aptos Narrow"/>
            <family val="2"/>
            <scheme val="minor"/>
          </rPr>
          <t>Tran Dat:
17490</t>
        </r>
      </text>
    </comment>
    <comment ref="B37" authorId="0" shapeId="0" xr:uid="{00000000-0006-0000-2000-000062000000}">
      <text>
        <r>
          <rPr>
            <sz val="12"/>
            <color theme="1"/>
            <rFont val="Aptos Narrow"/>
            <family val="2"/>
            <scheme val="minor"/>
          </rPr>
          <t>was 23290000
HSSV300</t>
        </r>
      </text>
    </comment>
    <comment ref="D37" authorId="4" shapeId="0" xr:uid="{00000000-0006-0000-2000-000063000000}">
      <text>
        <r>
          <rPr>
            <sz val="12"/>
            <color theme="1"/>
            <rFont val="Aptos Narrow"/>
            <family val="2"/>
            <scheme val="minor"/>
          </rPr>
          <t>Việt Hoàng:
Last week:
23.090.000</t>
        </r>
      </text>
    </comment>
    <comment ref="F37" authorId="5" shapeId="0" xr:uid="{00000000-0006-0000-2000-000064000000}">
      <text>
        <r>
          <rPr>
            <sz val="12"/>
            <color theme="1"/>
            <rFont val="Aptos Narrow"/>
            <family val="2"/>
            <scheme val="minor"/>
          </rPr>
          <t>chit trang:
22.490.000</t>
        </r>
      </text>
    </comment>
    <comment ref="G37" authorId="3" shapeId="0" xr:uid="{00000000-0006-0000-2000-000065000000}">
      <text>
        <r>
          <rPr>
            <sz val="12"/>
            <color theme="1"/>
            <rFont val="Aptos Narrow"/>
            <family val="2"/>
            <scheme val="minor"/>
          </rPr>
          <t>Tran Dat:
22.790.000</t>
        </r>
      </text>
    </comment>
    <comment ref="F38" authorId="5" shapeId="0" xr:uid="{00000000-0006-0000-2000-000066000000}">
      <text>
        <r>
          <rPr>
            <sz val="12"/>
            <color theme="1"/>
            <rFont val="Aptos Narrow"/>
            <family val="2"/>
            <scheme val="minor"/>
          </rPr>
          <t>chit trang:
26.490.000</t>
        </r>
      </text>
    </comment>
    <comment ref="G38" authorId="3" shapeId="0" xr:uid="{00000000-0006-0000-2000-000067000000}">
      <text>
        <r>
          <rPr>
            <sz val="12"/>
            <color theme="1"/>
            <rFont val="Aptos Narrow"/>
            <family val="2"/>
            <scheme val="minor"/>
          </rPr>
          <t>Tran Dat:
26.490</t>
        </r>
      </text>
    </comment>
    <comment ref="B39" authorId="0" shapeId="0" xr:uid="{00000000-0006-0000-2000-000068000000}">
      <text>
        <r>
          <rPr>
            <sz val="12"/>
            <color theme="1"/>
            <rFont val="Aptos Narrow"/>
            <family val="2"/>
            <scheme val="minor"/>
          </rPr>
          <t>was 31290000
HS500</t>
        </r>
      </text>
    </comment>
    <comment ref="F39" authorId="5" shapeId="0" xr:uid="{00000000-0006-0000-2000-000069000000}">
      <text>
        <r>
          <rPr>
            <sz val="12"/>
            <color theme="1"/>
            <rFont val="Aptos Narrow"/>
            <family val="2"/>
            <scheme val="minor"/>
          </rPr>
          <t>chit trang:
30.990.000</t>
        </r>
      </text>
    </comment>
    <comment ref="G39" authorId="3" shapeId="0" xr:uid="{00000000-0006-0000-2000-00006A000000}">
      <text>
        <r>
          <rPr>
            <sz val="12"/>
            <color theme="1"/>
            <rFont val="Aptos Narrow"/>
            <family val="2"/>
            <scheme val="minor"/>
          </rPr>
          <t>Tran Dat:
30.190</t>
        </r>
      </text>
    </comment>
    <comment ref="B40" authorId="0" shapeId="0" xr:uid="{00000000-0006-0000-2000-00006B000000}">
      <text>
        <r>
          <rPr>
            <sz val="12"/>
            <color theme="1"/>
            <rFont val="Aptos Narrow"/>
            <family val="2"/>
            <scheme val="minor"/>
          </rPr>
          <t>was 36290000</t>
        </r>
      </text>
    </comment>
  </commentList>
</comments>
</file>

<file path=xl/comments34.xml><?xml version="1.0" encoding="utf-8"?>
<comments xmlns="http://schemas.openxmlformats.org/spreadsheetml/2006/main" xmlns:mc="http://schemas.openxmlformats.org/markup-compatibility/2006" xmlns:xr="http://schemas.microsoft.com/office/spreadsheetml/2014/revision" mc:Ignorable="xr">
  <authors>
    <author>Microsoft Office User</author>
    <author>Sheva Son</author>
    <author>Người dùng Khách</author>
    <author>Việt Hoàng</author>
    <author>chit trang</author>
    <author>Tran Dat</author>
  </authors>
  <commentList>
    <comment ref="B2" authorId="0" shapeId="0" xr:uid="{00000000-0006-0000-2100-000001000000}">
      <text>
        <r>
          <rPr>
            <sz val="12"/>
            <color theme="1"/>
            <rFont val="Aptos Narrow"/>
            <family val="2"/>
            <scheme val="minor"/>
          </rPr>
          <t>was 22590
VNP200
bán đồng giá</t>
        </r>
      </text>
    </comment>
    <comment ref="C2" authorId="0" shapeId="0" xr:uid="{00000000-0006-0000-2100-000002000000}">
      <text>
        <r>
          <rPr>
            <sz val="12"/>
            <color theme="1"/>
            <rFont val="Aptos Narrow"/>
            <family val="2"/>
            <scheme val="minor"/>
          </rPr>
          <t>W9 22.590</t>
        </r>
      </text>
    </comment>
    <comment ref="E2" authorId="1" shapeId="0" xr:uid="{00000000-0006-0000-2100-000003000000}">
      <text>
        <r>
          <rPr>
            <sz val="12"/>
            <color theme="1"/>
            <rFont val="Aptos Narrow"/>
            <family val="2"/>
            <scheme val="minor"/>
          </rPr>
          <t>Last week is: 21.690K
Giảm 500K (đã trừ vào giá, ko kèm CTKM đổi điểm VT++).
Đổi điểm Viettel++ lên tới 6000K</t>
        </r>
      </text>
    </comment>
    <comment ref="F2" authorId="2" shapeId="0" xr:uid="{00000000-0006-0000-2100-000004000000}">
      <text>
        <r>
          <rPr>
            <sz val="12"/>
            <color theme="1"/>
            <rFont val="Aptos Narrow"/>
            <family val="2"/>
            <scheme val="minor"/>
          </rPr>
          <t>Người dùng Không xác định:
21.290.000</t>
        </r>
      </text>
    </comment>
    <comment ref="B3" authorId="0" shapeId="0" xr:uid="{00000000-0006-0000-2100-000005000000}">
      <text>
        <r>
          <rPr>
            <sz val="12"/>
            <color theme="1"/>
            <rFont val="Aptos Narrow"/>
            <family val="2"/>
            <scheme val="minor"/>
          </rPr>
          <t>was 25990000
VNP200</t>
        </r>
      </text>
    </comment>
    <comment ref="C3" authorId="0" shapeId="0" xr:uid="{00000000-0006-0000-2100-000006000000}">
      <text>
        <r>
          <rPr>
            <sz val="12"/>
            <color theme="1"/>
            <rFont val="Aptos Narrow"/>
            <family val="2"/>
            <scheme val="minor"/>
          </rPr>
          <t>W9 25.990</t>
        </r>
      </text>
    </comment>
    <comment ref="E3" authorId="1" shapeId="0" xr:uid="{00000000-0006-0000-2100-000007000000}">
      <text>
        <r>
          <rPr>
            <sz val="12"/>
            <color theme="1"/>
            <rFont val="Aptos Narrow"/>
            <family val="2"/>
            <scheme val="minor"/>
          </rPr>
          <t xml:space="preserve">Last week is: 24.890K
Giảm 500K (đã trừ vào giá, ko kèm CTKM đổi điểm VT++).
Đổi điểm Viettel++ lên tới 6000K
</t>
        </r>
      </text>
    </comment>
    <comment ref="B4" authorId="0" shapeId="0" xr:uid="{00000000-0006-0000-2100-000008000000}">
      <text>
        <r>
          <rPr>
            <sz val="12"/>
            <color theme="1"/>
            <rFont val="Aptos Narrow"/>
            <family val="2"/>
            <scheme val="minor"/>
          </rPr>
          <t>was 28990
VNP200</t>
        </r>
      </text>
    </comment>
    <comment ref="C4" authorId="0" shapeId="0" xr:uid="{00000000-0006-0000-2100-000009000000}">
      <text>
        <r>
          <rPr>
            <sz val="12"/>
            <color theme="1"/>
            <rFont val="Aptos Narrow"/>
            <family val="2"/>
            <scheme val="minor"/>
          </rPr>
          <t>W9 28.990</t>
        </r>
      </text>
    </comment>
    <comment ref="D4" authorId="3" shapeId="0" xr:uid="{00000000-0006-0000-2100-00000A000000}">
      <text>
        <r>
          <rPr>
            <sz val="12"/>
            <color theme="1"/>
            <rFont val="Aptos Narrow"/>
            <family val="2"/>
            <scheme val="minor"/>
          </rPr>
          <t>Việt Hoàng:
Last week was:
27.790.000</t>
        </r>
      </text>
    </comment>
    <comment ref="E4" authorId="0" shapeId="0" xr:uid="{00000000-0006-0000-2100-00000B000000}">
      <text>
        <r>
          <rPr>
            <sz val="12"/>
            <color theme="1"/>
            <rFont val="Aptos Narrow"/>
            <family val="2"/>
            <scheme val="minor"/>
          </rPr>
          <t xml:space="preserve">Last week was: 27.710K
Nhập mã ZLP500 giảm ngay 500.000đ cho đơn hàng tối thiểu từ 20 triệu trở lên qua Zalopay (Yêu cầu thanh toán 100% giá trị đơn hàng). </t>
        </r>
      </text>
    </comment>
    <comment ref="F4" authorId="4" shapeId="0" xr:uid="{00000000-0006-0000-2100-00000C000000}">
      <text>
        <r>
          <rPr>
            <sz val="12"/>
            <color theme="1"/>
            <rFont val="Aptos Narrow"/>
            <family val="2"/>
            <scheme val="minor"/>
          </rPr>
          <t>chit trang:
27.490.000</t>
        </r>
      </text>
    </comment>
    <comment ref="G4" authorId="5" shapeId="0" xr:uid="{00000000-0006-0000-2100-00000D000000}">
      <text>
        <r>
          <rPr>
            <sz val="12"/>
            <color theme="1"/>
            <rFont val="Aptos Narrow"/>
            <family val="2"/>
            <scheme val="minor"/>
          </rPr>
          <t xml:space="preserve">Tran Dat:
28.490.000
</t>
        </r>
      </text>
    </comment>
    <comment ref="B5" authorId="0" shapeId="0" xr:uid="{00000000-0006-0000-2100-00000E000000}">
      <text>
        <r>
          <rPr>
            <sz val="12"/>
            <color theme="1"/>
            <rFont val="Aptos Narrow"/>
            <family val="2"/>
            <scheme val="minor"/>
          </rPr>
          <t>was 34590
VNP200</t>
        </r>
      </text>
    </comment>
    <comment ref="C5" authorId="0" shapeId="0" xr:uid="{00000000-0006-0000-2100-00000F000000}">
      <text>
        <r>
          <rPr>
            <sz val="12"/>
            <color theme="1"/>
            <rFont val="Aptos Narrow"/>
            <family val="2"/>
            <scheme val="minor"/>
          </rPr>
          <t>W9 34.590</t>
        </r>
      </text>
    </comment>
    <comment ref="D5" authorId="3" shapeId="0" xr:uid="{00000000-0006-0000-2100-000010000000}">
      <text>
        <r>
          <rPr>
            <sz val="12"/>
            <color theme="1"/>
            <rFont val="Aptos Narrow"/>
            <family val="2"/>
            <scheme val="minor"/>
          </rPr>
          <t>Việt Hoàng:
Last week:
32.990.000</t>
        </r>
      </text>
    </comment>
    <comment ref="E5" authorId="1" shapeId="0" xr:uid="{00000000-0006-0000-2100-000011000000}">
      <text>
        <r>
          <rPr>
            <sz val="12"/>
            <color theme="1"/>
            <rFont val="Aptos Narrow"/>
            <family val="2"/>
            <scheme val="minor"/>
          </rPr>
          <t xml:space="preserve">Last week is: 32.990K
Tặng voucher giảm giá lên đến 6,000,000đ cho khách hàng đổi điểm Viettel++ trên ứng dụng My Viettel 
</t>
        </r>
      </text>
    </comment>
    <comment ref="F5" authorId="4" shapeId="0" xr:uid="{00000000-0006-0000-2100-000012000000}">
      <text>
        <r>
          <rPr>
            <sz val="12"/>
            <color theme="1"/>
            <rFont val="Aptos Narrow"/>
            <family val="2"/>
            <scheme val="minor"/>
          </rPr>
          <t>chit trang:
33.490.000</t>
        </r>
      </text>
    </comment>
    <comment ref="G5" authorId="5" shapeId="0" xr:uid="{00000000-0006-0000-2100-000013000000}">
      <text>
        <r>
          <rPr>
            <sz val="12"/>
            <color theme="1"/>
            <rFont val="Aptos Narrow"/>
            <family val="2"/>
            <scheme val="minor"/>
          </rPr>
          <t>Tran Dat:
32.990</t>
        </r>
      </text>
    </comment>
    <comment ref="B6" authorId="0" shapeId="0" xr:uid="{00000000-0006-0000-2100-000014000000}">
      <text>
        <r>
          <rPr>
            <sz val="12"/>
            <color theme="1"/>
            <rFont val="Aptos Narrow"/>
            <family val="2"/>
            <scheme val="minor"/>
          </rPr>
          <t>was 19990000
VNP200</t>
        </r>
      </text>
    </comment>
    <comment ref="C6" authorId="0" shapeId="0" xr:uid="{00000000-0006-0000-2100-000015000000}">
      <text>
        <r>
          <rPr>
            <sz val="12"/>
            <color theme="1"/>
            <rFont val="Aptos Narrow"/>
            <family val="2"/>
            <scheme val="minor"/>
          </rPr>
          <t>W9 19.990</t>
        </r>
      </text>
    </comment>
    <comment ref="D6" authorId="3" shapeId="0" xr:uid="{00000000-0006-0000-2100-000016000000}">
      <text>
        <r>
          <rPr>
            <sz val="12"/>
            <color theme="1"/>
            <rFont val="Aptos Narrow"/>
            <family val="2"/>
            <scheme val="minor"/>
          </rPr>
          <t>Việt Hoàng:
Last week:
19.590.000</t>
        </r>
      </text>
    </comment>
    <comment ref="E6" authorId="1" shapeId="0" xr:uid="{00000000-0006-0000-2100-000017000000}">
      <text>
        <r>
          <rPr>
            <sz val="12"/>
            <color theme="1"/>
            <rFont val="Aptos Narrow"/>
            <family val="2"/>
            <scheme val="minor"/>
          </rPr>
          <t xml:space="preserve">Last week is: 19.190K
Giảm ngay 200,000đ cho khách hàng mua gói cước 3V200B </t>
        </r>
      </text>
    </comment>
    <comment ref="B7" authorId="0" shapeId="0" xr:uid="{00000000-0006-0000-2100-000018000000}">
      <text>
        <r>
          <rPr>
            <sz val="12"/>
            <color theme="1"/>
            <rFont val="Aptos Narrow"/>
            <family val="2"/>
            <scheme val="minor"/>
          </rPr>
          <t>was 22990000
VNP200</t>
        </r>
      </text>
    </comment>
    <comment ref="C7" authorId="0" shapeId="0" xr:uid="{00000000-0006-0000-2100-000019000000}">
      <text>
        <r>
          <rPr>
            <sz val="12"/>
            <color theme="1"/>
            <rFont val="Aptos Narrow"/>
            <family val="2"/>
            <scheme val="minor"/>
          </rPr>
          <t>W9 22.990</t>
        </r>
      </text>
    </comment>
    <comment ref="D7" authorId="3" shapeId="0" xr:uid="{00000000-0006-0000-2100-00001A000000}">
      <text>
        <r>
          <rPr>
            <sz val="12"/>
            <color theme="1"/>
            <rFont val="Aptos Narrow"/>
            <family val="2"/>
            <scheme val="minor"/>
          </rPr>
          <t>Việt Hoàng:
Last week:
22.690.000</t>
        </r>
      </text>
    </comment>
    <comment ref="E7" authorId="1" shapeId="0" xr:uid="{00000000-0006-0000-2100-00001B000000}">
      <text>
        <r>
          <rPr>
            <sz val="12"/>
            <color theme="1"/>
            <rFont val="Aptos Narrow"/>
            <family val="2"/>
            <scheme val="minor"/>
          </rPr>
          <t xml:space="preserve">Last week is: 21.990K
Giảm ngay 200,000đ cho khách hàng mua gói cước 3V200B </t>
        </r>
      </text>
    </comment>
    <comment ref="F7" authorId="4" shapeId="0" xr:uid="{00000000-0006-0000-2100-00001C000000}">
      <text>
        <r>
          <rPr>
            <sz val="12"/>
            <color theme="1"/>
            <rFont val="Aptos Narrow"/>
            <family val="2"/>
            <scheme val="minor"/>
          </rPr>
          <t>chit trang:
22.590.000</t>
        </r>
      </text>
    </comment>
    <comment ref="B9" authorId="0" shapeId="0" xr:uid="{00000000-0006-0000-2100-00001D000000}">
      <text>
        <r>
          <rPr>
            <sz val="12"/>
            <color theme="1"/>
            <rFont val="Aptos Narrow"/>
            <family val="2"/>
            <scheme val="minor"/>
          </rPr>
          <t xml:space="preserve">was 29590000
VNP200
hết TN </t>
        </r>
      </text>
    </comment>
    <comment ref="C9" authorId="0" shapeId="0" xr:uid="{00000000-0006-0000-2100-00001E000000}">
      <text>
        <r>
          <rPr>
            <sz val="12"/>
            <color theme="1"/>
            <rFont val="Aptos Narrow"/>
            <family val="2"/>
            <scheme val="minor"/>
          </rPr>
          <t>W9 29.590</t>
        </r>
      </text>
    </comment>
    <comment ref="D9" authorId="3" shapeId="0" xr:uid="{00000000-0006-0000-2100-00001F000000}">
      <text>
        <r>
          <rPr>
            <sz val="12"/>
            <color theme="1"/>
            <rFont val="Aptos Narrow"/>
            <family val="2"/>
            <scheme val="minor"/>
          </rPr>
          <t>Việt Hoàng:
Last week:
28.990.000</t>
        </r>
      </text>
    </comment>
    <comment ref="E9" authorId="1" shapeId="0" xr:uid="{00000000-0006-0000-2100-000020000000}">
      <text>
        <r>
          <rPr>
            <sz val="12"/>
            <color theme="1"/>
            <rFont val="Aptos Narrow"/>
            <family val="2"/>
            <scheme val="minor"/>
          </rPr>
          <t xml:space="preserve">Last week was: 28.490.000
</t>
        </r>
      </text>
    </comment>
    <comment ref="F9" authorId="4" shapeId="0" xr:uid="{00000000-0006-0000-2100-000021000000}">
      <text>
        <r>
          <rPr>
            <sz val="12"/>
            <color theme="1"/>
            <rFont val="Aptos Narrow"/>
            <family val="2"/>
            <scheme val="minor"/>
          </rPr>
          <t>chit trang:
28.990.000</t>
        </r>
      </text>
    </comment>
    <comment ref="G9" authorId="5" shapeId="0" xr:uid="{00000000-0006-0000-2100-000022000000}">
      <text>
        <r>
          <rPr>
            <sz val="12"/>
            <color theme="1"/>
            <rFont val="Aptos Narrow"/>
            <family val="2"/>
            <scheme val="minor"/>
          </rPr>
          <t>Tran Dat:
28.490</t>
        </r>
      </text>
    </comment>
    <comment ref="B10" authorId="0" shapeId="0" xr:uid="{00000000-0006-0000-2100-000023000000}">
      <text>
        <r>
          <rPr>
            <sz val="12"/>
            <color theme="1"/>
            <rFont val="Aptos Narrow"/>
            <family val="2"/>
            <scheme val="minor"/>
          </rPr>
          <t>was 20590000
VNP200</t>
        </r>
      </text>
    </comment>
    <comment ref="C10" authorId="0" shapeId="0" xr:uid="{00000000-0006-0000-2100-000024000000}">
      <text>
        <r>
          <rPr>
            <sz val="12"/>
            <color theme="1"/>
            <rFont val="Aptos Narrow"/>
            <family val="2"/>
            <scheme val="minor"/>
          </rPr>
          <t>W9 20.590</t>
        </r>
      </text>
    </comment>
    <comment ref="D10" authorId="3" shapeId="0" xr:uid="{00000000-0006-0000-2100-000025000000}">
      <text>
        <r>
          <rPr>
            <sz val="12"/>
            <color theme="1"/>
            <rFont val="Aptos Narrow"/>
            <family val="2"/>
            <scheme val="minor"/>
          </rPr>
          <t>Việt Hoàng:
Last week:
19.990.000</t>
        </r>
      </text>
    </comment>
    <comment ref="E10" authorId="1" shapeId="0" xr:uid="{00000000-0006-0000-2100-000026000000}">
      <text>
        <r>
          <rPr>
            <sz val="12"/>
            <color theme="1"/>
            <rFont val="Aptos Narrow"/>
            <family val="2"/>
            <scheme val="minor"/>
          </rPr>
          <t xml:space="preserve">Chỉ còn màu Purple, Blue, White số lượng ít
</t>
        </r>
      </text>
    </comment>
    <comment ref="B11" authorId="0" shapeId="0" xr:uid="{00000000-0006-0000-2100-000027000000}">
      <text>
        <r>
          <rPr>
            <sz val="12"/>
            <color theme="1"/>
            <rFont val="Aptos Narrow"/>
            <family val="2"/>
            <scheme val="minor"/>
          </rPr>
          <t>was 17590000
VNP200</t>
        </r>
      </text>
    </comment>
    <comment ref="C11" authorId="0" shapeId="0" xr:uid="{00000000-0006-0000-2100-000028000000}">
      <text>
        <r>
          <rPr>
            <sz val="12"/>
            <color theme="1"/>
            <rFont val="Aptos Narrow"/>
            <family val="2"/>
            <scheme val="minor"/>
          </rPr>
          <t>W9 17.590</t>
        </r>
      </text>
    </comment>
    <comment ref="D11" authorId="3" shapeId="0" xr:uid="{00000000-0006-0000-2100-000029000000}">
      <text>
        <r>
          <rPr>
            <sz val="12"/>
            <color theme="1"/>
            <rFont val="Aptos Narrow"/>
            <family val="2"/>
            <scheme val="minor"/>
          </rPr>
          <t>Việt Hoàng:
Last week was:
17.190.000</t>
        </r>
      </text>
    </comment>
    <comment ref="E11" authorId="1" shapeId="0" xr:uid="{00000000-0006-0000-2100-00002A000000}">
      <text>
        <r>
          <rPr>
            <sz val="12"/>
            <color theme="1"/>
            <rFont val="Aptos Narrow"/>
            <family val="2"/>
            <scheme val="minor"/>
          </rPr>
          <t xml:space="preserve">Last week was: 16.990K
</t>
        </r>
      </text>
    </comment>
    <comment ref="B12" authorId="0" shapeId="0" xr:uid="{00000000-0006-0000-2100-00002B000000}">
      <text>
        <r>
          <rPr>
            <sz val="12"/>
            <color theme="1"/>
            <rFont val="Aptos Narrow"/>
            <family val="2"/>
            <scheme val="minor"/>
          </rPr>
          <t>was 13990000
VNP100
đen rẻ nhất, màu khác thêm 500</t>
        </r>
      </text>
    </comment>
    <comment ref="C12" authorId="0" shapeId="0" xr:uid="{00000000-0006-0000-2100-00002C000000}">
      <text>
        <r>
          <rPr>
            <sz val="12"/>
            <color theme="1"/>
            <rFont val="Aptos Narrow"/>
            <family val="2"/>
            <scheme val="minor"/>
          </rPr>
          <t>W9 13.990</t>
        </r>
      </text>
    </comment>
    <comment ref="D12" authorId="3" shapeId="0" xr:uid="{00000000-0006-0000-2100-00002D000000}">
      <text>
        <r>
          <rPr>
            <sz val="12"/>
            <color theme="1"/>
            <rFont val="Aptos Narrow"/>
            <family val="2"/>
            <scheme val="minor"/>
          </rPr>
          <t>Việt Hoàng:
Last week:
13.290.000</t>
        </r>
      </text>
    </comment>
    <comment ref="E12" authorId="1" shapeId="0" xr:uid="{00000000-0006-0000-2100-00002E000000}">
      <text>
        <r>
          <rPr>
            <sz val="12"/>
            <color theme="1"/>
            <rFont val="Aptos Narrow"/>
            <family val="2"/>
            <scheme val="minor"/>
          </rPr>
          <t>Giảm 300K cho màu Đen và Starlight</t>
        </r>
      </text>
    </comment>
    <comment ref="F12" authorId="4" shapeId="0" xr:uid="{00000000-0006-0000-2100-00002F000000}">
      <text>
        <r>
          <rPr>
            <sz val="12"/>
            <color theme="1"/>
            <rFont val="Aptos Narrow"/>
            <family val="2"/>
            <scheme val="minor"/>
          </rPr>
          <t>chit trang:
13.290.000</t>
        </r>
      </text>
    </comment>
    <comment ref="B13" authorId="0" shapeId="0" xr:uid="{00000000-0006-0000-2100-000030000000}">
      <text>
        <r>
          <rPr>
            <sz val="12"/>
            <color theme="1"/>
            <rFont val="Aptos Narrow"/>
            <family val="2"/>
            <scheme val="minor"/>
          </rPr>
          <t>was 11590000
VNP100</t>
        </r>
      </text>
    </comment>
    <comment ref="C13" authorId="0" shapeId="0" xr:uid="{00000000-0006-0000-2100-000031000000}">
      <text>
        <r>
          <rPr>
            <sz val="12"/>
            <color theme="1"/>
            <rFont val="Aptos Narrow"/>
            <family val="2"/>
            <scheme val="minor"/>
          </rPr>
          <t>W9 11.590</t>
        </r>
      </text>
    </comment>
    <comment ref="B14" authorId="0" shapeId="0" xr:uid="{00000000-0006-0000-2100-000032000000}">
      <text>
        <r>
          <rPr>
            <sz val="12"/>
            <color theme="1"/>
            <rFont val="Aptos Narrow"/>
            <family val="2"/>
            <scheme val="minor"/>
          </rPr>
          <t>was 8990000
VNP50</t>
        </r>
      </text>
    </comment>
    <comment ref="C14" authorId="0" shapeId="0" xr:uid="{00000000-0006-0000-2100-000033000000}">
      <text>
        <r>
          <rPr>
            <sz val="12"/>
            <color theme="1"/>
            <rFont val="Aptos Narrow"/>
            <family val="2"/>
            <scheme val="minor"/>
          </rPr>
          <t>W9 8.990</t>
        </r>
      </text>
    </comment>
    <comment ref="D14" authorId="3" shapeId="0" xr:uid="{00000000-0006-0000-2100-000034000000}">
      <text>
        <r>
          <rPr>
            <sz val="12"/>
            <color theme="1"/>
            <rFont val="Aptos Narrow"/>
            <family val="2"/>
            <scheme val="minor"/>
          </rPr>
          <t>Việt Hoàng:
Last week:
8.690.000</t>
        </r>
      </text>
    </comment>
    <comment ref="E14" authorId="1" shapeId="0" xr:uid="{00000000-0006-0000-2100-000035000000}">
      <text>
        <r>
          <rPr>
            <sz val="12"/>
            <color theme="1"/>
            <rFont val="Aptos Narrow"/>
            <family val="2"/>
            <scheme val="minor"/>
          </rPr>
          <t xml:space="preserve">Giảm 200K khi mua Online (đã trừ vào giá)
Trợ giá 4G giảm 300K đã trừ vào giá
</t>
        </r>
      </text>
    </comment>
    <comment ref="F14" authorId="4" shapeId="0" xr:uid="{00000000-0006-0000-2100-000036000000}">
      <text>
        <r>
          <rPr>
            <sz val="12"/>
            <color theme="1"/>
            <rFont val="Aptos Narrow"/>
            <family val="2"/>
            <scheme val="minor"/>
          </rPr>
          <t>chit trang:
8.390.000</t>
        </r>
      </text>
    </comment>
    <comment ref="B15" authorId="0" shapeId="0" xr:uid="{00000000-0006-0000-2100-000037000000}">
      <text>
        <r>
          <rPr>
            <sz val="12"/>
            <color theme="1"/>
            <rFont val="Aptos Narrow"/>
            <family val="2"/>
            <scheme val="minor"/>
          </rPr>
          <t>was 13990000
VNP100
Giảm thêm 400K cho giáo dục</t>
        </r>
      </text>
    </comment>
    <comment ref="B16" authorId="0" shapeId="0" xr:uid="{00000000-0006-0000-2100-000038000000}">
      <text>
        <r>
          <rPr>
            <sz val="12"/>
            <color theme="1"/>
            <rFont val="Aptos Narrow"/>
            <family val="2"/>
            <scheme val="minor"/>
          </rPr>
          <t>was 9390000
VNP100
giảm thêm 300K cho GD</t>
        </r>
      </text>
    </comment>
    <comment ref="C16" authorId="0" shapeId="0" xr:uid="{00000000-0006-0000-2100-000039000000}">
      <text>
        <r>
          <rPr>
            <sz val="12"/>
            <color theme="1"/>
            <rFont val="Aptos Narrow"/>
            <family val="2"/>
            <scheme val="minor"/>
          </rPr>
          <t>W9 9.390</t>
        </r>
      </text>
    </comment>
    <comment ref="D16" authorId="3" shapeId="0" xr:uid="{00000000-0006-0000-2100-00003A000000}">
      <text>
        <r>
          <rPr>
            <sz val="12"/>
            <color theme="1"/>
            <rFont val="Aptos Narrow"/>
            <family val="2"/>
            <scheme val="minor"/>
          </rPr>
          <t>Việt Hoàng:
Last week:
8.590.000</t>
        </r>
      </text>
    </comment>
    <comment ref="E16" authorId="1" shapeId="0" xr:uid="{00000000-0006-0000-2100-00003B000000}">
      <text>
        <r>
          <rPr>
            <sz val="12"/>
            <color theme="1"/>
            <rFont val="Aptos Narrow"/>
            <family val="2"/>
            <scheme val="minor"/>
          </rPr>
          <t xml:space="preserve">Last week is: 8.490K
Giảm 200K cho khách mua Online đã trừ
</t>
        </r>
      </text>
    </comment>
    <comment ref="F16" authorId="4" shapeId="0" xr:uid="{00000000-0006-0000-2100-00003C000000}">
      <text>
        <r>
          <rPr>
            <sz val="12"/>
            <color theme="1"/>
            <rFont val="Aptos Narrow"/>
            <family val="2"/>
            <scheme val="minor"/>
          </rPr>
          <t>chit trang:
8.690.000</t>
        </r>
      </text>
    </comment>
    <comment ref="G16" authorId="5" shapeId="0" xr:uid="{00000000-0006-0000-2100-00003D000000}">
      <text>
        <r>
          <rPr>
            <sz val="12"/>
            <color theme="1"/>
            <rFont val="Aptos Narrow"/>
            <family val="2"/>
            <scheme val="minor"/>
          </rPr>
          <t>Tran Dat:
8.790</t>
        </r>
      </text>
    </comment>
    <comment ref="B17" authorId="0" shapeId="0" xr:uid="{00000000-0006-0000-2100-00003E000000}">
      <text>
        <r>
          <rPr>
            <sz val="12"/>
            <color theme="1"/>
            <rFont val="Aptos Narrow"/>
            <family val="2"/>
            <scheme val="minor"/>
          </rPr>
          <t>was 7090000
VNP50
Giảm thêm 300K cho GD</t>
        </r>
      </text>
    </comment>
    <comment ref="C17" authorId="0" shapeId="0" xr:uid="{00000000-0006-0000-2100-00003F000000}">
      <text>
        <r>
          <rPr>
            <sz val="12"/>
            <color theme="1"/>
            <rFont val="Aptos Narrow"/>
            <family val="2"/>
            <scheme val="minor"/>
          </rPr>
          <t>W9 7.090</t>
        </r>
      </text>
    </comment>
    <comment ref="E17" authorId="1" shapeId="0" xr:uid="{00000000-0006-0000-2100-000040000000}">
      <text>
        <r>
          <rPr>
            <sz val="12"/>
            <color theme="1"/>
            <rFont val="Aptos Narrow"/>
            <family val="2"/>
            <scheme val="minor"/>
          </rPr>
          <t>Giảm 10% tối đa 120K khi mở ví VNPAY</t>
        </r>
      </text>
    </comment>
    <comment ref="B18" authorId="0" shapeId="0" xr:uid="{00000000-0006-0000-2100-000041000000}">
      <text>
        <r>
          <rPr>
            <sz val="12"/>
            <color theme="1"/>
            <rFont val="Aptos Narrow"/>
            <family val="2"/>
            <scheme val="minor"/>
          </rPr>
          <t>was 15290000
VNP100</t>
        </r>
      </text>
    </comment>
    <comment ref="C18" authorId="0" shapeId="0" xr:uid="{00000000-0006-0000-2100-000042000000}">
      <text>
        <r>
          <rPr>
            <sz val="12"/>
            <color theme="1"/>
            <rFont val="Aptos Narrow"/>
            <family val="2"/>
            <scheme val="minor"/>
          </rPr>
          <t>W9 15.290</t>
        </r>
      </text>
    </comment>
    <comment ref="D18" authorId="3" shapeId="0" xr:uid="{00000000-0006-0000-2100-000043000000}">
      <text>
        <r>
          <rPr>
            <sz val="12"/>
            <color theme="1"/>
            <rFont val="Aptos Narrow"/>
            <family val="2"/>
            <scheme val="minor"/>
          </rPr>
          <t>Việt Hoàng:
Last week:
14.890.000</t>
        </r>
      </text>
    </comment>
    <comment ref="E18" authorId="1" shapeId="0" xr:uid="{00000000-0006-0000-2100-000044000000}">
      <text>
        <r>
          <rPr>
            <sz val="12"/>
            <color theme="1"/>
            <rFont val="Aptos Narrow"/>
            <family val="2"/>
            <scheme val="minor"/>
          </rPr>
          <t>Last week is: 14.642K
Voucher giảm 1% tối đa 300K VNPAY</t>
        </r>
      </text>
    </comment>
    <comment ref="F18" authorId="4" shapeId="0" xr:uid="{00000000-0006-0000-2100-000045000000}">
      <text>
        <r>
          <rPr>
            <sz val="12"/>
            <color theme="1"/>
            <rFont val="Aptos Narrow"/>
            <family val="2"/>
            <scheme val="minor"/>
          </rPr>
          <t>chit trang:
14.890k</t>
        </r>
      </text>
    </comment>
    <comment ref="G18" authorId="5" shapeId="0" xr:uid="{00000000-0006-0000-2100-000046000000}">
      <text>
        <r>
          <rPr>
            <sz val="12"/>
            <color theme="1"/>
            <rFont val="Aptos Narrow"/>
            <family val="2"/>
            <scheme val="minor"/>
          </rPr>
          <t xml:space="preserve">Tran Dat:
14.390
</t>
        </r>
      </text>
    </comment>
    <comment ref="B19" authorId="0" shapeId="0" xr:uid="{00000000-0006-0000-2100-000047000000}">
      <text>
        <r>
          <rPr>
            <sz val="12"/>
            <color theme="1"/>
            <rFont val="Aptos Narrow"/>
            <family val="2"/>
            <scheme val="minor"/>
          </rPr>
          <t>was 20990000
VNP200
Giảm thêm 400K cho giáo dục</t>
        </r>
      </text>
    </comment>
    <comment ref="C19" authorId="0" shapeId="0" xr:uid="{00000000-0006-0000-2100-000048000000}">
      <text>
        <r>
          <rPr>
            <sz val="12"/>
            <color theme="1"/>
            <rFont val="Aptos Narrow"/>
            <family val="2"/>
            <scheme val="minor"/>
          </rPr>
          <t>W9 20.990</t>
        </r>
      </text>
    </comment>
    <comment ref="D19" authorId="3" shapeId="0" xr:uid="{00000000-0006-0000-2100-000049000000}">
      <text>
        <r>
          <rPr>
            <sz val="12"/>
            <color theme="1"/>
            <rFont val="Aptos Narrow"/>
            <family val="2"/>
            <scheme val="minor"/>
          </rPr>
          <t>Việt Hoàng:
Last week:
20.690.000</t>
        </r>
      </text>
    </comment>
    <comment ref="E19" authorId="1" shapeId="0" xr:uid="{00000000-0006-0000-2100-00004A000000}">
      <text>
        <r>
          <rPr>
            <sz val="12"/>
            <color theme="1"/>
            <rFont val="Aptos Narrow"/>
            <family val="2"/>
            <scheme val="minor"/>
          </rPr>
          <t>Last week is: 21.190K
Voucher giảm 10% tối đa 300K VNPAY</t>
        </r>
      </text>
    </comment>
    <comment ref="F19" authorId="4" shapeId="0" xr:uid="{00000000-0006-0000-2100-00004B000000}">
      <text>
        <r>
          <rPr>
            <sz val="12"/>
            <color theme="1"/>
            <rFont val="Aptos Narrow"/>
            <family val="2"/>
            <scheme val="minor"/>
          </rPr>
          <t>chit trang:
20.990</t>
        </r>
      </text>
    </comment>
    <comment ref="B20" authorId="0" shapeId="0" xr:uid="{00000000-0006-0000-2100-00004C000000}">
      <text>
        <r>
          <rPr>
            <sz val="12"/>
            <color theme="1"/>
            <rFont val="Aptos Narrow"/>
            <family val="2"/>
            <scheme val="minor"/>
          </rPr>
          <t>was 27790000
VNP200
giảm thêm 500K GD</t>
        </r>
      </text>
    </comment>
    <comment ref="C20" authorId="0" shapeId="0" xr:uid="{00000000-0006-0000-2100-00004D000000}">
      <text>
        <r>
          <rPr>
            <sz val="12"/>
            <color theme="1"/>
            <rFont val="Aptos Narrow"/>
            <family val="2"/>
            <scheme val="minor"/>
          </rPr>
          <t>W9 27.790</t>
        </r>
      </text>
    </comment>
    <comment ref="E20" authorId="1" shapeId="0" xr:uid="{00000000-0006-0000-2100-00004E000000}">
      <text>
        <r>
          <rPr>
            <sz val="12"/>
            <color theme="1"/>
            <rFont val="Aptos Narrow"/>
            <family val="2"/>
            <scheme val="minor"/>
          </rPr>
          <t xml:space="preserve">Last week is: 26.890K
Nhập mã VTQR300 khách hàng sẽ được tặng 1% tối đa 300.000 cho đơn hàng có giá trị từ 3 triệu trở lên khi thanh toán qua VNPAY-QR </t>
        </r>
      </text>
    </comment>
    <comment ref="B21" authorId="0" shapeId="0" xr:uid="{00000000-0006-0000-2100-00004F000000}">
      <text>
        <r>
          <rPr>
            <sz val="12"/>
            <color theme="1"/>
            <rFont val="Aptos Narrow"/>
            <family val="2"/>
            <scheme val="minor"/>
          </rPr>
          <t>was 37290000
VNP200
giảm thêm 500K cho giáo dục</t>
        </r>
      </text>
    </comment>
    <comment ref="E21" authorId="1" shapeId="0" xr:uid="{00000000-0006-0000-2100-000050000000}">
      <text>
        <r>
          <rPr>
            <sz val="12"/>
            <color theme="1"/>
            <rFont val="Aptos Narrow"/>
            <family val="2"/>
            <scheme val="minor"/>
          </rPr>
          <t xml:space="preserve">Last week was: 36.790K
Nhập mã ZLP500 giảm ngay 500.000đ cho đơn hàng tối thiểu từ 20 triệu trở lên qua Zalopay (Yêu cầu thanh toán 100% giá trị đơn hàng) 
</t>
        </r>
      </text>
    </comment>
    <comment ref="B22" authorId="0" shapeId="0" xr:uid="{00000000-0006-0000-2100-000051000000}">
      <text>
        <r>
          <rPr>
            <sz val="12"/>
            <color theme="1"/>
            <rFont val="Aptos Narrow"/>
            <family val="2"/>
            <scheme val="minor"/>
          </rPr>
          <t>was 5790000
VNP50</t>
        </r>
      </text>
    </comment>
    <comment ref="C22" authorId="0" shapeId="0" xr:uid="{00000000-0006-0000-2100-000052000000}">
      <text>
        <r>
          <rPr>
            <sz val="12"/>
            <color theme="1"/>
            <rFont val="Aptos Narrow"/>
            <family val="2"/>
            <scheme val="minor"/>
          </rPr>
          <t>W9 5.790</t>
        </r>
      </text>
    </comment>
    <comment ref="F22" authorId="4" shapeId="0" xr:uid="{00000000-0006-0000-2100-000053000000}">
      <text>
        <r>
          <rPr>
            <sz val="12"/>
            <color theme="1"/>
            <rFont val="Aptos Narrow"/>
            <family val="2"/>
            <scheme val="minor"/>
          </rPr>
          <t>chit trang:
5.690.000</t>
        </r>
      </text>
    </comment>
    <comment ref="B23" authorId="0" shapeId="0" xr:uid="{00000000-0006-0000-2100-000054000000}">
      <text>
        <r>
          <rPr>
            <sz val="12"/>
            <color theme="1"/>
            <rFont val="Aptos Narrow"/>
            <family val="2"/>
            <scheme val="minor"/>
          </rPr>
          <t>was 7090000
VNP50</t>
        </r>
      </text>
    </comment>
    <comment ref="C23" authorId="0" shapeId="0" xr:uid="{00000000-0006-0000-2100-000055000000}">
      <text>
        <r>
          <rPr>
            <sz val="12"/>
            <color theme="1"/>
            <rFont val="Aptos Narrow"/>
            <family val="2"/>
            <scheme val="minor"/>
          </rPr>
          <t>W9 7.090</t>
        </r>
      </text>
    </comment>
    <comment ref="G23" authorId="5" shapeId="0" xr:uid="{00000000-0006-0000-2100-000056000000}">
      <text>
        <r>
          <rPr>
            <sz val="12"/>
            <color theme="1"/>
            <rFont val="Aptos Narrow"/>
            <family val="2"/>
            <scheme val="minor"/>
          </rPr>
          <t>Tran Dat:
7.190</t>
        </r>
      </text>
    </comment>
    <comment ref="B24" authorId="0" shapeId="0" xr:uid="{00000000-0006-0000-2100-000057000000}">
      <text>
        <r>
          <rPr>
            <sz val="12"/>
            <color theme="1"/>
            <rFont val="Aptos Narrow"/>
            <family val="2"/>
            <scheme val="minor"/>
          </rPr>
          <t>was 6590000
VNP50</t>
        </r>
      </text>
    </comment>
    <comment ref="C24" authorId="0" shapeId="0" xr:uid="{00000000-0006-0000-2100-000058000000}">
      <text>
        <r>
          <rPr>
            <sz val="12"/>
            <color theme="1"/>
            <rFont val="Aptos Narrow"/>
            <family val="2"/>
            <scheme val="minor"/>
          </rPr>
          <t>W9 6.590</t>
        </r>
      </text>
    </comment>
    <comment ref="B25" authorId="0" shapeId="0" xr:uid="{00000000-0006-0000-2100-000059000000}">
      <text>
        <r>
          <rPr>
            <sz val="12"/>
            <color theme="1"/>
            <rFont val="Aptos Narrow"/>
            <family val="2"/>
            <scheme val="minor"/>
          </rPr>
          <t>was 7890000
VNP50</t>
        </r>
      </text>
    </comment>
    <comment ref="C25" authorId="0" shapeId="0" xr:uid="{00000000-0006-0000-2100-00005A000000}">
      <text>
        <r>
          <rPr>
            <sz val="12"/>
            <color theme="1"/>
            <rFont val="Aptos Narrow"/>
            <family val="2"/>
            <scheme val="minor"/>
          </rPr>
          <t>W9 7.890</t>
        </r>
      </text>
    </comment>
    <comment ref="D26" authorId="3" shapeId="0" xr:uid="{00000000-0006-0000-2100-00005B000000}">
      <text>
        <r>
          <rPr>
            <sz val="12"/>
            <color theme="1"/>
            <rFont val="Aptos Narrow"/>
            <family val="2"/>
            <scheme val="minor"/>
          </rPr>
          <t>Việt Hoàng:
Last week:
9.990.000</t>
        </r>
      </text>
    </comment>
    <comment ref="E26" authorId="1" shapeId="0" xr:uid="{00000000-0006-0000-2100-00005C000000}">
      <text>
        <r>
          <rPr>
            <sz val="12"/>
            <color theme="1"/>
            <rFont val="Aptos Narrow"/>
            <family val="2"/>
            <scheme val="minor"/>
          </rPr>
          <t xml:space="preserve">Giảm 500K cho khách Pre-oder
</t>
        </r>
      </text>
    </comment>
    <comment ref="B27" authorId="0" shapeId="0" xr:uid="{00000000-0006-0000-2100-00005D000000}">
      <text>
        <r>
          <rPr>
            <sz val="12"/>
            <color theme="1"/>
            <rFont val="Aptos Narrow"/>
            <family val="2"/>
            <scheme val="minor"/>
          </rPr>
          <t>was 13390000
VNP50</t>
        </r>
      </text>
    </comment>
    <comment ref="C27" authorId="0" shapeId="0" xr:uid="{00000000-0006-0000-2100-00005E000000}">
      <text>
        <r>
          <rPr>
            <sz val="12"/>
            <color theme="1"/>
            <rFont val="Aptos Narrow"/>
            <family val="2"/>
            <scheme val="minor"/>
          </rPr>
          <t>W9 13.390</t>
        </r>
      </text>
    </comment>
    <comment ref="E27" authorId="1" shapeId="0" xr:uid="{00000000-0006-0000-2100-00005F000000}">
      <text>
        <r>
          <rPr>
            <sz val="12"/>
            <color theme="1"/>
            <rFont val="Aptos Narrow"/>
            <family val="2"/>
            <scheme val="minor"/>
          </rPr>
          <t>Last week is: 13.590K</t>
        </r>
      </text>
    </comment>
    <comment ref="B28" authorId="0" shapeId="0" xr:uid="{00000000-0006-0000-2100-000060000000}">
      <text>
        <r>
          <rPr>
            <sz val="12"/>
            <color theme="1"/>
            <rFont val="Aptos Narrow"/>
            <family val="2"/>
            <scheme val="minor"/>
          </rPr>
          <t>was 11790
VNP50</t>
        </r>
      </text>
    </comment>
    <comment ref="C28" authorId="0" shapeId="0" xr:uid="{00000000-0006-0000-2100-000061000000}">
      <text>
        <r>
          <rPr>
            <sz val="12"/>
            <color theme="1"/>
            <rFont val="Aptos Narrow"/>
            <family val="2"/>
            <scheme val="minor"/>
          </rPr>
          <t>W9 11.790</t>
        </r>
      </text>
    </comment>
    <comment ref="E28" authorId="1" shapeId="0" xr:uid="{00000000-0006-0000-2100-000062000000}">
      <text>
        <r>
          <rPr>
            <sz val="12"/>
            <color theme="1"/>
            <rFont val="Aptos Narrow"/>
            <family val="2"/>
            <scheme val="minor"/>
          </rPr>
          <t>Last week is: 11.790K</t>
        </r>
      </text>
    </comment>
    <comment ref="B29" authorId="0" shapeId="0" xr:uid="{00000000-0006-0000-2100-000063000000}">
      <text>
        <r>
          <rPr>
            <sz val="12"/>
            <color theme="1"/>
            <rFont val="Aptos Narrow"/>
            <family val="2"/>
            <scheme val="minor"/>
          </rPr>
          <t>was 14390
VNP50</t>
        </r>
      </text>
    </comment>
    <comment ref="C29" authorId="0" shapeId="0" xr:uid="{00000000-0006-0000-2100-000064000000}">
      <text>
        <r>
          <rPr>
            <sz val="12"/>
            <color theme="1"/>
            <rFont val="Aptos Narrow"/>
            <family val="2"/>
            <scheme val="minor"/>
          </rPr>
          <t>W9 14.390</t>
        </r>
      </text>
    </comment>
    <comment ref="E29" authorId="1" shapeId="0" xr:uid="{00000000-0006-0000-2100-000065000000}">
      <text>
        <r>
          <rPr>
            <sz val="12"/>
            <color theme="1"/>
            <rFont val="Aptos Narrow"/>
            <family val="2"/>
            <scheme val="minor"/>
          </rPr>
          <t>Last week is: 14.390K</t>
        </r>
      </text>
    </comment>
    <comment ref="B30" authorId="0" shapeId="0" xr:uid="{00000000-0006-0000-2100-000066000000}">
      <text>
        <r>
          <rPr>
            <sz val="12"/>
            <color theme="1"/>
            <rFont val="Aptos Narrow"/>
            <family val="2"/>
            <scheme val="minor"/>
          </rPr>
          <t xml:space="preserve">was 22990000
VNP200
</t>
        </r>
      </text>
    </comment>
    <comment ref="C30" authorId="0" shapeId="0" xr:uid="{00000000-0006-0000-2100-000067000000}">
      <text>
        <r>
          <rPr>
            <sz val="12"/>
            <color theme="1"/>
            <rFont val="Aptos Narrow"/>
            <family val="2"/>
            <scheme val="minor"/>
          </rPr>
          <t>W9 22.990</t>
        </r>
      </text>
    </comment>
    <comment ref="E30" authorId="1" shapeId="0" xr:uid="{00000000-0006-0000-2100-000068000000}">
      <text>
        <r>
          <rPr>
            <sz val="12"/>
            <color theme="1"/>
            <rFont val="Aptos Narrow"/>
            <family val="2"/>
            <scheme val="minor"/>
          </rPr>
          <t xml:space="preserve">Last week was: 22.990K
Nhập mã VTQR300 khách hàng sẽ được tặng 1% tối đa 300.000 cho đơn hàng có giá trị từ 3.000.000đ trở lên khi thanh toán qua VNPAY-QR. </t>
        </r>
      </text>
    </comment>
    <comment ref="G30" authorId="5" shapeId="0" xr:uid="{00000000-0006-0000-2100-000069000000}">
      <text>
        <r>
          <rPr>
            <sz val="12"/>
            <color theme="1"/>
            <rFont val="Aptos Narrow"/>
            <family val="2"/>
            <scheme val="minor"/>
          </rPr>
          <t xml:space="preserve">Tran Dat:
20.890
</t>
        </r>
      </text>
    </comment>
    <comment ref="B31" authorId="0" shapeId="0" xr:uid="{00000000-0006-0000-2100-00006A000000}">
      <text>
        <r>
          <rPr>
            <sz val="12"/>
            <color theme="1"/>
            <rFont val="Aptos Narrow"/>
            <family val="2"/>
            <scheme val="minor"/>
          </rPr>
          <t>was 5690000
VN50</t>
        </r>
      </text>
    </comment>
    <comment ref="C31" authorId="0" shapeId="0" xr:uid="{00000000-0006-0000-2100-00006B000000}">
      <text>
        <r>
          <rPr>
            <sz val="12"/>
            <color theme="1"/>
            <rFont val="Aptos Narrow"/>
            <family val="2"/>
            <scheme val="minor"/>
          </rPr>
          <t>W9 5.690</t>
        </r>
      </text>
    </comment>
    <comment ref="D31" authorId="3" shapeId="0" xr:uid="{00000000-0006-0000-2100-00006C000000}">
      <text>
        <r>
          <rPr>
            <sz val="12"/>
            <color theme="1"/>
            <rFont val="Aptos Narrow"/>
            <family val="2"/>
            <scheme val="minor"/>
          </rPr>
          <t>Việt Hoàng:
Last week:
5.590.000</t>
        </r>
      </text>
    </comment>
    <comment ref="E31" authorId="1" shapeId="0" xr:uid="{00000000-0006-0000-2100-00006D000000}">
      <text>
        <r>
          <rPr>
            <sz val="12"/>
            <color theme="1"/>
            <rFont val="Aptos Narrow"/>
            <family val="2"/>
            <scheme val="minor"/>
          </rPr>
          <t xml:space="preserve">Last week was: 5.390K
</t>
        </r>
      </text>
    </comment>
    <comment ref="F31" authorId="4" shapeId="0" xr:uid="{00000000-0006-0000-2100-00006E000000}">
      <text>
        <r>
          <rPr>
            <sz val="12"/>
            <color theme="1"/>
            <rFont val="Aptos Narrow"/>
            <family val="2"/>
            <scheme val="minor"/>
          </rPr>
          <t>chit trang:
5.490.000</t>
        </r>
      </text>
    </comment>
    <comment ref="B32" authorId="0" shapeId="0" xr:uid="{00000000-0006-0000-2100-00006F000000}">
      <text>
        <r>
          <rPr>
            <sz val="12"/>
            <color theme="1"/>
            <rFont val="Aptos Narrow"/>
            <family val="2"/>
            <scheme val="minor"/>
          </rPr>
          <t>was 4590000
VNP50</t>
        </r>
      </text>
    </comment>
    <comment ref="E32" authorId="1" shapeId="0" xr:uid="{00000000-0006-0000-2100-000070000000}">
      <text>
        <r>
          <rPr>
            <sz val="12"/>
            <color theme="1"/>
            <rFont val="Aptos Narrow"/>
            <family val="2"/>
            <scheme val="minor"/>
          </rPr>
          <t>Last week was: 4.790K
Voucher giảm 1% tối đa 300K VNPAY</t>
        </r>
      </text>
    </comment>
    <comment ref="E33" authorId="0" shapeId="0" xr:uid="{00000000-0006-0000-2100-000071000000}">
      <text>
        <r>
          <rPr>
            <sz val="12"/>
            <color theme="1"/>
            <rFont val="Aptos Narrow"/>
            <family val="2"/>
            <scheme val="minor"/>
          </rPr>
          <t>was 3490000</t>
        </r>
      </text>
    </comment>
    <comment ref="B34" authorId="0" shapeId="0" xr:uid="{00000000-0006-0000-2100-000072000000}">
      <text>
        <r>
          <rPr>
            <sz val="12"/>
            <color theme="1"/>
            <rFont val="Aptos Narrow"/>
            <family val="2"/>
            <scheme val="minor"/>
          </rPr>
          <t>was 4090000</t>
        </r>
      </text>
    </comment>
    <comment ref="C34" authorId="0" shapeId="0" xr:uid="{00000000-0006-0000-2100-000073000000}">
      <text>
        <r>
          <rPr>
            <sz val="12"/>
            <color theme="1"/>
            <rFont val="Aptos Narrow"/>
            <family val="2"/>
            <scheme val="minor"/>
          </rPr>
          <t>W9 4.090</t>
        </r>
      </text>
    </comment>
    <comment ref="D34" authorId="3" shapeId="0" xr:uid="{00000000-0006-0000-2100-000074000000}">
      <text>
        <r>
          <rPr>
            <sz val="12"/>
            <color theme="1"/>
            <rFont val="Aptos Narrow"/>
            <family val="2"/>
            <scheme val="minor"/>
          </rPr>
          <t>Việt Hoàng:
Last week:
3.590.000</t>
        </r>
      </text>
    </comment>
    <comment ref="E34" authorId="1" shapeId="0" xr:uid="{00000000-0006-0000-2100-000075000000}">
      <text>
        <r>
          <rPr>
            <sz val="12"/>
            <color theme="1"/>
            <rFont val="Aptos Narrow"/>
            <family val="2"/>
            <scheme val="minor"/>
          </rPr>
          <t>Last week was: 3.890K</t>
        </r>
      </text>
    </comment>
    <comment ref="E35" authorId="1" shapeId="0" xr:uid="{00000000-0006-0000-2100-000076000000}">
      <text>
        <r>
          <rPr>
            <sz val="12"/>
            <color theme="1"/>
            <rFont val="Aptos Narrow"/>
            <family val="2"/>
            <scheme val="minor"/>
          </rPr>
          <t>Last week is: 2.690K</t>
        </r>
      </text>
    </comment>
    <comment ref="B36" authorId="0" shapeId="0" xr:uid="{00000000-0006-0000-2100-000077000000}">
      <text>
        <r>
          <rPr>
            <sz val="12"/>
            <color theme="1"/>
            <rFont val="Aptos Narrow"/>
            <family val="2"/>
            <scheme val="minor"/>
          </rPr>
          <t>was 18190
VNP200</t>
        </r>
      </text>
    </comment>
    <comment ref="C36" authorId="0" shapeId="0" xr:uid="{00000000-0006-0000-2100-000078000000}">
      <text>
        <r>
          <rPr>
            <sz val="12"/>
            <color theme="1"/>
            <rFont val="Aptos Narrow"/>
            <family val="2"/>
            <scheme val="minor"/>
          </rPr>
          <t xml:space="preserve">W9 18.190
</t>
        </r>
      </text>
    </comment>
    <comment ref="D36" authorId="3" shapeId="0" xr:uid="{00000000-0006-0000-2100-000079000000}">
      <text>
        <r>
          <rPr>
            <sz val="12"/>
            <color theme="1"/>
            <rFont val="Aptos Narrow"/>
            <family val="2"/>
            <scheme val="minor"/>
          </rPr>
          <t>Việt Hoàng:
Last week:
17.790.000</t>
        </r>
      </text>
    </comment>
    <comment ref="F36" authorId="4" shapeId="0" xr:uid="{00000000-0006-0000-2100-00007A000000}">
      <text>
        <r>
          <rPr>
            <sz val="12"/>
            <color theme="1"/>
            <rFont val="Aptos Narrow"/>
            <family val="2"/>
            <scheme val="minor"/>
          </rPr>
          <t>chit trang:
17.590.000</t>
        </r>
      </text>
    </comment>
    <comment ref="G36" authorId="5" shapeId="0" xr:uid="{00000000-0006-0000-2100-00007B000000}">
      <text>
        <r>
          <rPr>
            <sz val="12"/>
            <color theme="1"/>
            <rFont val="Aptos Narrow"/>
            <family val="2"/>
            <scheme val="minor"/>
          </rPr>
          <t>Tran Dat:
16.990</t>
        </r>
      </text>
    </comment>
    <comment ref="B37" authorId="0" shapeId="0" xr:uid="{00000000-0006-0000-2100-00007C000000}">
      <text>
        <r>
          <rPr>
            <sz val="12"/>
            <color theme="1"/>
            <rFont val="Aptos Narrow"/>
            <family val="2"/>
            <scheme val="minor"/>
          </rPr>
          <t>VNP200</t>
        </r>
      </text>
    </comment>
    <comment ref="D37" authorId="3" shapeId="0" xr:uid="{00000000-0006-0000-2100-00007D000000}">
      <text>
        <r>
          <rPr>
            <sz val="12"/>
            <color theme="1"/>
            <rFont val="Aptos Narrow"/>
            <family val="2"/>
            <scheme val="minor"/>
          </rPr>
          <t>Việt Hoàng:
Last week:
22.490.000</t>
        </r>
      </text>
    </comment>
    <comment ref="F37" authorId="4" shapeId="0" xr:uid="{00000000-0006-0000-2100-00007E000000}">
      <text>
        <r>
          <rPr>
            <sz val="12"/>
            <color theme="1"/>
            <rFont val="Aptos Narrow"/>
            <family val="2"/>
            <scheme val="minor"/>
          </rPr>
          <t>chit trang:
22.290.000</t>
        </r>
      </text>
    </comment>
    <comment ref="D38" authorId="3" shapeId="0" xr:uid="{00000000-0006-0000-2100-00007F000000}">
      <text>
        <r>
          <rPr>
            <sz val="12"/>
            <color theme="1"/>
            <rFont val="Aptos Narrow"/>
            <family val="2"/>
            <scheme val="minor"/>
          </rPr>
          <t>Việt Hoàng:
Last week:
25.790.000</t>
        </r>
      </text>
    </comment>
    <comment ref="B39" authorId="0" shapeId="0" xr:uid="{00000000-0006-0000-2100-000080000000}">
      <text>
        <r>
          <rPr>
            <sz val="12"/>
            <color theme="1"/>
            <rFont val="Aptos Narrow"/>
            <family val="2"/>
            <scheme val="minor"/>
          </rPr>
          <t>VNP200</t>
        </r>
      </text>
    </comment>
    <comment ref="B40" authorId="0" shapeId="0" xr:uid="{00000000-0006-0000-2100-000081000000}">
      <text>
        <r>
          <rPr>
            <sz val="12"/>
            <color theme="1"/>
            <rFont val="Aptos Narrow"/>
            <family val="2"/>
            <scheme val="minor"/>
          </rPr>
          <t>was 36490000
VNP200</t>
        </r>
      </text>
    </comment>
    <comment ref="D40" authorId="3" shapeId="0" xr:uid="{00000000-0006-0000-2100-000082000000}">
      <text>
        <r>
          <rPr>
            <sz val="12"/>
            <color theme="1"/>
            <rFont val="Aptos Narrow"/>
            <family val="2"/>
            <scheme val="minor"/>
          </rPr>
          <t>Việt Hoàng:
Last week:
36.290.000</t>
        </r>
      </text>
    </comment>
  </commentList>
</comments>
</file>

<file path=xl/comments35.xml><?xml version="1.0" encoding="utf-8"?>
<comments xmlns="http://schemas.openxmlformats.org/spreadsheetml/2006/main" xmlns:mc="http://schemas.openxmlformats.org/markup-compatibility/2006" xmlns:xr="http://schemas.microsoft.com/office/spreadsheetml/2014/revision" mc:Ignorable="xr">
  <authors>
    <author>Việt Hoàng</author>
    <author>Sheva Son</author>
    <author>Người dùng Khách</author>
    <author>Microsoft Office User</author>
    <author>chit trang</author>
    <author>Tran Dat</author>
  </authors>
  <commentList>
    <comment ref="D2" authorId="0" shapeId="0" xr:uid="{00000000-0006-0000-2200-000001000000}">
      <text>
        <r>
          <rPr>
            <sz val="12"/>
            <color theme="1"/>
            <rFont val="Aptos Narrow"/>
            <family val="2"/>
            <scheme val="minor"/>
          </rPr>
          <t>Việt Hoàng:
Last week:
21.490.000</t>
        </r>
      </text>
    </comment>
    <comment ref="E2" authorId="1" shapeId="0" xr:uid="{00000000-0006-0000-2200-000002000000}">
      <text>
        <r>
          <rPr>
            <sz val="12"/>
            <color theme="1"/>
            <rFont val="Aptos Narrow"/>
            <family val="2"/>
            <scheme val="minor"/>
          </rPr>
          <t>Last week is: 21.690K
Giảm 500K (đã trừ vào giá, ko kèm CTKM đổi điểm VT++).
Đổi điểm Viettel++ lên tới 6000K</t>
        </r>
      </text>
    </comment>
    <comment ref="F2" authorId="2" shapeId="0" xr:uid="{00000000-0006-0000-2200-000003000000}">
      <text>
        <r>
          <rPr>
            <sz val="12"/>
            <color theme="1"/>
            <rFont val="Aptos Narrow"/>
            <family val="2"/>
            <scheme val="minor"/>
          </rPr>
          <t>Người dùng Không xác định:
21.290.000</t>
        </r>
      </text>
    </comment>
    <comment ref="B3" authorId="3" shapeId="0" xr:uid="{00000000-0006-0000-2200-000004000000}">
      <text>
        <r>
          <rPr>
            <sz val="12"/>
            <color theme="1"/>
            <rFont val="Aptos Narrow"/>
            <family val="2"/>
            <scheme val="minor"/>
          </rPr>
          <t>was 25390000
VNP200</t>
        </r>
      </text>
    </comment>
    <comment ref="C3" authorId="3" shapeId="0" xr:uid="{00000000-0006-0000-2200-000005000000}">
      <text>
        <r>
          <rPr>
            <sz val="12"/>
            <color theme="1"/>
            <rFont val="Aptos Narrow"/>
            <family val="2"/>
            <scheme val="minor"/>
          </rPr>
          <t>W10 25.390</t>
        </r>
      </text>
    </comment>
    <comment ref="E3" authorId="1" shapeId="0" xr:uid="{00000000-0006-0000-2200-000006000000}">
      <text>
        <r>
          <rPr>
            <sz val="12"/>
            <color theme="1"/>
            <rFont val="Aptos Narrow"/>
            <family val="2"/>
            <scheme val="minor"/>
          </rPr>
          <t xml:space="preserve">Last week is: 24.890K
Giảm 500K (đã trừ vào giá, ko kèm CTKM đổi điểm VT++).
Đổi điểm Viettel++ lên tới 6000K
</t>
        </r>
      </text>
    </comment>
    <comment ref="B4" authorId="3" shapeId="0" xr:uid="{00000000-0006-0000-2200-000007000000}">
      <text>
        <r>
          <rPr>
            <sz val="12"/>
            <color theme="1"/>
            <rFont val="Aptos Narrow"/>
            <family val="2"/>
            <scheme val="minor"/>
          </rPr>
          <t>was 28190
VNP200</t>
        </r>
      </text>
    </comment>
    <comment ref="C4" authorId="3" shapeId="0" xr:uid="{00000000-0006-0000-2200-000008000000}">
      <text>
        <r>
          <rPr>
            <sz val="12"/>
            <color theme="1"/>
            <rFont val="Aptos Narrow"/>
            <family val="2"/>
            <scheme val="minor"/>
          </rPr>
          <t>W10 28.190</t>
        </r>
      </text>
    </comment>
    <comment ref="E4" authorId="3" shapeId="0" xr:uid="{00000000-0006-0000-2200-000009000000}">
      <text>
        <r>
          <rPr>
            <sz val="12"/>
            <color theme="1"/>
            <rFont val="Aptos Narrow"/>
            <family val="2"/>
            <scheme val="minor"/>
          </rPr>
          <t xml:space="preserve">Last week was: 27.710K
Nhập mã ZLP500 giảm ngay 500.000đ cho đơn hàng tối thiểu từ 20 triệu trở lên qua Zalopay (Yêu cầu thanh toán 100% giá trị đơn hàng). </t>
        </r>
      </text>
    </comment>
    <comment ref="F4" authorId="4" shapeId="0" xr:uid="{00000000-0006-0000-2200-00000A000000}">
      <text>
        <r>
          <rPr>
            <sz val="12"/>
            <color theme="1"/>
            <rFont val="Aptos Narrow"/>
            <family val="2"/>
            <scheme val="minor"/>
          </rPr>
          <t>chit trang:
27.490.000</t>
        </r>
      </text>
    </comment>
    <comment ref="B5" authorId="3" shapeId="0" xr:uid="{00000000-0006-0000-2200-00000B000000}">
      <text>
        <r>
          <rPr>
            <sz val="12"/>
            <color theme="1"/>
            <rFont val="Aptos Narrow"/>
            <family val="2"/>
            <scheme val="minor"/>
          </rPr>
          <t>was 33890
VNP200</t>
        </r>
      </text>
    </comment>
    <comment ref="C5" authorId="3" shapeId="0" xr:uid="{00000000-0006-0000-2200-00000C000000}">
      <text>
        <r>
          <rPr>
            <sz val="12"/>
            <color theme="1"/>
            <rFont val="Aptos Narrow"/>
            <family val="2"/>
            <scheme val="minor"/>
          </rPr>
          <t>W10 33.890</t>
        </r>
      </text>
    </comment>
    <comment ref="E5" authorId="1" shapeId="0" xr:uid="{00000000-0006-0000-2200-00000D000000}">
      <text>
        <r>
          <rPr>
            <sz val="12"/>
            <color theme="1"/>
            <rFont val="Aptos Narrow"/>
            <family val="2"/>
            <scheme val="minor"/>
          </rPr>
          <t xml:space="preserve">Last week is: 32.990K
Tặng voucher giảm giá lên đến 6,000,000đ cho khách hàng đổi điểm Viettel++ trên ứng dụng My Viettel 
</t>
        </r>
      </text>
    </comment>
    <comment ref="F5" authorId="4" shapeId="0" xr:uid="{00000000-0006-0000-2200-00000E000000}">
      <text>
        <r>
          <rPr>
            <sz val="12"/>
            <color theme="1"/>
            <rFont val="Aptos Narrow"/>
            <family val="2"/>
            <scheme val="minor"/>
          </rPr>
          <t>chit trang:
33.490.000</t>
        </r>
      </text>
    </comment>
    <comment ref="G5" authorId="5" shapeId="0" xr:uid="{00000000-0006-0000-2200-00000F000000}">
      <text>
        <r>
          <rPr>
            <sz val="12"/>
            <color theme="1"/>
            <rFont val="Aptos Narrow"/>
            <family val="2"/>
            <scheme val="minor"/>
          </rPr>
          <t>Tran Dat:
33.490</t>
        </r>
      </text>
    </comment>
    <comment ref="B6" authorId="3" shapeId="0" xr:uid="{00000000-0006-0000-2200-000010000000}">
      <text>
        <r>
          <rPr>
            <sz val="12"/>
            <color theme="1"/>
            <rFont val="Aptos Narrow"/>
            <family val="2"/>
            <scheme val="minor"/>
          </rPr>
          <t>was 19590000
VNP200</t>
        </r>
      </text>
    </comment>
    <comment ref="C6" authorId="3" shapeId="0" xr:uid="{00000000-0006-0000-2200-000011000000}">
      <text>
        <r>
          <rPr>
            <sz val="12"/>
            <color theme="1"/>
            <rFont val="Aptos Narrow"/>
            <family val="2"/>
            <scheme val="minor"/>
          </rPr>
          <t>W10 19.590</t>
        </r>
      </text>
    </comment>
    <comment ref="E6" authorId="1" shapeId="0" xr:uid="{00000000-0006-0000-2200-000012000000}">
      <text>
        <r>
          <rPr>
            <sz val="12"/>
            <color theme="1"/>
            <rFont val="Aptos Narrow"/>
            <family val="2"/>
            <scheme val="minor"/>
          </rPr>
          <t xml:space="preserve">Last week is: 19.190K
Giảm ngay 200,000đ cho khách hàng mua gói cước 3V200B </t>
        </r>
      </text>
    </comment>
    <comment ref="G6" authorId="5" shapeId="0" xr:uid="{00000000-0006-0000-2200-000013000000}">
      <text>
        <r>
          <rPr>
            <sz val="12"/>
            <color theme="1"/>
            <rFont val="Aptos Narrow"/>
            <family val="2"/>
            <scheme val="minor"/>
          </rPr>
          <t xml:space="preserve">Tran Dat:
19490
</t>
        </r>
      </text>
    </comment>
    <comment ref="E7" authorId="1" shapeId="0" xr:uid="{00000000-0006-0000-2200-000014000000}">
      <text>
        <r>
          <rPr>
            <sz val="12"/>
            <color theme="1"/>
            <rFont val="Aptos Narrow"/>
            <family val="2"/>
            <scheme val="minor"/>
          </rPr>
          <t xml:space="preserve">Last week is: 21.990K
Giảm ngay 200,000đ cho khách hàng mua gói cước 3V200B </t>
        </r>
      </text>
    </comment>
    <comment ref="F7" authorId="4" shapeId="0" xr:uid="{00000000-0006-0000-2200-000015000000}">
      <text>
        <r>
          <rPr>
            <sz val="12"/>
            <color theme="1"/>
            <rFont val="Aptos Narrow"/>
            <family val="2"/>
            <scheme val="minor"/>
          </rPr>
          <t>chit trang:
22.590.000</t>
        </r>
      </text>
    </comment>
    <comment ref="E9" authorId="1" shapeId="0" xr:uid="{00000000-0006-0000-2200-000016000000}">
      <text>
        <r>
          <rPr>
            <sz val="12"/>
            <color theme="1"/>
            <rFont val="Aptos Narrow"/>
            <family val="2"/>
            <scheme val="minor"/>
          </rPr>
          <t xml:space="preserve">Last week was: 28.490.000
</t>
        </r>
      </text>
    </comment>
    <comment ref="F9" authorId="4" shapeId="0" xr:uid="{00000000-0006-0000-2200-000017000000}">
      <text>
        <r>
          <rPr>
            <sz val="12"/>
            <color theme="1"/>
            <rFont val="Aptos Narrow"/>
            <family val="2"/>
            <scheme val="minor"/>
          </rPr>
          <t>chit trang:
28.990.000</t>
        </r>
      </text>
    </comment>
    <comment ref="G9" authorId="5" shapeId="0" xr:uid="{00000000-0006-0000-2200-000018000000}">
      <text>
        <r>
          <rPr>
            <sz val="12"/>
            <color theme="1"/>
            <rFont val="Aptos Narrow"/>
            <family val="2"/>
            <scheme val="minor"/>
          </rPr>
          <t>Tran Dat:
28.690</t>
        </r>
      </text>
    </comment>
    <comment ref="E10" authorId="1" shapeId="0" xr:uid="{00000000-0006-0000-2200-000019000000}">
      <text>
        <r>
          <rPr>
            <sz val="12"/>
            <color theme="1"/>
            <rFont val="Aptos Narrow"/>
            <family val="2"/>
            <scheme val="minor"/>
          </rPr>
          <t xml:space="preserve">Last week was: 19.690K
Chỉ còn màu Purple, Blue, White số lượng ít
</t>
        </r>
      </text>
    </comment>
    <comment ref="D12" authorId="0" shapeId="0" xr:uid="{00000000-0006-0000-2200-00001A000000}">
      <text>
        <r>
          <rPr>
            <sz val="12"/>
            <color theme="1"/>
            <rFont val="Aptos Narrow"/>
            <family val="2"/>
            <scheme val="minor"/>
          </rPr>
          <t>Việt Hoàng:
Last week:
13.490.000</t>
        </r>
      </text>
    </comment>
    <comment ref="E12" authorId="1" shapeId="0" xr:uid="{00000000-0006-0000-2200-00001B000000}">
      <text>
        <r>
          <rPr>
            <sz val="12"/>
            <color theme="1"/>
            <rFont val="Aptos Narrow"/>
            <family val="2"/>
            <scheme val="minor"/>
          </rPr>
          <t>Giảm 300K cho màu Đen và Starlight</t>
        </r>
      </text>
    </comment>
    <comment ref="B14" authorId="3" shapeId="0" xr:uid="{00000000-0006-0000-2200-00001C000000}">
      <text>
        <r>
          <rPr>
            <sz val="12"/>
            <color theme="1"/>
            <rFont val="Aptos Narrow"/>
            <family val="2"/>
            <scheme val="minor"/>
          </rPr>
          <t>was 8740000
VNP50</t>
        </r>
      </text>
    </comment>
    <comment ref="C14" authorId="3" shapeId="0" xr:uid="{00000000-0006-0000-2200-00001D000000}">
      <text>
        <r>
          <rPr>
            <sz val="12"/>
            <color theme="1"/>
            <rFont val="Aptos Narrow"/>
            <family val="2"/>
            <scheme val="minor"/>
          </rPr>
          <t>W10 8.740</t>
        </r>
      </text>
    </comment>
    <comment ref="E14" authorId="1" shapeId="0" xr:uid="{00000000-0006-0000-2200-00001E000000}">
      <text>
        <r>
          <rPr>
            <sz val="12"/>
            <color theme="1"/>
            <rFont val="Aptos Narrow"/>
            <family val="2"/>
            <scheme val="minor"/>
          </rPr>
          <t xml:space="preserve">Giảm 200K khi mua Online (đã trừ vào giá)
Trợ giá 4G giảm 300K đã trừ vào giá
</t>
        </r>
      </text>
    </comment>
    <comment ref="B15" authorId="3" shapeId="0" xr:uid="{00000000-0006-0000-2200-00001F000000}">
      <text>
        <r>
          <rPr>
            <sz val="12"/>
            <color theme="1"/>
            <rFont val="Aptos Narrow"/>
            <family val="2"/>
            <scheme val="minor"/>
          </rPr>
          <t>was 13990000
VNP100
Giảm thêm 400K cho giáo dục</t>
        </r>
      </text>
    </comment>
    <comment ref="C15" authorId="3" shapeId="0" xr:uid="{00000000-0006-0000-2200-000020000000}">
      <text>
        <r>
          <rPr>
            <sz val="12"/>
            <color theme="1"/>
            <rFont val="Aptos Narrow"/>
            <family val="2"/>
            <scheme val="minor"/>
          </rPr>
          <t>W10 13.990</t>
        </r>
      </text>
    </comment>
    <comment ref="G15" authorId="5" shapeId="0" xr:uid="{00000000-0006-0000-2200-000021000000}">
      <text>
        <r>
          <rPr>
            <sz val="12"/>
            <color theme="1"/>
            <rFont val="Aptos Narrow"/>
            <family val="2"/>
            <scheme val="minor"/>
          </rPr>
          <t>Tran Dat:
13.990</t>
        </r>
      </text>
    </comment>
    <comment ref="B16" authorId="3" shapeId="0" xr:uid="{00000000-0006-0000-2200-000022000000}">
      <text>
        <r>
          <rPr>
            <sz val="12"/>
            <color theme="1"/>
            <rFont val="Aptos Narrow"/>
            <family val="2"/>
            <scheme val="minor"/>
          </rPr>
          <t>was 9690000
VNP100
giảm thêm 300K cho GD</t>
        </r>
      </text>
    </comment>
    <comment ref="C16" authorId="3" shapeId="0" xr:uid="{00000000-0006-0000-2200-000023000000}">
      <text>
        <r>
          <rPr>
            <sz val="12"/>
            <color theme="1"/>
            <rFont val="Aptos Narrow"/>
            <family val="2"/>
            <scheme val="minor"/>
          </rPr>
          <t>W10 9.690</t>
        </r>
      </text>
    </comment>
    <comment ref="D16" authorId="0" shapeId="0" xr:uid="{00000000-0006-0000-2200-000024000000}">
      <text>
        <r>
          <rPr>
            <sz val="12"/>
            <color theme="1"/>
            <rFont val="Aptos Narrow"/>
            <family val="2"/>
            <scheme val="minor"/>
          </rPr>
          <t>Việt Hoàng:
Last week:
9.590.000</t>
        </r>
      </text>
    </comment>
    <comment ref="E16" authorId="1" shapeId="0" xr:uid="{00000000-0006-0000-2200-000025000000}">
      <text>
        <r>
          <rPr>
            <sz val="12"/>
            <color theme="1"/>
            <rFont val="Aptos Narrow"/>
            <family val="2"/>
            <scheme val="minor"/>
          </rPr>
          <t xml:space="preserve">Last week is: 8.490K
Giảm 200K cho khách mua Online đã trừ
</t>
        </r>
      </text>
    </comment>
    <comment ref="F16" authorId="4" shapeId="0" xr:uid="{00000000-0006-0000-2200-000026000000}">
      <text>
        <r>
          <rPr>
            <sz val="12"/>
            <color theme="1"/>
            <rFont val="Aptos Narrow"/>
            <family val="2"/>
            <scheme val="minor"/>
          </rPr>
          <t>chit trang:
9.390.000</t>
        </r>
      </text>
    </comment>
    <comment ref="G16" authorId="5" shapeId="0" xr:uid="{00000000-0006-0000-2200-000027000000}">
      <text>
        <r>
          <rPr>
            <sz val="12"/>
            <color theme="1"/>
            <rFont val="Aptos Narrow"/>
            <family val="2"/>
            <scheme val="minor"/>
          </rPr>
          <t>Tran Dat:
9.290</t>
        </r>
      </text>
    </comment>
    <comment ref="E17" authorId="1" shapeId="0" xr:uid="{00000000-0006-0000-2200-000028000000}">
      <text>
        <r>
          <rPr>
            <sz val="12"/>
            <color theme="1"/>
            <rFont val="Aptos Narrow"/>
            <family val="2"/>
            <scheme val="minor"/>
          </rPr>
          <t>Giảm 10% tối đa 120K khi mở ví VNPAY</t>
        </r>
      </text>
    </comment>
    <comment ref="B18" authorId="3" shapeId="0" xr:uid="{00000000-0006-0000-2200-000029000000}">
      <text>
        <r>
          <rPr>
            <sz val="12"/>
            <color theme="1"/>
            <rFont val="Aptos Narrow"/>
            <family val="2"/>
            <scheme val="minor"/>
          </rPr>
          <t>was 16890000
VNP100</t>
        </r>
      </text>
    </comment>
    <comment ref="C18" authorId="3" shapeId="0" xr:uid="{00000000-0006-0000-2200-00002A000000}">
      <text>
        <r>
          <rPr>
            <sz val="12"/>
            <color theme="1"/>
            <rFont val="Aptos Narrow"/>
            <family val="2"/>
            <scheme val="minor"/>
          </rPr>
          <t>W10 16.890</t>
        </r>
      </text>
    </comment>
    <comment ref="D18" authorId="0" shapeId="0" xr:uid="{00000000-0006-0000-2200-00002B000000}">
      <text>
        <r>
          <rPr>
            <sz val="12"/>
            <color theme="1"/>
            <rFont val="Aptos Narrow"/>
            <family val="2"/>
            <scheme val="minor"/>
          </rPr>
          <t>Việt Hoàng:
Last week:
16.490.000</t>
        </r>
      </text>
    </comment>
    <comment ref="E18" authorId="1" shapeId="0" xr:uid="{00000000-0006-0000-2200-00002C000000}">
      <text>
        <r>
          <rPr>
            <sz val="12"/>
            <color theme="1"/>
            <rFont val="Aptos Narrow"/>
            <family val="2"/>
            <scheme val="minor"/>
          </rPr>
          <t xml:space="preserve">Last week is: 15.830K
</t>
        </r>
      </text>
    </comment>
    <comment ref="F18" authorId="4" shapeId="0" xr:uid="{00000000-0006-0000-2200-00002D000000}">
      <text>
        <r>
          <rPr>
            <sz val="12"/>
            <color theme="1"/>
            <rFont val="Aptos Narrow"/>
            <family val="2"/>
            <scheme val="minor"/>
          </rPr>
          <t>chit trang:
16.490k</t>
        </r>
      </text>
    </comment>
    <comment ref="G18" authorId="5" shapeId="0" xr:uid="{00000000-0006-0000-2200-00002E000000}">
      <text>
        <r>
          <rPr>
            <sz val="12"/>
            <color theme="1"/>
            <rFont val="Aptos Narrow"/>
            <family val="2"/>
            <scheme val="minor"/>
          </rPr>
          <t xml:space="preserve">Tran Dat:
15.990
</t>
        </r>
      </text>
    </comment>
    <comment ref="B19" authorId="3" shapeId="0" xr:uid="{00000000-0006-0000-2200-00002F000000}">
      <text>
        <r>
          <rPr>
            <sz val="12"/>
            <color theme="1"/>
            <rFont val="Aptos Narrow"/>
            <family val="2"/>
            <scheme val="minor"/>
          </rPr>
          <t>was 22290000
VNP200
Giảm thêm 400K cho giáo dục</t>
        </r>
      </text>
    </comment>
    <comment ref="C19" authorId="3" shapeId="0" xr:uid="{00000000-0006-0000-2200-000030000000}">
      <text>
        <r>
          <rPr>
            <sz val="12"/>
            <color theme="1"/>
            <rFont val="Aptos Narrow"/>
            <family val="2"/>
            <scheme val="minor"/>
          </rPr>
          <t>W10 22.290</t>
        </r>
      </text>
    </comment>
    <comment ref="D19" authorId="0" shapeId="0" xr:uid="{00000000-0006-0000-2200-000031000000}">
      <text>
        <r>
          <rPr>
            <sz val="12"/>
            <color theme="1"/>
            <rFont val="Aptos Narrow"/>
            <family val="2"/>
            <scheme val="minor"/>
          </rPr>
          <t>Việt Hoàng:
Last week:
21.690.000</t>
        </r>
      </text>
    </comment>
    <comment ref="E19" authorId="1" shapeId="0" xr:uid="{00000000-0006-0000-2200-000032000000}">
      <text>
        <r>
          <rPr>
            <sz val="12"/>
            <color theme="1"/>
            <rFont val="Aptos Narrow"/>
            <family val="2"/>
            <scheme val="minor"/>
          </rPr>
          <t>Last week is: 21.190K
Voucher giảm 10% tối đa 300K VNPAY</t>
        </r>
      </text>
    </comment>
    <comment ref="F19" authorId="4" shapeId="0" xr:uid="{00000000-0006-0000-2200-000033000000}">
      <text>
        <r>
          <rPr>
            <sz val="12"/>
            <color theme="1"/>
            <rFont val="Aptos Narrow"/>
            <family val="2"/>
            <scheme val="minor"/>
          </rPr>
          <t>chit trang:
21.490.000</t>
        </r>
      </text>
    </comment>
    <comment ref="G19" authorId="5" shapeId="0" xr:uid="{00000000-0006-0000-2200-000034000000}">
      <text>
        <r>
          <rPr>
            <sz val="12"/>
            <color theme="1"/>
            <rFont val="Aptos Narrow"/>
            <family val="2"/>
            <scheme val="minor"/>
          </rPr>
          <t>Tran Dat:
28990</t>
        </r>
      </text>
    </comment>
    <comment ref="E20" authorId="1" shapeId="0" xr:uid="{00000000-0006-0000-2200-000035000000}">
      <text>
        <r>
          <rPr>
            <sz val="12"/>
            <color theme="1"/>
            <rFont val="Aptos Narrow"/>
            <family val="2"/>
            <scheme val="minor"/>
          </rPr>
          <t xml:space="preserve">Last week is: 26.890K
Nhập mã VTQR300 khách hàng sẽ được tặng 1% tối đa 300.000 cho đơn hàng có giá trị từ 3 triệu trở lên khi thanh toán qua VNPAY-QR </t>
        </r>
      </text>
    </comment>
    <comment ref="E21" authorId="1" shapeId="0" xr:uid="{00000000-0006-0000-2200-000036000000}">
      <text>
        <r>
          <rPr>
            <sz val="12"/>
            <color theme="1"/>
            <rFont val="Aptos Narrow"/>
            <family val="2"/>
            <scheme val="minor"/>
          </rPr>
          <t xml:space="preserve">Last week was: 36.790K
Nhập mã ZLP500 giảm ngay 500.000đ cho đơn hàng tối thiểu từ 20 triệu trở lên qua Zalopay (Yêu cầu thanh toán 100% giá trị đơn hàng) 
</t>
        </r>
      </text>
    </comment>
    <comment ref="E22" authorId="1" shapeId="0" xr:uid="{00000000-0006-0000-2200-000037000000}">
      <text>
        <r>
          <rPr>
            <sz val="12"/>
            <color theme="1"/>
            <rFont val="Aptos Narrow"/>
            <family val="2"/>
            <scheme val="minor"/>
          </rPr>
          <t xml:space="preserve">Tặng voucher giảm giá 100,000đ cho khách hàng đổi điểm trên ứng dụng Btaskee </t>
        </r>
      </text>
    </comment>
    <comment ref="E23" authorId="1" shapeId="0" xr:uid="{00000000-0006-0000-2200-000038000000}">
      <text>
        <r>
          <rPr>
            <sz val="12"/>
            <color theme="1"/>
            <rFont val="Aptos Narrow"/>
            <family val="2"/>
            <scheme val="minor"/>
          </rPr>
          <t xml:space="preserve">  Tặng voucher giảm giá 100,000đ cho khách hàng đổi điểm trên ứng dụng Btaskee </t>
        </r>
      </text>
    </comment>
    <comment ref="G23" authorId="5" shapeId="0" xr:uid="{00000000-0006-0000-2200-000039000000}">
      <text>
        <r>
          <rPr>
            <sz val="12"/>
            <color theme="1"/>
            <rFont val="Aptos Narrow"/>
            <family val="2"/>
            <scheme val="minor"/>
          </rPr>
          <t>Tran Dat:
7.290</t>
        </r>
      </text>
    </comment>
    <comment ref="E24" authorId="1" shapeId="0" xr:uid="{00000000-0006-0000-2200-00003A000000}">
      <text>
        <r>
          <rPr>
            <sz val="12"/>
            <color theme="1"/>
            <rFont val="Aptos Narrow"/>
            <family val="2"/>
            <scheme val="minor"/>
          </rPr>
          <t xml:space="preserve">Tặng voucher giảm giá 100,000đ cho khách hàng đổi điểm trên ứng dụng Btaskee </t>
        </r>
      </text>
    </comment>
    <comment ref="E25" authorId="1" shapeId="0" xr:uid="{00000000-0006-0000-2200-00003B000000}">
      <text>
        <r>
          <rPr>
            <sz val="12"/>
            <color theme="1"/>
            <rFont val="Aptos Narrow"/>
            <family val="2"/>
            <scheme val="minor"/>
          </rPr>
          <t xml:space="preserve">Tặng voucher giảm giá 100,000đ cho khách hàng đổi điểm trên ứng dụng Btaskee </t>
        </r>
      </text>
    </comment>
    <comment ref="D26" authorId="0" shapeId="0" xr:uid="{00000000-0006-0000-2200-00003C000000}">
      <text>
        <r>
          <rPr>
            <sz val="12"/>
            <color theme="1"/>
            <rFont val="Aptos Narrow"/>
            <family val="2"/>
            <scheme val="minor"/>
          </rPr>
          <t>Việt Hoàng:
Last week:
10.990.000</t>
        </r>
      </text>
    </comment>
    <comment ref="B27" authorId="3" shapeId="0" xr:uid="{00000000-0006-0000-2200-00003D000000}">
      <text>
        <r>
          <rPr>
            <sz val="12"/>
            <color theme="1"/>
            <rFont val="Aptos Narrow"/>
            <family val="2"/>
            <scheme val="minor"/>
          </rPr>
          <t>was 13390000
VNP100</t>
        </r>
      </text>
    </comment>
    <comment ref="D27" authorId="0" shapeId="0" xr:uid="{00000000-0006-0000-2200-00003E000000}">
      <text>
        <r>
          <rPr>
            <sz val="12"/>
            <color theme="1"/>
            <rFont val="Aptos Narrow"/>
            <family val="2"/>
            <scheme val="minor"/>
          </rPr>
          <t>Việt Hoàng:
Last week:
13.590.000</t>
        </r>
      </text>
    </comment>
    <comment ref="B28" authorId="3" shapeId="0" xr:uid="{00000000-0006-0000-2200-00003F000000}">
      <text>
        <r>
          <rPr>
            <sz val="12"/>
            <color theme="1"/>
            <rFont val="Aptos Narrow"/>
            <family val="2"/>
            <scheme val="minor"/>
          </rPr>
          <t>was 11790
VNP100</t>
        </r>
      </text>
    </comment>
    <comment ref="C28" authorId="3" shapeId="0" xr:uid="{00000000-0006-0000-2200-000040000000}">
      <text>
        <r>
          <rPr>
            <sz val="12"/>
            <color theme="1"/>
            <rFont val="Aptos Narrow"/>
            <family val="2"/>
            <scheme val="minor"/>
          </rPr>
          <t xml:space="preserve">W10 11.790
</t>
        </r>
      </text>
    </comment>
    <comment ref="D28" authorId="0" shapeId="0" xr:uid="{00000000-0006-0000-2200-000041000000}">
      <text>
        <r>
          <rPr>
            <sz val="12"/>
            <color theme="1"/>
            <rFont val="Aptos Narrow"/>
            <family val="2"/>
            <scheme val="minor"/>
          </rPr>
          <t>Việt Hoàng:
Last week:
11.790.000</t>
        </r>
      </text>
    </comment>
    <comment ref="B29" authorId="3" shapeId="0" xr:uid="{00000000-0006-0000-2200-000042000000}">
      <text>
        <r>
          <rPr>
            <sz val="12"/>
            <color theme="1"/>
            <rFont val="Aptos Narrow"/>
            <family val="2"/>
            <scheme val="minor"/>
          </rPr>
          <t>was 14390
VNP100</t>
        </r>
      </text>
    </comment>
    <comment ref="C29" authorId="3" shapeId="0" xr:uid="{00000000-0006-0000-2200-000043000000}">
      <text>
        <r>
          <rPr>
            <sz val="12"/>
            <color theme="1"/>
            <rFont val="Aptos Narrow"/>
            <family val="2"/>
            <scheme val="minor"/>
          </rPr>
          <t>W10 14.390</t>
        </r>
      </text>
    </comment>
    <comment ref="D29" authorId="0" shapeId="0" xr:uid="{00000000-0006-0000-2200-000044000000}">
      <text>
        <r>
          <rPr>
            <sz val="12"/>
            <color theme="1"/>
            <rFont val="Aptos Narrow"/>
            <family val="2"/>
            <scheme val="minor"/>
          </rPr>
          <t>Việt Hoàng:
Last week:
14.390.000</t>
        </r>
      </text>
    </comment>
    <comment ref="E30" authorId="1" shapeId="0" xr:uid="{00000000-0006-0000-2200-000045000000}">
      <text>
        <r>
          <rPr>
            <sz val="12"/>
            <color theme="1"/>
            <rFont val="Aptos Narrow"/>
            <family val="2"/>
            <scheme val="minor"/>
          </rPr>
          <t xml:space="preserve">Last week was: 22.990K
Nhập mã VTQR300 khách hàng sẽ được tặng 1% tối đa 300.000 cho đơn hàng có giá trị từ 3.000.000đ trở lên khi thanh toán qua VNPAY-QR. </t>
        </r>
      </text>
    </comment>
    <comment ref="E31" authorId="1" shapeId="0" xr:uid="{00000000-0006-0000-2200-000046000000}">
      <text>
        <r>
          <rPr>
            <sz val="12"/>
            <color theme="1"/>
            <rFont val="Aptos Narrow"/>
            <family val="2"/>
            <scheme val="minor"/>
          </rPr>
          <t xml:space="preserve">Last week was: 5.590K
</t>
        </r>
      </text>
    </comment>
    <comment ref="E32" authorId="1" shapeId="0" xr:uid="{00000000-0006-0000-2200-000047000000}">
      <text>
        <r>
          <rPr>
            <sz val="12"/>
            <color theme="1"/>
            <rFont val="Aptos Narrow"/>
            <family val="2"/>
            <scheme val="minor"/>
          </rPr>
          <t>Last week was: 4.790K
Voucher giảm 1% tối đa 300K VNPAY</t>
        </r>
      </text>
    </comment>
    <comment ref="E33" authorId="3" shapeId="0" xr:uid="{00000000-0006-0000-2200-000048000000}">
      <text>
        <r>
          <rPr>
            <sz val="12"/>
            <color theme="1"/>
            <rFont val="Aptos Narrow"/>
            <family val="2"/>
            <scheme val="minor"/>
          </rPr>
          <t>was 3490000</t>
        </r>
      </text>
    </comment>
    <comment ref="E34" authorId="1" shapeId="0" xr:uid="{00000000-0006-0000-2200-000049000000}">
      <text>
        <r>
          <rPr>
            <sz val="12"/>
            <color theme="1"/>
            <rFont val="Aptos Narrow"/>
            <family val="2"/>
            <scheme val="minor"/>
          </rPr>
          <t>Last week was: 4.150K</t>
        </r>
      </text>
    </comment>
    <comment ref="F36" authorId="4" shapeId="0" xr:uid="{00000000-0006-0000-2200-00004A000000}">
      <text>
        <r>
          <rPr>
            <sz val="12"/>
            <color theme="1"/>
            <rFont val="Aptos Narrow"/>
            <family val="2"/>
            <scheme val="minor"/>
          </rPr>
          <t>chit trang:
24.290.000</t>
        </r>
      </text>
    </comment>
    <comment ref="F38" authorId="4" shapeId="0" xr:uid="{00000000-0006-0000-2200-00004B000000}">
      <text>
        <r>
          <rPr>
            <sz val="12"/>
            <color theme="1"/>
            <rFont val="Aptos Narrow"/>
            <family val="2"/>
            <scheme val="minor"/>
          </rPr>
          <t>chit trang:
30.690.000</t>
        </r>
      </text>
    </comment>
    <comment ref="B39" authorId="3" shapeId="0" xr:uid="{00000000-0006-0000-2200-00004C000000}">
      <text>
        <r>
          <rPr>
            <sz val="12"/>
            <color theme="1"/>
            <rFont val="Aptos Narrow"/>
            <family val="2"/>
            <scheme val="minor"/>
          </rPr>
          <t>was 36490000
VNP200</t>
        </r>
      </text>
    </comment>
  </commentList>
</comments>
</file>

<file path=xl/comments36.xml><?xml version="1.0" encoding="utf-8"?>
<comments xmlns="http://schemas.openxmlformats.org/spreadsheetml/2006/main" xmlns:mc="http://schemas.openxmlformats.org/markup-compatibility/2006" xmlns:xr="http://schemas.microsoft.com/office/spreadsheetml/2014/revision" mc:Ignorable="xr">
  <authors>
    <author>Microsoft Office User</author>
    <author>Sheva Son</author>
    <author>Người dùng Khách</author>
    <author>Việt Hoàng</author>
    <author>chit trang</author>
    <author>Tran Dat</author>
  </authors>
  <commentList>
    <comment ref="B2" authorId="0" shapeId="0" xr:uid="{00000000-0006-0000-2300-000001000000}">
      <text>
        <r>
          <rPr>
            <sz val="12"/>
            <color theme="1"/>
            <rFont val="Aptos Narrow"/>
            <family val="2"/>
            <scheme val="minor"/>
          </rPr>
          <t>was 21890
-200</t>
        </r>
      </text>
    </comment>
    <comment ref="C2" authorId="0" shapeId="0" xr:uid="{00000000-0006-0000-2300-000002000000}">
      <text>
        <r>
          <rPr>
            <sz val="12"/>
            <color theme="1"/>
            <rFont val="Aptos Narrow"/>
            <family val="2"/>
            <scheme val="minor"/>
          </rPr>
          <t>W11 21.890</t>
        </r>
      </text>
    </comment>
    <comment ref="E2" authorId="1" shapeId="0" xr:uid="{00000000-0006-0000-2300-000003000000}">
      <text>
        <r>
          <rPr>
            <sz val="12"/>
            <color theme="1"/>
            <rFont val="Aptos Narrow"/>
            <family val="2"/>
            <scheme val="minor"/>
          </rPr>
          <t>Last week is: 21.690K
Giảm 500K (đã trừ vào giá, ko kèm CTKM đổi điểm VT++).
Đổi điểm Viettel++ lên tới 6000K</t>
        </r>
      </text>
    </comment>
    <comment ref="F2" authorId="2" shapeId="0" xr:uid="{00000000-0006-0000-2300-000004000000}">
      <text>
        <r>
          <rPr>
            <sz val="12"/>
            <color theme="1"/>
            <rFont val="Aptos Narrow"/>
            <family val="2"/>
            <scheme val="minor"/>
          </rPr>
          <t>Người dùng Không xác định:
21.490.000</t>
        </r>
      </text>
    </comment>
    <comment ref="B3" authorId="0" shapeId="0" xr:uid="{00000000-0006-0000-2300-000005000000}">
      <text>
        <r>
          <rPr>
            <sz val="12"/>
            <color theme="1"/>
            <rFont val="Aptos Narrow"/>
            <family val="2"/>
            <scheme val="minor"/>
          </rPr>
          <t>was 25290000
-200</t>
        </r>
      </text>
    </comment>
    <comment ref="C3" authorId="0" shapeId="0" xr:uid="{00000000-0006-0000-2300-000006000000}">
      <text>
        <r>
          <rPr>
            <sz val="12"/>
            <color theme="1"/>
            <rFont val="Aptos Narrow"/>
            <family val="2"/>
            <scheme val="minor"/>
          </rPr>
          <t>W11 25.290</t>
        </r>
      </text>
    </comment>
    <comment ref="D3" authorId="3" shapeId="0" xr:uid="{00000000-0006-0000-2300-000007000000}">
      <text>
        <r>
          <rPr>
            <sz val="12"/>
            <color theme="1"/>
            <rFont val="Aptos Narrow"/>
            <family val="2"/>
            <scheme val="minor"/>
          </rPr>
          <t>Việt Hoàng:
Last week:
24.990.000</t>
        </r>
      </text>
    </comment>
    <comment ref="E3" authorId="1" shapeId="0" xr:uid="{00000000-0006-0000-2300-000008000000}">
      <text>
        <r>
          <rPr>
            <sz val="12"/>
            <color theme="1"/>
            <rFont val="Aptos Narrow"/>
            <family val="2"/>
            <scheme val="minor"/>
          </rPr>
          <t xml:space="preserve">Last week is: 24.890K
Giảm 500K (đã trừ vào giá, ko kèm CTKM đổi điểm VT++).
Đổi điểm Viettel++ lên tới 6000K
</t>
        </r>
      </text>
    </comment>
    <comment ref="F3" authorId="4" shapeId="0" xr:uid="{00000000-0006-0000-2300-000009000000}">
      <text>
        <r>
          <rPr>
            <sz val="12"/>
            <color theme="1"/>
            <rFont val="Aptos Narrow"/>
            <family val="2"/>
            <scheme val="minor"/>
          </rPr>
          <t xml:space="preserve">chit trang:
</t>
        </r>
      </text>
    </comment>
    <comment ref="B4" authorId="0" shapeId="0" xr:uid="{00000000-0006-0000-2300-00000A000000}">
      <text>
        <r>
          <rPr>
            <sz val="12"/>
            <color theme="1"/>
            <rFont val="Aptos Narrow"/>
            <family val="2"/>
            <scheme val="minor"/>
          </rPr>
          <t>was 28290
-200</t>
        </r>
      </text>
    </comment>
    <comment ref="C4" authorId="0" shapeId="0" xr:uid="{00000000-0006-0000-2300-00000B000000}">
      <text>
        <r>
          <rPr>
            <sz val="12"/>
            <color theme="1"/>
            <rFont val="Aptos Narrow"/>
            <family val="2"/>
            <scheme val="minor"/>
          </rPr>
          <t>W11 28.290</t>
        </r>
      </text>
    </comment>
    <comment ref="D4" authorId="3" shapeId="0" xr:uid="{00000000-0006-0000-2300-00000C000000}">
      <text>
        <r>
          <rPr>
            <sz val="12"/>
            <color theme="1"/>
            <rFont val="Aptos Narrow"/>
            <family val="2"/>
            <scheme val="minor"/>
          </rPr>
          <t>Việt Hoàng:
Last week:
27.890.000</t>
        </r>
      </text>
    </comment>
    <comment ref="E4" authorId="0" shapeId="0" xr:uid="{00000000-0006-0000-2300-00000D000000}">
      <text>
        <r>
          <rPr>
            <sz val="12"/>
            <color theme="1"/>
            <rFont val="Aptos Narrow"/>
            <family val="2"/>
            <scheme val="minor"/>
          </rPr>
          <t xml:space="preserve">Last week was: 27.710K
Nhập mã ZLP500 giảm ngay 500.000đ cho đơn hàng tối thiểu từ 20 triệu trở lên qua Zalopay (Yêu cầu thanh toán 100% giá trị đơn hàng). </t>
        </r>
      </text>
    </comment>
    <comment ref="B5" authorId="0" shapeId="0" xr:uid="{00000000-0006-0000-2300-00000E000000}">
      <text>
        <r>
          <rPr>
            <sz val="12"/>
            <color theme="1"/>
            <rFont val="Aptos Narrow"/>
            <family val="2"/>
            <scheme val="minor"/>
          </rPr>
          <t>was 33390
Voucher200</t>
        </r>
      </text>
    </comment>
    <comment ref="C5" authorId="0" shapeId="0" xr:uid="{00000000-0006-0000-2300-00000F000000}">
      <text>
        <r>
          <rPr>
            <sz val="12"/>
            <color theme="1"/>
            <rFont val="Aptos Narrow"/>
            <family val="2"/>
            <scheme val="minor"/>
          </rPr>
          <t>W11 33.390</t>
        </r>
      </text>
    </comment>
    <comment ref="E5" authorId="1" shapeId="0" xr:uid="{00000000-0006-0000-2300-000010000000}">
      <text>
        <r>
          <rPr>
            <sz val="12"/>
            <color theme="1"/>
            <rFont val="Aptos Narrow"/>
            <family val="2"/>
            <scheme val="minor"/>
          </rPr>
          <t xml:space="preserve">Last week is: 32.990K
Tặng voucher giảm giá lên đến 6,000,000đ cho khách hàng đổi điểm Viettel++ trên ứng dụng My Viettel 
</t>
        </r>
      </text>
    </comment>
    <comment ref="G5" authorId="5" shapeId="0" xr:uid="{00000000-0006-0000-2300-000011000000}">
      <text>
        <r>
          <rPr>
            <sz val="12"/>
            <color theme="1"/>
            <rFont val="Aptos Narrow"/>
            <family val="2"/>
            <scheme val="minor"/>
          </rPr>
          <t>Tran Dat:
32.990</t>
        </r>
      </text>
    </comment>
    <comment ref="B6" authorId="0" shapeId="0" xr:uid="{00000000-0006-0000-2300-000012000000}">
      <text>
        <r>
          <rPr>
            <sz val="12"/>
            <color theme="1"/>
            <rFont val="Aptos Narrow"/>
            <family val="2"/>
            <scheme val="minor"/>
          </rPr>
          <t>was 19490</t>
        </r>
      </text>
    </comment>
    <comment ref="C6" authorId="0" shapeId="0" xr:uid="{00000000-0006-0000-2300-000013000000}">
      <text>
        <r>
          <rPr>
            <sz val="12"/>
            <color theme="1"/>
            <rFont val="Aptos Narrow"/>
            <family val="2"/>
            <scheme val="minor"/>
          </rPr>
          <t>W11 19.490</t>
        </r>
      </text>
    </comment>
    <comment ref="E6" authorId="1" shapeId="0" xr:uid="{00000000-0006-0000-2300-000014000000}">
      <text>
        <r>
          <rPr>
            <sz val="12"/>
            <color theme="1"/>
            <rFont val="Aptos Narrow"/>
            <family val="2"/>
            <scheme val="minor"/>
          </rPr>
          <t xml:space="preserve">Last week is: 19.190K
Giảm ngay 200,000đ cho khách hàng mua gói cước 3V200B </t>
        </r>
      </text>
    </comment>
    <comment ref="G6" authorId="5" shapeId="0" xr:uid="{00000000-0006-0000-2300-000015000000}">
      <text>
        <r>
          <rPr>
            <sz val="12"/>
            <color theme="1"/>
            <rFont val="Aptos Narrow"/>
            <family val="2"/>
            <scheme val="minor"/>
          </rPr>
          <t xml:space="preserve">Tran Dat:
19290
</t>
        </r>
      </text>
    </comment>
    <comment ref="E7" authorId="1" shapeId="0" xr:uid="{00000000-0006-0000-2300-000016000000}">
      <text>
        <r>
          <rPr>
            <sz val="12"/>
            <color theme="1"/>
            <rFont val="Aptos Narrow"/>
            <family val="2"/>
            <scheme val="minor"/>
          </rPr>
          <t xml:space="preserve">Last week is: 21.990K
Giảm ngay 200,000đ cho khách hàng mua gói cước 3V200B </t>
        </r>
      </text>
    </comment>
    <comment ref="G7" authorId="5" shapeId="0" xr:uid="{00000000-0006-0000-2300-000017000000}">
      <text>
        <r>
          <rPr>
            <sz val="12"/>
            <color theme="1"/>
            <rFont val="Aptos Narrow"/>
            <family val="2"/>
            <scheme val="minor"/>
          </rPr>
          <t>Tran Dat:
22.390</t>
        </r>
      </text>
    </comment>
    <comment ref="B9" authorId="0" shapeId="0" xr:uid="{00000000-0006-0000-2300-000018000000}">
      <text>
        <r>
          <rPr>
            <sz val="12"/>
            <color theme="1"/>
            <rFont val="Aptos Narrow"/>
            <family val="2"/>
            <scheme val="minor"/>
          </rPr>
          <t>was 29190</t>
        </r>
      </text>
    </comment>
    <comment ref="C9" authorId="0" shapeId="0" xr:uid="{00000000-0006-0000-2300-000019000000}">
      <text>
        <r>
          <rPr>
            <sz val="12"/>
            <color theme="1"/>
            <rFont val="Aptos Narrow"/>
            <family val="2"/>
            <scheme val="minor"/>
          </rPr>
          <t>W11 29.190</t>
        </r>
      </text>
    </comment>
    <comment ref="E9" authorId="1" shapeId="0" xr:uid="{00000000-0006-0000-2300-00001A000000}">
      <text>
        <r>
          <rPr>
            <sz val="12"/>
            <color theme="1"/>
            <rFont val="Aptos Narrow"/>
            <family val="2"/>
            <scheme val="minor"/>
          </rPr>
          <t xml:space="preserve">Last week was: 28.490.000
</t>
        </r>
      </text>
    </comment>
    <comment ref="G9" authorId="5" shapeId="0" xr:uid="{00000000-0006-0000-2300-00001B000000}">
      <text>
        <r>
          <rPr>
            <sz val="12"/>
            <color theme="1"/>
            <rFont val="Aptos Narrow"/>
            <family val="2"/>
            <scheme val="minor"/>
          </rPr>
          <t>Tran Dat:
28.390</t>
        </r>
      </text>
    </comment>
    <comment ref="B10" authorId="0" shapeId="0" xr:uid="{00000000-0006-0000-2300-00001C000000}">
      <text>
        <r>
          <rPr>
            <sz val="12"/>
            <color theme="1"/>
            <rFont val="Aptos Narrow"/>
            <family val="2"/>
            <scheme val="minor"/>
          </rPr>
          <t>was 19690</t>
        </r>
      </text>
    </comment>
    <comment ref="C10" authorId="0" shapeId="0" xr:uid="{00000000-0006-0000-2300-00001D000000}">
      <text>
        <r>
          <rPr>
            <sz val="12"/>
            <color theme="1"/>
            <rFont val="Aptos Narrow"/>
            <family val="2"/>
            <scheme val="minor"/>
          </rPr>
          <t>W11  19.690</t>
        </r>
      </text>
    </comment>
    <comment ref="E10" authorId="1" shapeId="0" xr:uid="{00000000-0006-0000-2300-00001E000000}">
      <text>
        <r>
          <rPr>
            <sz val="12"/>
            <color theme="1"/>
            <rFont val="Aptos Narrow"/>
            <family val="2"/>
            <scheme val="minor"/>
          </rPr>
          <t xml:space="preserve">Last week was: 19.690K
Chỉ còn màu Purple, Blue, White số lượng ít
</t>
        </r>
      </text>
    </comment>
    <comment ref="B11" authorId="0" shapeId="0" xr:uid="{00000000-0006-0000-2300-00001F000000}">
      <text>
        <r>
          <rPr>
            <sz val="12"/>
            <color theme="1"/>
            <rFont val="Aptos Narrow"/>
            <family val="2"/>
            <scheme val="minor"/>
          </rPr>
          <t>was 17090</t>
        </r>
      </text>
    </comment>
    <comment ref="C11" authorId="0" shapeId="0" xr:uid="{00000000-0006-0000-2300-000020000000}">
      <text>
        <r>
          <rPr>
            <sz val="12"/>
            <color theme="1"/>
            <rFont val="Aptos Narrow"/>
            <family val="2"/>
            <scheme val="minor"/>
          </rPr>
          <t>W11  17.090</t>
        </r>
      </text>
    </comment>
    <comment ref="B12" authorId="0" shapeId="0" xr:uid="{00000000-0006-0000-2300-000021000000}">
      <text>
        <r>
          <rPr>
            <sz val="12"/>
            <color theme="1"/>
            <rFont val="Aptos Narrow"/>
            <family val="2"/>
            <scheme val="minor"/>
          </rPr>
          <t>was 13490000</t>
        </r>
      </text>
    </comment>
    <comment ref="C12" authorId="0" shapeId="0" xr:uid="{00000000-0006-0000-2300-000022000000}">
      <text>
        <r>
          <rPr>
            <sz val="12"/>
            <color theme="1"/>
            <rFont val="Aptos Narrow"/>
            <family val="2"/>
            <scheme val="minor"/>
          </rPr>
          <t>W11 13.490</t>
        </r>
      </text>
    </comment>
    <comment ref="E12" authorId="1" shapeId="0" xr:uid="{00000000-0006-0000-2300-000023000000}">
      <text>
        <r>
          <rPr>
            <sz val="12"/>
            <color theme="1"/>
            <rFont val="Aptos Narrow"/>
            <family val="2"/>
            <scheme val="minor"/>
          </rPr>
          <t>Giảm 300K cho màu Đen và Starlight</t>
        </r>
      </text>
    </comment>
    <comment ref="B13" authorId="0" shapeId="0" xr:uid="{00000000-0006-0000-2300-000024000000}">
      <text>
        <r>
          <rPr>
            <sz val="12"/>
            <color theme="1"/>
            <rFont val="Aptos Narrow"/>
            <family val="2"/>
            <scheme val="minor"/>
          </rPr>
          <t>was 11490
tuỳ màu 11990</t>
        </r>
      </text>
    </comment>
    <comment ref="C13" authorId="0" shapeId="0" xr:uid="{00000000-0006-0000-2300-000025000000}">
      <text>
        <r>
          <rPr>
            <sz val="12"/>
            <color theme="1"/>
            <rFont val="Aptos Narrow"/>
            <family val="2"/>
            <scheme val="minor"/>
          </rPr>
          <t>W11 11.490</t>
        </r>
      </text>
    </comment>
    <comment ref="B14" authorId="0" shapeId="0" xr:uid="{00000000-0006-0000-2300-000026000000}">
      <text>
        <r>
          <rPr>
            <sz val="12"/>
            <color theme="1"/>
            <rFont val="Aptos Narrow"/>
            <family val="2"/>
            <scheme val="minor"/>
          </rPr>
          <t>was 8840</t>
        </r>
      </text>
    </comment>
    <comment ref="C14" authorId="0" shapeId="0" xr:uid="{00000000-0006-0000-2300-000027000000}">
      <text>
        <r>
          <rPr>
            <sz val="12"/>
            <color theme="1"/>
            <rFont val="Aptos Narrow"/>
            <family val="2"/>
            <scheme val="minor"/>
          </rPr>
          <t>W11 8.840</t>
        </r>
      </text>
    </comment>
    <comment ref="E14" authorId="1" shapeId="0" xr:uid="{00000000-0006-0000-2300-000028000000}">
      <text>
        <r>
          <rPr>
            <sz val="12"/>
            <color theme="1"/>
            <rFont val="Aptos Narrow"/>
            <family val="2"/>
            <scheme val="minor"/>
          </rPr>
          <t xml:space="preserve">Giảm 200K khi mua Online (đã trừ vào giá)
Trợ giá 4G giảm 300K đã trừ vào giá
</t>
        </r>
      </text>
    </comment>
    <comment ref="F14" authorId="4" shapeId="0" xr:uid="{00000000-0006-0000-2300-000029000000}">
      <text>
        <r>
          <rPr>
            <sz val="12"/>
            <color theme="1"/>
            <rFont val="Aptos Narrow"/>
            <family val="2"/>
            <scheme val="minor"/>
          </rPr>
          <t>chit trang:
8.790.000</t>
        </r>
      </text>
    </comment>
    <comment ref="B15" authorId="0" shapeId="0" xr:uid="{00000000-0006-0000-2300-00002A000000}">
      <text>
        <r>
          <rPr>
            <sz val="12"/>
            <color theme="1"/>
            <rFont val="Aptos Narrow"/>
            <family val="2"/>
            <scheme val="minor"/>
          </rPr>
          <t>was 13890000
SV -400</t>
        </r>
      </text>
    </comment>
    <comment ref="C15" authorId="0" shapeId="0" xr:uid="{00000000-0006-0000-2300-00002B000000}">
      <text>
        <r>
          <rPr>
            <sz val="12"/>
            <color theme="1"/>
            <rFont val="Aptos Narrow"/>
            <family val="2"/>
            <scheme val="minor"/>
          </rPr>
          <t>W11 13.890</t>
        </r>
      </text>
    </comment>
    <comment ref="B16" authorId="0" shapeId="0" xr:uid="{00000000-0006-0000-2300-00002C000000}">
      <text>
        <r>
          <rPr>
            <sz val="12"/>
            <color theme="1"/>
            <rFont val="Aptos Narrow"/>
            <family val="2"/>
            <scheme val="minor"/>
          </rPr>
          <t>was 8940
SV-300</t>
        </r>
      </text>
    </comment>
    <comment ref="C16" authorId="0" shapeId="0" xr:uid="{00000000-0006-0000-2300-00002D000000}">
      <text>
        <r>
          <rPr>
            <sz val="12"/>
            <color theme="1"/>
            <rFont val="Aptos Narrow"/>
            <family val="2"/>
            <scheme val="minor"/>
          </rPr>
          <t>W11 8.940</t>
        </r>
      </text>
    </comment>
    <comment ref="D16" authorId="3" shapeId="0" xr:uid="{00000000-0006-0000-2300-00002E000000}">
      <text>
        <r>
          <rPr>
            <sz val="12"/>
            <color theme="1"/>
            <rFont val="Aptos Narrow"/>
            <family val="2"/>
            <scheme val="minor"/>
          </rPr>
          <t>Việt Hoàng:
Last week:
8.990.000</t>
        </r>
      </text>
    </comment>
    <comment ref="E16" authorId="1" shapeId="0" xr:uid="{00000000-0006-0000-2300-00002F000000}">
      <text>
        <r>
          <rPr>
            <sz val="12"/>
            <color theme="1"/>
            <rFont val="Aptos Narrow"/>
            <family val="2"/>
            <scheme val="minor"/>
          </rPr>
          <t xml:space="preserve">Last week is: 9.290K
</t>
        </r>
      </text>
    </comment>
    <comment ref="B17" authorId="0" shapeId="0" xr:uid="{00000000-0006-0000-2300-000030000000}">
      <text>
        <r>
          <rPr>
            <sz val="12"/>
            <color theme="1"/>
            <rFont val="Aptos Narrow"/>
            <family val="2"/>
            <scheme val="minor"/>
          </rPr>
          <t>was7040
SV - 300</t>
        </r>
      </text>
    </comment>
    <comment ref="C17" authorId="0" shapeId="0" xr:uid="{00000000-0006-0000-2300-000031000000}">
      <text>
        <r>
          <rPr>
            <sz val="12"/>
            <color theme="1"/>
            <rFont val="Aptos Narrow"/>
            <family val="2"/>
            <scheme val="minor"/>
          </rPr>
          <t>W11 7.040</t>
        </r>
      </text>
    </comment>
    <comment ref="E17" authorId="1" shapeId="0" xr:uid="{00000000-0006-0000-2300-000032000000}">
      <text>
        <r>
          <rPr>
            <sz val="12"/>
            <color theme="1"/>
            <rFont val="Aptos Narrow"/>
            <family val="2"/>
            <scheme val="minor"/>
          </rPr>
          <t>Giảm 10% tối đa 120K khi mở ví VNPAY</t>
        </r>
      </text>
    </comment>
    <comment ref="E18" authorId="1" shapeId="0" xr:uid="{00000000-0006-0000-2300-000033000000}">
      <text>
        <r>
          <rPr>
            <sz val="12"/>
            <color theme="1"/>
            <rFont val="Aptos Narrow"/>
            <family val="2"/>
            <scheme val="minor"/>
          </rPr>
          <t xml:space="preserve">Last week is: 14.490K
Nhập mã VTQR300 khách hàng sẽ được tặng 1% tối đa 300.000 cho đơn hàng có giá trị từ 3 triệu trở lên khi thanh toán qua VNPAY-QR </t>
        </r>
      </text>
    </comment>
    <comment ref="E19" authorId="1" shapeId="0" xr:uid="{00000000-0006-0000-2300-000034000000}">
      <text>
        <r>
          <rPr>
            <sz val="12"/>
            <color theme="1"/>
            <rFont val="Aptos Narrow"/>
            <family val="2"/>
            <scheme val="minor"/>
          </rPr>
          <t xml:space="preserve">Last week is: 21.190K
Nhập mã VTQR300 khách hàng sẽ được tặng 1% tối đa 300.000 cho đơn hàng có giá trị từ 3 triệu trở lên khi thanh toán qua VNPAY-QR </t>
        </r>
      </text>
    </comment>
    <comment ref="G19" authorId="5" shapeId="0" xr:uid="{00000000-0006-0000-2300-000035000000}">
      <text>
        <r>
          <rPr>
            <sz val="12"/>
            <color theme="1"/>
            <rFont val="Aptos Narrow"/>
            <family val="2"/>
            <scheme val="minor"/>
          </rPr>
          <t>Tran Dat:
20890</t>
        </r>
      </text>
    </comment>
    <comment ref="B20" authorId="0" shapeId="0" xr:uid="{00000000-0006-0000-2300-000036000000}">
      <text>
        <r>
          <rPr>
            <sz val="12"/>
            <color theme="1"/>
            <rFont val="Aptos Narrow"/>
            <family val="2"/>
            <scheme val="minor"/>
          </rPr>
          <t>was 27590000
SV -500</t>
        </r>
      </text>
    </comment>
    <comment ref="C20" authorId="0" shapeId="0" xr:uid="{00000000-0006-0000-2300-000037000000}">
      <text>
        <r>
          <rPr>
            <sz val="12"/>
            <color theme="1"/>
            <rFont val="Aptos Narrow"/>
            <family val="2"/>
            <scheme val="minor"/>
          </rPr>
          <t>W11 27.590</t>
        </r>
      </text>
    </comment>
    <comment ref="E20" authorId="1" shapeId="0" xr:uid="{00000000-0006-0000-2300-000038000000}">
      <text>
        <r>
          <rPr>
            <sz val="12"/>
            <color theme="1"/>
            <rFont val="Aptos Narrow"/>
            <family val="2"/>
            <scheme val="minor"/>
          </rPr>
          <t xml:space="preserve">Last week is: 26.890K
Nhập mã VTQR300 khách hàng sẽ được tặng 1% tối đa 300.000 cho đơn hàng có giá trị từ 3 triệu trở lên khi thanh toán qua VNPAY-QR </t>
        </r>
      </text>
    </comment>
    <comment ref="B21" authorId="0" shapeId="0" xr:uid="{00000000-0006-0000-2300-000039000000}">
      <text>
        <r>
          <rPr>
            <sz val="12"/>
            <color theme="1"/>
            <rFont val="Aptos Narrow"/>
            <family val="2"/>
            <scheme val="minor"/>
          </rPr>
          <t>was 37090
SV -500</t>
        </r>
      </text>
    </comment>
    <comment ref="C21" authorId="0" shapeId="0" xr:uid="{00000000-0006-0000-2300-00003A000000}">
      <text>
        <r>
          <rPr>
            <sz val="12"/>
            <color theme="1"/>
            <rFont val="Aptos Narrow"/>
            <family val="2"/>
            <scheme val="minor"/>
          </rPr>
          <t xml:space="preserve">W11 37.090
</t>
        </r>
      </text>
    </comment>
    <comment ref="E21" authorId="1" shapeId="0" xr:uid="{00000000-0006-0000-2300-00003B000000}">
      <text>
        <r>
          <rPr>
            <sz val="12"/>
            <color theme="1"/>
            <rFont val="Aptos Narrow"/>
            <family val="2"/>
            <scheme val="minor"/>
          </rPr>
          <t xml:space="preserve">Last week was: 36.790K
Nhập mã ZLP500 giảm ngay 500.000đ cho đơn hàng tối thiểu từ 20 triệu trở lên qua Zalopay (Yêu cầu thanh toán 100% giá trị đơn hàng) 
</t>
        </r>
      </text>
    </comment>
    <comment ref="B22" authorId="0" shapeId="0" xr:uid="{00000000-0006-0000-2300-00003C000000}">
      <text>
        <r>
          <rPr>
            <sz val="12"/>
            <color theme="1"/>
            <rFont val="Aptos Narrow"/>
            <family val="2"/>
            <scheme val="minor"/>
          </rPr>
          <t>was 5940</t>
        </r>
      </text>
    </comment>
    <comment ref="C22" authorId="0" shapeId="0" xr:uid="{00000000-0006-0000-2300-00003D000000}">
      <text>
        <r>
          <rPr>
            <sz val="12"/>
            <color theme="1"/>
            <rFont val="Aptos Narrow"/>
            <family val="2"/>
            <scheme val="minor"/>
          </rPr>
          <t>W11 5.940</t>
        </r>
      </text>
    </comment>
    <comment ref="E22" authorId="1" shapeId="0" xr:uid="{00000000-0006-0000-2300-00003E000000}">
      <text>
        <r>
          <rPr>
            <sz val="12"/>
            <color theme="1"/>
            <rFont val="Aptos Narrow"/>
            <family val="2"/>
            <scheme val="minor"/>
          </rPr>
          <t xml:space="preserve">Tặng voucher giảm giá 100,000đ cho khách hàng đổi điểm trên ứng dụng Btaskee </t>
        </r>
      </text>
    </comment>
    <comment ref="F22" authorId="4" shapeId="0" xr:uid="{00000000-0006-0000-2300-00003F000000}">
      <text>
        <r>
          <rPr>
            <sz val="12"/>
            <color theme="1"/>
            <rFont val="Aptos Narrow"/>
            <family val="2"/>
            <scheme val="minor"/>
          </rPr>
          <t>chit trang:
5.990k</t>
        </r>
      </text>
    </comment>
    <comment ref="B23" authorId="0" shapeId="0" xr:uid="{00000000-0006-0000-2300-000040000000}">
      <text>
        <r>
          <rPr>
            <sz val="12"/>
            <color theme="1"/>
            <rFont val="Aptos Narrow"/>
            <family val="2"/>
            <scheme val="minor"/>
          </rPr>
          <t>was 7240</t>
        </r>
      </text>
    </comment>
    <comment ref="C23" authorId="0" shapeId="0" xr:uid="{00000000-0006-0000-2300-000041000000}">
      <text>
        <r>
          <rPr>
            <sz val="12"/>
            <color theme="1"/>
            <rFont val="Aptos Narrow"/>
            <family val="2"/>
            <scheme val="minor"/>
          </rPr>
          <t>W11 7.240</t>
        </r>
      </text>
    </comment>
    <comment ref="E23" authorId="1" shapeId="0" xr:uid="{00000000-0006-0000-2300-000042000000}">
      <text>
        <r>
          <rPr>
            <sz val="12"/>
            <color theme="1"/>
            <rFont val="Aptos Narrow"/>
            <family val="2"/>
            <scheme val="minor"/>
          </rPr>
          <t xml:space="preserve">  Tặng voucher giảm giá 100,000đ cho khách hàng đổi điểm trên ứng dụng Btaskee </t>
        </r>
      </text>
    </comment>
    <comment ref="F23" authorId="4" shapeId="0" xr:uid="{00000000-0006-0000-2300-000043000000}">
      <text>
        <r>
          <rPr>
            <sz val="12"/>
            <color theme="1"/>
            <rFont val="Aptos Narrow"/>
            <family val="2"/>
            <scheme val="minor"/>
          </rPr>
          <t>chit trang:
7.290k</t>
        </r>
      </text>
    </comment>
    <comment ref="G23" authorId="5" shapeId="0" xr:uid="{00000000-0006-0000-2300-000044000000}">
      <text>
        <r>
          <rPr>
            <sz val="12"/>
            <color theme="1"/>
            <rFont val="Aptos Narrow"/>
            <family val="2"/>
            <scheme val="minor"/>
          </rPr>
          <t>Tran Dat:
7.190</t>
        </r>
      </text>
    </comment>
    <comment ref="B24" authorId="0" shapeId="0" xr:uid="{00000000-0006-0000-2300-000045000000}">
      <text>
        <r>
          <rPr>
            <sz val="12"/>
            <color theme="1"/>
            <rFont val="Aptos Narrow"/>
            <family val="2"/>
            <scheme val="minor"/>
          </rPr>
          <t>was 6740</t>
        </r>
      </text>
    </comment>
    <comment ref="C24" authorId="0" shapeId="0" xr:uid="{00000000-0006-0000-2300-000046000000}">
      <text>
        <r>
          <rPr>
            <sz val="12"/>
            <color theme="1"/>
            <rFont val="Aptos Narrow"/>
            <family val="2"/>
            <scheme val="minor"/>
          </rPr>
          <t>W11 6.740</t>
        </r>
      </text>
    </comment>
    <comment ref="E24" authorId="1" shapeId="0" xr:uid="{00000000-0006-0000-2300-000047000000}">
      <text>
        <r>
          <rPr>
            <sz val="12"/>
            <color theme="1"/>
            <rFont val="Aptos Narrow"/>
            <family val="2"/>
            <scheme val="minor"/>
          </rPr>
          <t xml:space="preserve">Tặng voucher giảm giá 100,000đ cho khách hàng đổi điểm trên ứng dụng Btaskee </t>
        </r>
      </text>
    </comment>
    <comment ref="F24" authorId="4" shapeId="0" xr:uid="{00000000-0006-0000-2300-000048000000}">
      <text>
        <r>
          <rPr>
            <sz val="12"/>
            <color theme="1"/>
            <rFont val="Aptos Narrow"/>
            <family val="2"/>
            <scheme val="minor"/>
          </rPr>
          <t>chit trang:
6.790k</t>
        </r>
      </text>
    </comment>
    <comment ref="B25" authorId="0" shapeId="0" xr:uid="{00000000-0006-0000-2300-000049000000}">
      <text>
        <r>
          <rPr>
            <sz val="12"/>
            <color theme="1"/>
            <rFont val="Aptos Narrow"/>
            <family val="2"/>
            <scheme val="minor"/>
          </rPr>
          <t>was 8040</t>
        </r>
      </text>
    </comment>
    <comment ref="C25" authorId="0" shapeId="0" xr:uid="{00000000-0006-0000-2300-00004A000000}">
      <text>
        <r>
          <rPr>
            <sz val="12"/>
            <color theme="1"/>
            <rFont val="Aptos Narrow"/>
            <family val="2"/>
            <scheme val="minor"/>
          </rPr>
          <t>W11 8.040</t>
        </r>
      </text>
    </comment>
    <comment ref="E25" authorId="1" shapeId="0" xr:uid="{00000000-0006-0000-2300-00004B000000}">
      <text>
        <r>
          <rPr>
            <sz val="12"/>
            <color theme="1"/>
            <rFont val="Aptos Narrow"/>
            <family val="2"/>
            <scheme val="minor"/>
          </rPr>
          <t xml:space="preserve">Tặng voucher giảm giá 100,000đ cho khách hàng đổi điểm trên ứng dụng Btaskee </t>
        </r>
      </text>
    </comment>
    <comment ref="B28" authorId="0" shapeId="0" xr:uid="{00000000-0006-0000-2300-00004C000000}">
      <text>
        <r>
          <rPr>
            <sz val="12"/>
            <color theme="1"/>
            <rFont val="Aptos Narrow"/>
            <family val="2"/>
            <scheme val="minor"/>
          </rPr>
          <t>was 11690</t>
        </r>
      </text>
    </comment>
    <comment ref="C28" authorId="0" shapeId="0" xr:uid="{00000000-0006-0000-2300-00004D000000}">
      <text>
        <r>
          <rPr>
            <sz val="12"/>
            <color theme="1"/>
            <rFont val="Aptos Narrow"/>
            <family val="2"/>
            <scheme val="minor"/>
          </rPr>
          <t>W11 11.690</t>
        </r>
      </text>
    </comment>
    <comment ref="B29" authorId="0" shapeId="0" xr:uid="{00000000-0006-0000-2300-00004E000000}">
      <text>
        <r>
          <rPr>
            <sz val="12"/>
            <color theme="1"/>
            <rFont val="Aptos Narrow"/>
            <family val="2"/>
            <scheme val="minor"/>
          </rPr>
          <t>was 14290</t>
        </r>
      </text>
    </comment>
    <comment ref="C29" authorId="0" shapeId="0" xr:uid="{00000000-0006-0000-2300-00004F000000}">
      <text>
        <r>
          <rPr>
            <sz val="12"/>
            <color theme="1"/>
            <rFont val="Aptos Narrow"/>
            <family val="2"/>
            <scheme val="minor"/>
          </rPr>
          <t>W11 14.290</t>
        </r>
      </text>
    </comment>
    <comment ref="B30" authorId="0" shapeId="0" xr:uid="{00000000-0006-0000-2300-000050000000}">
      <text>
        <r>
          <rPr>
            <sz val="12"/>
            <color theme="1"/>
            <rFont val="Aptos Narrow"/>
            <family val="2"/>
            <scheme val="minor"/>
          </rPr>
          <t>was 22290</t>
        </r>
      </text>
    </comment>
    <comment ref="C30" authorId="0" shapeId="0" xr:uid="{00000000-0006-0000-2300-000051000000}">
      <text>
        <r>
          <rPr>
            <sz val="12"/>
            <color theme="1"/>
            <rFont val="Aptos Narrow"/>
            <family val="2"/>
            <scheme val="minor"/>
          </rPr>
          <t>W11 22.290</t>
        </r>
      </text>
    </comment>
    <comment ref="E30" authorId="1" shapeId="0" xr:uid="{00000000-0006-0000-2300-000052000000}">
      <text>
        <r>
          <rPr>
            <sz val="12"/>
            <color theme="1"/>
            <rFont val="Aptos Narrow"/>
            <family val="2"/>
            <scheme val="minor"/>
          </rPr>
          <t xml:space="preserve">Last week was: 21.770K
Nhập mã VTQR300 khách hàng sẽ được tặng 1% tối đa 300.000 cho đơn hàng có giá trị từ 3.000.000đ trở lên khi thanh toán qua VNPAY-QR. </t>
        </r>
      </text>
    </comment>
    <comment ref="F30" authorId="4" shapeId="0" xr:uid="{00000000-0006-0000-2300-000053000000}">
      <text>
        <r>
          <rPr>
            <sz val="12"/>
            <color theme="1"/>
            <rFont val="Aptos Narrow"/>
            <family val="2"/>
            <scheme val="minor"/>
          </rPr>
          <t>chit trang:
22.590k</t>
        </r>
      </text>
    </comment>
    <comment ref="B31" authorId="0" shapeId="0" xr:uid="{00000000-0006-0000-2300-000054000000}">
      <text>
        <r>
          <rPr>
            <sz val="12"/>
            <color theme="1"/>
            <rFont val="Aptos Narrow"/>
            <family val="2"/>
            <scheme val="minor"/>
          </rPr>
          <t>was 5740</t>
        </r>
      </text>
    </comment>
    <comment ref="C31" authorId="0" shapeId="0" xr:uid="{00000000-0006-0000-2300-000055000000}">
      <text>
        <r>
          <rPr>
            <sz val="12"/>
            <color theme="1"/>
            <rFont val="Aptos Narrow"/>
            <family val="2"/>
            <scheme val="minor"/>
          </rPr>
          <t>W11 5.740</t>
        </r>
      </text>
    </comment>
    <comment ref="D31" authorId="3" shapeId="0" xr:uid="{00000000-0006-0000-2300-000056000000}">
      <text>
        <r>
          <rPr>
            <sz val="12"/>
            <color theme="1"/>
            <rFont val="Aptos Narrow"/>
            <family val="2"/>
            <scheme val="minor"/>
          </rPr>
          <t>Việt Hoàng:
Last week:
5.690.000</t>
        </r>
      </text>
    </comment>
    <comment ref="E31" authorId="1" shapeId="0" xr:uid="{00000000-0006-0000-2300-000057000000}">
      <text>
        <r>
          <rPr>
            <sz val="12"/>
            <color theme="1"/>
            <rFont val="Aptos Narrow"/>
            <family val="2"/>
            <scheme val="minor"/>
          </rPr>
          <t xml:space="preserve">Last week was: 5.690K
</t>
        </r>
      </text>
    </comment>
    <comment ref="E32" authorId="1" shapeId="0" xr:uid="{00000000-0006-0000-2300-000058000000}">
      <text>
        <r>
          <rPr>
            <sz val="12"/>
            <color theme="1"/>
            <rFont val="Aptos Narrow"/>
            <family val="2"/>
            <scheme val="minor"/>
          </rPr>
          <t>Last week was: 4.790K
Voucher giảm 1% tối đa 300K VNPAY</t>
        </r>
      </text>
    </comment>
    <comment ref="B33" authorId="0" shapeId="0" xr:uid="{00000000-0006-0000-2300-000059000000}">
      <text>
        <r>
          <rPr>
            <sz val="12"/>
            <color theme="1"/>
            <rFont val="Aptos Narrow"/>
            <family val="2"/>
            <scheme val="minor"/>
          </rPr>
          <t>was 3390</t>
        </r>
      </text>
    </comment>
    <comment ref="C33" authorId="0" shapeId="0" xr:uid="{00000000-0006-0000-2300-00005A000000}">
      <text>
        <r>
          <rPr>
            <sz val="12"/>
            <color theme="1"/>
            <rFont val="Aptos Narrow"/>
            <family val="2"/>
            <scheme val="minor"/>
          </rPr>
          <t>W11 3.390</t>
        </r>
      </text>
    </comment>
    <comment ref="D33" authorId="3" shapeId="0" xr:uid="{00000000-0006-0000-2300-00005B000000}">
      <text>
        <r>
          <rPr>
            <sz val="12"/>
            <color theme="1"/>
            <rFont val="Aptos Narrow"/>
            <family val="2"/>
            <scheme val="minor"/>
          </rPr>
          <t>Việt Hoàng:
Last week:
3.390.000</t>
        </r>
      </text>
    </comment>
    <comment ref="E33" authorId="0" shapeId="0" xr:uid="{00000000-0006-0000-2300-00005C000000}">
      <text>
        <r>
          <rPr>
            <sz val="12"/>
            <color theme="1"/>
            <rFont val="Aptos Narrow"/>
            <family val="2"/>
            <scheme val="minor"/>
          </rPr>
          <t>was 3490000</t>
        </r>
      </text>
    </comment>
    <comment ref="B34" authorId="0" shapeId="0" xr:uid="{00000000-0006-0000-2300-00005D000000}">
      <text>
        <r>
          <rPr>
            <sz val="12"/>
            <color theme="1"/>
            <rFont val="Aptos Narrow"/>
            <family val="2"/>
            <scheme val="minor"/>
          </rPr>
          <t>was 3990</t>
        </r>
      </text>
    </comment>
    <comment ref="C34" authorId="0" shapeId="0" xr:uid="{00000000-0006-0000-2300-00005E000000}">
      <text>
        <r>
          <rPr>
            <sz val="12"/>
            <color theme="1"/>
            <rFont val="Aptos Narrow"/>
            <family val="2"/>
            <scheme val="minor"/>
          </rPr>
          <t>W11 3.990</t>
        </r>
      </text>
    </comment>
    <comment ref="D34" authorId="3" shapeId="0" xr:uid="{00000000-0006-0000-2300-00005F000000}">
      <text>
        <r>
          <rPr>
            <sz val="12"/>
            <color theme="1"/>
            <rFont val="Aptos Narrow"/>
            <family val="2"/>
            <scheme val="minor"/>
          </rPr>
          <t>Việt Hoàng:
Last week:
3.990.000</t>
        </r>
      </text>
    </comment>
    <comment ref="E34" authorId="1" shapeId="0" xr:uid="{00000000-0006-0000-2300-000060000000}">
      <text>
        <r>
          <rPr>
            <sz val="12"/>
            <color theme="1"/>
            <rFont val="Aptos Narrow"/>
            <family val="2"/>
            <scheme val="minor"/>
          </rPr>
          <t>Last week was: 4.150K</t>
        </r>
      </text>
    </comment>
    <comment ref="B35" authorId="0" shapeId="0" xr:uid="{00000000-0006-0000-2300-000061000000}">
      <text>
        <r>
          <rPr>
            <sz val="12"/>
            <color theme="1"/>
            <rFont val="Aptos Narrow"/>
            <family val="2"/>
            <scheme val="minor"/>
          </rPr>
          <t>was 17990</t>
        </r>
      </text>
    </comment>
    <comment ref="C35" authorId="0" shapeId="0" xr:uid="{00000000-0006-0000-2300-000062000000}">
      <text>
        <r>
          <rPr>
            <sz val="12"/>
            <color theme="1"/>
            <rFont val="Aptos Narrow"/>
            <family val="2"/>
            <scheme val="minor"/>
          </rPr>
          <t>W11 17.990</t>
        </r>
      </text>
    </comment>
    <comment ref="B36" authorId="0" shapeId="0" xr:uid="{00000000-0006-0000-2300-000063000000}">
      <text>
        <r>
          <rPr>
            <sz val="12"/>
            <color theme="1"/>
            <rFont val="Aptos Narrow"/>
            <family val="2"/>
            <scheme val="minor"/>
          </rPr>
          <t>was 24290</t>
        </r>
      </text>
    </comment>
    <comment ref="C36" authorId="0" shapeId="0" xr:uid="{00000000-0006-0000-2300-000064000000}">
      <text>
        <r>
          <rPr>
            <sz val="12"/>
            <color theme="1"/>
            <rFont val="Aptos Narrow"/>
            <family val="2"/>
            <scheme val="minor"/>
          </rPr>
          <t>W11 24.290</t>
        </r>
      </text>
    </comment>
    <comment ref="D36" authorId="3" shapeId="0" xr:uid="{00000000-0006-0000-2300-000065000000}">
      <text>
        <r>
          <rPr>
            <sz val="12"/>
            <color theme="1"/>
            <rFont val="Aptos Narrow"/>
            <family val="2"/>
            <scheme val="minor"/>
          </rPr>
          <t>Việt Hoàng:
Last week:
24.290.000</t>
        </r>
      </text>
    </comment>
    <comment ref="G36" authorId="5" shapeId="0" xr:uid="{00000000-0006-0000-2300-000066000000}">
      <text>
        <r>
          <rPr>
            <sz val="12"/>
            <color theme="1"/>
            <rFont val="Aptos Narrow"/>
            <family val="2"/>
            <scheme val="minor"/>
          </rPr>
          <t>Tran Dat:
24.490</t>
        </r>
      </text>
    </comment>
    <comment ref="D37" authorId="3" shapeId="0" xr:uid="{00000000-0006-0000-2300-000067000000}">
      <text>
        <r>
          <rPr>
            <sz val="12"/>
            <color theme="1"/>
            <rFont val="Aptos Narrow"/>
            <family val="2"/>
            <scheme val="minor"/>
          </rPr>
          <t>Việt Hoàng:
Last week:
27.490.000</t>
        </r>
      </text>
    </comment>
    <comment ref="G37" authorId="5" shapeId="0" xr:uid="{00000000-0006-0000-2300-000068000000}">
      <text>
        <r>
          <rPr>
            <sz val="12"/>
            <color theme="1"/>
            <rFont val="Aptos Narrow"/>
            <family val="2"/>
            <scheme val="minor"/>
          </rPr>
          <t>Tran Dat:
27.190</t>
        </r>
      </text>
    </comment>
    <comment ref="B38" authorId="0" shapeId="0" xr:uid="{00000000-0006-0000-2300-000069000000}">
      <text>
        <r>
          <rPr>
            <sz val="12"/>
            <color theme="1"/>
            <rFont val="Aptos Narrow"/>
            <family val="2"/>
            <scheme val="minor"/>
          </rPr>
          <t>was 32590</t>
        </r>
      </text>
    </comment>
    <comment ref="F38" authorId="4" shapeId="0" xr:uid="{00000000-0006-0000-2300-00006A000000}">
      <text>
        <r>
          <rPr>
            <sz val="12"/>
            <color theme="1"/>
            <rFont val="Aptos Narrow"/>
            <family val="2"/>
            <scheme val="minor"/>
          </rPr>
          <t>chit trang:
30.690.000</t>
        </r>
      </text>
    </comment>
    <comment ref="B39" authorId="0" shapeId="0" xr:uid="{00000000-0006-0000-2300-00006B000000}">
      <text>
        <r>
          <rPr>
            <sz val="12"/>
            <color theme="1"/>
            <rFont val="Aptos Narrow"/>
            <family val="2"/>
            <scheme val="minor"/>
          </rPr>
          <t>was 36490000
VNP200</t>
        </r>
      </text>
    </comment>
  </commentList>
</comments>
</file>

<file path=xl/comments37.xml><?xml version="1.0" encoding="utf-8"?>
<comments xmlns="http://schemas.openxmlformats.org/spreadsheetml/2006/main" xmlns:mc="http://schemas.openxmlformats.org/markup-compatibility/2006" xmlns:xr="http://schemas.microsoft.com/office/spreadsheetml/2014/revision" mc:Ignorable="xr">
  <authors>
    <author>Microsoft Office User</author>
    <author>Sheva Son</author>
    <author>Người dùng Khách</author>
    <author>Việt Hoàng</author>
    <author>chit trang</author>
    <author>Tran Dat</author>
    <author>Duy</author>
  </authors>
  <commentList>
    <comment ref="B2" authorId="0" shapeId="0" xr:uid="{00000000-0006-0000-2400-000001000000}">
      <text>
        <r>
          <rPr>
            <sz val="12"/>
            <color theme="1"/>
            <rFont val="Aptos Narrow"/>
            <family val="2"/>
            <scheme val="minor"/>
          </rPr>
          <t>was 22390000</t>
        </r>
      </text>
    </comment>
    <comment ref="C2" authorId="0" shapeId="0" xr:uid="{00000000-0006-0000-2400-000002000000}">
      <text>
        <r>
          <rPr>
            <sz val="12"/>
            <color theme="1"/>
            <rFont val="Aptos Narrow"/>
            <family val="2"/>
            <scheme val="minor"/>
          </rPr>
          <t>W12 22.390</t>
        </r>
      </text>
    </comment>
    <comment ref="E2" authorId="1" shapeId="0" xr:uid="{00000000-0006-0000-2400-000003000000}">
      <text>
        <r>
          <rPr>
            <sz val="12"/>
            <color theme="1"/>
            <rFont val="Aptos Narrow"/>
            <family val="2"/>
            <scheme val="minor"/>
          </rPr>
          <t>Last week is: 21.690K
Giảm 500K (đã trừ vào giá, ko kèm CTKM đổi điểm VT++).
Đổi điểm Viettel++ lên tới 6000K</t>
        </r>
      </text>
    </comment>
    <comment ref="F2" authorId="2" shapeId="0" xr:uid="{00000000-0006-0000-2400-000004000000}">
      <text>
        <r>
          <rPr>
            <sz val="12"/>
            <color theme="1"/>
            <rFont val="Aptos Narrow"/>
            <family val="2"/>
            <scheme val="minor"/>
          </rPr>
          <t>Người dùng Không xác định:
21.490.000</t>
        </r>
      </text>
    </comment>
    <comment ref="B3" authorId="0" shapeId="0" xr:uid="{00000000-0006-0000-2400-000005000000}">
      <text>
        <r>
          <rPr>
            <sz val="12"/>
            <color theme="1"/>
            <rFont val="Aptos Narrow"/>
            <family val="2"/>
            <scheme val="minor"/>
          </rPr>
          <t>was 25790000</t>
        </r>
      </text>
    </comment>
    <comment ref="C3" authorId="0" shapeId="0" xr:uid="{00000000-0006-0000-2400-000006000000}">
      <text>
        <r>
          <rPr>
            <sz val="12"/>
            <color theme="1"/>
            <rFont val="Aptos Narrow"/>
            <family val="2"/>
            <scheme val="minor"/>
          </rPr>
          <t>W12 25.790</t>
        </r>
      </text>
    </comment>
    <comment ref="D3" authorId="3" shapeId="0" xr:uid="{00000000-0006-0000-2400-000007000000}">
      <text>
        <r>
          <rPr>
            <sz val="12"/>
            <color theme="1"/>
            <rFont val="Aptos Narrow"/>
            <family val="2"/>
            <scheme val="minor"/>
          </rPr>
          <t>Việt Hoàng:
Last week:
24.790.000</t>
        </r>
      </text>
    </comment>
    <comment ref="E3" authorId="1" shapeId="0" xr:uid="{00000000-0006-0000-2400-000008000000}">
      <text>
        <r>
          <rPr>
            <sz val="12"/>
            <color theme="1"/>
            <rFont val="Aptos Narrow"/>
            <family val="2"/>
            <scheme val="minor"/>
          </rPr>
          <t xml:space="preserve">Last week is: 24.890K
Giảm 500K (đã trừ vào giá, ko kèm CTKM đổi điểm VT++).
Đổi điểm Viettel++ lên tới 6000K
</t>
        </r>
      </text>
    </comment>
    <comment ref="B4" authorId="0" shapeId="0" xr:uid="{00000000-0006-0000-2400-000009000000}">
      <text>
        <r>
          <rPr>
            <sz val="12"/>
            <color theme="1"/>
            <rFont val="Aptos Narrow"/>
            <family val="2"/>
            <scheme val="minor"/>
          </rPr>
          <t>was 28390</t>
        </r>
      </text>
    </comment>
    <comment ref="C4" authorId="0" shapeId="0" xr:uid="{00000000-0006-0000-2400-00000A000000}">
      <text>
        <r>
          <rPr>
            <sz val="12"/>
            <color theme="1"/>
            <rFont val="Aptos Narrow"/>
            <family val="2"/>
            <scheme val="minor"/>
          </rPr>
          <t>W12 28.390</t>
        </r>
      </text>
    </comment>
    <comment ref="E4" authorId="0" shapeId="0" xr:uid="{00000000-0006-0000-2400-00000B000000}">
      <text>
        <r>
          <rPr>
            <sz val="12"/>
            <color theme="1"/>
            <rFont val="Aptos Narrow"/>
            <family val="2"/>
            <scheme val="minor"/>
          </rPr>
          <t xml:space="preserve">Last week was: 27.710K
Nhập mã ZLP500 giảm ngay 500.000đ cho đơn hàng tối thiểu từ 20 triệu trở lên qua Zalopay (Yêu cầu thanh toán 100% giá trị đơn hàng). </t>
        </r>
      </text>
    </comment>
    <comment ref="B5" authorId="0" shapeId="0" xr:uid="{00000000-0006-0000-2400-00000C000000}">
      <text>
        <r>
          <rPr>
            <sz val="12"/>
            <color theme="1"/>
            <rFont val="Aptos Narrow"/>
            <family val="2"/>
            <scheme val="minor"/>
          </rPr>
          <t>was 34390</t>
        </r>
      </text>
    </comment>
    <comment ref="C5" authorId="0" shapeId="0" xr:uid="{00000000-0006-0000-2400-00000D000000}">
      <text>
        <r>
          <rPr>
            <sz val="12"/>
            <color theme="1"/>
            <rFont val="Aptos Narrow"/>
            <family val="2"/>
            <scheme val="minor"/>
          </rPr>
          <t>W12 34.390</t>
        </r>
      </text>
    </comment>
    <comment ref="D5" authorId="3" shapeId="0" xr:uid="{00000000-0006-0000-2400-00000E000000}">
      <text>
        <r>
          <rPr>
            <sz val="12"/>
            <color theme="1"/>
            <rFont val="Aptos Narrow"/>
            <family val="2"/>
            <scheme val="minor"/>
          </rPr>
          <t>Việt Hoàng:
Last week:
33.490.000</t>
        </r>
      </text>
    </comment>
    <comment ref="E5" authorId="1" shapeId="0" xr:uid="{00000000-0006-0000-2400-00000F000000}">
      <text>
        <r>
          <rPr>
            <sz val="12"/>
            <color theme="1"/>
            <rFont val="Aptos Narrow"/>
            <family val="2"/>
            <scheme val="minor"/>
          </rPr>
          <t xml:space="preserve">Last week is: 32.990K
Tặng voucher giảm giá lên đến 6,000,000đ cho khách hàng đổi điểm Viettel++ trên ứng dụng My Viettel 
</t>
        </r>
      </text>
    </comment>
    <comment ref="F5" authorId="4" shapeId="0" xr:uid="{00000000-0006-0000-2400-000010000000}">
      <text>
        <r>
          <rPr>
            <sz val="12"/>
            <color theme="1"/>
            <rFont val="Aptos Narrow"/>
            <family val="2"/>
            <scheme val="minor"/>
          </rPr>
          <t>chit trang:
33.190k</t>
        </r>
      </text>
    </comment>
    <comment ref="G5" authorId="5" shapeId="0" xr:uid="{00000000-0006-0000-2400-000011000000}">
      <text>
        <r>
          <rPr>
            <sz val="12"/>
            <color theme="1"/>
            <rFont val="Aptos Narrow"/>
            <family val="2"/>
            <scheme val="minor"/>
          </rPr>
          <t>Tran Dat:
33.190</t>
        </r>
      </text>
    </comment>
    <comment ref="C6" authorId="6" shapeId="0" xr:uid="{00000000-0006-0000-2400-000012000000}">
      <text>
        <r>
          <rPr>
            <sz val="12"/>
            <color theme="1"/>
            <rFont val="Aptos Narrow"/>
            <family val="2"/>
            <scheme val="minor"/>
          </rPr>
          <t>W12: 19.690</t>
        </r>
      </text>
    </comment>
    <comment ref="D6" authorId="3" shapeId="0" xr:uid="{00000000-0006-0000-2400-000013000000}">
      <text>
        <r>
          <rPr>
            <sz val="12"/>
            <color theme="1"/>
            <rFont val="Aptos Narrow"/>
            <family val="2"/>
            <scheme val="minor"/>
          </rPr>
          <t>Việt Hoàng:
Last week:
19.490.00</t>
        </r>
      </text>
    </comment>
    <comment ref="E6" authorId="1" shapeId="0" xr:uid="{00000000-0006-0000-2400-000014000000}">
      <text>
        <r>
          <rPr>
            <sz val="12"/>
            <color theme="1"/>
            <rFont val="Aptos Narrow"/>
            <family val="2"/>
            <scheme val="minor"/>
          </rPr>
          <t xml:space="preserve">Last week is: 19.190K
Giảm ngay 200,000đ cho khách hàng mua gói cước 3V200B </t>
        </r>
      </text>
    </comment>
    <comment ref="F6" authorId="4" shapeId="0" xr:uid="{00000000-0006-0000-2400-000015000000}">
      <text>
        <r>
          <rPr>
            <sz val="12"/>
            <color theme="1"/>
            <rFont val="Aptos Narrow"/>
            <family val="2"/>
            <scheme val="minor"/>
          </rPr>
          <t>chit trang:
19.490k</t>
        </r>
      </text>
    </comment>
    <comment ref="G6" authorId="5" shapeId="0" xr:uid="{00000000-0006-0000-2400-000016000000}">
      <text>
        <r>
          <rPr>
            <sz val="12"/>
            <color theme="1"/>
            <rFont val="Aptos Narrow"/>
            <family val="2"/>
            <scheme val="minor"/>
          </rPr>
          <t>Tran Dat:
19190</t>
        </r>
      </text>
    </comment>
    <comment ref="C7" authorId="6" shapeId="0" xr:uid="{00000000-0006-0000-2400-000017000000}">
      <text>
        <r>
          <rPr>
            <sz val="12"/>
            <color theme="1"/>
            <rFont val="Aptos Narrow"/>
            <family val="2"/>
            <scheme val="minor"/>
          </rPr>
          <t>W12: 22.590</t>
        </r>
      </text>
    </comment>
    <comment ref="E7" authorId="1" shapeId="0" xr:uid="{00000000-0006-0000-2400-000018000000}">
      <text>
        <r>
          <rPr>
            <sz val="12"/>
            <color theme="1"/>
            <rFont val="Aptos Narrow"/>
            <family val="2"/>
            <scheme val="minor"/>
          </rPr>
          <t xml:space="preserve">Last week is: 21.990K
Giảm ngay 200,000đ cho khách hàng mua gói cước 3V200B </t>
        </r>
      </text>
    </comment>
    <comment ref="F7" authorId="4" shapeId="0" xr:uid="{00000000-0006-0000-2400-000019000000}">
      <text>
        <r>
          <rPr>
            <sz val="12"/>
            <color theme="1"/>
            <rFont val="Aptos Narrow"/>
            <family val="2"/>
            <scheme val="minor"/>
          </rPr>
          <t>chit trang:
22.490</t>
        </r>
      </text>
    </comment>
    <comment ref="G7" authorId="5" shapeId="0" xr:uid="{00000000-0006-0000-2400-00001A000000}">
      <text>
        <r>
          <rPr>
            <sz val="12"/>
            <color theme="1"/>
            <rFont val="Aptos Narrow"/>
            <family val="2"/>
            <scheme val="minor"/>
          </rPr>
          <t>Tran Dat:
22.390</t>
        </r>
      </text>
    </comment>
    <comment ref="E9" authorId="1" shapeId="0" xr:uid="{00000000-0006-0000-2400-00001B000000}">
      <text>
        <r>
          <rPr>
            <sz val="12"/>
            <color theme="1"/>
            <rFont val="Aptos Narrow"/>
            <family val="2"/>
            <scheme val="minor"/>
          </rPr>
          <t xml:space="preserve">Last week was: 28.490.000
</t>
        </r>
      </text>
    </comment>
    <comment ref="F9" authorId="4" shapeId="0" xr:uid="{00000000-0006-0000-2400-00001C000000}">
      <text>
        <r>
          <rPr>
            <sz val="12"/>
            <color theme="1"/>
            <rFont val="Aptos Narrow"/>
            <family val="2"/>
            <scheme val="minor"/>
          </rPr>
          <t>chit trang:
29.190k</t>
        </r>
      </text>
    </comment>
    <comment ref="G9" authorId="5" shapeId="0" xr:uid="{00000000-0006-0000-2400-00001D000000}">
      <text>
        <r>
          <rPr>
            <sz val="12"/>
            <color theme="1"/>
            <rFont val="Aptos Narrow"/>
            <family val="2"/>
            <scheme val="minor"/>
          </rPr>
          <t>Tran Dat:
28.890</t>
        </r>
      </text>
    </comment>
    <comment ref="B10" authorId="0" shapeId="0" xr:uid="{00000000-0006-0000-2400-00001E000000}">
      <text>
        <r>
          <rPr>
            <sz val="12"/>
            <color theme="1"/>
            <rFont val="Aptos Narrow"/>
            <family val="2"/>
            <scheme val="minor"/>
          </rPr>
          <t>was 19790</t>
        </r>
      </text>
    </comment>
    <comment ref="C10" authorId="0" shapeId="0" xr:uid="{00000000-0006-0000-2400-00001F000000}">
      <text>
        <r>
          <rPr>
            <sz val="12"/>
            <color theme="1"/>
            <rFont val="Aptos Narrow"/>
            <family val="2"/>
            <scheme val="minor"/>
          </rPr>
          <t>W12 19.790</t>
        </r>
      </text>
    </comment>
    <comment ref="E10" authorId="1" shapeId="0" xr:uid="{00000000-0006-0000-2400-000020000000}">
      <text>
        <r>
          <rPr>
            <sz val="12"/>
            <color theme="1"/>
            <rFont val="Aptos Narrow"/>
            <family val="2"/>
            <scheme val="minor"/>
          </rPr>
          <t xml:space="preserve">Last week was: 19.690K
Chỉ còn màu Purple, Blue, White số lượng ít
</t>
        </r>
      </text>
    </comment>
    <comment ref="G10" authorId="5" shapeId="0" xr:uid="{00000000-0006-0000-2400-000021000000}">
      <text>
        <r>
          <rPr>
            <sz val="12"/>
            <color theme="1"/>
            <rFont val="Aptos Narrow"/>
            <family val="2"/>
            <scheme val="minor"/>
          </rPr>
          <t>Tran Dat:
20090000</t>
        </r>
      </text>
    </comment>
    <comment ref="B11" authorId="0" shapeId="0" xr:uid="{00000000-0006-0000-2400-000022000000}">
      <text>
        <r>
          <rPr>
            <sz val="12"/>
            <color theme="1"/>
            <rFont val="Aptos Narrow"/>
            <family val="2"/>
            <scheme val="minor"/>
          </rPr>
          <t>was 17190</t>
        </r>
      </text>
    </comment>
    <comment ref="C11" authorId="0" shapeId="0" xr:uid="{00000000-0006-0000-2400-000023000000}">
      <text>
        <r>
          <rPr>
            <sz val="12"/>
            <color theme="1"/>
            <rFont val="Aptos Narrow"/>
            <family val="2"/>
            <scheme val="minor"/>
          </rPr>
          <t>W12 17.190</t>
        </r>
      </text>
    </comment>
    <comment ref="G11" authorId="5" shapeId="0" xr:uid="{00000000-0006-0000-2400-000024000000}">
      <text>
        <r>
          <rPr>
            <sz val="12"/>
            <color theme="1"/>
            <rFont val="Aptos Narrow"/>
            <family val="2"/>
            <scheme val="minor"/>
          </rPr>
          <t>Tran Dat:
17290000</t>
        </r>
      </text>
    </comment>
    <comment ref="B12" authorId="0" shapeId="0" xr:uid="{00000000-0006-0000-2400-000025000000}">
      <text>
        <r>
          <rPr>
            <sz val="12"/>
            <color theme="1"/>
            <rFont val="Aptos Narrow"/>
            <family val="2"/>
            <scheme val="minor"/>
          </rPr>
          <t>was 13590000</t>
        </r>
      </text>
    </comment>
    <comment ref="C12" authorId="0" shapeId="0" xr:uid="{00000000-0006-0000-2400-000026000000}">
      <text>
        <r>
          <rPr>
            <sz val="12"/>
            <color theme="1"/>
            <rFont val="Aptos Narrow"/>
            <family val="2"/>
            <scheme val="minor"/>
          </rPr>
          <t>W12 13.590</t>
        </r>
      </text>
    </comment>
    <comment ref="E12" authorId="1" shapeId="0" xr:uid="{00000000-0006-0000-2400-000027000000}">
      <text>
        <r>
          <rPr>
            <sz val="12"/>
            <color theme="1"/>
            <rFont val="Aptos Narrow"/>
            <family val="2"/>
            <scheme val="minor"/>
          </rPr>
          <t>Giảm 300K cho màu Đen và Starlight</t>
        </r>
      </text>
    </comment>
    <comment ref="B13" authorId="0" shapeId="0" xr:uid="{00000000-0006-0000-2400-000028000000}">
      <text>
        <r>
          <rPr>
            <sz val="12"/>
            <color theme="1"/>
            <rFont val="Aptos Narrow"/>
            <family val="2"/>
            <scheme val="minor"/>
          </rPr>
          <t>was 10990 xanh lá rẻ nhất, còn lại tuỳ màu</t>
        </r>
      </text>
    </comment>
    <comment ref="D14" authorId="3" shapeId="0" xr:uid="{00000000-0006-0000-2400-000029000000}">
      <text>
        <r>
          <rPr>
            <sz val="12"/>
            <color theme="1"/>
            <rFont val="Aptos Narrow"/>
            <family val="2"/>
            <scheme val="minor"/>
          </rPr>
          <t>Việt Hoàng:
Last week:
8.790.000</t>
        </r>
      </text>
    </comment>
    <comment ref="E14" authorId="1" shapeId="0" xr:uid="{00000000-0006-0000-2400-00002A000000}">
      <text>
        <r>
          <rPr>
            <sz val="12"/>
            <color theme="1"/>
            <rFont val="Aptos Narrow"/>
            <family val="2"/>
            <scheme val="minor"/>
          </rPr>
          <t xml:space="preserve">Giảm 200K khi mua Online (đã trừ vào giá)
Trợ giá 4G giảm 300K đã trừ vào giá
</t>
        </r>
      </text>
    </comment>
    <comment ref="B15" authorId="0" shapeId="0" xr:uid="{00000000-0006-0000-2400-00002B000000}">
      <text>
        <r>
          <rPr>
            <sz val="12"/>
            <color theme="1"/>
            <rFont val="Aptos Narrow"/>
            <family val="2"/>
            <scheme val="minor"/>
          </rPr>
          <t>was 13990000
SV -400</t>
        </r>
      </text>
    </comment>
    <comment ref="E15" authorId="0" shapeId="0" xr:uid="{00000000-0006-0000-2400-00002C000000}">
      <text>
        <r>
          <rPr>
            <sz val="12"/>
            <color theme="1"/>
            <rFont val="Aptos Narrow"/>
            <family val="2"/>
            <scheme val="minor"/>
          </rPr>
          <t>VNP 1%</t>
        </r>
      </text>
    </comment>
    <comment ref="F15" authorId="4" shapeId="0" xr:uid="{00000000-0006-0000-2400-00002D000000}">
      <text>
        <r>
          <rPr>
            <sz val="12"/>
            <color theme="1"/>
            <rFont val="Aptos Narrow"/>
            <family val="2"/>
            <scheme val="minor"/>
          </rPr>
          <t>chit trang:
13.990k</t>
        </r>
      </text>
    </comment>
    <comment ref="B16" authorId="0" shapeId="0" xr:uid="{00000000-0006-0000-2400-00002E000000}">
      <text>
        <r>
          <rPr>
            <sz val="12"/>
            <color theme="1"/>
            <rFont val="Aptos Narrow"/>
            <family val="2"/>
            <scheme val="minor"/>
          </rPr>
          <t>was 8990</t>
        </r>
      </text>
    </comment>
    <comment ref="C16" authorId="0" shapeId="0" xr:uid="{00000000-0006-0000-2400-00002F000000}">
      <text>
        <r>
          <rPr>
            <sz val="12"/>
            <color theme="1"/>
            <rFont val="Aptos Narrow"/>
            <family val="2"/>
            <scheme val="minor"/>
          </rPr>
          <t>W12 8.990</t>
        </r>
      </text>
    </comment>
    <comment ref="D16" authorId="3" shapeId="0" xr:uid="{00000000-0006-0000-2400-000030000000}">
      <text>
        <r>
          <rPr>
            <sz val="12"/>
            <color theme="1"/>
            <rFont val="Aptos Narrow"/>
            <family val="2"/>
            <scheme val="minor"/>
          </rPr>
          <t>Việt Hoàng:
Last week:
8.890.000</t>
        </r>
      </text>
    </comment>
    <comment ref="E16" authorId="1" shapeId="0" xr:uid="{00000000-0006-0000-2400-000031000000}">
      <text>
        <r>
          <rPr>
            <sz val="12"/>
            <color theme="1"/>
            <rFont val="Aptos Narrow"/>
            <family val="2"/>
            <scheme val="minor"/>
          </rPr>
          <t xml:space="preserve">Last week is: 9.290K
</t>
        </r>
      </text>
    </comment>
    <comment ref="F16" authorId="4" shapeId="0" xr:uid="{00000000-0006-0000-2400-000032000000}">
      <text>
        <r>
          <rPr>
            <sz val="12"/>
            <color theme="1"/>
            <rFont val="Aptos Narrow"/>
            <family val="2"/>
            <scheme val="minor"/>
          </rPr>
          <t>chit trang:
8.750k</t>
        </r>
      </text>
    </comment>
    <comment ref="B17" authorId="0" shapeId="0" xr:uid="{00000000-0006-0000-2400-000033000000}">
      <text>
        <r>
          <rPr>
            <sz val="12"/>
            <color theme="1"/>
            <rFont val="Aptos Narrow"/>
            <family val="2"/>
            <scheme val="minor"/>
          </rPr>
          <t>was 7090</t>
        </r>
      </text>
    </comment>
    <comment ref="C17" authorId="0" shapeId="0" xr:uid="{00000000-0006-0000-2400-000034000000}">
      <text>
        <r>
          <rPr>
            <sz val="12"/>
            <color theme="1"/>
            <rFont val="Aptos Narrow"/>
            <family val="2"/>
            <scheme val="minor"/>
          </rPr>
          <t>W12 7.090</t>
        </r>
      </text>
    </comment>
    <comment ref="E17" authorId="1" shapeId="0" xr:uid="{00000000-0006-0000-2400-000035000000}">
      <text>
        <r>
          <rPr>
            <sz val="12"/>
            <color theme="1"/>
            <rFont val="Aptos Narrow"/>
            <family val="2"/>
            <scheme val="minor"/>
          </rPr>
          <t>Giảm 10% tối đa 120K khi mở ví VNPAY</t>
        </r>
      </text>
    </comment>
    <comment ref="F17" authorId="4" shapeId="0" xr:uid="{00000000-0006-0000-2400-000036000000}">
      <text>
        <r>
          <rPr>
            <sz val="12"/>
            <color theme="1"/>
            <rFont val="Aptos Narrow"/>
            <family val="2"/>
            <scheme val="minor"/>
          </rPr>
          <t>chit trang:
7.050k</t>
        </r>
      </text>
    </comment>
    <comment ref="G17" authorId="5" shapeId="0" xr:uid="{00000000-0006-0000-2400-000037000000}">
      <text>
        <r>
          <rPr>
            <sz val="12"/>
            <color theme="1"/>
            <rFont val="Aptos Narrow"/>
            <family val="2"/>
            <scheme val="minor"/>
          </rPr>
          <t>Tran Dat:
7090</t>
        </r>
      </text>
    </comment>
    <comment ref="B18" authorId="0" shapeId="0" xr:uid="{00000000-0006-0000-2400-000038000000}">
      <text>
        <r>
          <rPr>
            <sz val="12"/>
            <color theme="1"/>
            <rFont val="Aptos Narrow"/>
            <family val="2"/>
            <scheme val="minor"/>
          </rPr>
          <t>was 14990</t>
        </r>
      </text>
    </comment>
    <comment ref="C18" authorId="0" shapeId="0" xr:uid="{00000000-0006-0000-2400-000039000000}">
      <text>
        <r>
          <rPr>
            <sz val="12"/>
            <color theme="1"/>
            <rFont val="Aptos Narrow"/>
            <family val="2"/>
            <scheme val="minor"/>
          </rPr>
          <t>W12 14.990</t>
        </r>
      </text>
    </comment>
    <comment ref="E18" authorId="1" shapeId="0" xr:uid="{00000000-0006-0000-2400-00003A000000}">
      <text>
        <r>
          <rPr>
            <sz val="12"/>
            <color theme="1"/>
            <rFont val="Aptos Narrow"/>
            <family val="2"/>
            <scheme val="minor"/>
          </rPr>
          <t xml:space="preserve">Last week is: 14.490K
Nhập mã VTQR300 khách hàng sẽ được tặng 1% tối đa 300.000 cho đơn hàng có giá trị từ 3 triệu trở lên khi thanh toán qua VNPAY-QR </t>
        </r>
      </text>
    </comment>
    <comment ref="G18" authorId="5" shapeId="0" xr:uid="{00000000-0006-0000-2400-00003B000000}">
      <text>
        <r>
          <rPr>
            <sz val="12"/>
            <color theme="1"/>
            <rFont val="Aptos Narrow"/>
            <family val="2"/>
            <scheme val="minor"/>
          </rPr>
          <t>Tran Dat:
14490</t>
        </r>
      </text>
    </comment>
    <comment ref="B19" authorId="0" shapeId="0" xr:uid="{00000000-0006-0000-2400-00003C000000}">
      <text>
        <r>
          <rPr>
            <sz val="12"/>
            <color theme="1"/>
            <rFont val="Aptos Narrow"/>
            <family val="2"/>
            <scheme val="minor"/>
          </rPr>
          <t>Giáo dục - 400</t>
        </r>
      </text>
    </comment>
    <comment ref="C19" authorId="0" shapeId="0" xr:uid="{00000000-0006-0000-2400-00003D000000}">
      <text/>
    </comment>
    <comment ref="E19" authorId="1" shapeId="0" xr:uid="{00000000-0006-0000-2400-00003E000000}">
      <text>
        <r>
          <rPr>
            <sz val="12"/>
            <color theme="1"/>
            <rFont val="Aptos Narrow"/>
            <family val="2"/>
            <scheme val="minor"/>
          </rPr>
          <t xml:space="preserve">Last week is: 21.190K
Nhập mã VTQR300 khách hàng sẽ được tặng 1% tối đa 300.000 cho đơn hàng có giá trị từ 3 triệu trở lên khi thanh toán qua VNPAY-QR </t>
        </r>
      </text>
    </comment>
    <comment ref="B20" authorId="0" shapeId="0" xr:uid="{00000000-0006-0000-2400-00003F000000}">
      <text>
        <r>
          <rPr>
            <sz val="12"/>
            <color theme="1"/>
            <rFont val="Aptos Narrow"/>
            <family val="2"/>
            <scheme val="minor"/>
          </rPr>
          <t>was 27690</t>
        </r>
      </text>
    </comment>
    <comment ref="C20" authorId="0" shapeId="0" xr:uid="{00000000-0006-0000-2400-000040000000}">
      <text>
        <r>
          <rPr>
            <sz val="12"/>
            <color theme="1"/>
            <rFont val="Aptos Narrow"/>
            <family val="2"/>
            <scheme val="minor"/>
          </rPr>
          <t>W12 27.690</t>
        </r>
      </text>
    </comment>
    <comment ref="D20" authorId="3" shapeId="0" xr:uid="{00000000-0006-0000-2400-000041000000}">
      <text>
        <r>
          <rPr>
            <sz val="12"/>
            <color theme="1"/>
            <rFont val="Aptos Narrow"/>
            <family val="2"/>
            <scheme val="minor"/>
          </rPr>
          <t>Việt Hoàng:
Last week:
27.490.000</t>
        </r>
      </text>
    </comment>
    <comment ref="E20" authorId="1" shapeId="0" xr:uid="{00000000-0006-0000-2400-000042000000}">
      <text>
        <r>
          <rPr>
            <sz val="12"/>
            <color theme="1"/>
            <rFont val="Aptos Narrow"/>
            <family val="2"/>
            <scheme val="minor"/>
          </rPr>
          <t xml:space="preserve">Last week is: 26.890K
Nhập mã VTQR300 khách hàng sẽ được tặng 1% tối đa 300.000 cho đơn hàng có giá trị từ 3 triệu trở lên khi thanh toán qua VNPAY-QR </t>
        </r>
      </text>
    </comment>
    <comment ref="G20" authorId="5" shapeId="0" xr:uid="{00000000-0006-0000-2400-000043000000}">
      <text>
        <r>
          <rPr>
            <sz val="12"/>
            <color theme="1"/>
            <rFont val="Aptos Narrow"/>
            <family val="2"/>
            <scheme val="minor"/>
          </rPr>
          <t>Tran Dat:
27190</t>
        </r>
      </text>
    </comment>
    <comment ref="E21" authorId="1" shapeId="0" xr:uid="{00000000-0006-0000-2400-000044000000}">
      <text>
        <r>
          <rPr>
            <sz val="12"/>
            <color theme="1"/>
            <rFont val="Aptos Narrow"/>
            <family val="2"/>
            <scheme val="minor"/>
          </rPr>
          <t xml:space="preserve">Last week was: 36.790K
Nhập mã ZLP500 giảm ngay 500.000đ cho đơn hàng tối thiểu từ 20 triệu trở lên qua Zalopay (Yêu cầu thanh toán 100% giá trị đơn hàng) 
</t>
        </r>
      </text>
    </comment>
    <comment ref="B22" authorId="0" shapeId="0" xr:uid="{00000000-0006-0000-2400-000045000000}">
      <text>
        <r>
          <rPr>
            <sz val="12"/>
            <color theme="1"/>
            <rFont val="Aptos Narrow"/>
            <family val="2"/>
            <scheme val="minor"/>
          </rPr>
          <t>was 5590</t>
        </r>
      </text>
    </comment>
    <comment ref="C22" authorId="0" shapeId="0" xr:uid="{00000000-0006-0000-2400-000046000000}">
      <text>
        <r>
          <rPr>
            <sz val="12"/>
            <color theme="1"/>
            <rFont val="Aptos Narrow"/>
            <family val="2"/>
            <scheme val="minor"/>
          </rPr>
          <t>W12 5.590</t>
        </r>
      </text>
    </comment>
    <comment ref="E22" authorId="1" shapeId="0" xr:uid="{00000000-0006-0000-2400-000047000000}">
      <text>
        <r>
          <rPr>
            <sz val="12"/>
            <color theme="1"/>
            <rFont val="Aptos Narrow"/>
            <family val="2"/>
            <scheme val="minor"/>
          </rPr>
          <t xml:space="preserve">Tặng voucher giảm giá 100,000đ cho khách hàng đổi điểm trên ứng dụng Btaskee </t>
        </r>
      </text>
    </comment>
    <comment ref="E23" authorId="1" shapeId="0" xr:uid="{00000000-0006-0000-2400-000048000000}">
      <text>
        <r>
          <rPr>
            <sz val="12"/>
            <color theme="1"/>
            <rFont val="Aptos Narrow"/>
            <family val="2"/>
            <scheme val="minor"/>
          </rPr>
          <t xml:space="preserve">  Tặng voucher giảm giá 100,000đ cho khách hàng đổi điểm trên ứng dụng Btaskee </t>
        </r>
      </text>
    </comment>
    <comment ref="B24" authorId="0" shapeId="0" xr:uid="{00000000-0006-0000-2400-000049000000}">
      <text>
        <r>
          <rPr>
            <sz val="12"/>
            <color theme="1"/>
            <rFont val="Aptos Narrow"/>
            <family val="2"/>
            <scheme val="minor"/>
          </rPr>
          <t>was 5990</t>
        </r>
      </text>
    </comment>
    <comment ref="C24" authorId="0" shapeId="0" xr:uid="{00000000-0006-0000-2400-00004A000000}">
      <text>
        <r>
          <rPr>
            <sz val="12"/>
            <color theme="1"/>
            <rFont val="Aptos Narrow"/>
            <family val="2"/>
            <scheme val="minor"/>
          </rPr>
          <t>W12 5.990</t>
        </r>
      </text>
    </comment>
    <comment ref="E24" authorId="1" shapeId="0" xr:uid="{00000000-0006-0000-2400-00004B000000}">
      <text>
        <r>
          <rPr>
            <sz val="12"/>
            <color theme="1"/>
            <rFont val="Aptos Narrow"/>
            <family val="2"/>
            <scheme val="minor"/>
          </rPr>
          <t xml:space="preserve">Tặng voucher giảm giá 100,000đ cho khách hàng đổi điểm trên ứng dụng Btaskee </t>
        </r>
      </text>
    </comment>
    <comment ref="E25" authorId="1" shapeId="0" xr:uid="{00000000-0006-0000-2400-00004C000000}">
      <text>
        <r>
          <rPr>
            <sz val="12"/>
            <color theme="1"/>
            <rFont val="Aptos Narrow"/>
            <family val="2"/>
            <scheme val="minor"/>
          </rPr>
          <t xml:space="preserve">Tặng voucher giảm giá 100,000đ cho khách hàng đổi điểm trên ứng dụng Btaskee </t>
        </r>
      </text>
    </comment>
    <comment ref="B30" authorId="0" shapeId="0" xr:uid="{00000000-0006-0000-2400-00004D000000}">
      <text>
        <r>
          <rPr>
            <sz val="12"/>
            <color theme="1"/>
            <rFont val="Aptos Narrow"/>
            <family val="2"/>
            <scheme val="minor"/>
          </rPr>
          <t>was 21990</t>
        </r>
      </text>
    </comment>
    <comment ref="C30" authorId="0" shapeId="0" xr:uid="{00000000-0006-0000-2400-00004E000000}">
      <text>
        <r>
          <rPr>
            <sz val="12"/>
            <color theme="1"/>
            <rFont val="Aptos Narrow"/>
            <family val="2"/>
            <scheme val="minor"/>
          </rPr>
          <t>W12 21.990</t>
        </r>
      </text>
    </comment>
    <comment ref="E30" authorId="1" shapeId="0" xr:uid="{00000000-0006-0000-2400-00004F000000}">
      <text>
        <r>
          <rPr>
            <sz val="12"/>
            <color theme="1"/>
            <rFont val="Aptos Narrow"/>
            <family val="2"/>
            <scheme val="minor"/>
          </rPr>
          <t xml:space="preserve">Last week was: 21.390K
</t>
        </r>
      </text>
    </comment>
    <comment ref="E31" authorId="1" shapeId="0" xr:uid="{00000000-0006-0000-2400-000050000000}">
      <text>
        <r>
          <rPr>
            <sz val="12"/>
            <color theme="1"/>
            <rFont val="Aptos Narrow"/>
            <family val="2"/>
            <scheme val="minor"/>
          </rPr>
          <t xml:space="preserve">Last week was: 5.690K
</t>
        </r>
      </text>
    </comment>
    <comment ref="E32" authorId="1" shapeId="0" xr:uid="{00000000-0006-0000-2400-000051000000}">
      <text>
        <r>
          <rPr>
            <sz val="12"/>
            <color theme="1"/>
            <rFont val="Aptos Narrow"/>
            <family val="2"/>
            <scheme val="minor"/>
          </rPr>
          <t>Last week was: 4.790K
Voucher giảm 1% tối đa 300K VNPAY</t>
        </r>
      </text>
    </comment>
    <comment ref="E33" authorId="0" shapeId="0" xr:uid="{00000000-0006-0000-2400-000052000000}">
      <text>
        <r>
          <rPr>
            <sz val="12"/>
            <color theme="1"/>
            <rFont val="Aptos Narrow"/>
            <family val="2"/>
            <scheme val="minor"/>
          </rPr>
          <t>was 3490000</t>
        </r>
      </text>
    </comment>
    <comment ref="E34" authorId="1" shapeId="0" xr:uid="{00000000-0006-0000-2400-000053000000}">
      <text>
        <r>
          <rPr>
            <sz val="12"/>
            <color theme="1"/>
            <rFont val="Aptos Narrow"/>
            <family val="2"/>
            <scheme val="minor"/>
          </rPr>
          <t>Last week was: 4.150K</t>
        </r>
      </text>
    </comment>
    <comment ref="B35" authorId="0" shapeId="0" xr:uid="{00000000-0006-0000-2400-000054000000}">
      <text>
        <r>
          <rPr>
            <sz val="12"/>
            <color theme="1"/>
            <rFont val="Aptos Narrow"/>
            <family val="2"/>
            <scheme val="minor"/>
          </rPr>
          <t>was 18090</t>
        </r>
      </text>
    </comment>
    <comment ref="C35" authorId="0" shapeId="0" xr:uid="{00000000-0006-0000-2400-000055000000}">
      <text>
        <r>
          <rPr>
            <sz val="12"/>
            <color theme="1"/>
            <rFont val="Aptos Narrow"/>
            <family val="2"/>
            <scheme val="minor"/>
          </rPr>
          <t>W12 18.090</t>
        </r>
      </text>
    </comment>
    <comment ref="B36" authorId="0" shapeId="0" xr:uid="{00000000-0006-0000-2400-000056000000}">
      <text>
        <r>
          <rPr>
            <sz val="12"/>
            <color theme="1"/>
            <rFont val="Aptos Narrow"/>
            <family val="2"/>
            <scheme val="minor"/>
          </rPr>
          <t>was 24390</t>
        </r>
      </text>
    </comment>
    <comment ref="C36" authorId="0" shapeId="0" xr:uid="{00000000-0006-0000-2400-000057000000}">
      <text>
        <r>
          <rPr>
            <sz val="12"/>
            <color theme="1"/>
            <rFont val="Aptos Narrow"/>
            <family val="2"/>
            <scheme val="minor"/>
          </rPr>
          <t>W12 24.390</t>
        </r>
      </text>
    </comment>
    <comment ref="F37" authorId="4" shapeId="0" xr:uid="{00000000-0006-0000-2400-000058000000}">
      <text>
        <r>
          <rPr>
            <sz val="12"/>
            <color theme="1"/>
            <rFont val="Aptos Narrow"/>
            <family val="2"/>
            <scheme val="minor"/>
          </rPr>
          <t>chit trang:
27.590k</t>
        </r>
      </text>
    </comment>
  </commentList>
</comments>
</file>

<file path=xl/comments38.xml><?xml version="1.0" encoding="utf-8"?>
<comments xmlns="http://schemas.openxmlformats.org/spreadsheetml/2006/main" xmlns:mc="http://schemas.openxmlformats.org/markup-compatibility/2006" xmlns:xr="http://schemas.microsoft.com/office/spreadsheetml/2014/revision" mc:Ignorable="xr">
  <authors>
    <author>Microsoft Office User</author>
    <author>Việt Hoàng</author>
    <author>Sheva Son</author>
    <author>Người dùng Khách</author>
    <author>Tran Dat</author>
    <author>chit trang</author>
    <author>Duy</author>
  </authors>
  <commentList>
    <comment ref="B2" authorId="0" shapeId="0" xr:uid="{00000000-0006-0000-2500-000001000000}">
      <text>
        <r>
          <rPr>
            <sz val="12"/>
            <color theme="1"/>
            <rFont val="Aptos Narrow"/>
            <family val="2"/>
            <scheme val="minor"/>
          </rPr>
          <t>was 22190000</t>
        </r>
      </text>
    </comment>
    <comment ref="C2" authorId="0" shapeId="0" xr:uid="{00000000-0006-0000-2500-000002000000}">
      <text>
        <r>
          <rPr>
            <sz val="12"/>
            <color theme="1"/>
            <rFont val="Aptos Narrow"/>
            <family val="2"/>
            <scheme val="minor"/>
          </rPr>
          <t>W13 22190000</t>
        </r>
      </text>
    </comment>
    <comment ref="D2" authorId="1" shapeId="0" xr:uid="{00000000-0006-0000-2500-000003000000}">
      <text>
        <r>
          <rPr>
            <sz val="12"/>
            <color theme="1"/>
            <rFont val="Aptos Narrow"/>
            <family val="2"/>
            <scheme val="minor"/>
          </rPr>
          <t>Việt Hoàng:
Last week:
21.590.000</t>
        </r>
      </text>
    </comment>
    <comment ref="E2" authorId="2" shapeId="0" xr:uid="{00000000-0006-0000-2500-000004000000}">
      <text>
        <r>
          <rPr>
            <sz val="12"/>
            <color theme="1"/>
            <rFont val="Aptos Narrow"/>
            <family val="2"/>
            <scheme val="minor"/>
          </rPr>
          <t xml:space="preserve">Last week is: 21.990K
 Tết vui khui Túi vàng Cơ hội trúng hàng trăm Túi vàng đến ngày 14/02/2025 </t>
        </r>
      </text>
    </comment>
    <comment ref="F2" authorId="3" shapeId="0" xr:uid="{00000000-0006-0000-2500-000005000000}">
      <text>
        <r>
          <rPr>
            <sz val="12"/>
            <color theme="1"/>
            <rFont val="Aptos Narrow"/>
            <family val="2"/>
            <scheme val="minor"/>
          </rPr>
          <t>Người dùng Không xác định:
21.590.000</t>
        </r>
      </text>
    </comment>
    <comment ref="G2" authorId="4" shapeId="0" xr:uid="{00000000-0006-0000-2500-000006000000}">
      <text>
        <r>
          <rPr>
            <sz val="12"/>
            <color theme="1"/>
            <rFont val="Aptos Narrow"/>
            <family val="2"/>
            <scheme val="minor"/>
          </rPr>
          <t>Tran Dat:
21.490.000</t>
        </r>
      </text>
    </comment>
    <comment ref="B3" authorId="0" shapeId="0" xr:uid="{00000000-0006-0000-2500-000007000000}">
      <text>
        <r>
          <rPr>
            <sz val="12"/>
            <color theme="1"/>
            <rFont val="Aptos Narrow"/>
            <family val="2"/>
            <scheme val="minor"/>
          </rPr>
          <t>was 25190000</t>
        </r>
      </text>
    </comment>
    <comment ref="D3" authorId="1" shapeId="0" xr:uid="{00000000-0006-0000-2500-000008000000}">
      <text>
        <r>
          <rPr>
            <sz val="12"/>
            <color theme="1"/>
            <rFont val="Aptos Narrow"/>
            <family val="2"/>
            <scheme val="minor"/>
          </rPr>
          <t>Việt Hoàng:
Last week:
24.890.000</t>
        </r>
      </text>
    </comment>
    <comment ref="E3" authorId="2" shapeId="0" xr:uid="{00000000-0006-0000-2500-000009000000}">
      <text>
        <r>
          <rPr>
            <sz val="12"/>
            <color theme="1"/>
            <rFont val="Aptos Narrow"/>
            <family val="2"/>
            <scheme val="minor"/>
          </rPr>
          <t xml:space="preserve">Last week is: 24.990K
 Tết vui khui Túi vàng Cơ hội trúng hàng trăm Túi vàng đến ngày 14/02/2025 
</t>
        </r>
      </text>
    </comment>
    <comment ref="F3" authorId="5" shapeId="0" xr:uid="{00000000-0006-0000-2500-00000A000000}">
      <text>
        <r>
          <rPr>
            <sz val="12"/>
            <color theme="1"/>
            <rFont val="Aptos Narrow"/>
            <family val="2"/>
            <scheme val="minor"/>
          </rPr>
          <t>chit trang:
24.790k</t>
        </r>
      </text>
    </comment>
    <comment ref="G3" authorId="4" shapeId="0" xr:uid="{00000000-0006-0000-2500-00000B000000}">
      <text>
        <r>
          <rPr>
            <sz val="12"/>
            <color theme="1"/>
            <rFont val="Aptos Narrow"/>
            <family val="2"/>
            <scheme val="minor"/>
          </rPr>
          <t>Tran Dat:
24.890</t>
        </r>
      </text>
    </comment>
    <comment ref="B4" authorId="0" shapeId="0" xr:uid="{00000000-0006-0000-2500-00000C000000}">
      <text>
        <r>
          <rPr>
            <sz val="12"/>
            <color theme="1"/>
            <rFont val="Aptos Narrow"/>
            <family val="2"/>
            <scheme val="minor"/>
          </rPr>
          <t>was 28490</t>
        </r>
      </text>
    </comment>
    <comment ref="C4" authorId="0" shapeId="0" xr:uid="{00000000-0006-0000-2500-00000D000000}">
      <text>
        <r>
          <rPr>
            <sz val="12"/>
            <color theme="1"/>
            <rFont val="Aptos Narrow"/>
            <family val="2"/>
            <scheme val="minor"/>
          </rPr>
          <t>W13 28490</t>
        </r>
      </text>
    </comment>
    <comment ref="D4" authorId="1" shapeId="0" xr:uid="{00000000-0006-0000-2500-00000E000000}">
      <text>
        <r>
          <rPr>
            <sz val="12"/>
            <color theme="1"/>
            <rFont val="Aptos Narrow"/>
            <family val="2"/>
            <scheme val="minor"/>
          </rPr>
          <t>Việt Hoàng:
Last week:
27.990.000</t>
        </r>
      </text>
    </comment>
    <comment ref="E4" authorId="0" shapeId="0" xr:uid="{00000000-0006-0000-2500-00000F000000}">
      <text>
        <r>
          <rPr>
            <sz val="12"/>
            <color theme="1"/>
            <rFont val="Aptos Narrow"/>
            <family val="2"/>
            <scheme val="minor"/>
          </rPr>
          <t xml:space="preserve">Last week was: 28.190K
 Tết vui khui Túi vàng Cơ hội trúng hàng trăm Túi vàng đến ngày 14/02/2025 </t>
        </r>
      </text>
    </comment>
    <comment ref="F4" authorId="5" shapeId="0" xr:uid="{00000000-0006-0000-2500-000010000000}">
      <text>
        <r>
          <rPr>
            <sz val="12"/>
            <color theme="1"/>
            <rFont val="Aptos Narrow"/>
            <family val="2"/>
            <scheme val="minor"/>
          </rPr>
          <t>chit trang:
27.790</t>
        </r>
      </text>
    </comment>
    <comment ref="G4" authorId="4" shapeId="0" xr:uid="{00000000-0006-0000-2500-000011000000}">
      <text>
        <r>
          <rPr>
            <sz val="12"/>
            <color theme="1"/>
            <rFont val="Aptos Narrow"/>
            <family val="2"/>
            <scheme val="minor"/>
          </rPr>
          <t>Tran Dat:
27790</t>
        </r>
      </text>
    </comment>
    <comment ref="B5" authorId="0" shapeId="0" xr:uid="{00000000-0006-0000-2500-000012000000}">
      <text>
        <r>
          <rPr>
            <sz val="12"/>
            <color theme="1"/>
            <rFont val="Aptos Narrow"/>
            <family val="2"/>
            <scheme val="minor"/>
          </rPr>
          <t>was 33890</t>
        </r>
      </text>
    </comment>
    <comment ref="C5" authorId="0" shapeId="0" xr:uid="{00000000-0006-0000-2500-000013000000}">
      <text>
        <r>
          <rPr>
            <sz val="12"/>
            <color theme="1"/>
            <rFont val="Aptos Narrow"/>
            <family val="2"/>
            <scheme val="minor"/>
          </rPr>
          <t>W13 33890</t>
        </r>
      </text>
    </comment>
    <comment ref="D5" authorId="1" shapeId="0" xr:uid="{00000000-0006-0000-2500-000014000000}">
      <text>
        <r>
          <rPr>
            <sz val="12"/>
            <color theme="1"/>
            <rFont val="Aptos Narrow"/>
            <family val="2"/>
            <scheme val="minor"/>
          </rPr>
          <t>Việt Hoàng:
Last week:
33.390.000</t>
        </r>
      </text>
    </comment>
    <comment ref="E5" authorId="2" shapeId="0" xr:uid="{00000000-0006-0000-2500-000015000000}">
      <text>
        <r>
          <rPr>
            <sz val="12"/>
            <color theme="1"/>
            <rFont val="Aptos Narrow"/>
            <family val="2"/>
            <scheme val="minor"/>
          </rPr>
          <t xml:space="preserve">Last week is: 32.990K
 Tết vui khui Túi vàng Cơ hội trúng hàng trăm Túi vàng đến ngày 14/02/2025 </t>
        </r>
      </text>
    </comment>
    <comment ref="F5" authorId="5" shapeId="0" xr:uid="{00000000-0006-0000-2500-000016000000}">
      <text>
        <r>
          <rPr>
            <sz val="12"/>
            <color theme="1"/>
            <rFont val="Aptos Narrow"/>
            <family val="2"/>
            <scheme val="minor"/>
          </rPr>
          <t>chit trang:
33.090k</t>
        </r>
      </text>
    </comment>
    <comment ref="G5" authorId="4" shapeId="0" xr:uid="{00000000-0006-0000-2500-000017000000}">
      <text>
        <r>
          <rPr>
            <sz val="12"/>
            <color theme="1"/>
            <rFont val="Aptos Narrow"/>
            <family val="2"/>
            <scheme val="minor"/>
          </rPr>
          <t>Tran Dat:
32.990</t>
        </r>
      </text>
    </comment>
    <comment ref="B6" authorId="0" shapeId="0" xr:uid="{00000000-0006-0000-2500-000018000000}">
      <text>
        <r>
          <rPr>
            <sz val="12"/>
            <color theme="1"/>
            <rFont val="Aptos Narrow"/>
            <family val="2"/>
            <scheme val="minor"/>
          </rPr>
          <t>was 19690000</t>
        </r>
      </text>
    </comment>
    <comment ref="C6" authorId="0" shapeId="0" xr:uid="{00000000-0006-0000-2500-000019000000}">
      <text>
        <r>
          <rPr>
            <sz val="12"/>
            <color theme="1"/>
            <rFont val="Aptos Narrow"/>
            <family val="2"/>
            <scheme val="minor"/>
          </rPr>
          <t>W13 19690000</t>
        </r>
      </text>
    </comment>
    <comment ref="D6" authorId="1" shapeId="0" xr:uid="{00000000-0006-0000-2500-00001A000000}">
      <text>
        <r>
          <rPr>
            <sz val="12"/>
            <color theme="1"/>
            <rFont val="Aptos Narrow"/>
            <family val="2"/>
            <scheme val="minor"/>
          </rPr>
          <t>Việt Hoàng:
Last week:
19.390.00</t>
        </r>
      </text>
    </comment>
    <comment ref="E6" authorId="2" shapeId="0" xr:uid="{00000000-0006-0000-2500-00001B000000}">
      <text>
        <r>
          <rPr>
            <sz val="12"/>
            <color theme="1"/>
            <rFont val="Aptos Narrow"/>
            <family val="2"/>
            <scheme val="minor"/>
          </rPr>
          <t xml:space="preserve">Last week is: 19.490K
 Tết vui khui Túi vàng Cơ hội trúng hàng trăm Túi vàng đến ngày 14/02/2025 </t>
        </r>
      </text>
    </comment>
    <comment ref="F6" authorId="5" shapeId="0" xr:uid="{00000000-0006-0000-2500-00001C000000}">
      <text>
        <r>
          <rPr>
            <sz val="12"/>
            <color theme="1"/>
            <rFont val="Aptos Narrow"/>
            <family val="2"/>
            <scheme val="minor"/>
          </rPr>
          <t>chit trang:
19.390k</t>
        </r>
      </text>
    </comment>
    <comment ref="G6" authorId="4" shapeId="0" xr:uid="{00000000-0006-0000-2500-00001D000000}">
      <text>
        <r>
          <rPr>
            <sz val="12"/>
            <color theme="1"/>
            <rFont val="Aptos Narrow"/>
            <family val="2"/>
            <scheme val="minor"/>
          </rPr>
          <t>Tran Dat:
18990</t>
        </r>
      </text>
    </comment>
    <comment ref="B7" authorId="0" shapeId="0" xr:uid="{00000000-0006-0000-2500-00001E000000}">
      <text>
        <r>
          <rPr>
            <sz val="12"/>
            <color theme="1"/>
            <rFont val="Aptos Narrow"/>
            <family val="2"/>
            <scheme val="minor"/>
          </rPr>
          <t>was 22590</t>
        </r>
      </text>
    </comment>
    <comment ref="C7" authorId="0" shapeId="0" xr:uid="{00000000-0006-0000-2500-00001F000000}">
      <text>
        <r>
          <rPr>
            <sz val="12"/>
            <color theme="1"/>
            <rFont val="Aptos Narrow"/>
            <family val="2"/>
            <scheme val="minor"/>
          </rPr>
          <t>W13 22590</t>
        </r>
      </text>
    </comment>
    <comment ref="E7" authorId="2" shapeId="0" xr:uid="{00000000-0006-0000-2500-000020000000}">
      <text>
        <r>
          <rPr>
            <sz val="12"/>
            <color theme="1"/>
            <rFont val="Aptos Narrow"/>
            <family val="2"/>
            <scheme val="minor"/>
          </rPr>
          <t xml:space="preserve">Last week is: 22.990K
Giảm ngay 200,000đ cho khách hàng mua gói cước 3V200B </t>
        </r>
      </text>
    </comment>
    <comment ref="F7" authorId="5" shapeId="0" xr:uid="{00000000-0006-0000-2500-000021000000}">
      <text>
        <r>
          <rPr>
            <sz val="12"/>
            <color theme="1"/>
            <rFont val="Aptos Narrow"/>
            <family val="2"/>
            <scheme val="minor"/>
          </rPr>
          <t>chit trang:
22.390k</t>
        </r>
      </text>
    </comment>
    <comment ref="G7" authorId="4" shapeId="0" xr:uid="{00000000-0006-0000-2500-000022000000}">
      <text>
        <r>
          <rPr>
            <sz val="12"/>
            <color theme="1"/>
            <rFont val="Aptos Narrow"/>
            <family val="2"/>
            <scheme val="minor"/>
          </rPr>
          <t>Tran Dat:
22.190</t>
        </r>
      </text>
    </comment>
    <comment ref="C9" authorId="6" shapeId="0" xr:uid="{00000000-0006-0000-2500-000023000000}">
      <text>
        <r>
          <rPr>
            <sz val="12"/>
            <color theme="1"/>
            <rFont val="Aptos Narrow"/>
            <family val="2"/>
            <scheme val="minor"/>
          </rPr>
          <t>W13 29290</t>
        </r>
      </text>
    </comment>
    <comment ref="E9" authorId="2" shapeId="0" xr:uid="{00000000-0006-0000-2500-000024000000}">
      <text>
        <r>
          <rPr>
            <sz val="12"/>
            <color theme="1"/>
            <rFont val="Aptos Narrow"/>
            <family val="2"/>
            <scheme val="minor"/>
          </rPr>
          <t xml:space="preserve">Last week was: 28.490.000
</t>
        </r>
      </text>
    </comment>
    <comment ref="F9" authorId="5" shapeId="0" xr:uid="{00000000-0006-0000-2500-000025000000}">
      <text>
        <r>
          <rPr>
            <sz val="12"/>
            <color theme="1"/>
            <rFont val="Aptos Narrow"/>
            <family val="2"/>
            <scheme val="minor"/>
          </rPr>
          <t>chit trang:
28.490k</t>
        </r>
      </text>
    </comment>
    <comment ref="B10" authorId="0" shapeId="0" xr:uid="{00000000-0006-0000-2500-000026000000}">
      <text>
        <r>
          <rPr>
            <sz val="12"/>
            <color theme="1"/>
            <rFont val="Aptos Narrow"/>
            <family val="2"/>
            <scheme val="minor"/>
          </rPr>
          <t>was 19690</t>
        </r>
      </text>
    </comment>
    <comment ref="C10" authorId="0" shapeId="0" xr:uid="{00000000-0006-0000-2500-000027000000}">
      <text>
        <r>
          <rPr>
            <sz val="12"/>
            <color theme="1"/>
            <rFont val="Aptos Narrow"/>
            <family val="2"/>
            <scheme val="minor"/>
          </rPr>
          <t>W13 19690</t>
        </r>
      </text>
    </comment>
    <comment ref="E10" authorId="2" shapeId="0" xr:uid="{00000000-0006-0000-2500-000028000000}">
      <text>
        <r>
          <rPr>
            <sz val="12"/>
            <color theme="1"/>
            <rFont val="Aptos Narrow"/>
            <family val="2"/>
            <scheme val="minor"/>
          </rPr>
          <t xml:space="preserve">Last week was: 19.690K
Chỉ còn màu Purple, Blue, White số lượng ít
</t>
        </r>
      </text>
    </comment>
    <comment ref="G10" authorId="4" shapeId="0" xr:uid="{00000000-0006-0000-2500-000029000000}">
      <text>
        <r>
          <rPr>
            <sz val="12"/>
            <color theme="1"/>
            <rFont val="Aptos Narrow"/>
            <family val="2"/>
            <scheme val="minor"/>
          </rPr>
          <t>Tran Dat:
19990</t>
        </r>
      </text>
    </comment>
    <comment ref="B11" authorId="0" shapeId="0" xr:uid="{00000000-0006-0000-2500-00002A000000}">
      <text>
        <r>
          <rPr>
            <sz val="12"/>
            <color theme="1"/>
            <rFont val="Aptos Narrow"/>
            <family val="2"/>
            <scheme val="minor"/>
          </rPr>
          <t>was 16990</t>
        </r>
      </text>
    </comment>
    <comment ref="C11" authorId="0" shapeId="0" xr:uid="{00000000-0006-0000-2500-00002B000000}">
      <text>
        <r>
          <rPr>
            <sz val="12"/>
            <color theme="1"/>
            <rFont val="Aptos Narrow"/>
            <family val="2"/>
            <scheme val="minor"/>
          </rPr>
          <t>W13 16990</t>
        </r>
      </text>
    </comment>
    <comment ref="D11" authorId="1" shapeId="0" xr:uid="{00000000-0006-0000-2500-00002C000000}">
      <text>
        <r>
          <rPr>
            <sz val="12"/>
            <color theme="1"/>
            <rFont val="Aptos Narrow"/>
            <family val="2"/>
            <scheme val="minor"/>
          </rPr>
          <t>Việt Hoàng:
Last week:
16.990.000</t>
        </r>
      </text>
    </comment>
    <comment ref="F11" authorId="5" shapeId="0" xr:uid="{00000000-0006-0000-2500-00002D000000}">
      <text>
        <r>
          <rPr>
            <sz val="12"/>
            <color theme="1"/>
            <rFont val="Aptos Narrow"/>
            <family val="2"/>
            <scheme val="minor"/>
          </rPr>
          <t>chit trang:
16.850k</t>
        </r>
      </text>
    </comment>
    <comment ref="G11" authorId="4" shapeId="0" xr:uid="{00000000-0006-0000-2500-00002E000000}">
      <text>
        <r>
          <rPr>
            <sz val="12"/>
            <color theme="1"/>
            <rFont val="Aptos Narrow"/>
            <family val="2"/>
            <scheme val="minor"/>
          </rPr>
          <t>Tran Dat:
17090000</t>
        </r>
      </text>
    </comment>
    <comment ref="B12" authorId="0" shapeId="0" xr:uid="{00000000-0006-0000-2500-00002F000000}">
      <text>
        <r>
          <rPr>
            <sz val="12"/>
            <color theme="1"/>
            <rFont val="Aptos Narrow"/>
            <family val="2"/>
            <scheme val="minor"/>
          </rPr>
          <t>was 13490000</t>
        </r>
      </text>
    </comment>
    <comment ref="C12" authorId="0" shapeId="0" xr:uid="{00000000-0006-0000-2500-000030000000}">
      <text>
        <r>
          <rPr>
            <sz val="12"/>
            <color theme="1"/>
            <rFont val="Aptos Narrow"/>
            <family val="2"/>
            <scheme val="minor"/>
          </rPr>
          <t>W13 13490000</t>
        </r>
      </text>
    </comment>
    <comment ref="E12" authorId="2" shapeId="0" xr:uid="{00000000-0006-0000-2500-000031000000}">
      <text>
        <r>
          <rPr>
            <sz val="12"/>
            <color theme="1"/>
            <rFont val="Aptos Narrow"/>
            <family val="2"/>
            <scheme val="minor"/>
          </rPr>
          <t xml:space="preserve">
- Tết vui khui Túi vàng Cơ hội trúng hàng trăm Túi vàng đến ngày 14/02/2025 
- Giảm 700K cho màu Đen và Starlight (trừ vào giá)
</t>
        </r>
      </text>
    </comment>
    <comment ref="F12" authorId="5" shapeId="0" xr:uid="{00000000-0006-0000-2500-000032000000}">
      <text>
        <r>
          <rPr>
            <sz val="12"/>
            <color theme="1"/>
            <rFont val="Aptos Narrow"/>
            <family val="2"/>
            <scheme val="minor"/>
          </rPr>
          <t>chit trang:
13.390</t>
        </r>
      </text>
    </comment>
    <comment ref="G12" authorId="4" shapeId="0" xr:uid="{00000000-0006-0000-2500-000033000000}">
      <text>
        <r>
          <rPr>
            <sz val="12"/>
            <color theme="1"/>
            <rFont val="Aptos Narrow"/>
            <family val="2"/>
            <scheme val="minor"/>
          </rPr>
          <t>Tran Dat:
12990</t>
        </r>
      </text>
    </comment>
    <comment ref="E13" authorId="3" shapeId="0" xr:uid="{00000000-0006-0000-2500-000034000000}">
      <text>
        <r>
          <rPr>
            <sz val="12"/>
            <color theme="1"/>
            <rFont val="Aptos Narrow"/>
            <family val="2"/>
            <scheme val="minor"/>
          </rPr>
          <t>Last week was: 10.990K</t>
        </r>
      </text>
    </comment>
    <comment ref="F13" authorId="5" shapeId="0" xr:uid="{00000000-0006-0000-2500-000035000000}">
      <text>
        <r>
          <rPr>
            <sz val="12"/>
            <color theme="1"/>
            <rFont val="Aptos Narrow"/>
            <family val="2"/>
            <scheme val="minor"/>
          </rPr>
          <t>chit trang:
10.890</t>
        </r>
      </text>
    </comment>
    <comment ref="E14" authorId="2" shapeId="0" xr:uid="{00000000-0006-0000-2500-000036000000}">
      <text>
        <r>
          <rPr>
            <sz val="12"/>
            <color theme="1"/>
            <rFont val="Aptos Narrow"/>
            <family val="2"/>
            <scheme val="minor"/>
          </rPr>
          <t xml:space="preserve">Giảm 200K khi mua Online (đã trừ vào giá)
Trợ giá 4G giảm 300K đã trừ vào giá
</t>
        </r>
      </text>
    </comment>
    <comment ref="B15" authorId="0" shapeId="0" xr:uid="{00000000-0006-0000-2500-000037000000}">
      <text>
        <r>
          <rPr>
            <sz val="12"/>
            <color theme="1"/>
            <rFont val="Aptos Narrow"/>
            <family val="2"/>
            <scheme val="minor"/>
          </rPr>
          <t>was 13990000
SV -400</t>
        </r>
      </text>
    </comment>
    <comment ref="E15" authorId="0" shapeId="0" xr:uid="{00000000-0006-0000-2500-000038000000}">
      <text>
        <r>
          <rPr>
            <sz val="12"/>
            <color theme="1"/>
            <rFont val="Aptos Narrow"/>
            <family val="2"/>
            <scheme val="minor"/>
          </rPr>
          <t>Last week was: 13.850K</t>
        </r>
      </text>
    </comment>
    <comment ref="F15" authorId="5" shapeId="0" xr:uid="{00000000-0006-0000-2500-000039000000}">
      <text>
        <r>
          <rPr>
            <sz val="12"/>
            <color theme="1"/>
            <rFont val="Aptos Narrow"/>
            <family val="2"/>
            <scheme val="minor"/>
          </rPr>
          <t>chit trang:
13.990k</t>
        </r>
      </text>
    </comment>
    <comment ref="B16" authorId="0" shapeId="0" xr:uid="{00000000-0006-0000-2500-00003A000000}">
      <text>
        <r>
          <rPr>
            <sz val="12"/>
            <color theme="1"/>
            <rFont val="Aptos Narrow"/>
            <family val="2"/>
            <scheme val="minor"/>
          </rPr>
          <t>was 8590</t>
        </r>
      </text>
    </comment>
    <comment ref="C16" authorId="0" shapeId="0" xr:uid="{00000000-0006-0000-2500-00003B000000}">
      <text>
        <r>
          <rPr>
            <sz val="12"/>
            <color theme="1"/>
            <rFont val="Aptos Narrow"/>
            <family val="2"/>
            <scheme val="minor"/>
          </rPr>
          <t>W13 8590</t>
        </r>
      </text>
    </comment>
    <comment ref="D16" authorId="1" shapeId="0" xr:uid="{00000000-0006-0000-2500-00003C000000}">
      <text>
        <r>
          <rPr>
            <sz val="12"/>
            <color theme="1"/>
            <rFont val="Aptos Narrow"/>
            <family val="2"/>
            <scheme val="minor"/>
          </rPr>
          <t>Việt Hoàng:
Last week:
8.690.000</t>
        </r>
      </text>
    </comment>
    <comment ref="E16" authorId="2" shapeId="0" xr:uid="{00000000-0006-0000-2500-00003D000000}">
      <text>
        <r>
          <rPr>
            <sz val="12"/>
            <color theme="1"/>
            <rFont val="Aptos Narrow"/>
            <family val="2"/>
            <scheme val="minor"/>
          </rPr>
          <t xml:space="preserve">Last week is: 8.690K
</t>
        </r>
      </text>
    </comment>
    <comment ref="F16" authorId="5" shapeId="0" xr:uid="{00000000-0006-0000-2500-00003E000000}">
      <text>
        <r>
          <rPr>
            <sz val="12"/>
            <color theme="1"/>
            <rFont val="Aptos Narrow"/>
            <family val="2"/>
            <scheme val="minor"/>
          </rPr>
          <t>chit trang:
8.690k</t>
        </r>
      </text>
    </comment>
    <comment ref="G16" authorId="4" shapeId="0" xr:uid="{00000000-0006-0000-2500-00003F000000}">
      <text>
        <r>
          <rPr>
            <sz val="12"/>
            <color theme="1"/>
            <rFont val="Aptos Narrow"/>
            <family val="2"/>
            <scheme val="minor"/>
          </rPr>
          <t>Tran Dat:
8590000</t>
        </r>
      </text>
    </comment>
    <comment ref="E17" authorId="2" shapeId="0" xr:uid="{00000000-0006-0000-2500-000040000000}">
      <text>
        <r>
          <rPr>
            <sz val="12"/>
            <color theme="1"/>
            <rFont val="Aptos Narrow"/>
            <family val="2"/>
            <scheme val="minor"/>
          </rPr>
          <t>Giảm 10% tối đa 120K khi mở ví VNPAY</t>
        </r>
      </text>
    </comment>
    <comment ref="F17" authorId="5" shapeId="0" xr:uid="{00000000-0006-0000-2500-000041000000}">
      <text>
        <r>
          <rPr>
            <sz val="12"/>
            <color theme="1"/>
            <rFont val="Aptos Narrow"/>
            <family val="2"/>
            <scheme val="minor"/>
          </rPr>
          <t>chit trang:
7.050k</t>
        </r>
      </text>
    </comment>
    <comment ref="G17" authorId="4" shapeId="0" xr:uid="{00000000-0006-0000-2500-000042000000}">
      <text>
        <r>
          <rPr>
            <sz val="12"/>
            <color theme="1"/>
            <rFont val="Aptos Narrow"/>
            <family val="2"/>
            <scheme val="minor"/>
          </rPr>
          <t>Tran Dat:
6990</t>
        </r>
      </text>
    </comment>
    <comment ref="B18" authorId="0" shapeId="0" xr:uid="{00000000-0006-0000-2500-000043000000}">
      <text>
        <r>
          <rPr>
            <sz val="12"/>
            <color theme="1"/>
            <rFont val="Aptos Narrow"/>
            <family val="2"/>
            <scheme val="minor"/>
          </rPr>
          <t>was 14890</t>
        </r>
      </text>
    </comment>
    <comment ref="C18" authorId="0" shapeId="0" xr:uid="{00000000-0006-0000-2500-000044000000}">
      <text>
        <r>
          <rPr>
            <sz val="12"/>
            <color theme="1"/>
            <rFont val="Aptos Narrow"/>
            <family val="2"/>
            <scheme val="minor"/>
          </rPr>
          <t>W13 14890</t>
        </r>
      </text>
    </comment>
    <comment ref="D18" authorId="1" shapeId="0" xr:uid="{00000000-0006-0000-2500-000045000000}">
      <text>
        <r>
          <rPr>
            <sz val="12"/>
            <color theme="1"/>
            <rFont val="Aptos Narrow"/>
            <family val="2"/>
            <scheme val="minor"/>
          </rPr>
          <t>Việt Hoàng:
Last week:
14.890.000</t>
        </r>
      </text>
    </comment>
    <comment ref="E18" authorId="2" shapeId="0" xr:uid="{00000000-0006-0000-2500-000046000000}">
      <text>
        <r>
          <rPr>
            <sz val="12"/>
            <color theme="1"/>
            <rFont val="Aptos Narrow"/>
            <family val="2"/>
            <scheme val="minor"/>
          </rPr>
          <t xml:space="preserve">Last week was: 14.340K
</t>
        </r>
      </text>
    </comment>
    <comment ref="F18" authorId="5" shapeId="0" xr:uid="{00000000-0006-0000-2500-000047000000}">
      <text>
        <r>
          <rPr>
            <sz val="12"/>
            <color theme="1"/>
            <rFont val="Aptos Narrow"/>
            <family val="2"/>
            <scheme val="minor"/>
          </rPr>
          <t>chit trang:
14.990k</t>
        </r>
      </text>
    </comment>
    <comment ref="G18" authorId="4" shapeId="0" xr:uid="{00000000-0006-0000-2500-000048000000}">
      <text>
        <r>
          <rPr>
            <sz val="12"/>
            <color theme="1"/>
            <rFont val="Aptos Narrow"/>
            <family val="2"/>
            <scheme val="minor"/>
          </rPr>
          <t>Tran Dat:
14190</t>
        </r>
      </text>
    </comment>
    <comment ref="B19" authorId="0" shapeId="0" xr:uid="{00000000-0006-0000-2500-000049000000}">
      <text>
        <r>
          <rPr>
            <sz val="12"/>
            <color theme="1"/>
            <rFont val="Aptos Narrow"/>
            <family val="2"/>
            <scheme val="minor"/>
          </rPr>
          <t>was 20590</t>
        </r>
      </text>
    </comment>
    <comment ref="C19" authorId="0" shapeId="0" xr:uid="{00000000-0006-0000-2500-00004A000000}">
      <text>
        <r>
          <rPr>
            <sz val="12"/>
            <color theme="1"/>
            <rFont val="Aptos Narrow"/>
            <family val="2"/>
            <scheme val="minor"/>
          </rPr>
          <t>W13 20590</t>
        </r>
      </text>
    </comment>
    <comment ref="D19" authorId="1" shapeId="0" xr:uid="{00000000-0006-0000-2500-00004B000000}">
      <text>
        <r>
          <rPr>
            <sz val="12"/>
            <color theme="1"/>
            <rFont val="Aptos Narrow"/>
            <family val="2"/>
            <scheme val="minor"/>
          </rPr>
          <t>Việt Hoàng:
Last week:
20.690.000</t>
        </r>
      </text>
    </comment>
    <comment ref="E19" authorId="2" shapeId="0" xr:uid="{00000000-0006-0000-2500-00004C000000}">
      <text>
        <r>
          <rPr>
            <sz val="12"/>
            <color theme="1"/>
            <rFont val="Aptos Narrow"/>
            <family val="2"/>
            <scheme val="minor"/>
          </rPr>
          <t xml:space="preserve">Last week is: 21.275K
</t>
        </r>
      </text>
    </comment>
    <comment ref="F19" authorId="5" shapeId="0" xr:uid="{00000000-0006-0000-2500-00004D000000}">
      <text>
        <r>
          <rPr>
            <sz val="12"/>
            <color theme="1"/>
            <rFont val="Aptos Narrow"/>
            <family val="2"/>
            <scheme val="minor"/>
          </rPr>
          <t>chit trang:
20.590k</t>
        </r>
      </text>
    </comment>
    <comment ref="G19" authorId="4" shapeId="0" xr:uid="{00000000-0006-0000-2500-00004E000000}">
      <text>
        <r>
          <rPr>
            <sz val="12"/>
            <color theme="1"/>
            <rFont val="Aptos Narrow"/>
            <family val="2"/>
            <scheme val="minor"/>
          </rPr>
          <t>Tran Dat:
20390</t>
        </r>
      </text>
    </comment>
    <comment ref="E20" authorId="2" shapeId="0" xr:uid="{00000000-0006-0000-2500-00004F000000}">
      <text>
        <r>
          <rPr>
            <sz val="12"/>
            <color theme="1"/>
            <rFont val="Aptos Narrow"/>
            <family val="2"/>
            <scheme val="minor"/>
          </rPr>
          <t xml:space="preserve">Last week is: 26.918K
</t>
        </r>
      </text>
    </comment>
    <comment ref="E21" authorId="2" shapeId="0" xr:uid="{00000000-0006-0000-2500-000050000000}">
      <text>
        <r>
          <rPr>
            <sz val="12"/>
            <color theme="1"/>
            <rFont val="Aptos Narrow"/>
            <family val="2"/>
            <scheme val="minor"/>
          </rPr>
          <t xml:space="preserve">Last week was: 36.790K
Nhập mã ZLP500 giảm ngay 500.000đ cho đơn hàng tối thiểu từ 20 triệu trở lên qua Zalopay (Yêu cầu thanh toán 100% giá trị đơn hàng) 
</t>
        </r>
      </text>
    </comment>
    <comment ref="F21" authorId="5" shapeId="0" xr:uid="{00000000-0006-0000-2500-000051000000}">
      <text>
        <r>
          <rPr>
            <sz val="12"/>
            <color theme="1"/>
            <rFont val="Aptos Narrow"/>
            <family val="2"/>
            <scheme val="minor"/>
          </rPr>
          <t>chit trang:
36.990k</t>
        </r>
      </text>
    </comment>
    <comment ref="B22" authorId="0" shapeId="0" xr:uid="{00000000-0006-0000-2500-000052000000}">
      <text>
        <r>
          <rPr>
            <sz val="12"/>
            <color theme="1"/>
            <rFont val="Aptos Narrow"/>
            <family val="2"/>
            <scheme val="minor"/>
          </rPr>
          <t>was 5690</t>
        </r>
      </text>
    </comment>
    <comment ref="C22" authorId="0" shapeId="0" xr:uid="{00000000-0006-0000-2500-000053000000}">
      <text>
        <r>
          <rPr>
            <sz val="12"/>
            <color theme="1"/>
            <rFont val="Aptos Narrow"/>
            <family val="2"/>
            <scheme val="minor"/>
          </rPr>
          <t>W13 5690</t>
        </r>
      </text>
    </comment>
    <comment ref="E22" authorId="2" shapeId="0" xr:uid="{00000000-0006-0000-2500-000054000000}">
      <text>
        <r>
          <rPr>
            <sz val="12"/>
            <color theme="1"/>
            <rFont val="Aptos Narrow"/>
            <family val="2"/>
            <scheme val="minor"/>
          </rPr>
          <t xml:space="preserve">Tặng voucher giảm giá 100,000đ cho khách hàng đổi điểm trên ứng dụng Btaskee </t>
        </r>
      </text>
    </comment>
    <comment ref="B23" authorId="0" shapeId="0" xr:uid="{00000000-0006-0000-2500-000055000000}">
      <text>
        <r>
          <rPr>
            <sz val="12"/>
            <color theme="1"/>
            <rFont val="Aptos Narrow"/>
            <family val="2"/>
            <scheme val="minor"/>
          </rPr>
          <t>was 6990</t>
        </r>
      </text>
    </comment>
    <comment ref="C23" authorId="0" shapeId="0" xr:uid="{00000000-0006-0000-2500-000056000000}">
      <text>
        <r>
          <rPr>
            <sz val="12"/>
            <color theme="1"/>
            <rFont val="Aptos Narrow"/>
            <family val="2"/>
            <scheme val="minor"/>
          </rPr>
          <t>W13 6990</t>
        </r>
      </text>
    </comment>
    <comment ref="E23" authorId="2" shapeId="0" xr:uid="{00000000-0006-0000-2500-000057000000}">
      <text>
        <r>
          <rPr>
            <sz val="12"/>
            <color theme="1"/>
            <rFont val="Aptos Narrow"/>
            <family val="2"/>
            <scheme val="minor"/>
          </rPr>
          <t xml:space="preserve">  Tặng voucher giảm giá 100,000đ cho khách hàng đổi điểm trên ứng dụng Btaskee </t>
        </r>
      </text>
    </comment>
    <comment ref="G23" authorId="4" shapeId="0" xr:uid="{00000000-0006-0000-2500-000058000000}">
      <text>
        <r>
          <rPr>
            <sz val="12"/>
            <color theme="1"/>
            <rFont val="Aptos Narrow"/>
            <family val="2"/>
            <scheme val="minor"/>
          </rPr>
          <t>Tran Dat:
7290000</t>
        </r>
      </text>
    </comment>
    <comment ref="B24" authorId="0" shapeId="0" xr:uid="{00000000-0006-0000-2500-000059000000}">
      <text>
        <r>
          <rPr>
            <sz val="12"/>
            <color theme="1"/>
            <rFont val="Aptos Narrow"/>
            <family val="2"/>
            <scheme val="minor"/>
          </rPr>
          <t>was 6490</t>
        </r>
      </text>
    </comment>
    <comment ref="C24" authorId="0" shapeId="0" xr:uid="{00000000-0006-0000-2500-00005A000000}">
      <text>
        <r>
          <rPr>
            <sz val="12"/>
            <color theme="1"/>
            <rFont val="Aptos Narrow"/>
            <family val="2"/>
            <scheme val="minor"/>
          </rPr>
          <t>W13 6490</t>
        </r>
      </text>
    </comment>
    <comment ref="E24" authorId="2" shapeId="0" xr:uid="{00000000-0006-0000-2500-00005B000000}">
      <text>
        <r>
          <rPr>
            <sz val="12"/>
            <color theme="1"/>
            <rFont val="Aptos Narrow"/>
            <family val="2"/>
            <scheme val="minor"/>
          </rPr>
          <t xml:space="preserve">Tặng voucher giảm giá 100,000đ cho khách hàng đổi điểm trên ứng dụng Btaskee </t>
        </r>
      </text>
    </comment>
    <comment ref="F24" authorId="5" shapeId="0" xr:uid="{00000000-0006-0000-2500-00005C000000}">
      <text>
        <r>
          <rPr>
            <sz val="12"/>
            <color theme="1"/>
            <rFont val="Aptos Narrow"/>
            <family val="2"/>
            <scheme val="minor"/>
          </rPr>
          <t>chit trang:
6.490k</t>
        </r>
      </text>
    </comment>
    <comment ref="B25" authorId="0" shapeId="0" xr:uid="{00000000-0006-0000-2500-00005D000000}">
      <text>
        <r>
          <rPr>
            <sz val="12"/>
            <color theme="1"/>
            <rFont val="Aptos Narrow"/>
            <family val="2"/>
            <scheme val="minor"/>
          </rPr>
          <t>was 7790</t>
        </r>
      </text>
    </comment>
    <comment ref="C25" authorId="0" shapeId="0" xr:uid="{00000000-0006-0000-2500-00005E000000}">
      <text>
        <r>
          <rPr>
            <sz val="12"/>
            <color theme="1"/>
            <rFont val="Aptos Narrow"/>
            <family val="2"/>
            <scheme val="minor"/>
          </rPr>
          <t>W13 7790</t>
        </r>
      </text>
    </comment>
    <comment ref="E25" authorId="2" shapeId="0" xr:uid="{00000000-0006-0000-2500-00005F000000}">
      <text>
        <r>
          <rPr>
            <sz val="12"/>
            <color theme="1"/>
            <rFont val="Aptos Narrow"/>
            <family val="2"/>
            <scheme val="minor"/>
          </rPr>
          <t xml:space="preserve">Tặng voucher giảm giá 100,000đ cho khách hàng đổi điểm trên ứng dụng Btaskee </t>
        </r>
      </text>
    </comment>
    <comment ref="E26" authorId="3" shapeId="0" xr:uid="{00000000-0006-0000-2500-000060000000}">
      <text>
        <r>
          <rPr>
            <sz val="12"/>
            <color theme="1"/>
            <rFont val="Aptos Narrow"/>
            <family val="2"/>
            <scheme val="minor"/>
          </rPr>
          <t>Last week was: 10.490K</t>
        </r>
      </text>
    </comment>
    <comment ref="F26" authorId="5" shapeId="0" xr:uid="{00000000-0006-0000-2500-000061000000}">
      <text>
        <r>
          <rPr>
            <sz val="12"/>
            <color theme="1"/>
            <rFont val="Aptos Narrow"/>
            <family val="2"/>
            <scheme val="minor"/>
          </rPr>
          <t>chit trang:
10.790k</t>
        </r>
      </text>
    </comment>
    <comment ref="F27" authorId="5" shapeId="0" xr:uid="{00000000-0006-0000-2500-000062000000}">
      <text>
        <r>
          <rPr>
            <sz val="12"/>
            <color theme="1"/>
            <rFont val="Aptos Narrow"/>
            <family val="2"/>
            <scheme val="minor"/>
          </rPr>
          <t>chit trang:
13.590k</t>
        </r>
      </text>
    </comment>
    <comment ref="E30" authorId="2" shapeId="0" xr:uid="{00000000-0006-0000-2500-000063000000}">
      <text>
        <r>
          <rPr>
            <sz val="12"/>
            <color theme="1"/>
            <rFont val="Aptos Narrow"/>
            <family val="2"/>
            <scheme val="minor"/>
          </rPr>
          <t xml:space="preserve">Last week was: 21.690K
</t>
        </r>
      </text>
    </comment>
    <comment ref="D31" authorId="1" shapeId="0" xr:uid="{00000000-0006-0000-2500-000064000000}">
      <text>
        <r>
          <rPr>
            <sz val="12"/>
            <color theme="1"/>
            <rFont val="Aptos Narrow"/>
            <family val="2"/>
            <scheme val="minor"/>
          </rPr>
          <t>Việt Hoàng:
Last week:
5.590.000</t>
        </r>
      </text>
    </comment>
    <comment ref="E31" authorId="2" shapeId="0" xr:uid="{00000000-0006-0000-2500-000065000000}">
      <text>
        <r>
          <rPr>
            <sz val="12"/>
            <color theme="1"/>
            <rFont val="Aptos Narrow"/>
            <family val="2"/>
            <scheme val="minor"/>
          </rPr>
          <t xml:space="preserve">Last week was: 5.290K
</t>
        </r>
      </text>
    </comment>
    <comment ref="F31" authorId="5" shapeId="0" xr:uid="{00000000-0006-0000-2500-000066000000}">
      <text>
        <r>
          <rPr>
            <sz val="12"/>
            <color theme="1"/>
            <rFont val="Aptos Narrow"/>
            <family val="2"/>
            <scheme val="minor"/>
          </rPr>
          <t>chit trang:
5.690k</t>
        </r>
      </text>
    </comment>
    <comment ref="B32" authorId="0" shapeId="0" xr:uid="{00000000-0006-0000-2500-000067000000}">
      <text>
        <r>
          <rPr>
            <sz val="12"/>
            <color theme="1"/>
            <rFont val="Aptos Narrow"/>
            <family val="2"/>
            <scheme val="minor"/>
          </rPr>
          <t>was 4590000</t>
        </r>
      </text>
    </comment>
    <comment ref="C32" authorId="0" shapeId="0" xr:uid="{00000000-0006-0000-2500-000068000000}">
      <text>
        <r>
          <rPr>
            <sz val="12"/>
            <color theme="1"/>
            <rFont val="Aptos Narrow"/>
            <family val="2"/>
            <scheme val="minor"/>
          </rPr>
          <t>W13 4590000</t>
        </r>
      </text>
    </comment>
    <comment ref="D32" authorId="1" shapeId="0" xr:uid="{00000000-0006-0000-2500-000069000000}">
      <text>
        <r>
          <rPr>
            <sz val="12"/>
            <color theme="1"/>
            <rFont val="Aptos Narrow"/>
            <family val="2"/>
            <scheme val="minor"/>
          </rPr>
          <t>Việt Hoàng:
Last week:
4.590.000</t>
        </r>
      </text>
    </comment>
    <comment ref="E32" authorId="2" shapeId="0" xr:uid="{00000000-0006-0000-2500-00006A000000}">
      <text>
        <r>
          <rPr>
            <sz val="12"/>
            <color theme="1"/>
            <rFont val="Aptos Narrow"/>
            <family val="2"/>
            <scheme val="minor"/>
          </rPr>
          <t>Last week was: 4.790K
Voucher giảm 1% tối đa 300K VNPAY</t>
        </r>
      </text>
    </comment>
    <comment ref="E33" authorId="0" shapeId="0" xr:uid="{00000000-0006-0000-2500-00006B000000}">
      <text>
        <r>
          <rPr>
            <sz val="12"/>
            <color theme="1"/>
            <rFont val="Aptos Narrow"/>
            <family val="2"/>
            <scheme val="minor"/>
          </rPr>
          <t>was 3490000</t>
        </r>
      </text>
    </comment>
    <comment ref="B34" authorId="0" shapeId="0" xr:uid="{00000000-0006-0000-2500-00006C000000}">
      <text>
        <r>
          <rPr>
            <sz val="12"/>
            <color theme="1"/>
            <rFont val="Aptos Narrow"/>
            <family val="2"/>
            <scheme val="minor"/>
          </rPr>
          <t>was 3790</t>
        </r>
      </text>
    </comment>
    <comment ref="C34" authorId="0" shapeId="0" xr:uid="{00000000-0006-0000-2500-00006D000000}">
      <text>
        <r>
          <rPr>
            <sz val="12"/>
            <color theme="1"/>
            <rFont val="Aptos Narrow"/>
            <family val="2"/>
            <scheme val="minor"/>
          </rPr>
          <t>W13 3790</t>
        </r>
      </text>
    </comment>
    <comment ref="D34" authorId="1" shapeId="0" xr:uid="{00000000-0006-0000-2500-00006E000000}">
      <text>
        <r>
          <rPr>
            <sz val="12"/>
            <color theme="1"/>
            <rFont val="Aptos Narrow"/>
            <family val="2"/>
            <scheme val="minor"/>
          </rPr>
          <t>Việt Hoàng:
Last week:
3.590.000</t>
        </r>
      </text>
    </comment>
    <comment ref="E34" authorId="2" shapeId="0" xr:uid="{00000000-0006-0000-2500-00006F000000}">
      <text>
        <r>
          <rPr>
            <sz val="12"/>
            <color theme="1"/>
            <rFont val="Aptos Narrow"/>
            <family val="2"/>
            <scheme val="minor"/>
          </rPr>
          <t>Last week was: 3.890K</t>
        </r>
      </text>
    </comment>
    <comment ref="B35" authorId="0" shapeId="0" xr:uid="{00000000-0006-0000-2500-000070000000}">
      <text>
        <r>
          <rPr>
            <sz val="12"/>
            <color theme="1"/>
            <rFont val="Aptos Narrow"/>
            <family val="2"/>
            <scheme val="minor"/>
          </rPr>
          <t>was 17990
HSSV - 300</t>
        </r>
      </text>
    </comment>
    <comment ref="D35" authorId="1" shapeId="0" xr:uid="{00000000-0006-0000-2500-000071000000}">
      <text>
        <r>
          <rPr>
            <sz val="12"/>
            <color theme="1"/>
            <rFont val="Aptos Narrow"/>
            <family val="2"/>
            <scheme val="minor"/>
          </rPr>
          <t>Việt Hoàng:
Last week:
17.990.000</t>
        </r>
      </text>
    </comment>
    <comment ref="F35" authorId="5" shapeId="0" xr:uid="{00000000-0006-0000-2500-000072000000}">
      <text>
        <r>
          <rPr>
            <sz val="12"/>
            <color theme="1"/>
            <rFont val="Aptos Narrow"/>
            <family val="2"/>
            <scheme val="minor"/>
          </rPr>
          <t>chit trang:
18.090k</t>
        </r>
      </text>
    </comment>
    <comment ref="G35" authorId="4" shapeId="0" xr:uid="{00000000-0006-0000-2500-000073000000}">
      <text>
        <r>
          <rPr>
            <sz val="12"/>
            <color theme="1"/>
            <rFont val="Aptos Narrow"/>
            <family val="2"/>
            <scheme val="minor"/>
          </rPr>
          <t>Tran Dat:
17490000</t>
        </r>
      </text>
    </comment>
    <comment ref="B36" authorId="0" shapeId="0" xr:uid="{00000000-0006-0000-2500-000074000000}">
      <text>
        <r>
          <rPr>
            <sz val="12"/>
            <color theme="1"/>
            <rFont val="Aptos Narrow"/>
            <family val="2"/>
            <scheme val="minor"/>
          </rPr>
          <t>was 24290
HSSV - 300</t>
        </r>
      </text>
    </comment>
    <comment ref="D36" authorId="1" shapeId="0" xr:uid="{00000000-0006-0000-2500-000075000000}">
      <text>
        <r>
          <rPr>
            <sz val="12"/>
            <color theme="1"/>
            <rFont val="Aptos Narrow"/>
            <family val="2"/>
            <scheme val="minor"/>
          </rPr>
          <t>Việt Hoàng:
Last week:
24.190.000</t>
        </r>
      </text>
    </comment>
    <comment ref="B37" authorId="0" shapeId="0" xr:uid="{00000000-0006-0000-2500-000076000000}">
      <text>
        <r>
          <rPr>
            <sz val="12"/>
            <color theme="1"/>
            <rFont val="Aptos Narrow"/>
            <family val="2"/>
            <scheme val="minor"/>
          </rPr>
          <t>was 27490
HSSV - 300</t>
        </r>
      </text>
    </comment>
    <comment ref="D37" authorId="1" shapeId="0" xr:uid="{00000000-0006-0000-2500-000077000000}">
      <text>
        <r>
          <rPr>
            <sz val="12"/>
            <color theme="1"/>
            <rFont val="Aptos Narrow"/>
            <family val="2"/>
            <scheme val="minor"/>
          </rPr>
          <t>Việt Hoàng:
Last week:
27.290.000</t>
        </r>
      </text>
    </comment>
    <comment ref="F37" authorId="5" shapeId="0" xr:uid="{00000000-0006-0000-2500-000078000000}">
      <text>
        <r>
          <rPr>
            <sz val="12"/>
            <color theme="1"/>
            <rFont val="Aptos Narrow"/>
            <family val="2"/>
            <scheme val="minor"/>
          </rPr>
          <t>chit trang:
27.390k</t>
        </r>
      </text>
    </comment>
    <comment ref="G37" authorId="4" shapeId="0" xr:uid="{00000000-0006-0000-2500-000079000000}">
      <text>
        <r>
          <rPr>
            <sz val="12"/>
            <color theme="1"/>
            <rFont val="Aptos Narrow"/>
            <family val="2"/>
            <scheme val="minor"/>
          </rPr>
          <t>Tran Dat:
27190000</t>
        </r>
      </text>
    </comment>
    <comment ref="B38" authorId="0" shapeId="0" xr:uid="{00000000-0006-0000-2500-00007A000000}">
      <text>
        <r>
          <rPr>
            <sz val="12"/>
            <color theme="1"/>
            <rFont val="Aptos Narrow"/>
            <family val="2"/>
            <scheme val="minor"/>
          </rPr>
          <t>was 32490
HSSV - 500</t>
        </r>
      </text>
    </comment>
    <comment ref="F38" authorId="5" shapeId="0" xr:uid="{00000000-0006-0000-2500-00007B000000}">
      <text>
        <r>
          <rPr>
            <sz val="12"/>
            <color theme="1"/>
            <rFont val="Aptos Narrow"/>
            <family val="2"/>
            <scheme val="minor"/>
          </rPr>
          <t>chit trang:
32.990k</t>
        </r>
      </text>
    </comment>
  </commentList>
</comments>
</file>

<file path=xl/comments39.xml><?xml version="1.0" encoding="utf-8"?>
<comments xmlns="http://schemas.openxmlformats.org/spreadsheetml/2006/main" xmlns:mc="http://schemas.openxmlformats.org/markup-compatibility/2006" xmlns:xr="http://schemas.microsoft.com/office/spreadsheetml/2014/revision" mc:Ignorable="xr">
  <authors>
    <author>Microsoft Office User</author>
    <author>Việt Hoàng</author>
    <author>Sheva Son</author>
    <author>Người dùng Khách</author>
    <author>Tran Dat</author>
    <author>chit trang</author>
  </authors>
  <commentList>
    <comment ref="B2" authorId="0" shapeId="0" xr:uid="{00000000-0006-0000-2600-000001000000}">
      <text>
        <r>
          <rPr>
            <sz val="12"/>
            <color theme="1"/>
            <rFont val="Aptos Narrow"/>
            <family val="2"/>
            <scheme val="minor"/>
          </rPr>
          <t>was 21490
VNP150</t>
        </r>
      </text>
    </comment>
    <comment ref="C2" authorId="0" shapeId="0" xr:uid="{00000000-0006-0000-2600-000002000000}">
      <text>
        <r>
          <rPr>
            <sz val="12"/>
            <color theme="1"/>
            <rFont val="Aptos Narrow"/>
            <family val="2"/>
            <scheme val="minor"/>
          </rPr>
          <t xml:space="preserve">
W1 21.490
</t>
        </r>
      </text>
    </comment>
    <comment ref="D2" authorId="1" shapeId="0" xr:uid="{00000000-0006-0000-2600-000003000000}">
      <text>
        <r>
          <rPr>
            <sz val="12"/>
            <color theme="1"/>
            <rFont val="Aptos Narrow"/>
            <family val="2"/>
            <scheme val="minor"/>
          </rPr>
          <t>Việt Hoàng:
Last week:
21.490.000</t>
        </r>
      </text>
    </comment>
    <comment ref="E2" authorId="2" shapeId="0" xr:uid="{00000000-0006-0000-2600-000004000000}">
      <text>
        <r>
          <rPr>
            <sz val="12"/>
            <color theme="1"/>
            <rFont val="Aptos Narrow"/>
            <family val="2"/>
            <scheme val="minor"/>
          </rPr>
          <t xml:space="preserve">Last week is: 21.990K
 Tết vui khui Túi vàng Cơ hội trúng hàng trăm Túi vàng đến ngày 14/02/2025 </t>
        </r>
      </text>
    </comment>
    <comment ref="F2" authorId="3" shapeId="0" xr:uid="{00000000-0006-0000-2600-000005000000}">
      <text>
        <r>
          <rPr>
            <sz val="12"/>
            <color theme="1"/>
            <rFont val="Aptos Narrow"/>
            <family val="2"/>
            <scheme val="minor"/>
          </rPr>
          <t>Người dùng Không xác định:
21.490.000</t>
        </r>
      </text>
    </comment>
    <comment ref="G2" authorId="4" shapeId="0" xr:uid="{00000000-0006-0000-2600-000006000000}">
      <text>
        <r>
          <rPr>
            <sz val="12"/>
            <color theme="1"/>
            <rFont val="Aptos Narrow"/>
            <family val="2"/>
            <scheme val="minor"/>
          </rPr>
          <t>Tran Dat:
21.490.000</t>
        </r>
      </text>
    </comment>
    <comment ref="B3" authorId="0" shapeId="0" xr:uid="{00000000-0006-0000-2600-000007000000}">
      <text>
        <r>
          <rPr>
            <sz val="12"/>
            <color theme="1"/>
            <rFont val="Aptos Narrow"/>
            <family val="2"/>
            <scheme val="minor"/>
          </rPr>
          <t>was 24990000
VNP150</t>
        </r>
      </text>
    </comment>
    <comment ref="C3" authorId="0" shapeId="0" xr:uid="{00000000-0006-0000-2600-000008000000}">
      <text>
        <r>
          <rPr>
            <sz val="12"/>
            <color theme="1"/>
            <rFont val="Aptos Narrow"/>
            <family val="2"/>
            <scheme val="minor"/>
          </rPr>
          <t xml:space="preserve">W1 24.990
</t>
        </r>
      </text>
    </comment>
    <comment ref="D3" authorId="1" shapeId="0" xr:uid="{00000000-0006-0000-2600-000009000000}">
      <text>
        <r>
          <rPr>
            <sz val="12"/>
            <color theme="1"/>
            <rFont val="Aptos Narrow"/>
            <family val="2"/>
            <scheme val="minor"/>
          </rPr>
          <t>Việt Hoàng:
Last week:
24.990.000</t>
        </r>
      </text>
    </comment>
    <comment ref="E3" authorId="2" shapeId="0" xr:uid="{00000000-0006-0000-2600-00000A000000}">
      <text>
        <r>
          <rPr>
            <sz val="12"/>
            <color theme="1"/>
            <rFont val="Aptos Narrow"/>
            <family val="2"/>
            <scheme val="minor"/>
          </rPr>
          <t xml:space="preserve">Last week is: 24.990K
 Tết vui khui Túi vàng Cơ hội trúng hàng trăm Túi vàng đến ngày 14/02/2025 
</t>
        </r>
      </text>
    </comment>
    <comment ref="F3" authorId="5" shapeId="0" xr:uid="{00000000-0006-0000-2600-00000B000000}">
      <text>
        <r>
          <rPr>
            <sz val="12"/>
            <color theme="1"/>
            <rFont val="Aptos Narrow"/>
            <family val="2"/>
            <scheme val="minor"/>
          </rPr>
          <t>chit trang:
24.990k</t>
        </r>
      </text>
    </comment>
    <comment ref="G3" authorId="4" shapeId="0" xr:uid="{00000000-0006-0000-2600-00000C000000}">
      <text>
        <r>
          <rPr>
            <sz val="12"/>
            <color theme="1"/>
            <rFont val="Aptos Narrow"/>
            <family val="2"/>
            <scheme val="minor"/>
          </rPr>
          <t>Tran Dat:
24.990</t>
        </r>
      </text>
    </comment>
    <comment ref="B4" authorId="0" shapeId="0" xr:uid="{00000000-0006-0000-2600-00000D000000}">
      <text>
        <r>
          <rPr>
            <sz val="12"/>
            <color theme="1"/>
            <rFont val="Aptos Narrow"/>
            <family val="2"/>
            <scheme val="minor"/>
          </rPr>
          <t>was 27490
VNP150</t>
        </r>
      </text>
    </comment>
    <comment ref="C4" authorId="0" shapeId="0" xr:uid="{00000000-0006-0000-2600-00000E000000}">
      <text>
        <r>
          <rPr>
            <sz val="12"/>
            <color theme="1"/>
            <rFont val="Aptos Narrow"/>
            <family val="2"/>
            <scheme val="minor"/>
          </rPr>
          <t xml:space="preserve">W1 27.490
</t>
        </r>
      </text>
    </comment>
    <comment ref="D4" authorId="1" shapeId="0" xr:uid="{00000000-0006-0000-2600-00000F000000}">
      <text>
        <r>
          <rPr>
            <sz val="12"/>
            <color theme="1"/>
            <rFont val="Aptos Narrow"/>
            <family val="2"/>
            <scheme val="minor"/>
          </rPr>
          <t>Việt Hoàng:
Last week:
27.490.000</t>
        </r>
      </text>
    </comment>
    <comment ref="E4" authorId="0" shapeId="0" xr:uid="{00000000-0006-0000-2600-000010000000}">
      <text>
        <r>
          <rPr>
            <sz val="12"/>
            <color theme="1"/>
            <rFont val="Aptos Narrow"/>
            <family val="2"/>
            <scheme val="minor"/>
          </rPr>
          <t xml:space="preserve">Last week was: 28.190K
 Tết vui khui Túi vàng Cơ hội trúng hàng trăm Túi vàng đến ngày 14/02/2025 </t>
        </r>
      </text>
    </comment>
    <comment ref="F4" authorId="5" shapeId="0" xr:uid="{00000000-0006-0000-2600-000011000000}">
      <text>
        <r>
          <rPr>
            <sz val="12"/>
            <color theme="1"/>
            <rFont val="Aptos Narrow"/>
            <family val="2"/>
            <scheme val="minor"/>
          </rPr>
          <t>chit trang:
27.490</t>
        </r>
      </text>
    </comment>
    <comment ref="G4" authorId="4" shapeId="0" xr:uid="{00000000-0006-0000-2600-000012000000}">
      <text>
        <r>
          <rPr>
            <sz val="12"/>
            <color theme="1"/>
            <rFont val="Aptos Narrow"/>
            <family val="2"/>
            <scheme val="minor"/>
          </rPr>
          <t>Tran Dat:
26590</t>
        </r>
      </text>
    </comment>
    <comment ref="B5" authorId="0" shapeId="0" xr:uid="{00000000-0006-0000-2600-000013000000}">
      <text>
        <r>
          <rPr>
            <sz val="12"/>
            <color theme="1"/>
            <rFont val="Aptos Narrow"/>
            <family val="2"/>
            <scheme val="minor"/>
          </rPr>
          <t>was 33790
VNP150</t>
        </r>
      </text>
    </comment>
    <comment ref="C5" authorId="0" shapeId="0" xr:uid="{00000000-0006-0000-2600-000014000000}">
      <text>
        <r>
          <rPr>
            <sz val="12"/>
            <color theme="1"/>
            <rFont val="Aptos Narrow"/>
            <family val="2"/>
            <scheme val="minor"/>
          </rPr>
          <t xml:space="preserve">W1 33.790
</t>
        </r>
      </text>
    </comment>
    <comment ref="D5" authorId="1" shapeId="0" xr:uid="{00000000-0006-0000-2600-000015000000}">
      <text>
        <r>
          <rPr>
            <sz val="12"/>
            <color theme="1"/>
            <rFont val="Aptos Narrow"/>
            <family val="2"/>
            <scheme val="minor"/>
          </rPr>
          <t>Việt Hoàng:
Last week:
33.290.000</t>
        </r>
      </text>
    </comment>
    <comment ref="E5" authorId="2" shapeId="0" xr:uid="{00000000-0006-0000-2600-000016000000}">
      <text>
        <r>
          <rPr>
            <sz val="12"/>
            <color theme="1"/>
            <rFont val="Aptos Narrow"/>
            <family val="2"/>
            <scheme val="minor"/>
          </rPr>
          <t xml:space="preserve">Last week is: 32.990K
 Tết vui khui Túi vàng Cơ hội trúng hàng trăm Túi vàng đến ngày 14/02/2025 </t>
        </r>
      </text>
    </comment>
    <comment ref="F5" authorId="5" shapeId="0" xr:uid="{00000000-0006-0000-2600-000017000000}">
      <text>
        <r>
          <rPr>
            <sz val="12"/>
            <color theme="1"/>
            <rFont val="Aptos Narrow"/>
            <family val="2"/>
            <scheme val="minor"/>
          </rPr>
          <t>chit trang:
33.290k</t>
        </r>
      </text>
    </comment>
    <comment ref="G5" authorId="4" shapeId="0" xr:uid="{00000000-0006-0000-2600-000018000000}">
      <text>
        <r>
          <rPr>
            <sz val="12"/>
            <color theme="1"/>
            <rFont val="Aptos Narrow"/>
            <family val="2"/>
            <scheme val="minor"/>
          </rPr>
          <t>Tran Dat:
32.490</t>
        </r>
      </text>
    </comment>
    <comment ref="B6" authorId="0" shapeId="0" xr:uid="{00000000-0006-0000-2600-000019000000}">
      <text>
        <r>
          <rPr>
            <sz val="12"/>
            <color theme="1"/>
            <rFont val="Aptos Narrow"/>
            <family val="2"/>
            <scheme val="minor"/>
          </rPr>
          <t>was 18990
VNP150</t>
        </r>
      </text>
    </comment>
    <comment ref="C6" authorId="0" shapeId="0" xr:uid="{00000000-0006-0000-2600-00001A000000}">
      <text>
        <r>
          <rPr>
            <sz val="12"/>
            <color theme="1"/>
            <rFont val="Aptos Narrow"/>
            <family val="2"/>
            <scheme val="minor"/>
          </rPr>
          <t>W1 18.990</t>
        </r>
      </text>
    </comment>
    <comment ref="E6" authorId="2" shapeId="0" xr:uid="{00000000-0006-0000-2600-00001B000000}">
      <text>
        <r>
          <rPr>
            <sz val="12"/>
            <color theme="1"/>
            <rFont val="Aptos Narrow"/>
            <family val="2"/>
            <scheme val="minor"/>
          </rPr>
          <t xml:space="preserve">Last week is: 19.490K
 Tết vui khui Túi vàng Cơ hội trúng hàng trăm Túi vàng đến ngày 14/02/2025 </t>
        </r>
      </text>
    </comment>
    <comment ref="F6" authorId="5" shapeId="0" xr:uid="{00000000-0006-0000-2600-00001C000000}">
      <text>
        <r>
          <rPr>
            <sz val="12"/>
            <color theme="1"/>
            <rFont val="Aptos Narrow"/>
            <family val="2"/>
            <scheme val="minor"/>
          </rPr>
          <t>chit trang:
19.390k</t>
        </r>
      </text>
    </comment>
    <comment ref="G6" authorId="4" shapeId="0" xr:uid="{00000000-0006-0000-2600-00001D000000}">
      <text>
        <r>
          <rPr>
            <sz val="12"/>
            <color theme="1"/>
            <rFont val="Aptos Narrow"/>
            <family val="2"/>
            <scheme val="minor"/>
          </rPr>
          <t>Tran Dat:
18490</t>
        </r>
      </text>
    </comment>
    <comment ref="B7" authorId="0" shapeId="0" xr:uid="{00000000-0006-0000-2600-00001E000000}">
      <text>
        <r>
          <rPr>
            <sz val="12"/>
            <color theme="1"/>
            <rFont val="Aptos Narrow"/>
            <family val="2"/>
            <scheme val="minor"/>
          </rPr>
          <t>was 22690
VNP150</t>
        </r>
      </text>
    </comment>
    <comment ref="C7" authorId="0" shapeId="0" xr:uid="{00000000-0006-0000-2600-00001F000000}">
      <text>
        <r>
          <rPr>
            <sz val="12"/>
            <color theme="1"/>
            <rFont val="Aptos Narrow"/>
            <family val="2"/>
            <scheme val="minor"/>
          </rPr>
          <t>W1 22.690</t>
        </r>
      </text>
    </comment>
    <comment ref="E7" authorId="2" shapeId="0" xr:uid="{00000000-0006-0000-2600-000020000000}">
      <text>
        <r>
          <rPr>
            <sz val="12"/>
            <color theme="1"/>
            <rFont val="Aptos Narrow"/>
            <family val="2"/>
            <scheme val="minor"/>
          </rPr>
          <t xml:space="preserve">Last week is: 22.990K
Giảm ngay 200,000đ cho khách hàng mua gói cước 3V200B </t>
        </r>
      </text>
    </comment>
    <comment ref="F7" authorId="5" shapeId="0" xr:uid="{00000000-0006-0000-2600-000021000000}">
      <text>
        <r>
          <rPr>
            <sz val="12"/>
            <color theme="1"/>
            <rFont val="Aptos Narrow"/>
            <family val="2"/>
            <scheme val="minor"/>
          </rPr>
          <t>chit trang:
22.790k</t>
        </r>
      </text>
    </comment>
    <comment ref="G7" authorId="4" shapeId="0" xr:uid="{00000000-0006-0000-2600-000022000000}">
      <text>
        <r>
          <rPr>
            <sz val="12"/>
            <color theme="1"/>
            <rFont val="Aptos Narrow"/>
            <family val="2"/>
            <scheme val="minor"/>
          </rPr>
          <t>Tran Dat:
22.190</t>
        </r>
      </text>
    </comment>
    <comment ref="B9" authorId="0" shapeId="0" xr:uid="{00000000-0006-0000-2600-000023000000}">
      <text>
        <r>
          <rPr>
            <sz val="12"/>
            <color theme="1"/>
            <rFont val="Aptos Narrow"/>
            <family val="2"/>
            <scheme val="minor"/>
          </rPr>
          <t>was 29290000
VNP150</t>
        </r>
      </text>
    </comment>
    <comment ref="C9" authorId="0" shapeId="0" xr:uid="{00000000-0006-0000-2600-000024000000}">
      <text>
        <r>
          <rPr>
            <sz val="12"/>
            <color theme="1"/>
            <rFont val="Aptos Narrow"/>
            <family val="2"/>
            <scheme val="minor"/>
          </rPr>
          <t>W1 29.290</t>
        </r>
      </text>
    </comment>
    <comment ref="E9" authorId="2" shapeId="0" xr:uid="{00000000-0006-0000-2600-000025000000}">
      <text>
        <r>
          <rPr>
            <sz val="12"/>
            <color theme="1"/>
            <rFont val="Aptos Narrow"/>
            <family val="2"/>
            <scheme val="minor"/>
          </rPr>
          <t xml:space="preserve">Last week was: 28.490.000
</t>
        </r>
      </text>
    </comment>
    <comment ref="F9" authorId="5" shapeId="0" xr:uid="{00000000-0006-0000-2600-000026000000}">
      <text>
        <r>
          <rPr>
            <sz val="12"/>
            <color theme="1"/>
            <rFont val="Aptos Narrow"/>
            <family val="2"/>
            <scheme val="minor"/>
          </rPr>
          <t>chit trang:
28.490k</t>
        </r>
      </text>
    </comment>
    <comment ref="B10" authorId="0" shapeId="0" xr:uid="{00000000-0006-0000-2600-000027000000}">
      <text>
        <r>
          <rPr>
            <sz val="12"/>
            <color theme="1"/>
            <rFont val="Aptos Narrow"/>
            <family val="2"/>
            <scheme val="minor"/>
          </rPr>
          <t>was 18590000
VNP150</t>
        </r>
      </text>
    </comment>
    <comment ref="C10" authorId="0" shapeId="0" xr:uid="{00000000-0006-0000-2600-000028000000}">
      <text>
        <r>
          <rPr>
            <sz val="12"/>
            <color theme="1"/>
            <rFont val="Aptos Narrow"/>
            <family val="2"/>
            <scheme val="minor"/>
          </rPr>
          <t>W1 18.590</t>
        </r>
      </text>
    </comment>
    <comment ref="E10" authorId="2" shapeId="0" xr:uid="{00000000-0006-0000-2600-000029000000}">
      <text>
        <r>
          <rPr>
            <sz val="12"/>
            <color theme="1"/>
            <rFont val="Aptos Narrow"/>
            <family val="2"/>
            <scheme val="minor"/>
          </rPr>
          <t xml:space="preserve">Last week was: 19.690K
Chỉ còn màu Purple, Blue, White số lượng ít
</t>
        </r>
      </text>
    </comment>
    <comment ref="B11" authorId="0" shapeId="0" xr:uid="{00000000-0006-0000-2600-00002A000000}">
      <text>
        <r>
          <rPr>
            <sz val="12"/>
            <color theme="1"/>
            <rFont val="Aptos Narrow"/>
            <family val="2"/>
            <scheme val="minor"/>
          </rPr>
          <t>was 15890
VNP100</t>
        </r>
      </text>
    </comment>
    <comment ref="C11" authorId="0" shapeId="0" xr:uid="{00000000-0006-0000-2600-00002B000000}">
      <text>
        <r>
          <rPr>
            <sz val="12"/>
            <color theme="1"/>
            <rFont val="Aptos Narrow"/>
            <family val="2"/>
            <scheme val="minor"/>
          </rPr>
          <t xml:space="preserve">W1 15.890
</t>
        </r>
      </text>
    </comment>
    <comment ref="F11" authorId="5" shapeId="0" xr:uid="{00000000-0006-0000-2600-00002C000000}">
      <text>
        <r>
          <rPr>
            <sz val="12"/>
            <color theme="1"/>
            <rFont val="Aptos Narrow"/>
            <family val="2"/>
            <scheme val="minor"/>
          </rPr>
          <t>chit trang:
15.990k</t>
        </r>
      </text>
    </comment>
    <comment ref="B12" authorId="0" shapeId="0" xr:uid="{00000000-0006-0000-2600-00002D000000}">
      <text>
        <r>
          <rPr>
            <sz val="12"/>
            <color theme="1"/>
            <rFont val="Aptos Narrow"/>
            <family val="2"/>
            <scheme val="minor"/>
          </rPr>
          <t>was 13290000
VNP100</t>
        </r>
      </text>
    </comment>
    <comment ref="C12" authorId="0" shapeId="0" xr:uid="{00000000-0006-0000-2600-00002E000000}">
      <text>
        <r>
          <rPr>
            <sz val="12"/>
            <color theme="1"/>
            <rFont val="Aptos Narrow"/>
            <family val="2"/>
            <scheme val="minor"/>
          </rPr>
          <t>W1 13.290</t>
        </r>
      </text>
    </comment>
    <comment ref="D12" authorId="1" shapeId="0" xr:uid="{00000000-0006-0000-2600-00002F000000}">
      <text>
        <r>
          <rPr>
            <sz val="12"/>
            <color theme="1"/>
            <rFont val="Aptos Narrow"/>
            <family val="2"/>
            <scheme val="minor"/>
          </rPr>
          <t>Việt Hoàng:
Last week:
13.590.000</t>
        </r>
      </text>
    </comment>
    <comment ref="E12" authorId="2" shapeId="0" xr:uid="{00000000-0006-0000-2600-000030000000}">
      <text>
        <r>
          <rPr>
            <sz val="12"/>
            <color theme="1"/>
            <rFont val="Aptos Narrow"/>
            <family val="2"/>
            <scheme val="minor"/>
          </rPr>
          <t xml:space="preserve">
- Tết vui khui Túi vàng Cơ hội trúng hàng trăm Túi vàng đến ngày 14/02/2025 
- Giảm 700K cho màu Đen và Starlight (trừ vào giá)
</t>
        </r>
      </text>
    </comment>
    <comment ref="F12" authorId="5" shapeId="0" xr:uid="{00000000-0006-0000-2600-000031000000}">
      <text>
        <r>
          <rPr>
            <sz val="12"/>
            <color theme="1"/>
            <rFont val="Aptos Narrow"/>
            <family val="2"/>
            <scheme val="minor"/>
          </rPr>
          <t>chit trang:
13.390</t>
        </r>
      </text>
    </comment>
    <comment ref="B13" authorId="0" shapeId="0" xr:uid="{00000000-0006-0000-2600-000032000000}">
      <text>
        <r>
          <rPr>
            <sz val="12"/>
            <color theme="1"/>
            <rFont val="Aptos Narrow"/>
            <family val="2"/>
            <scheme val="minor"/>
          </rPr>
          <t>was 11990
VNP100</t>
        </r>
      </text>
    </comment>
    <comment ref="E13" authorId="3" shapeId="0" xr:uid="{00000000-0006-0000-2600-000033000000}">
      <text>
        <r>
          <rPr>
            <sz val="12"/>
            <color theme="1"/>
            <rFont val="Aptos Narrow"/>
            <family val="2"/>
            <scheme val="minor"/>
          </rPr>
          <t>Last week was: 10.990K</t>
        </r>
      </text>
    </comment>
    <comment ref="F13" authorId="5" shapeId="0" xr:uid="{00000000-0006-0000-2600-000034000000}">
      <text>
        <r>
          <rPr>
            <sz val="12"/>
            <color theme="1"/>
            <rFont val="Aptos Narrow"/>
            <family val="2"/>
            <scheme val="minor"/>
          </rPr>
          <t>chit trang:
10.890</t>
        </r>
      </text>
    </comment>
    <comment ref="B14" authorId="0" shapeId="0" xr:uid="{00000000-0006-0000-2600-000035000000}">
      <text>
        <r>
          <rPr>
            <sz val="12"/>
            <color theme="1"/>
            <rFont val="Aptos Narrow"/>
            <family val="2"/>
            <scheme val="minor"/>
          </rPr>
          <t>was 8890
VNP50</t>
        </r>
      </text>
    </comment>
    <comment ref="C14" authorId="0" shapeId="0" xr:uid="{00000000-0006-0000-2600-000036000000}">
      <text>
        <r>
          <rPr>
            <sz val="12"/>
            <color theme="1"/>
            <rFont val="Aptos Narrow"/>
            <family val="2"/>
            <scheme val="minor"/>
          </rPr>
          <t xml:space="preserve">W1 8.890
</t>
        </r>
      </text>
    </comment>
    <comment ref="E14" authorId="2" shapeId="0" xr:uid="{00000000-0006-0000-2600-000037000000}">
      <text>
        <r>
          <rPr>
            <sz val="12"/>
            <color theme="1"/>
            <rFont val="Aptos Narrow"/>
            <family val="2"/>
            <scheme val="minor"/>
          </rPr>
          <t xml:space="preserve">Giảm 200K khi mua Online (đã trừ vào giá)
Trợ giá 4G giảm 300K đã trừ vào giá
</t>
        </r>
      </text>
    </comment>
    <comment ref="B15" authorId="0" shapeId="0" xr:uid="{00000000-0006-0000-2600-000038000000}">
      <text>
        <r>
          <rPr>
            <sz val="12"/>
            <color theme="1"/>
            <rFont val="Aptos Narrow"/>
            <family val="2"/>
            <scheme val="minor"/>
          </rPr>
          <t>was 13990000
SV -400
VNP100</t>
        </r>
      </text>
    </comment>
    <comment ref="C15" authorId="0" shapeId="0" xr:uid="{00000000-0006-0000-2600-000039000000}">
      <text>
        <r>
          <rPr>
            <sz val="12"/>
            <color theme="1"/>
            <rFont val="Aptos Narrow"/>
            <family val="2"/>
            <scheme val="minor"/>
          </rPr>
          <t>W1 13.990</t>
        </r>
      </text>
    </comment>
    <comment ref="E15" authorId="0" shapeId="0" xr:uid="{00000000-0006-0000-2600-00003A000000}">
      <text>
        <r>
          <rPr>
            <sz val="12"/>
            <color theme="1"/>
            <rFont val="Aptos Narrow"/>
            <family val="2"/>
            <scheme val="minor"/>
          </rPr>
          <t>Last week was: 13.850K</t>
        </r>
      </text>
    </comment>
    <comment ref="B16" authorId="0" shapeId="0" xr:uid="{00000000-0006-0000-2600-00003B000000}">
      <text>
        <r>
          <rPr>
            <sz val="12"/>
            <color theme="1"/>
            <rFont val="Aptos Narrow"/>
            <family val="2"/>
            <scheme val="minor"/>
          </rPr>
          <t>was 9490
VNP40</t>
        </r>
      </text>
    </comment>
    <comment ref="C16" authorId="0" shapeId="0" xr:uid="{00000000-0006-0000-2600-00003C000000}">
      <text>
        <r>
          <rPr>
            <sz val="12"/>
            <color theme="1"/>
            <rFont val="Aptos Narrow"/>
            <family val="2"/>
            <scheme val="minor"/>
          </rPr>
          <t xml:space="preserve">W1 9.490
</t>
        </r>
      </text>
    </comment>
    <comment ref="D16" authorId="1" shapeId="0" xr:uid="{00000000-0006-0000-2600-00003D000000}">
      <text>
        <r>
          <rPr>
            <sz val="12"/>
            <color theme="1"/>
            <rFont val="Aptos Narrow"/>
            <family val="2"/>
            <scheme val="minor"/>
          </rPr>
          <t>Việt Hoàng:
Last week:
9.490.000</t>
        </r>
      </text>
    </comment>
    <comment ref="E16" authorId="2" shapeId="0" xr:uid="{00000000-0006-0000-2600-00003E000000}">
      <text>
        <r>
          <rPr>
            <sz val="12"/>
            <color theme="1"/>
            <rFont val="Aptos Narrow"/>
            <family val="2"/>
            <scheme val="minor"/>
          </rPr>
          <t xml:space="preserve">Last week is: 8.690K
</t>
        </r>
      </text>
    </comment>
    <comment ref="F16" authorId="5" shapeId="0" xr:uid="{00000000-0006-0000-2600-00003F000000}">
      <text>
        <r>
          <rPr>
            <sz val="12"/>
            <color theme="1"/>
            <rFont val="Aptos Narrow"/>
            <family val="2"/>
            <scheme val="minor"/>
          </rPr>
          <t>chit trang:
9.490k</t>
        </r>
      </text>
    </comment>
    <comment ref="G16" authorId="4" shapeId="0" xr:uid="{00000000-0006-0000-2600-000040000000}">
      <text>
        <r>
          <rPr>
            <sz val="12"/>
            <color theme="1"/>
            <rFont val="Aptos Narrow"/>
            <family val="2"/>
            <scheme val="minor"/>
          </rPr>
          <t xml:space="preserve">9190
</t>
        </r>
      </text>
    </comment>
    <comment ref="B17" authorId="0" shapeId="0" xr:uid="{00000000-0006-0000-2600-000041000000}">
      <text>
        <r>
          <rPr>
            <sz val="12"/>
            <color theme="1"/>
            <rFont val="Aptos Narrow"/>
            <family val="2"/>
            <scheme val="minor"/>
          </rPr>
          <t>was 6990
VNP40</t>
        </r>
      </text>
    </comment>
    <comment ref="C17" authorId="0" shapeId="0" xr:uid="{00000000-0006-0000-2600-000042000000}">
      <text>
        <r>
          <rPr>
            <sz val="12"/>
            <color theme="1"/>
            <rFont val="Aptos Narrow"/>
            <family val="2"/>
            <scheme val="minor"/>
          </rPr>
          <t xml:space="preserve">W1 6.990
</t>
        </r>
      </text>
    </comment>
    <comment ref="E17" authorId="2" shapeId="0" xr:uid="{00000000-0006-0000-2600-000043000000}">
      <text>
        <r>
          <rPr>
            <sz val="12"/>
            <color theme="1"/>
            <rFont val="Aptos Narrow"/>
            <family val="2"/>
            <scheme val="minor"/>
          </rPr>
          <t>Giảm 10% tối đa 120K khi mở ví VNPAY</t>
        </r>
      </text>
    </comment>
    <comment ref="F17" authorId="5" shapeId="0" xr:uid="{00000000-0006-0000-2600-000044000000}">
      <text>
        <r>
          <rPr>
            <sz val="12"/>
            <color theme="1"/>
            <rFont val="Aptos Narrow"/>
            <family val="2"/>
            <scheme val="minor"/>
          </rPr>
          <t>chit trang:6.090</t>
        </r>
      </text>
    </comment>
    <comment ref="G17" authorId="4" shapeId="0" xr:uid="{00000000-0006-0000-2600-000045000000}">
      <text>
        <r>
          <rPr>
            <sz val="12"/>
            <color theme="1"/>
            <rFont val="Aptos Narrow"/>
            <family val="2"/>
            <scheme val="minor"/>
          </rPr>
          <t>Tran Dat:
6990</t>
        </r>
      </text>
    </comment>
    <comment ref="B18" authorId="0" shapeId="0" xr:uid="{00000000-0006-0000-2600-000046000000}">
      <text>
        <r>
          <rPr>
            <sz val="12"/>
            <color theme="1"/>
            <rFont val="Aptos Narrow"/>
            <family val="2"/>
            <scheme val="minor"/>
          </rPr>
          <t>was 16190
VNP100</t>
        </r>
      </text>
    </comment>
    <comment ref="C18" authorId="0" shapeId="0" xr:uid="{00000000-0006-0000-2600-000047000000}">
      <text>
        <r>
          <rPr>
            <sz val="12"/>
            <color theme="1"/>
            <rFont val="Aptos Narrow"/>
            <family val="2"/>
            <scheme val="minor"/>
          </rPr>
          <t xml:space="preserve">W1 16.190
</t>
        </r>
      </text>
    </comment>
    <comment ref="D18" authorId="1" shapeId="0" xr:uid="{00000000-0006-0000-2600-000048000000}">
      <text>
        <r>
          <rPr>
            <sz val="12"/>
            <color theme="1"/>
            <rFont val="Aptos Narrow"/>
            <family val="2"/>
            <scheme val="minor"/>
          </rPr>
          <t>Việt Hoàng:
Last week:
16.390.000</t>
        </r>
      </text>
    </comment>
    <comment ref="E18" authorId="2" shapeId="0" xr:uid="{00000000-0006-0000-2600-000049000000}">
      <text>
        <r>
          <rPr>
            <sz val="12"/>
            <color theme="1"/>
            <rFont val="Aptos Narrow"/>
            <family val="2"/>
            <scheme val="minor"/>
          </rPr>
          <t xml:space="preserve">Last week was: 14.340K
</t>
        </r>
      </text>
    </comment>
    <comment ref="F18" authorId="5" shapeId="0" xr:uid="{00000000-0006-0000-2600-00004A000000}">
      <text>
        <r>
          <rPr>
            <sz val="12"/>
            <color theme="1"/>
            <rFont val="Aptos Narrow"/>
            <family val="2"/>
            <scheme val="minor"/>
          </rPr>
          <t>chit trang:
16.190k</t>
        </r>
      </text>
    </comment>
    <comment ref="G18" authorId="4" shapeId="0" xr:uid="{00000000-0006-0000-2600-00004B000000}">
      <text>
        <r>
          <rPr>
            <sz val="12"/>
            <color theme="1"/>
            <rFont val="Aptos Narrow"/>
            <family val="2"/>
            <scheme val="minor"/>
          </rPr>
          <t>Tran Dat:
16090</t>
        </r>
      </text>
    </comment>
    <comment ref="B19" authorId="0" shapeId="0" xr:uid="{00000000-0006-0000-2600-00004C000000}">
      <text>
        <r>
          <rPr>
            <sz val="12"/>
            <color theme="1"/>
            <rFont val="Aptos Narrow"/>
            <family val="2"/>
            <scheme val="minor"/>
          </rPr>
          <t>was 21490000
- 400 HSSV
VNP150</t>
        </r>
      </text>
    </comment>
    <comment ref="C19" authorId="0" shapeId="0" xr:uid="{00000000-0006-0000-2600-00004D000000}">
      <text>
        <r>
          <rPr>
            <sz val="12"/>
            <color theme="1"/>
            <rFont val="Aptos Narrow"/>
            <family val="2"/>
            <scheme val="minor"/>
          </rPr>
          <t>W1 21.490</t>
        </r>
      </text>
    </comment>
    <comment ref="D19" authorId="1" shapeId="0" xr:uid="{00000000-0006-0000-2600-00004E000000}">
      <text>
        <r>
          <rPr>
            <sz val="12"/>
            <color theme="1"/>
            <rFont val="Aptos Narrow"/>
            <family val="2"/>
            <scheme val="minor"/>
          </rPr>
          <t>Việt Hoàng:
Last week:
21.490.000</t>
        </r>
      </text>
    </comment>
    <comment ref="E19" authorId="2" shapeId="0" xr:uid="{00000000-0006-0000-2600-00004F000000}">
      <text>
        <r>
          <rPr>
            <sz val="12"/>
            <color theme="1"/>
            <rFont val="Aptos Narrow"/>
            <family val="2"/>
            <scheme val="minor"/>
          </rPr>
          <t xml:space="preserve">Last week is: 21.275K
</t>
        </r>
      </text>
    </comment>
    <comment ref="F19" authorId="5" shapeId="0" xr:uid="{00000000-0006-0000-2600-000050000000}">
      <text>
        <r>
          <rPr>
            <sz val="12"/>
            <color theme="1"/>
            <rFont val="Aptos Narrow"/>
            <family val="2"/>
            <scheme val="minor"/>
          </rPr>
          <t>chit trang:
21.490k</t>
        </r>
      </text>
    </comment>
    <comment ref="G19" authorId="4" shapeId="0" xr:uid="{00000000-0006-0000-2600-000051000000}">
      <text>
        <r>
          <rPr>
            <sz val="12"/>
            <color theme="1"/>
            <rFont val="Aptos Narrow"/>
            <family val="2"/>
            <scheme val="minor"/>
          </rPr>
          <t>Tran Dat:
21090000</t>
        </r>
      </text>
    </comment>
    <comment ref="B20" authorId="0" shapeId="0" xr:uid="{00000000-0006-0000-2600-000052000000}">
      <text>
        <r>
          <rPr>
            <sz val="12"/>
            <color theme="1"/>
            <rFont val="Aptos Narrow"/>
            <family val="2"/>
            <scheme val="minor"/>
          </rPr>
          <t>was 27490
-500 HSSV
VNP150</t>
        </r>
      </text>
    </comment>
    <comment ref="C20" authorId="0" shapeId="0" xr:uid="{00000000-0006-0000-2600-000053000000}">
      <text>
        <r>
          <rPr>
            <sz val="12"/>
            <color theme="1"/>
            <rFont val="Aptos Narrow"/>
            <family val="2"/>
            <scheme val="minor"/>
          </rPr>
          <t xml:space="preserve">W1 27.490
</t>
        </r>
      </text>
    </comment>
    <comment ref="E20" authorId="2" shapeId="0" xr:uid="{00000000-0006-0000-2600-000054000000}">
      <text>
        <r>
          <rPr>
            <sz val="12"/>
            <color theme="1"/>
            <rFont val="Aptos Narrow"/>
            <family val="2"/>
            <scheme val="minor"/>
          </rPr>
          <t xml:space="preserve">Last week is: 26.918K
</t>
        </r>
      </text>
    </comment>
    <comment ref="B21" authorId="0" shapeId="0" xr:uid="{00000000-0006-0000-2600-000055000000}">
      <text>
        <r>
          <rPr>
            <sz val="12"/>
            <color theme="1"/>
            <rFont val="Aptos Narrow"/>
            <family val="2"/>
            <scheme val="minor"/>
          </rPr>
          <t>was 367900
VNP150</t>
        </r>
      </text>
    </comment>
    <comment ref="C21" authorId="0" shapeId="0" xr:uid="{00000000-0006-0000-2600-000056000000}">
      <text>
        <r>
          <rPr>
            <sz val="12"/>
            <color theme="1"/>
            <rFont val="Aptos Narrow"/>
            <family val="2"/>
            <scheme val="minor"/>
          </rPr>
          <t>W1 36.790</t>
        </r>
      </text>
    </comment>
    <comment ref="E21" authorId="2" shapeId="0" xr:uid="{00000000-0006-0000-2600-000057000000}">
      <text>
        <r>
          <rPr>
            <sz val="12"/>
            <color theme="1"/>
            <rFont val="Aptos Narrow"/>
            <family val="2"/>
            <scheme val="minor"/>
          </rPr>
          <t xml:space="preserve">Last week was: 36.790K
Nhập mã ZLP500 giảm ngay 500.000đ cho đơn hàng tối thiểu từ 20 triệu trở lên qua Zalopay (Yêu cầu thanh toán 100% giá trị đơn hàng) 
</t>
        </r>
      </text>
    </comment>
    <comment ref="F21" authorId="5" shapeId="0" xr:uid="{00000000-0006-0000-2600-000058000000}">
      <text>
        <r>
          <rPr>
            <sz val="12"/>
            <color theme="1"/>
            <rFont val="Aptos Narrow"/>
            <family val="2"/>
            <scheme val="minor"/>
          </rPr>
          <t>chit trang:
36.990k</t>
        </r>
      </text>
    </comment>
    <comment ref="B22" authorId="0" shapeId="0" xr:uid="{00000000-0006-0000-2600-000059000000}">
      <text>
        <r>
          <rPr>
            <sz val="12"/>
            <color theme="1"/>
            <rFont val="Aptos Narrow"/>
            <family val="2"/>
            <scheme val="minor"/>
          </rPr>
          <t>was 5790
VNP40</t>
        </r>
      </text>
    </comment>
    <comment ref="C22" authorId="0" shapeId="0" xr:uid="{00000000-0006-0000-2600-00005A000000}">
      <text>
        <r>
          <rPr>
            <sz val="12"/>
            <color theme="1"/>
            <rFont val="Aptos Narrow"/>
            <family val="2"/>
            <scheme val="minor"/>
          </rPr>
          <t xml:space="preserve">W1 5.790
</t>
        </r>
      </text>
    </comment>
    <comment ref="E22" authorId="2" shapeId="0" xr:uid="{00000000-0006-0000-2600-00005B000000}">
      <text>
        <r>
          <rPr>
            <sz val="12"/>
            <color theme="1"/>
            <rFont val="Aptos Narrow"/>
            <family val="2"/>
            <scheme val="minor"/>
          </rPr>
          <t xml:space="preserve">Tặng voucher giảm giá 100,000đ cho khách hàng đổi điểm trên ứng dụng Btaskee </t>
        </r>
      </text>
    </comment>
    <comment ref="B23" authorId="0" shapeId="0" xr:uid="{00000000-0006-0000-2600-00005C000000}">
      <text>
        <r>
          <rPr>
            <sz val="12"/>
            <color theme="1"/>
            <rFont val="Aptos Narrow"/>
            <family val="2"/>
            <scheme val="minor"/>
          </rPr>
          <t>was 7090
VNP40</t>
        </r>
      </text>
    </comment>
    <comment ref="C23" authorId="0" shapeId="0" xr:uid="{00000000-0006-0000-2600-00005D000000}">
      <text>
        <r>
          <rPr>
            <sz val="12"/>
            <color theme="1"/>
            <rFont val="Aptos Narrow"/>
            <family val="2"/>
            <scheme val="minor"/>
          </rPr>
          <t>W1 7.090</t>
        </r>
      </text>
    </comment>
    <comment ref="E23" authorId="2" shapeId="0" xr:uid="{00000000-0006-0000-2600-00005E000000}">
      <text>
        <r>
          <rPr>
            <sz val="12"/>
            <color theme="1"/>
            <rFont val="Aptos Narrow"/>
            <family val="2"/>
            <scheme val="minor"/>
          </rPr>
          <t xml:space="preserve">  Tặng voucher giảm giá 100,000đ cho khách hàng đổi điểm trên ứng dụng Btaskee </t>
        </r>
      </text>
    </comment>
    <comment ref="G23" authorId="4" shapeId="0" xr:uid="{00000000-0006-0000-2600-00005F000000}">
      <text>
        <r>
          <rPr>
            <sz val="12"/>
            <color theme="1"/>
            <rFont val="Aptos Narrow"/>
            <family val="2"/>
            <scheme val="minor"/>
          </rPr>
          <t>Tran Dat:
7290000</t>
        </r>
      </text>
    </comment>
    <comment ref="B24" authorId="0" shapeId="0" xr:uid="{00000000-0006-0000-2600-000060000000}">
      <text>
        <r>
          <rPr>
            <sz val="12"/>
            <color theme="1"/>
            <rFont val="Aptos Narrow"/>
            <family val="2"/>
            <scheme val="minor"/>
          </rPr>
          <t>was 6590
VNP40</t>
        </r>
      </text>
    </comment>
    <comment ref="C24" authorId="0" shapeId="0" xr:uid="{00000000-0006-0000-2600-000061000000}">
      <text>
        <r>
          <rPr>
            <sz val="12"/>
            <color theme="1"/>
            <rFont val="Aptos Narrow"/>
            <family val="2"/>
            <scheme val="minor"/>
          </rPr>
          <t xml:space="preserve">W1 6.590
</t>
        </r>
      </text>
    </comment>
    <comment ref="E24" authorId="2" shapeId="0" xr:uid="{00000000-0006-0000-2600-000062000000}">
      <text>
        <r>
          <rPr>
            <sz val="12"/>
            <color theme="1"/>
            <rFont val="Aptos Narrow"/>
            <family val="2"/>
            <scheme val="minor"/>
          </rPr>
          <t xml:space="preserve">Tặng voucher giảm giá 100,000đ cho khách hàng đổi điểm trên ứng dụng Btaskee </t>
        </r>
      </text>
    </comment>
    <comment ref="F24" authorId="5" shapeId="0" xr:uid="{00000000-0006-0000-2600-000063000000}">
      <text>
        <r>
          <rPr>
            <sz val="12"/>
            <color theme="1"/>
            <rFont val="Aptos Narrow"/>
            <family val="2"/>
            <scheme val="minor"/>
          </rPr>
          <t>chit trang:
6.490k</t>
        </r>
      </text>
    </comment>
    <comment ref="B25" authorId="0" shapeId="0" xr:uid="{00000000-0006-0000-2600-000064000000}">
      <text>
        <r>
          <rPr>
            <sz val="12"/>
            <color theme="1"/>
            <rFont val="Aptos Narrow"/>
            <family val="2"/>
            <scheme val="minor"/>
          </rPr>
          <t>was 7890
VNP40</t>
        </r>
      </text>
    </comment>
    <comment ref="C25" authorId="0" shapeId="0" xr:uid="{00000000-0006-0000-2600-000065000000}">
      <text>
        <r>
          <rPr>
            <sz val="12"/>
            <color theme="1"/>
            <rFont val="Aptos Narrow"/>
            <family val="2"/>
            <scheme val="minor"/>
          </rPr>
          <t xml:space="preserve">W1 7.890
</t>
        </r>
      </text>
    </comment>
    <comment ref="E25" authorId="2" shapeId="0" xr:uid="{00000000-0006-0000-2600-000066000000}">
      <text>
        <r>
          <rPr>
            <sz val="12"/>
            <color theme="1"/>
            <rFont val="Aptos Narrow"/>
            <family val="2"/>
            <scheme val="minor"/>
          </rPr>
          <t xml:space="preserve">Tặng voucher giảm giá 100,000đ cho khách hàng đổi điểm trên ứng dụng Btaskee </t>
        </r>
      </text>
    </comment>
    <comment ref="B26" authorId="0" shapeId="0" xr:uid="{00000000-0006-0000-2600-000067000000}">
      <text>
        <r>
          <rPr>
            <sz val="12"/>
            <color theme="1"/>
            <rFont val="Aptos Narrow"/>
            <family val="2"/>
            <scheme val="minor"/>
          </rPr>
          <t>was 10790
VNP100</t>
        </r>
      </text>
    </comment>
    <comment ref="C26" authorId="0" shapeId="0" xr:uid="{00000000-0006-0000-2600-000068000000}">
      <text>
        <r>
          <rPr>
            <sz val="12"/>
            <color theme="1"/>
            <rFont val="Aptos Narrow"/>
            <family val="2"/>
            <scheme val="minor"/>
          </rPr>
          <t xml:space="preserve">W1 10.790
</t>
        </r>
      </text>
    </comment>
    <comment ref="E26" authorId="3" shapeId="0" xr:uid="{00000000-0006-0000-2600-000069000000}">
      <text>
        <r>
          <rPr>
            <sz val="12"/>
            <color theme="1"/>
            <rFont val="Aptos Narrow"/>
            <family val="2"/>
            <scheme val="minor"/>
          </rPr>
          <t>Last week was: 10.490K</t>
        </r>
      </text>
    </comment>
    <comment ref="F26" authorId="5" shapeId="0" xr:uid="{00000000-0006-0000-2600-00006A000000}">
      <text>
        <r>
          <rPr>
            <sz val="12"/>
            <color theme="1"/>
            <rFont val="Aptos Narrow"/>
            <family val="2"/>
            <scheme val="minor"/>
          </rPr>
          <t>chit trang:
10.890k</t>
        </r>
      </text>
    </comment>
    <comment ref="B27" authorId="0" shapeId="0" xr:uid="{00000000-0006-0000-2600-00006B000000}">
      <text>
        <r>
          <rPr>
            <sz val="12"/>
            <color theme="1"/>
            <rFont val="Aptos Narrow"/>
            <family val="2"/>
            <scheme val="minor"/>
          </rPr>
          <t>was 13390
VNP100</t>
        </r>
      </text>
    </comment>
    <comment ref="C27" authorId="0" shapeId="0" xr:uid="{00000000-0006-0000-2600-00006C000000}">
      <text>
        <r>
          <rPr>
            <sz val="12"/>
            <color theme="1"/>
            <rFont val="Aptos Narrow"/>
            <family val="2"/>
            <scheme val="minor"/>
          </rPr>
          <t xml:space="preserve">W1 13.390
</t>
        </r>
      </text>
    </comment>
    <comment ref="G27" authorId="4" shapeId="0" xr:uid="{00000000-0006-0000-2600-00006D000000}">
      <text>
        <r>
          <rPr>
            <sz val="12"/>
            <color theme="1"/>
            <rFont val="Aptos Narrow"/>
            <family val="2"/>
            <scheme val="minor"/>
          </rPr>
          <t>Tran Dat:
13590000</t>
        </r>
      </text>
    </comment>
    <comment ref="B28" authorId="0" shapeId="0" xr:uid="{00000000-0006-0000-2600-00006E000000}">
      <text>
        <r>
          <rPr>
            <sz val="12"/>
            <color theme="1"/>
            <rFont val="Aptos Narrow"/>
            <family val="2"/>
            <scheme val="minor"/>
          </rPr>
          <t>was 11590
VNP100</t>
        </r>
      </text>
    </comment>
    <comment ref="C28" authorId="0" shapeId="0" xr:uid="{00000000-0006-0000-2600-00006F000000}">
      <text>
        <r>
          <rPr>
            <sz val="12"/>
            <color theme="1"/>
            <rFont val="Aptos Narrow"/>
            <family val="2"/>
            <scheme val="minor"/>
          </rPr>
          <t xml:space="preserve">W1 11.590
</t>
        </r>
      </text>
    </comment>
    <comment ref="G28" authorId="4" shapeId="0" xr:uid="{00000000-0006-0000-2600-000070000000}">
      <text>
        <r>
          <rPr>
            <sz val="12"/>
            <color theme="1"/>
            <rFont val="Aptos Narrow"/>
            <family val="2"/>
            <scheme val="minor"/>
          </rPr>
          <t>Tran Dat:
11790</t>
        </r>
      </text>
    </comment>
    <comment ref="B29" authorId="0" shapeId="0" xr:uid="{00000000-0006-0000-2600-000071000000}">
      <text>
        <r>
          <rPr>
            <sz val="12"/>
            <color theme="1"/>
            <rFont val="Aptos Narrow"/>
            <family val="2"/>
            <scheme val="minor"/>
          </rPr>
          <t>was 14190
VNP100</t>
        </r>
      </text>
    </comment>
    <comment ref="C29" authorId="0" shapeId="0" xr:uid="{00000000-0006-0000-2600-000072000000}">
      <text>
        <r>
          <rPr>
            <sz val="12"/>
            <color theme="1"/>
            <rFont val="Aptos Narrow"/>
            <family val="2"/>
            <scheme val="minor"/>
          </rPr>
          <t xml:space="preserve">W1 14.190
</t>
        </r>
      </text>
    </comment>
    <comment ref="G29" authorId="4" shapeId="0" xr:uid="{00000000-0006-0000-2600-000073000000}">
      <text>
        <r>
          <rPr>
            <sz val="12"/>
            <color theme="1"/>
            <rFont val="Aptos Narrow"/>
            <family val="2"/>
            <scheme val="minor"/>
          </rPr>
          <t>Tran Dat:
14390</t>
        </r>
      </text>
    </comment>
    <comment ref="B30" authorId="0" shapeId="0" xr:uid="{00000000-0006-0000-2600-000074000000}">
      <text>
        <r>
          <rPr>
            <sz val="12"/>
            <color theme="1"/>
            <rFont val="Aptos Narrow"/>
            <family val="2"/>
            <scheme val="minor"/>
          </rPr>
          <t>was 22490
VNP150</t>
        </r>
      </text>
    </comment>
    <comment ref="C30" authorId="0" shapeId="0" xr:uid="{00000000-0006-0000-2600-000075000000}">
      <text>
        <r>
          <rPr>
            <sz val="12"/>
            <color theme="1"/>
            <rFont val="Aptos Narrow"/>
            <family val="2"/>
            <scheme val="minor"/>
          </rPr>
          <t xml:space="preserve">W1 22.490
</t>
        </r>
      </text>
    </comment>
    <comment ref="E30" authorId="2" shapeId="0" xr:uid="{00000000-0006-0000-2600-000076000000}">
      <text>
        <r>
          <rPr>
            <sz val="12"/>
            <color theme="1"/>
            <rFont val="Aptos Narrow"/>
            <family val="2"/>
            <scheme val="minor"/>
          </rPr>
          <t xml:space="preserve">Last week was: 21.690K
</t>
        </r>
      </text>
    </comment>
    <comment ref="B31" authorId="0" shapeId="0" xr:uid="{00000000-0006-0000-2600-000077000000}">
      <text>
        <r>
          <rPr>
            <sz val="12"/>
            <color theme="1"/>
            <rFont val="Aptos Narrow"/>
            <family val="2"/>
            <scheme val="minor"/>
          </rPr>
          <t>was 5590
VNP40</t>
        </r>
      </text>
    </comment>
    <comment ref="C31" authorId="0" shapeId="0" xr:uid="{00000000-0006-0000-2600-000078000000}">
      <text>
        <r>
          <rPr>
            <sz val="12"/>
            <color theme="1"/>
            <rFont val="Aptos Narrow"/>
            <family val="2"/>
            <scheme val="minor"/>
          </rPr>
          <t xml:space="preserve">W1 5.590
</t>
        </r>
      </text>
    </comment>
    <comment ref="D31" authorId="1" shapeId="0" xr:uid="{00000000-0006-0000-2600-000079000000}">
      <text>
        <r>
          <rPr>
            <sz val="12"/>
            <color theme="1"/>
            <rFont val="Aptos Narrow"/>
            <family val="2"/>
            <scheme val="minor"/>
          </rPr>
          <t>Việt Hoàng:
Last week:
5.790.000</t>
        </r>
      </text>
    </comment>
    <comment ref="E31" authorId="2" shapeId="0" xr:uid="{00000000-0006-0000-2600-00007A000000}">
      <text>
        <r>
          <rPr>
            <sz val="12"/>
            <color theme="1"/>
            <rFont val="Aptos Narrow"/>
            <family val="2"/>
            <scheme val="minor"/>
          </rPr>
          <t xml:space="preserve">Last week was: 5.290K
</t>
        </r>
      </text>
    </comment>
    <comment ref="F31" authorId="5" shapeId="0" xr:uid="{00000000-0006-0000-2600-00007B000000}">
      <text>
        <r>
          <rPr>
            <sz val="12"/>
            <color theme="1"/>
            <rFont val="Aptos Narrow"/>
            <family val="2"/>
            <scheme val="minor"/>
          </rPr>
          <t>chit trang:
5.790k</t>
        </r>
      </text>
    </comment>
    <comment ref="B32" authorId="0" shapeId="0" xr:uid="{00000000-0006-0000-2600-00007C000000}">
      <text>
        <r>
          <rPr>
            <sz val="12"/>
            <color theme="1"/>
            <rFont val="Aptos Narrow"/>
            <family val="2"/>
            <scheme val="minor"/>
          </rPr>
          <t xml:space="preserve">was 4550000
</t>
        </r>
      </text>
    </comment>
    <comment ref="C32" authorId="0" shapeId="0" xr:uid="{00000000-0006-0000-2600-00007D000000}">
      <text>
        <r>
          <rPr>
            <sz val="12"/>
            <color theme="1"/>
            <rFont val="Aptos Narrow"/>
            <family val="2"/>
            <scheme val="minor"/>
          </rPr>
          <t xml:space="preserve">W1 4.550
</t>
        </r>
      </text>
    </comment>
    <comment ref="D32" authorId="1" shapeId="0" xr:uid="{00000000-0006-0000-2600-00007E000000}">
      <text>
        <r>
          <rPr>
            <sz val="12"/>
            <color theme="1"/>
            <rFont val="Aptos Narrow"/>
            <family val="2"/>
            <scheme val="minor"/>
          </rPr>
          <t>Việt Hoàng:
Last week:
4.550.000</t>
        </r>
      </text>
    </comment>
    <comment ref="E32" authorId="2" shapeId="0" xr:uid="{00000000-0006-0000-2600-00007F000000}">
      <text>
        <r>
          <rPr>
            <sz val="12"/>
            <color theme="1"/>
            <rFont val="Aptos Narrow"/>
            <family val="2"/>
            <scheme val="minor"/>
          </rPr>
          <t>Last week was: 4.790K
Voucher giảm 1% tối đa 300K VNPAY</t>
        </r>
      </text>
    </comment>
    <comment ref="B33" authorId="0" shapeId="0" xr:uid="{00000000-0006-0000-2600-000080000000}">
      <text>
        <r>
          <rPr>
            <sz val="12"/>
            <color theme="1"/>
            <rFont val="Aptos Narrow"/>
            <family val="2"/>
            <scheme val="minor"/>
          </rPr>
          <t>was 3290</t>
        </r>
      </text>
    </comment>
    <comment ref="C33" authorId="0" shapeId="0" xr:uid="{00000000-0006-0000-2600-000081000000}">
      <text>
        <r>
          <rPr>
            <sz val="12"/>
            <color theme="1"/>
            <rFont val="Aptos Narrow"/>
            <family val="2"/>
            <scheme val="minor"/>
          </rPr>
          <t>W1 3.290</t>
        </r>
      </text>
    </comment>
    <comment ref="D33" authorId="1" shapeId="0" xr:uid="{00000000-0006-0000-2600-000082000000}">
      <text>
        <r>
          <rPr>
            <sz val="12"/>
            <color theme="1"/>
            <rFont val="Aptos Narrow"/>
            <family val="2"/>
            <scheme val="minor"/>
          </rPr>
          <t>Việt Hoàng:
Last week:
3.290.000</t>
        </r>
      </text>
    </comment>
    <comment ref="E33" authorId="0" shapeId="0" xr:uid="{00000000-0006-0000-2600-000083000000}">
      <text>
        <r>
          <rPr>
            <sz val="12"/>
            <color theme="1"/>
            <rFont val="Aptos Narrow"/>
            <family val="2"/>
            <scheme val="minor"/>
          </rPr>
          <t>was 3490000</t>
        </r>
      </text>
    </comment>
    <comment ref="E34" authorId="2" shapeId="0" xr:uid="{00000000-0006-0000-2600-000084000000}">
      <text>
        <r>
          <rPr>
            <sz val="12"/>
            <color theme="1"/>
            <rFont val="Aptos Narrow"/>
            <family val="2"/>
            <scheme val="minor"/>
          </rPr>
          <t>Last week was: 3.890K</t>
        </r>
      </text>
    </comment>
    <comment ref="B35" authorId="0" shapeId="0" xr:uid="{00000000-0006-0000-2600-000085000000}">
      <text>
        <r>
          <rPr>
            <sz val="12"/>
            <color theme="1"/>
            <rFont val="Aptos Narrow"/>
            <family val="2"/>
            <scheme val="minor"/>
          </rPr>
          <t>was 17990
HSSV -300
VNP100</t>
        </r>
      </text>
    </comment>
    <comment ref="C35" authorId="0" shapeId="0" xr:uid="{00000000-0006-0000-2600-000086000000}">
      <text>
        <r>
          <rPr>
            <sz val="12"/>
            <color theme="1"/>
            <rFont val="Aptos Narrow"/>
            <family val="2"/>
            <scheme val="minor"/>
          </rPr>
          <t xml:space="preserve">W1 17.990
</t>
        </r>
      </text>
    </comment>
    <comment ref="B36" authorId="0" shapeId="0" xr:uid="{00000000-0006-0000-2600-000087000000}">
      <text>
        <r>
          <rPr>
            <sz val="12"/>
            <color theme="1"/>
            <rFont val="Aptos Narrow"/>
            <family val="2"/>
            <scheme val="minor"/>
          </rPr>
          <t>was 24290
VNP150
HSSV-500</t>
        </r>
      </text>
    </comment>
    <comment ref="C36" authorId="0" shapeId="0" xr:uid="{00000000-0006-0000-2600-000088000000}">
      <text>
        <r>
          <rPr>
            <sz val="12"/>
            <color theme="1"/>
            <rFont val="Aptos Narrow"/>
            <family val="2"/>
            <scheme val="minor"/>
          </rPr>
          <t xml:space="preserve">W1 24.290
</t>
        </r>
      </text>
    </comment>
    <comment ref="D36" authorId="1" shapeId="0" xr:uid="{00000000-0006-0000-2600-000089000000}">
      <text>
        <r>
          <rPr>
            <sz val="12"/>
            <color theme="1"/>
            <rFont val="Aptos Narrow"/>
            <family val="2"/>
            <scheme val="minor"/>
          </rPr>
          <t>Việt Hoàng:
Last week:
24.390.000</t>
        </r>
      </text>
    </comment>
    <comment ref="F36" authorId="5" shapeId="0" xr:uid="{00000000-0006-0000-2600-00008A000000}">
      <text>
        <r>
          <rPr>
            <sz val="12"/>
            <color theme="1"/>
            <rFont val="Aptos Narrow"/>
            <family val="2"/>
            <scheme val="minor"/>
          </rPr>
          <t>chit trang:
24.290k</t>
        </r>
      </text>
    </comment>
    <comment ref="B37" authorId="0" shapeId="0" xr:uid="{00000000-0006-0000-2600-00008B000000}">
      <text>
        <r>
          <rPr>
            <sz val="12"/>
            <color theme="1"/>
            <rFont val="Aptos Narrow"/>
            <family val="2"/>
            <scheme val="minor"/>
          </rPr>
          <t>was 27490
HSSV -500
VNP150</t>
        </r>
      </text>
    </comment>
    <comment ref="D37" authorId="1" shapeId="0" xr:uid="{00000000-0006-0000-2600-00008C000000}">
      <text>
        <r>
          <rPr>
            <sz val="12"/>
            <color theme="1"/>
            <rFont val="Aptos Narrow"/>
            <family val="2"/>
            <scheme val="minor"/>
          </rPr>
          <t>Việt Hoàng:
Last week:
27.490.000</t>
        </r>
      </text>
    </comment>
    <comment ref="G37" authorId="4" shapeId="0" xr:uid="{00000000-0006-0000-2600-00008D000000}">
      <text>
        <r>
          <rPr>
            <sz val="12"/>
            <color theme="1"/>
            <rFont val="Aptos Narrow"/>
            <family val="2"/>
            <scheme val="minor"/>
          </rPr>
          <t>Tran Dat:
26990</t>
        </r>
      </text>
    </comment>
    <comment ref="B38" authorId="0" shapeId="0" xr:uid="{00000000-0006-0000-2600-00008E000000}">
      <text>
        <r>
          <rPr>
            <sz val="12"/>
            <color theme="1"/>
            <rFont val="Aptos Narrow"/>
            <family val="2"/>
            <scheme val="minor"/>
          </rPr>
          <t>was 32490
HSSV - 500
VNP150</t>
        </r>
      </text>
    </comment>
    <comment ref="F38" authorId="5" shapeId="0" xr:uid="{00000000-0006-0000-2600-00008F000000}">
      <text>
        <r>
          <rPr>
            <sz val="12"/>
            <color theme="1"/>
            <rFont val="Aptos Narrow"/>
            <family val="2"/>
            <scheme val="minor"/>
          </rPr>
          <t>chit trang:
32.990k</t>
        </r>
      </text>
    </comment>
    <comment ref="B39" authorId="0" shapeId="0" xr:uid="{00000000-0006-0000-2600-000090000000}">
      <text>
        <r>
          <rPr>
            <sz val="12"/>
            <color theme="1"/>
            <rFont val="Aptos Narrow"/>
            <family val="2"/>
            <scheme val="minor"/>
          </rPr>
          <t>was OOS</t>
        </r>
      </text>
    </comment>
    <comment ref="F39" authorId="5" shapeId="0" xr:uid="{00000000-0006-0000-2600-000091000000}">
      <text>
        <r>
          <rPr>
            <sz val="12"/>
            <color theme="1"/>
            <rFont val="Aptos Narrow"/>
            <family val="2"/>
            <scheme val="minor"/>
          </rPr>
          <t>chit trang:
38.590k</t>
        </r>
      </text>
    </comment>
  </commentList>
</comments>
</file>

<file path=xl/comments40.xml><?xml version="1.0" encoding="utf-8"?>
<comments xmlns="http://schemas.openxmlformats.org/spreadsheetml/2006/main" xmlns:mc="http://schemas.openxmlformats.org/markup-compatibility/2006" xmlns:xr="http://schemas.microsoft.com/office/spreadsheetml/2014/revision" mc:Ignorable="xr">
  <authors>
    <author>Duy</author>
    <author>Sheva Son</author>
    <author>Người dùng Khách</author>
    <author>Tran Dat</author>
    <author>Microsoft Office User</author>
    <author>chit trang</author>
    <author>Việt Hoàng</author>
  </authors>
  <commentList>
    <comment ref="C2" authorId="0" shapeId="0" xr:uid="{00000000-0006-0000-2700-000001000000}">
      <text>
        <r>
          <rPr>
            <sz val="12"/>
            <color theme="1"/>
            <rFont val="Aptos Narrow"/>
            <family val="2"/>
            <scheme val="minor"/>
          </rPr>
          <t>Duy:
W2 21.340</t>
        </r>
      </text>
    </comment>
    <comment ref="E2" authorId="1" shapeId="0" xr:uid="{00000000-0006-0000-2700-000002000000}">
      <text>
        <r>
          <rPr>
            <sz val="12"/>
            <color theme="1"/>
            <rFont val="Aptos Narrow"/>
            <family val="2"/>
            <scheme val="minor"/>
          </rPr>
          <t xml:space="preserve">Last week is: 21.990K
 Tết vui khui Túi vàng Cơ hội trúng hàng trăm Túi vàng đến ngày 14/02/2025 </t>
        </r>
      </text>
    </comment>
    <comment ref="F2" authorId="2" shapeId="0" xr:uid="{00000000-0006-0000-2700-000003000000}">
      <text>
        <r>
          <rPr>
            <sz val="12"/>
            <color theme="1"/>
            <rFont val="Aptos Narrow"/>
            <family val="2"/>
            <scheme val="minor"/>
          </rPr>
          <t>Người dùng Không xác định:
21.190.000</t>
        </r>
      </text>
    </comment>
    <comment ref="G2" authorId="3" shapeId="0" xr:uid="{00000000-0006-0000-2700-000004000000}">
      <text>
        <r>
          <rPr>
            <sz val="12"/>
            <color theme="1"/>
            <rFont val="Aptos Narrow"/>
            <family val="2"/>
            <scheme val="minor"/>
          </rPr>
          <t>Tran Dat:
20.790.000</t>
        </r>
      </text>
    </comment>
    <comment ref="B3" authorId="4" shapeId="0" xr:uid="{00000000-0006-0000-2700-000005000000}">
      <text>
        <r>
          <rPr>
            <sz val="12"/>
            <color theme="1"/>
            <rFont val="Aptos Narrow"/>
            <family val="2"/>
            <scheme val="minor"/>
          </rPr>
          <t>was 24640000
VNP150</t>
        </r>
      </text>
    </comment>
    <comment ref="C3" authorId="4" shapeId="0" xr:uid="{00000000-0006-0000-2700-000006000000}">
      <text>
        <r>
          <rPr>
            <sz val="12"/>
            <color theme="1"/>
            <rFont val="Aptos Narrow"/>
            <family val="2"/>
            <scheme val="minor"/>
          </rPr>
          <t>W2 24.640</t>
        </r>
      </text>
    </comment>
    <comment ref="E3" authorId="1" shapeId="0" xr:uid="{00000000-0006-0000-2700-000007000000}">
      <text>
        <r>
          <rPr>
            <sz val="12"/>
            <color theme="1"/>
            <rFont val="Aptos Narrow"/>
            <family val="2"/>
            <scheme val="minor"/>
          </rPr>
          <t>Last week is: 24.990K
 Tết vui khui Túi vàng Cơ hội trúng hàng trăm Túi vàng đến ngày 14/02/2025 
Giảm thêm 100K cho khách hàng checkin tại tiểu cảnh Tết Corner của shop</t>
        </r>
      </text>
    </comment>
    <comment ref="C4" authorId="0" shapeId="0" xr:uid="{00000000-0006-0000-2700-000008000000}">
      <text>
        <r>
          <rPr>
            <sz val="12"/>
            <color theme="1"/>
            <rFont val="Aptos Narrow"/>
            <family val="2"/>
            <scheme val="minor"/>
          </rPr>
          <t>W2 27.340</t>
        </r>
      </text>
    </comment>
    <comment ref="E4" authorId="4" shapeId="0" xr:uid="{00000000-0006-0000-2700-000009000000}">
      <text>
        <r>
          <rPr>
            <sz val="12"/>
            <color theme="1"/>
            <rFont val="Aptos Narrow"/>
            <family val="2"/>
            <scheme val="minor"/>
          </rPr>
          <t xml:space="preserve">Last week was: 28.190K
Checkin tại khu vực Tết được giảm 100K
</t>
        </r>
      </text>
    </comment>
    <comment ref="B5" authorId="4" shapeId="0" xr:uid="{00000000-0006-0000-2700-00000A000000}">
      <text>
        <r>
          <rPr>
            <sz val="12"/>
            <color theme="1"/>
            <rFont val="Aptos Narrow"/>
            <family val="2"/>
            <scheme val="minor"/>
          </rPr>
          <t>was 32840
VNP150</t>
        </r>
      </text>
    </comment>
    <comment ref="C5" authorId="4" shapeId="0" xr:uid="{00000000-0006-0000-2700-00000B000000}">
      <text>
        <r>
          <rPr>
            <sz val="12"/>
            <color theme="1"/>
            <rFont val="Aptos Narrow"/>
            <family val="2"/>
            <scheme val="minor"/>
          </rPr>
          <t>W2 32.840</t>
        </r>
      </text>
    </comment>
    <comment ref="E5" authorId="1" shapeId="0" xr:uid="{00000000-0006-0000-2700-00000C000000}">
      <text>
        <r>
          <rPr>
            <sz val="12"/>
            <color theme="1"/>
            <rFont val="Aptos Narrow"/>
            <family val="2"/>
            <scheme val="minor"/>
          </rPr>
          <t xml:space="preserve">Last week is: 32.990K
 Tết vui khui Túi vàng Cơ hội trúng hàng trăm Túi vàng đến ngày 14/02/2025 </t>
        </r>
      </text>
    </comment>
    <comment ref="F5" authorId="5" shapeId="0" xr:uid="{00000000-0006-0000-2700-00000D000000}">
      <text>
        <r>
          <rPr>
            <sz val="12"/>
            <color theme="1"/>
            <rFont val="Aptos Narrow"/>
            <family val="2"/>
            <scheme val="minor"/>
          </rPr>
          <t>chit trang:
3.790k</t>
        </r>
      </text>
    </comment>
    <comment ref="G5" authorId="3" shapeId="0" xr:uid="{00000000-0006-0000-2700-00000E000000}">
      <text>
        <r>
          <rPr>
            <sz val="12"/>
            <color theme="1"/>
            <rFont val="Aptos Narrow"/>
            <family val="2"/>
            <scheme val="minor"/>
          </rPr>
          <t>Tran Dat:
32.690</t>
        </r>
      </text>
    </comment>
    <comment ref="C6" authorId="0" shapeId="0" xr:uid="{00000000-0006-0000-2700-00000F000000}">
      <text>
        <r>
          <rPr>
            <sz val="12"/>
            <color theme="1"/>
            <rFont val="Aptos Narrow"/>
            <family val="2"/>
            <scheme val="minor"/>
          </rPr>
          <t>W2 18.740</t>
        </r>
      </text>
    </comment>
    <comment ref="E6" authorId="1" shapeId="0" xr:uid="{00000000-0006-0000-2700-000010000000}">
      <text>
        <r>
          <rPr>
            <sz val="12"/>
            <color theme="1"/>
            <rFont val="Aptos Narrow"/>
            <family val="2"/>
            <scheme val="minor"/>
          </rPr>
          <t xml:space="preserve">Last week is: 19.490K
 Tết vui khui Túi vàng Cơ hội trúng hàng trăm Túi vàng đến ngày 14/02/2025 </t>
        </r>
      </text>
    </comment>
    <comment ref="F6" authorId="5" shapeId="0" xr:uid="{00000000-0006-0000-2700-000011000000}">
      <text>
        <r>
          <rPr>
            <sz val="12"/>
            <color theme="1"/>
            <rFont val="Aptos Narrow"/>
            <family val="2"/>
            <scheme val="minor"/>
          </rPr>
          <t>chit trang:
18.890k</t>
        </r>
      </text>
    </comment>
    <comment ref="C7" authorId="0" shapeId="0" xr:uid="{00000000-0006-0000-2700-000012000000}">
      <text>
        <r>
          <rPr>
            <sz val="12"/>
            <color theme="1"/>
            <rFont val="Aptos Narrow"/>
            <family val="2"/>
            <scheme val="minor"/>
          </rPr>
          <t>W2 22.440</t>
        </r>
      </text>
    </comment>
    <comment ref="E7" authorId="1" shapeId="0" xr:uid="{00000000-0006-0000-2700-000013000000}">
      <text>
        <r>
          <rPr>
            <sz val="12"/>
            <color theme="1"/>
            <rFont val="Aptos Narrow"/>
            <family val="2"/>
            <scheme val="minor"/>
          </rPr>
          <t xml:space="preserve">Last week is: 22.990K
Giảm ngay 200,000đ cho khách hàng mua gói cước 3V200B </t>
        </r>
      </text>
    </comment>
    <comment ref="F7" authorId="5" shapeId="0" xr:uid="{00000000-0006-0000-2700-000014000000}">
      <text>
        <r>
          <rPr>
            <sz val="12"/>
            <color theme="1"/>
            <rFont val="Aptos Narrow"/>
            <family val="2"/>
            <scheme val="minor"/>
          </rPr>
          <t>chit trang:
22.590k</t>
        </r>
      </text>
    </comment>
    <comment ref="G7" authorId="3" shapeId="0" xr:uid="{00000000-0006-0000-2700-000015000000}">
      <text>
        <r>
          <rPr>
            <sz val="12"/>
            <color theme="1"/>
            <rFont val="Aptos Narrow"/>
            <family val="2"/>
            <scheme val="minor"/>
          </rPr>
          <t>Tran Dat:
21.790</t>
        </r>
      </text>
    </comment>
    <comment ref="C9" authorId="0" shapeId="0" xr:uid="{00000000-0006-0000-2700-000016000000}">
      <text>
        <r>
          <rPr>
            <sz val="12"/>
            <color theme="1"/>
            <rFont val="Aptos Narrow"/>
            <family val="2"/>
            <scheme val="minor"/>
          </rPr>
          <t>W2 29.140</t>
        </r>
      </text>
    </comment>
    <comment ref="E9" authorId="1" shapeId="0" xr:uid="{00000000-0006-0000-2700-000017000000}">
      <text>
        <r>
          <rPr>
            <sz val="12"/>
            <color theme="1"/>
            <rFont val="Aptos Narrow"/>
            <family val="2"/>
            <scheme val="minor"/>
          </rPr>
          <t xml:space="preserve">Last week was: 28.490.000
</t>
        </r>
      </text>
    </comment>
    <comment ref="F9" authorId="5" shapeId="0" xr:uid="{00000000-0006-0000-2700-000018000000}">
      <text>
        <r>
          <rPr>
            <sz val="12"/>
            <color theme="1"/>
            <rFont val="Aptos Narrow"/>
            <family val="2"/>
            <scheme val="minor"/>
          </rPr>
          <t>chit trang:
29.290k</t>
        </r>
      </text>
    </comment>
    <comment ref="C10" authorId="0" shapeId="0" xr:uid="{00000000-0006-0000-2700-000019000000}">
      <text>
        <r>
          <rPr>
            <sz val="12"/>
            <color theme="1"/>
            <rFont val="Aptos Narrow"/>
            <family val="2"/>
            <scheme val="minor"/>
          </rPr>
          <t>W2 18.440</t>
        </r>
      </text>
    </comment>
    <comment ref="E10" authorId="1" shapeId="0" xr:uid="{00000000-0006-0000-2700-00001A000000}">
      <text>
        <r>
          <rPr>
            <sz val="12"/>
            <color theme="1"/>
            <rFont val="Aptos Narrow"/>
            <family val="2"/>
            <scheme val="minor"/>
          </rPr>
          <t xml:space="preserve">Last week was: 19.690K
Chỉ còn màu Purple, Blue, White số lượng ít
</t>
        </r>
      </text>
    </comment>
    <comment ref="C11" authorId="0" shapeId="0" xr:uid="{00000000-0006-0000-2700-00001B000000}">
      <text>
        <r>
          <rPr>
            <sz val="12"/>
            <color theme="1"/>
            <rFont val="Aptos Narrow"/>
            <family val="2"/>
            <scheme val="minor"/>
          </rPr>
          <t>W2 15.790</t>
        </r>
      </text>
    </comment>
    <comment ref="F11" authorId="5" shapeId="0" xr:uid="{00000000-0006-0000-2700-00001C000000}">
      <text>
        <r>
          <rPr>
            <sz val="12"/>
            <color theme="1"/>
            <rFont val="Aptos Narrow"/>
            <family val="2"/>
            <scheme val="minor"/>
          </rPr>
          <t>chit trang:
16.590k</t>
        </r>
      </text>
    </comment>
    <comment ref="C12" authorId="0" shapeId="0" xr:uid="{00000000-0006-0000-2700-00001D000000}">
      <text>
        <r>
          <rPr>
            <sz val="12"/>
            <color theme="1"/>
            <rFont val="Aptos Narrow"/>
            <family val="2"/>
            <scheme val="minor"/>
          </rPr>
          <t>W2 13.190</t>
        </r>
      </text>
    </comment>
    <comment ref="E12" authorId="1" shapeId="0" xr:uid="{00000000-0006-0000-2700-00001E000000}">
      <text>
        <r>
          <rPr>
            <sz val="12"/>
            <color theme="1"/>
            <rFont val="Aptos Narrow"/>
            <family val="2"/>
            <scheme val="minor"/>
          </rPr>
          <t xml:space="preserve">
- Tết vui khui Túi vàng Cơ hội trúng hàng trăm Túi vàng đến ngày 14/02/2025 
- Giảm 700K cho màu Đen và Starlight (trừ vào giá)
</t>
        </r>
      </text>
    </comment>
    <comment ref="F12" authorId="5" shapeId="0" xr:uid="{00000000-0006-0000-2700-00001F000000}">
      <text>
        <r>
          <rPr>
            <sz val="12"/>
            <color theme="1"/>
            <rFont val="Aptos Narrow"/>
            <family val="2"/>
            <scheme val="minor"/>
          </rPr>
          <t>chit trang:
12.890k</t>
        </r>
      </text>
    </comment>
    <comment ref="G12" authorId="3" shapeId="0" xr:uid="{00000000-0006-0000-2700-000020000000}">
      <text>
        <r>
          <rPr>
            <sz val="12"/>
            <color theme="1"/>
            <rFont val="Aptos Narrow"/>
            <family val="2"/>
            <scheme val="minor"/>
          </rPr>
          <t>Tran Dat:
12790</t>
        </r>
      </text>
    </comment>
    <comment ref="C13" authorId="0" shapeId="0" xr:uid="{00000000-0006-0000-2700-000021000000}">
      <text>
        <r>
          <rPr>
            <sz val="12"/>
            <color theme="1"/>
            <rFont val="Aptos Narrow"/>
            <family val="2"/>
            <scheme val="minor"/>
          </rPr>
          <t>W2 11.490</t>
        </r>
      </text>
    </comment>
    <comment ref="E13" authorId="2" shapeId="0" xr:uid="{00000000-0006-0000-2700-000022000000}">
      <text>
        <r>
          <rPr>
            <sz val="12"/>
            <color theme="1"/>
            <rFont val="Aptos Narrow"/>
            <family val="2"/>
            <scheme val="minor"/>
          </rPr>
          <t>Last week was: 10.990K</t>
        </r>
      </text>
    </comment>
    <comment ref="F13" authorId="5" shapeId="0" xr:uid="{00000000-0006-0000-2700-000023000000}">
      <text>
        <r>
          <rPr>
            <sz val="12"/>
            <color theme="1"/>
            <rFont val="Aptos Narrow"/>
            <family val="2"/>
            <scheme val="minor"/>
          </rPr>
          <t>chit trang:
10.490k</t>
        </r>
      </text>
    </comment>
    <comment ref="E14" authorId="1" shapeId="0" xr:uid="{00000000-0006-0000-2700-000024000000}">
      <text>
        <r>
          <rPr>
            <sz val="12"/>
            <color theme="1"/>
            <rFont val="Aptos Narrow"/>
            <family val="2"/>
            <scheme val="minor"/>
          </rPr>
          <t xml:space="preserve">Giảm 200K khi mua Online (đã trừ vào giá)
Trợ giá 4G giảm 300K đã trừ vào giá
</t>
        </r>
      </text>
    </comment>
    <comment ref="E15" authorId="4" shapeId="0" xr:uid="{00000000-0006-0000-2700-000025000000}">
      <text>
        <r>
          <rPr>
            <sz val="12"/>
            <color theme="1"/>
            <rFont val="Aptos Narrow"/>
            <family val="2"/>
            <scheme val="minor"/>
          </rPr>
          <t>Last week was: 13.850K</t>
        </r>
      </text>
    </comment>
    <comment ref="D16" authorId="6" shapeId="0" xr:uid="{00000000-0006-0000-2700-000026000000}">
      <text>
        <r>
          <rPr>
            <sz val="12"/>
            <color theme="1"/>
            <rFont val="Aptos Narrow"/>
            <family val="2"/>
            <scheme val="minor"/>
          </rPr>
          <t>Việt Hoàng:
Last week:
8.890.000</t>
        </r>
      </text>
    </comment>
    <comment ref="E16" authorId="1" shapeId="0" xr:uid="{00000000-0006-0000-2700-000027000000}">
      <text>
        <r>
          <rPr>
            <sz val="12"/>
            <color theme="1"/>
            <rFont val="Aptos Narrow"/>
            <family val="2"/>
            <scheme val="minor"/>
          </rPr>
          <t xml:space="preserve">Last week is: 8.490K
</t>
        </r>
      </text>
    </comment>
    <comment ref="B17" authorId="4" shapeId="0" xr:uid="{00000000-0006-0000-2700-000028000000}">
      <text>
        <r>
          <rPr>
            <sz val="12"/>
            <color theme="1"/>
            <rFont val="Aptos Narrow"/>
            <family val="2"/>
            <scheme val="minor"/>
          </rPr>
          <t>was 7040
VNP40</t>
        </r>
      </text>
    </comment>
    <comment ref="C17" authorId="4" shapeId="0" xr:uid="{00000000-0006-0000-2700-000029000000}">
      <text>
        <r>
          <rPr>
            <sz val="12"/>
            <color theme="1"/>
            <rFont val="Aptos Narrow"/>
            <family val="2"/>
            <scheme val="minor"/>
          </rPr>
          <t>W2 7.040</t>
        </r>
      </text>
    </comment>
    <comment ref="D17" authorId="6" shapeId="0" xr:uid="{00000000-0006-0000-2700-00002A000000}">
      <text>
        <r>
          <rPr>
            <sz val="12"/>
            <color theme="1"/>
            <rFont val="Aptos Narrow"/>
            <family val="2"/>
            <scheme val="minor"/>
          </rPr>
          <t>Việt Hoàng:
Last week:
7.050.000</t>
        </r>
      </text>
    </comment>
    <comment ref="E17" authorId="1" shapeId="0" xr:uid="{00000000-0006-0000-2700-00002B000000}">
      <text>
        <r>
          <rPr>
            <sz val="12"/>
            <color theme="1"/>
            <rFont val="Aptos Narrow"/>
            <family val="2"/>
            <scheme val="minor"/>
          </rPr>
          <t>Last week was: 6.890k</t>
        </r>
      </text>
    </comment>
    <comment ref="F17" authorId="5" shapeId="0" xr:uid="{00000000-0006-0000-2700-00002C000000}">
      <text>
        <r>
          <rPr>
            <sz val="12"/>
            <color theme="1"/>
            <rFont val="Aptos Narrow"/>
            <family val="2"/>
            <scheme val="minor"/>
          </rPr>
          <t>6.990k</t>
        </r>
      </text>
    </comment>
    <comment ref="D18" authorId="6" shapeId="0" xr:uid="{00000000-0006-0000-2700-00002D000000}">
      <text>
        <r>
          <rPr>
            <sz val="12"/>
            <color theme="1"/>
            <rFont val="Aptos Narrow"/>
            <family val="2"/>
            <scheme val="minor"/>
          </rPr>
          <t>Việt Hoàng:
Last week:
14.790.000</t>
        </r>
      </text>
    </comment>
    <comment ref="E18" authorId="1" shapeId="0" xr:uid="{00000000-0006-0000-2700-00002E000000}">
      <text>
        <r>
          <rPr>
            <sz val="12"/>
            <color theme="1"/>
            <rFont val="Aptos Narrow"/>
            <family val="2"/>
            <scheme val="minor"/>
          </rPr>
          <t xml:space="preserve">Last week was: 14.340K
</t>
        </r>
      </text>
    </comment>
    <comment ref="G18" authorId="3" shapeId="0" xr:uid="{00000000-0006-0000-2700-00002F000000}">
      <text>
        <r>
          <rPr>
            <sz val="12"/>
            <color theme="1"/>
            <rFont val="Aptos Narrow"/>
            <family val="2"/>
            <scheme val="minor"/>
          </rPr>
          <t>Tran Dat:14.790</t>
        </r>
      </text>
    </comment>
    <comment ref="E19" authorId="1" shapeId="0" xr:uid="{00000000-0006-0000-2700-000030000000}">
      <text>
        <r>
          <rPr>
            <sz val="12"/>
            <color theme="1"/>
            <rFont val="Aptos Narrow"/>
            <family val="2"/>
            <scheme val="minor"/>
          </rPr>
          <t xml:space="preserve">Last week is: 21.275K
</t>
        </r>
      </text>
    </comment>
    <comment ref="F19" authorId="5" shapeId="0" xr:uid="{00000000-0006-0000-2700-000031000000}">
      <text>
        <r>
          <rPr>
            <sz val="12"/>
            <color theme="1"/>
            <rFont val="Aptos Narrow"/>
            <family val="2"/>
            <scheme val="minor"/>
          </rPr>
          <t>chit trang:
20.390k</t>
        </r>
      </text>
    </comment>
    <comment ref="G19" authorId="3" shapeId="0" xr:uid="{00000000-0006-0000-2700-000032000000}">
      <text>
        <r>
          <rPr>
            <sz val="12"/>
            <color theme="1"/>
            <rFont val="Aptos Narrow"/>
            <family val="2"/>
            <scheme val="minor"/>
          </rPr>
          <t>Tran Dat:
20190000</t>
        </r>
      </text>
    </comment>
    <comment ref="E20" authorId="1" shapeId="0" xr:uid="{00000000-0006-0000-2700-000033000000}">
      <text>
        <r>
          <rPr>
            <sz val="12"/>
            <color theme="1"/>
            <rFont val="Aptos Narrow"/>
            <family val="2"/>
            <scheme val="minor"/>
          </rPr>
          <t xml:space="preserve">Last week is: 26.918K
</t>
        </r>
      </text>
    </comment>
    <comment ref="E21" authorId="1" shapeId="0" xr:uid="{00000000-0006-0000-2700-000034000000}">
      <text>
        <r>
          <rPr>
            <sz val="12"/>
            <color theme="1"/>
            <rFont val="Aptos Narrow"/>
            <family val="2"/>
            <scheme val="minor"/>
          </rPr>
          <t xml:space="preserve">Last week was: 36.790K
Nhập mã ZLP500 giảm ngay 500.000đ cho đơn hàng tối thiểu từ 20 triệu trở lên qua Zalopay (Yêu cầu thanh toán 100% giá trị đơn hàng) 
</t>
        </r>
      </text>
    </comment>
    <comment ref="F21" authorId="5" shapeId="0" xr:uid="{00000000-0006-0000-2700-000035000000}">
      <text>
        <r>
          <rPr>
            <sz val="12"/>
            <color theme="1"/>
            <rFont val="Aptos Narrow"/>
            <family val="2"/>
            <scheme val="minor"/>
          </rPr>
          <t>chit trang:
36.590k</t>
        </r>
      </text>
    </comment>
    <comment ref="B22" authorId="4" shapeId="0" xr:uid="{00000000-0006-0000-2700-000036000000}">
      <text>
        <r>
          <rPr>
            <sz val="12"/>
            <color theme="1"/>
            <rFont val="Aptos Narrow"/>
            <family val="2"/>
            <scheme val="minor"/>
          </rPr>
          <t>was 5750
VNP40</t>
        </r>
      </text>
    </comment>
    <comment ref="C22" authorId="4" shapeId="0" xr:uid="{00000000-0006-0000-2700-000037000000}">
      <text>
        <r>
          <rPr>
            <sz val="12"/>
            <color theme="1"/>
            <rFont val="Aptos Narrow"/>
            <family val="2"/>
            <scheme val="minor"/>
          </rPr>
          <t>W2 5.750</t>
        </r>
      </text>
    </comment>
    <comment ref="D22" authorId="6" shapeId="0" xr:uid="{00000000-0006-0000-2700-000038000000}">
      <text>
        <r>
          <rPr>
            <sz val="12"/>
            <color theme="1"/>
            <rFont val="Aptos Narrow"/>
            <family val="2"/>
            <scheme val="minor"/>
          </rPr>
          <t>Việt Hoàng:
Last week:
5.790.000</t>
        </r>
      </text>
    </comment>
    <comment ref="E22" authorId="1" shapeId="0" xr:uid="{00000000-0006-0000-2700-000039000000}">
      <text>
        <r>
          <rPr>
            <sz val="12"/>
            <color theme="1"/>
            <rFont val="Aptos Narrow"/>
            <family val="2"/>
            <scheme val="minor"/>
          </rPr>
          <t xml:space="preserve">Last week was: 5.790K
Tặng voucher giảm giá 100,000đ cho khách hàng đổi điểm trên ứng dụng Btaskee </t>
        </r>
      </text>
    </comment>
    <comment ref="B23" authorId="4" shapeId="0" xr:uid="{00000000-0006-0000-2700-00003A000000}">
      <text>
        <r>
          <rPr>
            <sz val="12"/>
            <color theme="1"/>
            <rFont val="Aptos Narrow"/>
            <family val="2"/>
            <scheme val="minor"/>
          </rPr>
          <t>was 7050
VNP40</t>
        </r>
      </text>
    </comment>
    <comment ref="C23" authorId="4" shapeId="0" xr:uid="{00000000-0006-0000-2700-00003B000000}">
      <text>
        <r>
          <rPr>
            <sz val="12"/>
            <color theme="1"/>
            <rFont val="Aptos Narrow"/>
            <family val="2"/>
            <scheme val="minor"/>
          </rPr>
          <t>W2 7.050</t>
        </r>
      </text>
    </comment>
    <comment ref="D23" authorId="6" shapeId="0" xr:uid="{00000000-0006-0000-2700-00003C000000}">
      <text>
        <r>
          <rPr>
            <sz val="12"/>
            <color theme="1"/>
            <rFont val="Aptos Narrow"/>
            <family val="2"/>
            <scheme val="minor"/>
          </rPr>
          <t>Việt Hoàng:
Last week:
7.090.000</t>
        </r>
      </text>
    </comment>
    <comment ref="E23" authorId="1" shapeId="0" xr:uid="{00000000-0006-0000-2700-00003D000000}">
      <text>
        <r>
          <rPr>
            <sz val="12"/>
            <color theme="1"/>
            <rFont val="Aptos Narrow"/>
            <family val="2"/>
            <scheme val="minor"/>
          </rPr>
          <t xml:space="preserve">  Tặng voucher giảm giá 100,000đ cho khách hàng đổi điểm trên ứng dụng Btaskee </t>
        </r>
      </text>
    </comment>
    <comment ref="F23" authorId="5" shapeId="0" xr:uid="{00000000-0006-0000-2700-00003E000000}">
      <text>
        <r>
          <rPr>
            <sz val="12"/>
            <color theme="1"/>
            <rFont val="Aptos Narrow"/>
            <family val="2"/>
            <scheme val="minor"/>
          </rPr>
          <t>chit trang:
7.190k</t>
        </r>
      </text>
    </comment>
    <comment ref="B24" authorId="4" shapeId="0" xr:uid="{00000000-0006-0000-2700-00003F000000}">
      <text>
        <r>
          <rPr>
            <sz val="12"/>
            <color theme="1"/>
            <rFont val="Aptos Narrow"/>
            <family val="2"/>
            <scheme val="minor"/>
          </rPr>
          <t>was 6550
VNP40</t>
        </r>
      </text>
    </comment>
    <comment ref="C24" authorId="4" shapeId="0" xr:uid="{00000000-0006-0000-2700-000040000000}">
      <text>
        <r>
          <rPr>
            <sz val="12"/>
            <color theme="1"/>
            <rFont val="Aptos Narrow"/>
            <family val="2"/>
            <scheme val="minor"/>
          </rPr>
          <t xml:space="preserve">W2 6.550
</t>
        </r>
      </text>
    </comment>
    <comment ref="D24" authorId="6" shapeId="0" xr:uid="{00000000-0006-0000-2700-000041000000}">
      <text>
        <r>
          <rPr>
            <sz val="12"/>
            <color theme="1"/>
            <rFont val="Aptos Narrow"/>
            <family val="2"/>
            <scheme val="minor"/>
          </rPr>
          <t>Việt Hoàng:
Last week:
6.590.000</t>
        </r>
      </text>
    </comment>
    <comment ref="E24" authorId="1" shapeId="0" xr:uid="{00000000-0006-0000-2700-000042000000}">
      <text>
        <r>
          <rPr>
            <sz val="12"/>
            <color theme="1"/>
            <rFont val="Aptos Narrow"/>
            <family val="2"/>
            <scheme val="minor"/>
          </rPr>
          <t xml:space="preserve">Tặng voucher giảm giá 100,000đ cho khách hàng đổi điểm trên ứng dụng Btaskee </t>
        </r>
      </text>
    </comment>
    <comment ref="F24" authorId="5" shapeId="0" xr:uid="{00000000-0006-0000-2700-000043000000}">
      <text>
        <r>
          <rPr>
            <sz val="12"/>
            <color theme="1"/>
            <rFont val="Aptos Narrow"/>
            <family val="2"/>
            <scheme val="minor"/>
          </rPr>
          <t>chit trang:
6.690k</t>
        </r>
      </text>
    </comment>
    <comment ref="B25" authorId="4" shapeId="0" xr:uid="{00000000-0006-0000-2700-000044000000}">
      <text>
        <r>
          <rPr>
            <sz val="12"/>
            <color theme="1"/>
            <rFont val="Aptos Narrow"/>
            <family val="2"/>
            <scheme val="minor"/>
          </rPr>
          <t>was 7850
VNP40</t>
        </r>
      </text>
    </comment>
    <comment ref="C25" authorId="4" shapeId="0" xr:uid="{00000000-0006-0000-2700-000045000000}">
      <text>
        <r>
          <rPr>
            <sz val="12"/>
            <color theme="1"/>
            <rFont val="Aptos Narrow"/>
            <family val="2"/>
            <scheme val="minor"/>
          </rPr>
          <t xml:space="preserve">W2 7.850
</t>
        </r>
      </text>
    </comment>
    <comment ref="D25" authorId="6" shapeId="0" xr:uid="{00000000-0006-0000-2700-000046000000}">
      <text>
        <r>
          <rPr>
            <sz val="12"/>
            <color theme="1"/>
            <rFont val="Aptos Narrow"/>
            <family val="2"/>
            <scheme val="minor"/>
          </rPr>
          <t>Việt Hoàng:
Last week:
7.890.000</t>
        </r>
      </text>
    </comment>
    <comment ref="E25" authorId="1" shapeId="0" xr:uid="{00000000-0006-0000-2700-000047000000}">
      <text>
        <r>
          <rPr>
            <sz val="12"/>
            <color theme="1"/>
            <rFont val="Aptos Narrow"/>
            <family val="2"/>
            <scheme val="minor"/>
          </rPr>
          <t xml:space="preserve">Tặng voucher giảm giá 100,000đ cho khách hàng đổi điểm trên ứng dụng Btaskee </t>
        </r>
      </text>
    </comment>
    <comment ref="B26" authorId="4" shapeId="0" xr:uid="{00000000-0006-0000-2700-000048000000}">
      <text>
        <r>
          <rPr>
            <sz val="12"/>
            <color theme="1"/>
            <rFont val="Aptos Narrow"/>
            <family val="2"/>
            <scheme val="minor"/>
          </rPr>
          <t>was 10690
VNP100</t>
        </r>
      </text>
    </comment>
    <comment ref="C26" authorId="4" shapeId="0" xr:uid="{00000000-0006-0000-2700-000049000000}">
      <text>
        <r>
          <rPr>
            <sz val="12"/>
            <color theme="1"/>
            <rFont val="Aptos Narrow"/>
            <family val="2"/>
            <scheme val="minor"/>
          </rPr>
          <t xml:space="preserve">W2 10.690
</t>
        </r>
      </text>
    </comment>
    <comment ref="D26" authorId="6" shapeId="0" xr:uid="{00000000-0006-0000-2700-00004A000000}">
      <text>
        <r>
          <rPr>
            <sz val="12"/>
            <color theme="1"/>
            <rFont val="Aptos Narrow"/>
            <family val="2"/>
            <scheme val="minor"/>
          </rPr>
          <t>Việt Hoàng:
Last week:
10.790.000</t>
        </r>
      </text>
    </comment>
    <comment ref="E26" authorId="2" shapeId="0" xr:uid="{00000000-0006-0000-2700-00004B000000}">
      <text>
        <r>
          <rPr>
            <sz val="12"/>
            <color theme="1"/>
            <rFont val="Aptos Narrow"/>
            <family val="2"/>
            <scheme val="minor"/>
          </rPr>
          <t>Last week was: 10.490K</t>
        </r>
      </text>
    </comment>
    <comment ref="F26" authorId="5" shapeId="0" xr:uid="{00000000-0006-0000-2700-00004C000000}">
      <text>
        <r>
          <rPr>
            <sz val="12"/>
            <color theme="1"/>
            <rFont val="Aptos Narrow"/>
            <family val="2"/>
            <scheme val="minor"/>
          </rPr>
          <t>chit trang:
10.590k</t>
        </r>
      </text>
    </comment>
    <comment ref="B27" authorId="4" shapeId="0" xr:uid="{00000000-0006-0000-2700-00004D000000}">
      <text>
        <r>
          <rPr>
            <sz val="12"/>
            <color theme="1"/>
            <rFont val="Aptos Narrow"/>
            <family val="2"/>
            <scheme val="minor"/>
          </rPr>
          <t>was 13290
VNP100</t>
        </r>
      </text>
    </comment>
    <comment ref="C27" authorId="4" shapeId="0" xr:uid="{00000000-0006-0000-2700-00004E000000}">
      <text>
        <r>
          <rPr>
            <sz val="12"/>
            <color theme="1"/>
            <rFont val="Aptos Narrow"/>
            <family val="2"/>
            <scheme val="minor"/>
          </rPr>
          <t>W2 13.290</t>
        </r>
      </text>
    </comment>
    <comment ref="D27" authorId="6" shapeId="0" xr:uid="{00000000-0006-0000-2700-00004F000000}">
      <text>
        <r>
          <rPr>
            <sz val="12"/>
            <color theme="1"/>
            <rFont val="Aptos Narrow"/>
            <family val="2"/>
            <scheme val="minor"/>
          </rPr>
          <t>Việt Hoàng:
Last week:
13.390.000</t>
        </r>
      </text>
    </comment>
    <comment ref="F27" authorId="5" shapeId="0" xr:uid="{00000000-0006-0000-2700-000050000000}">
      <text>
        <r>
          <rPr>
            <sz val="12"/>
            <color theme="1"/>
            <rFont val="Aptos Narrow"/>
            <family val="2"/>
            <scheme val="minor"/>
          </rPr>
          <t>chit trang:
13.190k</t>
        </r>
      </text>
    </comment>
    <comment ref="B28" authorId="4" shapeId="0" xr:uid="{00000000-0006-0000-2700-000051000000}">
      <text>
        <r>
          <rPr>
            <sz val="12"/>
            <color theme="1"/>
            <rFont val="Aptos Narrow"/>
            <family val="2"/>
            <scheme val="minor"/>
          </rPr>
          <t>was 11490
VNP100</t>
        </r>
      </text>
    </comment>
    <comment ref="C28" authorId="4" shapeId="0" xr:uid="{00000000-0006-0000-2700-000052000000}">
      <text>
        <r>
          <rPr>
            <sz val="12"/>
            <color theme="1"/>
            <rFont val="Aptos Narrow"/>
            <family val="2"/>
            <scheme val="minor"/>
          </rPr>
          <t>W2 11.490</t>
        </r>
      </text>
    </comment>
    <comment ref="D28" authorId="6" shapeId="0" xr:uid="{00000000-0006-0000-2700-000053000000}">
      <text>
        <r>
          <rPr>
            <sz val="12"/>
            <color theme="1"/>
            <rFont val="Aptos Narrow"/>
            <family val="2"/>
            <scheme val="minor"/>
          </rPr>
          <t>Việt Hoàng:
Last week:
11.590.000</t>
        </r>
      </text>
    </comment>
    <comment ref="F28" authorId="5" shapeId="0" xr:uid="{00000000-0006-0000-2700-000054000000}">
      <text>
        <r>
          <rPr>
            <sz val="12"/>
            <color theme="1"/>
            <rFont val="Aptos Narrow"/>
            <family val="2"/>
            <scheme val="minor"/>
          </rPr>
          <t>chit trang:
11.490k</t>
        </r>
      </text>
    </comment>
    <comment ref="B29" authorId="4" shapeId="0" xr:uid="{00000000-0006-0000-2700-000055000000}">
      <text>
        <r>
          <rPr>
            <sz val="12"/>
            <color theme="1"/>
            <rFont val="Aptos Narrow"/>
            <family val="2"/>
            <scheme val="minor"/>
          </rPr>
          <t>was 14090
VNP100</t>
        </r>
      </text>
    </comment>
    <comment ref="C29" authorId="4" shapeId="0" xr:uid="{00000000-0006-0000-2700-000056000000}">
      <text>
        <r>
          <rPr>
            <sz val="12"/>
            <color theme="1"/>
            <rFont val="Aptos Narrow"/>
            <family val="2"/>
            <scheme val="minor"/>
          </rPr>
          <t>W2 14.090</t>
        </r>
      </text>
    </comment>
    <comment ref="D29" authorId="6" shapeId="0" xr:uid="{00000000-0006-0000-2700-000057000000}">
      <text>
        <r>
          <rPr>
            <sz val="12"/>
            <color theme="1"/>
            <rFont val="Aptos Narrow"/>
            <family val="2"/>
            <scheme val="minor"/>
          </rPr>
          <t>Việt Hoàng:
Last week:
14.190.000</t>
        </r>
      </text>
    </comment>
    <comment ref="E30" authorId="1" shapeId="0" xr:uid="{00000000-0006-0000-2700-000058000000}">
      <text>
        <r>
          <rPr>
            <sz val="12"/>
            <color theme="1"/>
            <rFont val="Aptos Narrow"/>
            <family val="2"/>
            <scheme val="minor"/>
          </rPr>
          <t xml:space="preserve">Last week was: 21.690K
</t>
        </r>
      </text>
    </comment>
    <comment ref="E31" authorId="1" shapeId="0" xr:uid="{00000000-0006-0000-2700-000059000000}">
      <text>
        <r>
          <rPr>
            <sz val="12"/>
            <color theme="1"/>
            <rFont val="Aptos Narrow"/>
            <family val="2"/>
            <scheme val="minor"/>
          </rPr>
          <t xml:space="preserve">Last week was: 5.290K
</t>
        </r>
      </text>
    </comment>
    <comment ref="F31" authorId="5" shapeId="0" xr:uid="{00000000-0006-0000-2700-00005A000000}">
      <text>
        <r>
          <rPr>
            <sz val="12"/>
            <color theme="1"/>
            <rFont val="Aptos Narrow"/>
            <family val="2"/>
            <scheme val="minor"/>
          </rPr>
          <t>chit trang:
5.590k</t>
        </r>
      </text>
    </comment>
    <comment ref="E32" authorId="1" shapeId="0" xr:uid="{00000000-0006-0000-2700-00005B000000}">
      <text>
        <r>
          <rPr>
            <sz val="12"/>
            <color theme="1"/>
            <rFont val="Aptos Narrow"/>
            <family val="2"/>
            <scheme val="minor"/>
          </rPr>
          <t>Last week was: 4.790K
Voucher giảm 1% tối đa 300K VNPAY</t>
        </r>
      </text>
    </comment>
    <comment ref="G32" authorId="3" shapeId="0" xr:uid="{00000000-0006-0000-2700-00005C000000}">
      <text>
        <r>
          <rPr>
            <sz val="12"/>
            <color theme="1"/>
            <rFont val="Aptos Narrow"/>
            <family val="2"/>
            <scheme val="minor"/>
          </rPr>
          <t>Tran Dat:
4590</t>
        </r>
      </text>
    </comment>
    <comment ref="E33" authorId="4" shapeId="0" xr:uid="{00000000-0006-0000-2700-00005D000000}">
      <text>
        <r>
          <rPr>
            <sz val="12"/>
            <color theme="1"/>
            <rFont val="Aptos Narrow"/>
            <family val="2"/>
            <scheme val="minor"/>
          </rPr>
          <t>was 3490000</t>
        </r>
      </text>
    </comment>
    <comment ref="G33" authorId="3" shapeId="0" xr:uid="{00000000-0006-0000-2700-00005E000000}">
      <text>
        <r>
          <rPr>
            <sz val="12"/>
            <color theme="1"/>
            <rFont val="Aptos Narrow"/>
            <family val="2"/>
            <scheme val="minor"/>
          </rPr>
          <t>Tran Dat:
3360</t>
        </r>
      </text>
    </comment>
    <comment ref="E34" authorId="1" shapeId="0" xr:uid="{00000000-0006-0000-2700-00005F000000}">
      <text>
        <r>
          <rPr>
            <sz val="12"/>
            <color theme="1"/>
            <rFont val="Aptos Narrow"/>
            <family val="2"/>
            <scheme val="minor"/>
          </rPr>
          <t>Last week was: 3.890K</t>
        </r>
      </text>
    </comment>
    <comment ref="D35" authorId="6" shapeId="0" xr:uid="{00000000-0006-0000-2700-000060000000}">
      <text>
        <r>
          <rPr>
            <sz val="12"/>
            <color theme="1"/>
            <rFont val="Aptos Narrow"/>
            <family val="2"/>
            <scheme val="minor"/>
          </rPr>
          <t>Việt Hoàng:
Last week:
18.190.000</t>
        </r>
      </text>
    </comment>
    <comment ref="F35" authorId="5" shapeId="0" xr:uid="{00000000-0006-0000-2700-000061000000}">
      <text>
        <r>
          <rPr>
            <sz val="12"/>
            <color theme="1"/>
            <rFont val="Aptos Narrow"/>
            <family val="2"/>
            <scheme val="minor"/>
          </rPr>
          <t>chit trang:
17.990k</t>
        </r>
      </text>
    </comment>
    <comment ref="G35" authorId="3" shapeId="0" xr:uid="{00000000-0006-0000-2700-000062000000}">
      <text>
        <r>
          <rPr>
            <sz val="12"/>
            <color theme="1"/>
            <rFont val="Aptos Narrow"/>
            <family val="2"/>
            <scheme val="minor"/>
          </rPr>
          <t>Tran Dat:
17690</t>
        </r>
      </text>
    </comment>
    <comment ref="D36" authorId="6" shapeId="0" xr:uid="{00000000-0006-0000-2700-000063000000}">
      <text>
        <r>
          <rPr>
            <sz val="12"/>
            <color theme="1"/>
            <rFont val="Aptos Narrow"/>
            <family val="2"/>
            <scheme val="minor"/>
          </rPr>
          <t>Việt Hoàng:
Last week:
23.690.000</t>
        </r>
      </text>
    </comment>
    <comment ref="F36" authorId="5" shapeId="0" xr:uid="{00000000-0006-0000-2700-000064000000}">
      <text>
        <r>
          <rPr>
            <sz val="12"/>
            <color theme="1"/>
            <rFont val="Aptos Narrow"/>
            <family val="2"/>
            <scheme val="minor"/>
          </rPr>
          <t>chit trang:
23.190k</t>
        </r>
      </text>
    </comment>
    <comment ref="G36" authorId="3" shapeId="0" xr:uid="{00000000-0006-0000-2700-000065000000}">
      <text>
        <r>
          <rPr>
            <sz val="12"/>
            <color theme="1"/>
            <rFont val="Aptos Narrow"/>
            <family val="2"/>
            <scheme val="minor"/>
          </rPr>
          <t>Tran Dat:
23990</t>
        </r>
      </text>
    </comment>
    <comment ref="D37" authorId="6" shapeId="0" xr:uid="{00000000-0006-0000-2700-000066000000}">
      <text>
        <r>
          <rPr>
            <sz val="12"/>
            <color theme="1"/>
            <rFont val="Aptos Narrow"/>
            <family val="2"/>
            <scheme val="minor"/>
          </rPr>
          <t>Việt Hoàng:
Last week:
26.690.000</t>
        </r>
      </text>
    </comment>
    <comment ref="G37" authorId="3" shapeId="0" xr:uid="{00000000-0006-0000-2700-000067000000}">
      <text>
        <r>
          <rPr>
            <sz val="12"/>
            <color theme="1"/>
            <rFont val="Aptos Narrow"/>
            <family val="2"/>
            <scheme val="minor"/>
          </rPr>
          <t>Tran Dat:
26790</t>
        </r>
      </text>
    </comment>
    <comment ref="D38" authorId="6" shapeId="0" xr:uid="{00000000-0006-0000-2700-000068000000}">
      <text>
        <r>
          <rPr>
            <sz val="12"/>
            <color theme="1"/>
            <rFont val="Aptos Narrow"/>
            <family val="2"/>
            <scheme val="minor"/>
          </rPr>
          <t>Việt Hoàng:
Last week:
32.490.000</t>
        </r>
      </text>
    </comment>
    <comment ref="F38" authorId="5" shapeId="0" xr:uid="{00000000-0006-0000-2700-000069000000}">
      <text>
        <r>
          <rPr>
            <sz val="12"/>
            <color theme="1"/>
            <rFont val="Aptos Narrow"/>
            <family val="2"/>
            <scheme val="minor"/>
          </rPr>
          <t>chit trang:
32.690k</t>
        </r>
      </text>
    </comment>
    <comment ref="B39" authorId="4" shapeId="0" xr:uid="{00000000-0006-0000-2700-00006A000000}">
      <text>
        <r>
          <rPr>
            <sz val="12"/>
            <color theme="1"/>
            <rFont val="Aptos Narrow"/>
            <family val="2"/>
            <scheme val="minor"/>
          </rPr>
          <t>was 39840</t>
        </r>
      </text>
    </comment>
  </commentList>
</comments>
</file>

<file path=xl/comments41.xml><?xml version="1.0" encoding="utf-8"?>
<comments xmlns="http://schemas.openxmlformats.org/spreadsheetml/2006/main" xmlns:mc="http://schemas.openxmlformats.org/markup-compatibility/2006" xmlns:xr="http://schemas.microsoft.com/office/spreadsheetml/2014/revision" mc:Ignorable="xr">
  <authors>
    <author>Duy</author>
    <author>Việt Hoàng</author>
    <author>Sheva Son</author>
    <author>Tran Dat</author>
    <author>Microsoft Office User</author>
    <author>chit trang</author>
    <author>Người dùng Khách</author>
  </authors>
  <commentList>
    <comment ref="C2" authorId="0" shapeId="0" xr:uid="{00000000-0006-0000-2800-000001000000}">
      <text>
        <r>
          <rPr>
            <sz val="12"/>
            <color theme="1"/>
            <rFont val="Aptos Narrow"/>
            <family val="2"/>
            <scheme val="minor"/>
          </rPr>
          <t>W3 21340</t>
        </r>
      </text>
    </comment>
    <comment ref="D2" authorId="1" shapeId="0" xr:uid="{00000000-0006-0000-2800-000002000000}">
      <text>
        <r>
          <rPr>
            <sz val="12"/>
            <color theme="1"/>
            <rFont val="Aptos Narrow"/>
            <family val="2"/>
            <scheme val="minor"/>
          </rPr>
          <t>Việt Hoàng:
Last week:
21.190.000</t>
        </r>
      </text>
    </comment>
    <comment ref="E2" authorId="2" shapeId="0" xr:uid="{00000000-0006-0000-2800-000003000000}">
      <text>
        <r>
          <rPr>
            <sz val="12"/>
            <color theme="1"/>
            <rFont val="Aptos Narrow"/>
            <family val="2"/>
            <scheme val="minor"/>
          </rPr>
          <t xml:space="preserve">Last week is: 21.990K
 Tết vui khui Túi vàng Cơ hội trúng hàng trăm Túi vàng đến ngày 14/02/2025 </t>
        </r>
      </text>
    </comment>
    <comment ref="G2" authorId="3" shapeId="0" xr:uid="{00000000-0006-0000-2800-000004000000}">
      <text>
        <r>
          <rPr>
            <sz val="12"/>
            <color theme="1"/>
            <rFont val="Aptos Narrow"/>
            <family val="2"/>
            <scheme val="minor"/>
          </rPr>
          <t>Tran Dat:
20.890.000</t>
        </r>
      </text>
    </comment>
    <comment ref="B3" authorId="4" shapeId="0" xr:uid="{00000000-0006-0000-2800-000005000000}">
      <text>
        <r>
          <rPr>
            <sz val="12"/>
            <color theme="1"/>
            <rFont val="Aptos Narrow"/>
            <family val="2"/>
            <scheme val="minor"/>
          </rPr>
          <t>was 24640000
VNP150</t>
        </r>
      </text>
    </comment>
    <comment ref="C3" authorId="4" shapeId="0" xr:uid="{00000000-0006-0000-2800-000006000000}">
      <text>
        <r>
          <rPr>
            <sz val="12"/>
            <color theme="1"/>
            <rFont val="Aptos Narrow"/>
            <family val="2"/>
            <scheme val="minor"/>
          </rPr>
          <t>W3 24640</t>
        </r>
      </text>
    </comment>
    <comment ref="E3" authorId="2" shapeId="0" xr:uid="{00000000-0006-0000-2800-000007000000}">
      <text>
        <r>
          <rPr>
            <sz val="12"/>
            <color theme="1"/>
            <rFont val="Aptos Narrow"/>
            <family val="2"/>
            <scheme val="minor"/>
          </rPr>
          <t>Last week is: 24.990K
 Tết vui khui Túi vàng Cơ hội trúng hàng trăm Túi vàng đến ngày 14/02/2025 
Giảm thêm 100K cho khách hàng checkin tại tiểu cảnh Tết Corner của shop</t>
        </r>
      </text>
    </comment>
    <comment ref="G3" authorId="3" shapeId="0" xr:uid="{00000000-0006-0000-2800-000008000000}">
      <text>
        <r>
          <rPr>
            <sz val="12"/>
            <color theme="1"/>
            <rFont val="Aptos Narrow"/>
            <family val="2"/>
            <scheme val="minor"/>
          </rPr>
          <t xml:space="preserve">Tran Dat:
24.690.000
</t>
        </r>
      </text>
    </comment>
    <comment ref="C4" authorId="0" shapeId="0" xr:uid="{00000000-0006-0000-2800-000009000000}">
      <text>
        <r>
          <rPr>
            <sz val="12"/>
            <color theme="1"/>
            <rFont val="Aptos Narrow"/>
            <family val="2"/>
            <scheme val="minor"/>
          </rPr>
          <t>W3 27340</t>
        </r>
      </text>
    </comment>
    <comment ref="E4" authorId="4" shapeId="0" xr:uid="{00000000-0006-0000-2800-00000A000000}">
      <text>
        <r>
          <rPr>
            <sz val="12"/>
            <color theme="1"/>
            <rFont val="Aptos Narrow"/>
            <family val="2"/>
            <scheme val="minor"/>
          </rPr>
          <t xml:space="preserve">Last week was: 28.190K
Checkin tại khu vực Tết được giảm 100K
</t>
        </r>
      </text>
    </comment>
    <comment ref="B5" authorId="4" shapeId="0" xr:uid="{00000000-0006-0000-2800-00000B000000}">
      <text>
        <r>
          <rPr>
            <sz val="12"/>
            <color theme="1"/>
            <rFont val="Aptos Narrow"/>
            <family val="2"/>
            <scheme val="minor"/>
          </rPr>
          <t>Tặng phiếu mua hàng mua AirPods và Apple Watch trị giá 500,000đ
 Phiếu mua hàng mua sản phẩm giá niêm yết từ 5 triệu thuộc các nhóm TAI NGHE - LOA hãng HARMAN KARDON, JBL,MONSTER, KLIPSCH, MARSHALL, SONY; Smartwatch hãng HUAWEI, GARMIN, SAMSUNG, IMOO, OPPO, AMAZFIT trị giá 500.000đ</t>
        </r>
      </text>
    </comment>
    <comment ref="C5" authorId="0" shapeId="0" xr:uid="{00000000-0006-0000-2800-00000C000000}">
      <text>
        <r>
          <rPr>
            <sz val="12"/>
            <color theme="1"/>
            <rFont val="Aptos Narrow"/>
            <family val="2"/>
            <scheme val="minor"/>
          </rPr>
          <t>W3 32640</t>
        </r>
      </text>
    </comment>
    <comment ref="E5" authorId="2" shapeId="0" xr:uid="{00000000-0006-0000-2800-00000D000000}">
      <text>
        <r>
          <rPr>
            <sz val="12"/>
            <color theme="1"/>
            <rFont val="Aptos Narrow"/>
            <family val="2"/>
            <scheme val="minor"/>
          </rPr>
          <t xml:space="preserve">Last week is: 32.790K
Giảm giá shock giờ vàng từ 9-22h ngày 18-31/1/2025
 Tết vui khui Túi vàng Cơ hội trúng hàng trăm Túi vàng đến ngày 14/02/2025 </t>
        </r>
      </text>
    </comment>
    <comment ref="F5" authorId="5" shapeId="0" xr:uid="{00000000-0006-0000-2800-00000E000000}">
      <text>
        <r>
          <rPr>
            <sz val="12"/>
            <color theme="1"/>
            <rFont val="Aptos Narrow"/>
            <family val="2"/>
            <scheme val="minor"/>
          </rPr>
          <t>chit trang:
326790k</t>
        </r>
      </text>
    </comment>
    <comment ref="G5" authorId="3" shapeId="0" xr:uid="{00000000-0006-0000-2800-00000F000000}">
      <text>
        <r>
          <rPr>
            <sz val="12"/>
            <color theme="1"/>
            <rFont val="Aptos Narrow"/>
            <family val="2"/>
            <scheme val="minor"/>
          </rPr>
          <t>Tran Dat:
32.390</t>
        </r>
      </text>
    </comment>
    <comment ref="C6" authorId="0" shapeId="0" xr:uid="{00000000-0006-0000-2800-000010000000}">
      <text>
        <r>
          <rPr>
            <sz val="12"/>
            <color theme="1"/>
            <rFont val="Aptos Narrow"/>
            <family val="2"/>
            <scheme val="minor"/>
          </rPr>
          <t>W3 18740</t>
        </r>
      </text>
    </comment>
    <comment ref="D6" authorId="1" shapeId="0" xr:uid="{00000000-0006-0000-2800-000011000000}">
      <text>
        <r>
          <rPr>
            <sz val="12"/>
            <color theme="1"/>
            <rFont val="Aptos Narrow"/>
            <family val="2"/>
            <scheme val="minor"/>
          </rPr>
          <t>Việt Hoàng:
Last week:
18.990.000</t>
        </r>
      </text>
    </comment>
    <comment ref="E6" authorId="2" shapeId="0" xr:uid="{00000000-0006-0000-2800-000012000000}">
      <text>
        <r>
          <rPr>
            <sz val="12"/>
            <color theme="1"/>
            <rFont val="Aptos Narrow"/>
            <family val="2"/>
            <scheme val="minor"/>
          </rPr>
          <t xml:space="preserve">Last week is: 19.490K
 Tết vui khui Túi vàng Cơ hội trúng hàng trăm Túi vàng đến ngày 14/02/2025 </t>
        </r>
      </text>
    </comment>
    <comment ref="C7" authorId="0" shapeId="0" xr:uid="{00000000-0006-0000-2800-000013000000}">
      <text>
        <r>
          <rPr>
            <sz val="12"/>
            <color theme="1"/>
            <rFont val="Aptos Narrow"/>
            <family val="2"/>
            <scheme val="minor"/>
          </rPr>
          <t>W3 22440</t>
        </r>
      </text>
    </comment>
    <comment ref="E7" authorId="2" shapeId="0" xr:uid="{00000000-0006-0000-2800-000014000000}">
      <text>
        <r>
          <rPr>
            <sz val="12"/>
            <color theme="1"/>
            <rFont val="Aptos Narrow"/>
            <family val="2"/>
            <scheme val="minor"/>
          </rPr>
          <t xml:space="preserve">Last week is: 22.990K
Giảm ngay 200,000đ cho khách hàng mua gói cước 3V200B </t>
        </r>
      </text>
    </comment>
    <comment ref="G7" authorId="3" shapeId="0" xr:uid="{00000000-0006-0000-2800-000015000000}">
      <text>
        <r>
          <rPr>
            <sz val="12"/>
            <color theme="1"/>
            <rFont val="Aptos Narrow"/>
            <family val="2"/>
            <scheme val="minor"/>
          </rPr>
          <t>Tran Dat:
21.790</t>
        </r>
      </text>
    </comment>
    <comment ref="B9" authorId="4" shapeId="0" xr:uid="{00000000-0006-0000-2800-000016000000}">
      <text>
        <r>
          <rPr>
            <sz val="12"/>
            <color theme="1"/>
            <rFont val="Aptos Narrow"/>
            <family val="2"/>
            <scheme val="minor"/>
          </rPr>
          <t>was 29140000
VNP150</t>
        </r>
      </text>
    </comment>
    <comment ref="C9" authorId="4" shapeId="0" xr:uid="{00000000-0006-0000-2800-000017000000}">
      <text>
        <r>
          <rPr>
            <sz val="12"/>
            <color theme="1"/>
            <rFont val="Aptos Narrow"/>
            <family val="2"/>
            <scheme val="minor"/>
          </rPr>
          <t>W3 29140</t>
        </r>
      </text>
    </comment>
    <comment ref="E9" authorId="2" shapeId="0" xr:uid="{00000000-0006-0000-2800-000018000000}">
      <text>
        <r>
          <rPr>
            <sz val="12"/>
            <color theme="1"/>
            <rFont val="Aptos Narrow"/>
            <family val="2"/>
            <scheme val="minor"/>
          </rPr>
          <t xml:space="preserve">Last week was: 28.490.000
</t>
        </r>
      </text>
    </comment>
    <comment ref="B10" authorId="4" shapeId="0" xr:uid="{00000000-0006-0000-2800-000019000000}">
      <text>
        <r>
          <rPr>
            <sz val="12"/>
            <color theme="1"/>
            <rFont val="Aptos Narrow"/>
            <family val="2"/>
            <scheme val="minor"/>
          </rPr>
          <t>was 18440</t>
        </r>
      </text>
    </comment>
    <comment ref="C10" authorId="4" shapeId="0" xr:uid="{00000000-0006-0000-2800-00001A000000}">
      <text>
        <r>
          <rPr>
            <sz val="12"/>
            <color theme="1"/>
            <rFont val="Aptos Narrow"/>
            <family val="2"/>
            <scheme val="minor"/>
          </rPr>
          <t>W3 18440</t>
        </r>
      </text>
    </comment>
    <comment ref="E10" authorId="2" shapeId="0" xr:uid="{00000000-0006-0000-2800-00001B000000}">
      <text>
        <r>
          <rPr>
            <sz val="12"/>
            <color theme="1"/>
            <rFont val="Aptos Narrow"/>
            <family val="2"/>
            <scheme val="minor"/>
          </rPr>
          <t xml:space="preserve">Last week was: 19.690K
Chỉ còn màu Purple, Blue, White số lượng ít
</t>
        </r>
      </text>
    </comment>
    <comment ref="B12" authorId="4" shapeId="0" xr:uid="{00000000-0006-0000-2800-00001C000000}">
      <text>
        <r>
          <rPr>
            <sz val="12"/>
            <color theme="1"/>
            <rFont val="Aptos Narrow"/>
            <family val="2"/>
            <scheme val="minor"/>
          </rPr>
          <t>was 13190
VNP100</t>
        </r>
      </text>
    </comment>
    <comment ref="C12" authorId="4" shapeId="0" xr:uid="{00000000-0006-0000-2800-00001D000000}">
      <text>
        <r>
          <rPr>
            <sz val="12"/>
            <color theme="1"/>
            <rFont val="Aptos Narrow"/>
            <family val="2"/>
            <scheme val="minor"/>
          </rPr>
          <t xml:space="preserve">W3 13190
</t>
        </r>
      </text>
    </comment>
    <comment ref="E12" authorId="2" shapeId="0" xr:uid="{00000000-0006-0000-2800-00001E000000}">
      <text>
        <r>
          <rPr>
            <sz val="12"/>
            <color theme="1"/>
            <rFont val="Aptos Narrow"/>
            <family val="2"/>
            <scheme val="minor"/>
          </rPr>
          <t xml:space="preserve">
- Tết vui khui Túi vàng Cơ hội trúng hàng trăm Túi vàng đến ngày 14/02/2025 
- Giảm 700K cho màu Đen và Starlight (trừ vào giá)
</t>
        </r>
      </text>
    </comment>
    <comment ref="G12" authorId="3" shapeId="0" xr:uid="{00000000-0006-0000-2800-00001F000000}">
      <text>
        <r>
          <rPr>
            <sz val="12"/>
            <color theme="1"/>
            <rFont val="Aptos Narrow"/>
            <family val="2"/>
            <scheme val="minor"/>
          </rPr>
          <t>Tran Dat:
12790</t>
        </r>
      </text>
    </comment>
    <comment ref="E13" authorId="6" shapeId="0" xr:uid="{00000000-0006-0000-2800-000020000000}">
      <text>
        <r>
          <rPr>
            <sz val="12"/>
            <color theme="1"/>
            <rFont val="Aptos Narrow"/>
            <family val="2"/>
            <scheme val="minor"/>
          </rPr>
          <t>Last week was: 10.990K</t>
        </r>
      </text>
    </comment>
    <comment ref="E14" authorId="2" shapeId="0" xr:uid="{00000000-0006-0000-2800-000021000000}">
      <text>
        <r>
          <rPr>
            <sz val="12"/>
            <color theme="1"/>
            <rFont val="Aptos Narrow"/>
            <family val="2"/>
            <scheme val="minor"/>
          </rPr>
          <t xml:space="preserve">Giảm 200K khi mua Online (đã trừ vào giá)
Trợ giá 4G giảm 300K đã trừ vào giá
</t>
        </r>
      </text>
    </comment>
    <comment ref="E15" authorId="4" shapeId="0" xr:uid="{00000000-0006-0000-2800-000022000000}">
      <text>
        <r>
          <rPr>
            <sz val="12"/>
            <color theme="1"/>
            <rFont val="Aptos Narrow"/>
            <family val="2"/>
            <scheme val="minor"/>
          </rPr>
          <t>Last week was: 13.990K
 Màu Black và Starlight giảm thêm 700K còn 13.290K</t>
        </r>
      </text>
    </comment>
    <comment ref="E16" authorId="2" shapeId="0" xr:uid="{00000000-0006-0000-2800-000023000000}">
      <text>
        <r>
          <rPr>
            <sz val="12"/>
            <color theme="1"/>
            <rFont val="Aptos Narrow"/>
            <family val="2"/>
            <scheme val="minor"/>
          </rPr>
          <t xml:space="preserve">Last week is: 8.490K
</t>
        </r>
      </text>
    </comment>
    <comment ref="B17" authorId="4" shapeId="0" xr:uid="{00000000-0006-0000-2800-000024000000}">
      <text>
        <r>
          <rPr>
            <sz val="12"/>
            <color theme="1"/>
            <rFont val="Aptos Narrow"/>
            <family val="2"/>
            <scheme val="minor"/>
          </rPr>
          <t>was 7040
VNP40</t>
        </r>
      </text>
    </comment>
    <comment ref="C17" authorId="4" shapeId="0" xr:uid="{00000000-0006-0000-2800-000025000000}">
      <text>
        <r>
          <rPr>
            <sz val="12"/>
            <color theme="1"/>
            <rFont val="Aptos Narrow"/>
            <family val="2"/>
            <scheme val="minor"/>
          </rPr>
          <t xml:space="preserve">W3 7040
</t>
        </r>
      </text>
    </comment>
    <comment ref="E17" authorId="2" shapeId="0" xr:uid="{00000000-0006-0000-2800-000026000000}">
      <text>
        <r>
          <rPr>
            <sz val="12"/>
            <color theme="1"/>
            <rFont val="Aptos Narrow"/>
            <family val="2"/>
            <scheme val="minor"/>
          </rPr>
          <t>Last week was: 6.890k</t>
        </r>
      </text>
    </comment>
    <comment ref="B18" authorId="4" shapeId="0" xr:uid="{00000000-0006-0000-2800-000027000000}">
      <text>
        <r>
          <rPr>
            <sz val="12"/>
            <color theme="1"/>
            <rFont val="Aptos Narrow"/>
            <family val="2"/>
            <scheme val="minor"/>
          </rPr>
          <t>was 14390</t>
        </r>
      </text>
    </comment>
    <comment ref="C18" authorId="4" shapeId="0" xr:uid="{00000000-0006-0000-2800-000028000000}">
      <text>
        <r>
          <rPr>
            <sz val="12"/>
            <color theme="1"/>
            <rFont val="Aptos Narrow"/>
            <family val="2"/>
            <scheme val="minor"/>
          </rPr>
          <t>W3 14390</t>
        </r>
      </text>
    </comment>
    <comment ref="E18" authorId="2" shapeId="0" xr:uid="{00000000-0006-0000-2800-000029000000}">
      <text>
        <r>
          <rPr>
            <sz val="12"/>
            <color theme="1"/>
            <rFont val="Aptos Narrow"/>
            <family val="2"/>
            <scheme val="minor"/>
          </rPr>
          <t xml:space="preserve">Last week was: 14.340K
</t>
        </r>
      </text>
    </comment>
    <comment ref="G18" authorId="3" shapeId="0" xr:uid="{00000000-0006-0000-2800-00002A000000}">
      <text>
        <r>
          <rPr>
            <sz val="12"/>
            <color theme="1"/>
            <rFont val="Aptos Narrow"/>
            <family val="2"/>
            <scheme val="minor"/>
          </rPr>
          <t>Tran Dat:14.790</t>
        </r>
      </text>
    </comment>
    <comment ref="E19" authorId="2" shapeId="0" xr:uid="{00000000-0006-0000-2800-00002B000000}">
      <text>
        <r>
          <rPr>
            <sz val="12"/>
            <color theme="1"/>
            <rFont val="Aptos Narrow"/>
            <family val="2"/>
            <scheme val="minor"/>
          </rPr>
          <t xml:space="preserve">Last week is: 21.275K
</t>
        </r>
      </text>
    </comment>
    <comment ref="G19" authorId="3" shapeId="0" xr:uid="{00000000-0006-0000-2800-00002C000000}">
      <text>
        <r>
          <rPr>
            <sz val="12"/>
            <color theme="1"/>
            <rFont val="Aptos Narrow"/>
            <family val="2"/>
            <scheme val="minor"/>
          </rPr>
          <t>Tran Dat:
20190000</t>
        </r>
      </text>
    </comment>
    <comment ref="E20" authorId="2" shapeId="0" xr:uid="{00000000-0006-0000-2800-00002D000000}">
      <text>
        <r>
          <rPr>
            <sz val="12"/>
            <color theme="1"/>
            <rFont val="Aptos Narrow"/>
            <family val="2"/>
            <scheme val="minor"/>
          </rPr>
          <t xml:space="preserve">Last week is: 26.918K
</t>
        </r>
      </text>
    </comment>
    <comment ref="B21" authorId="4" shapeId="0" xr:uid="{00000000-0006-0000-2800-00002E000000}">
      <text>
        <r>
          <rPr>
            <sz val="12"/>
            <color theme="1"/>
            <rFont val="Aptos Narrow"/>
            <family val="2"/>
            <scheme val="minor"/>
          </rPr>
          <t>was 36640</t>
        </r>
      </text>
    </comment>
    <comment ref="C21" authorId="4" shapeId="0" xr:uid="{00000000-0006-0000-2800-00002F000000}">
      <text>
        <r>
          <rPr>
            <sz val="12"/>
            <color theme="1"/>
            <rFont val="Aptos Narrow"/>
            <family val="2"/>
            <scheme val="minor"/>
          </rPr>
          <t>W3 36640</t>
        </r>
      </text>
    </comment>
    <comment ref="E21" authorId="2" shapeId="0" xr:uid="{00000000-0006-0000-2800-000030000000}">
      <text>
        <r>
          <rPr>
            <sz val="12"/>
            <color theme="1"/>
            <rFont val="Aptos Narrow"/>
            <family val="2"/>
            <scheme val="minor"/>
          </rPr>
          <t xml:space="preserve">Last week was: 36.790K
Nhập mã ZLP500 giảm ngay 500.000đ cho đơn hàng tối thiểu từ 20 triệu trở lên qua Zalopay (Yêu cầu thanh toán 100% giá trị đơn hàng) 
</t>
        </r>
      </text>
    </comment>
    <comment ref="E22" authorId="2" shapeId="0" xr:uid="{00000000-0006-0000-2800-000031000000}">
      <text>
        <r>
          <rPr>
            <sz val="12"/>
            <color theme="1"/>
            <rFont val="Aptos Narrow"/>
            <family val="2"/>
            <scheme val="minor"/>
          </rPr>
          <t xml:space="preserve">Last week was: 5.790K
Tặng voucher giảm giá 100,000đ cho khách hàng đổi điểm trên ứng dụng Btaskee </t>
        </r>
      </text>
    </comment>
    <comment ref="G22" authorId="3" shapeId="0" xr:uid="{00000000-0006-0000-2800-000032000000}">
      <text>
        <r>
          <rPr>
            <sz val="12"/>
            <color theme="1"/>
            <rFont val="Aptos Narrow"/>
            <family val="2"/>
            <scheme val="minor"/>
          </rPr>
          <t>Tran Dat:
5790</t>
        </r>
      </text>
    </comment>
    <comment ref="E23" authorId="2" shapeId="0" xr:uid="{00000000-0006-0000-2800-000033000000}">
      <text>
        <r>
          <rPr>
            <sz val="12"/>
            <color theme="1"/>
            <rFont val="Aptos Narrow"/>
            <family val="2"/>
            <scheme val="minor"/>
          </rPr>
          <t xml:space="preserve">  Tặng voucher giảm giá 100,000đ cho khách hàng đổi điểm trên ứng dụng Btaskee </t>
        </r>
      </text>
    </comment>
    <comment ref="F23" authorId="5" shapeId="0" xr:uid="{00000000-0006-0000-2800-000034000000}">
      <text>
        <r>
          <rPr>
            <sz val="12"/>
            <color theme="1"/>
            <rFont val="Aptos Narrow"/>
            <family val="2"/>
            <scheme val="minor"/>
          </rPr>
          <t>chit trang:
7.190k</t>
        </r>
      </text>
    </comment>
    <comment ref="E24" authorId="2" shapeId="0" xr:uid="{00000000-0006-0000-2800-000035000000}">
      <text>
        <r>
          <rPr>
            <sz val="12"/>
            <color theme="1"/>
            <rFont val="Aptos Narrow"/>
            <family val="2"/>
            <scheme val="minor"/>
          </rPr>
          <t xml:space="preserve">Tặng voucher giảm giá 100,000đ cho khách hàng đổi điểm trên ứng dụng Btaskee </t>
        </r>
      </text>
    </comment>
    <comment ref="G24" authorId="3" shapeId="0" xr:uid="{00000000-0006-0000-2800-000036000000}">
      <text>
        <r>
          <rPr>
            <sz val="12"/>
            <color theme="1"/>
            <rFont val="Aptos Narrow"/>
            <family val="2"/>
            <scheme val="minor"/>
          </rPr>
          <t>Tran Dat:
6590000</t>
        </r>
      </text>
    </comment>
    <comment ref="E25" authorId="2" shapeId="0" xr:uid="{00000000-0006-0000-2800-000037000000}">
      <text>
        <r>
          <rPr>
            <sz val="12"/>
            <color theme="1"/>
            <rFont val="Aptos Narrow"/>
            <family val="2"/>
            <scheme val="minor"/>
          </rPr>
          <t xml:space="preserve">Tặng voucher giảm giá 100,000đ cho khách hàng đổi điểm trên ứng dụng Btaskee </t>
        </r>
      </text>
    </comment>
    <comment ref="E26" authorId="6" shapeId="0" xr:uid="{00000000-0006-0000-2800-000038000000}">
      <text>
        <r>
          <rPr>
            <sz val="12"/>
            <color theme="1"/>
            <rFont val="Aptos Narrow"/>
            <family val="2"/>
            <scheme val="minor"/>
          </rPr>
          <t>Last week was: 10.490K</t>
        </r>
      </text>
    </comment>
    <comment ref="F26" authorId="5" shapeId="0" xr:uid="{00000000-0006-0000-2800-000039000000}">
      <text>
        <r>
          <rPr>
            <sz val="12"/>
            <color theme="1"/>
            <rFont val="Aptos Narrow"/>
            <family val="2"/>
            <scheme val="minor"/>
          </rPr>
          <t>chit trang:
9.790.000</t>
        </r>
      </text>
    </comment>
    <comment ref="G26" authorId="3" shapeId="0" xr:uid="{00000000-0006-0000-2800-00003A000000}">
      <text>
        <r>
          <rPr>
            <sz val="12"/>
            <color theme="1"/>
            <rFont val="Aptos Narrow"/>
            <family val="2"/>
            <scheme val="minor"/>
          </rPr>
          <t>Tran Dat:
10990000</t>
        </r>
      </text>
    </comment>
    <comment ref="F27" authorId="5" shapeId="0" xr:uid="{00000000-0006-0000-2800-00003B000000}">
      <text>
        <r>
          <rPr>
            <sz val="12"/>
            <color theme="1"/>
            <rFont val="Aptos Narrow"/>
            <family val="2"/>
            <scheme val="minor"/>
          </rPr>
          <t>chit trang:
13.190k</t>
        </r>
      </text>
    </comment>
    <comment ref="F28" authorId="5" shapeId="0" xr:uid="{00000000-0006-0000-2800-00003C000000}">
      <text>
        <r>
          <rPr>
            <sz val="12"/>
            <color theme="1"/>
            <rFont val="Aptos Narrow"/>
            <family val="2"/>
            <scheme val="minor"/>
          </rPr>
          <t>chit trang:
11.490k</t>
        </r>
      </text>
    </comment>
    <comment ref="G28" authorId="3" shapeId="0" xr:uid="{00000000-0006-0000-2800-00003D000000}">
      <text>
        <r>
          <rPr>
            <sz val="12"/>
            <color theme="1"/>
            <rFont val="Aptos Narrow"/>
            <family val="2"/>
            <scheme val="minor"/>
          </rPr>
          <t>Tran Dat:
11690000</t>
        </r>
      </text>
    </comment>
    <comment ref="B29" authorId="4" shapeId="0" xr:uid="{00000000-0006-0000-2800-00003E000000}">
      <text>
        <r>
          <rPr>
            <sz val="12"/>
            <color theme="1"/>
            <rFont val="Aptos Narrow"/>
            <family val="2"/>
            <scheme val="minor"/>
          </rPr>
          <t>was 13320
VNP100</t>
        </r>
      </text>
    </comment>
    <comment ref="C29" authorId="4" shapeId="0" xr:uid="{00000000-0006-0000-2800-00003F000000}">
      <text>
        <r>
          <rPr>
            <sz val="12"/>
            <color theme="1"/>
            <rFont val="Aptos Narrow"/>
            <family val="2"/>
            <scheme val="minor"/>
          </rPr>
          <t xml:space="preserve">W3 13320
</t>
        </r>
      </text>
    </comment>
    <comment ref="F29" authorId="5" shapeId="0" xr:uid="{00000000-0006-0000-2800-000040000000}">
      <text>
        <r>
          <rPr>
            <sz val="12"/>
            <color theme="1"/>
            <rFont val="Aptos Narrow"/>
            <family val="2"/>
            <scheme val="minor"/>
          </rPr>
          <t>chit trang:
14.090k</t>
        </r>
      </text>
    </comment>
    <comment ref="G29" authorId="3" shapeId="0" xr:uid="{00000000-0006-0000-2800-000041000000}">
      <text>
        <r>
          <rPr>
            <sz val="12"/>
            <color theme="1"/>
            <rFont val="Aptos Narrow"/>
            <family val="2"/>
            <scheme val="minor"/>
          </rPr>
          <t>Tran Dat:
13290000</t>
        </r>
      </text>
    </comment>
    <comment ref="E30" authorId="2" shapeId="0" xr:uid="{00000000-0006-0000-2800-000042000000}">
      <text>
        <r>
          <rPr>
            <sz val="12"/>
            <color theme="1"/>
            <rFont val="Aptos Narrow"/>
            <family val="2"/>
            <scheme val="minor"/>
          </rPr>
          <t xml:space="preserve">Last week was: 21.690K
</t>
        </r>
      </text>
    </comment>
    <comment ref="G30" authorId="3" shapeId="0" xr:uid="{00000000-0006-0000-2800-000043000000}">
      <text>
        <r>
          <rPr>
            <sz val="12"/>
            <color theme="1"/>
            <rFont val="Aptos Narrow"/>
            <family val="2"/>
            <scheme val="minor"/>
          </rPr>
          <t xml:space="preserve">Tran Dat:
22990000
</t>
        </r>
      </text>
    </comment>
    <comment ref="B31" authorId="4" shapeId="0" xr:uid="{00000000-0006-0000-2800-000044000000}">
      <text>
        <r>
          <rPr>
            <sz val="12"/>
            <color theme="1"/>
            <rFont val="Aptos Narrow"/>
            <family val="2"/>
            <scheme val="minor"/>
          </rPr>
          <t>was 5550
VNP40</t>
        </r>
      </text>
    </comment>
    <comment ref="C31" authorId="4" shapeId="0" xr:uid="{00000000-0006-0000-2800-000045000000}">
      <text>
        <r>
          <rPr>
            <sz val="12"/>
            <color theme="1"/>
            <rFont val="Aptos Narrow"/>
            <family val="2"/>
            <scheme val="minor"/>
          </rPr>
          <t xml:space="preserve">W3 5550
</t>
        </r>
      </text>
    </comment>
    <comment ref="D31" authorId="1" shapeId="0" xr:uid="{00000000-0006-0000-2800-000046000000}">
      <text>
        <r>
          <rPr>
            <sz val="12"/>
            <color theme="1"/>
            <rFont val="Aptos Narrow"/>
            <family val="2"/>
            <scheme val="minor"/>
          </rPr>
          <t>Việt Hoàng:
Last week:
5.590.000</t>
        </r>
      </text>
    </comment>
    <comment ref="E31" authorId="2" shapeId="0" xr:uid="{00000000-0006-0000-2800-000047000000}">
      <text>
        <r>
          <rPr>
            <sz val="12"/>
            <color theme="1"/>
            <rFont val="Aptos Narrow"/>
            <family val="2"/>
            <scheme val="minor"/>
          </rPr>
          <t xml:space="preserve">Last week was: 5.290K
</t>
        </r>
      </text>
    </comment>
    <comment ref="G31" authorId="3" shapeId="0" xr:uid="{00000000-0006-0000-2800-000048000000}">
      <text>
        <r>
          <rPr>
            <sz val="12"/>
            <color theme="1"/>
            <rFont val="Aptos Narrow"/>
            <family val="2"/>
            <scheme val="minor"/>
          </rPr>
          <t>Tran Dat:
5490000</t>
        </r>
      </text>
    </comment>
    <comment ref="B32" authorId="4" shapeId="0" xr:uid="{00000000-0006-0000-2800-000049000000}">
      <text>
        <r>
          <rPr>
            <sz val="12"/>
            <color theme="1"/>
            <rFont val="Aptos Narrow"/>
            <family val="2"/>
            <scheme val="minor"/>
          </rPr>
          <t xml:space="preserve">was 4490
</t>
        </r>
      </text>
    </comment>
    <comment ref="C32" authorId="4" shapeId="0" xr:uid="{00000000-0006-0000-2800-00004A000000}">
      <text>
        <r>
          <rPr>
            <sz val="12"/>
            <color theme="1"/>
            <rFont val="Aptos Narrow"/>
            <family val="2"/>
            <scheme val="minor"/>
          </rPr>
          <t xml:space="preserve">W3 4490
</t>
        </r>
      </text>
    </comment>
    <comment ref="D32" authorId="1" shapeId="0" xr:uid="{00000000-0006-0000-2800-00004B000000}">
      <text>
        <r>
          <rPr>
            <sz val="12"/>
            <color theme="1"/>
            <rFont val="Aptos Narrow"/>
            <family val="2"/>
            <scheme val="minor"/>
          </rPr>
          <t>Việt Hoàng:
Last week:
4.490.000</t>
        </r>
      </text>
    </comment>
    <comment ref="E32" authorId="2" shapeId="0" xr:uid="{00000000-0006-0000-2800-00004C000000}">
      <text>
        <r>
          <rPr>
            <sz val="12"/>
            <color theme="1"/>
            <rFont val="Aptos Narrow"/>
            <family val="2"/>
            <scheme val="minor"/>
          </rPr>
          <t>Last week was: 4.790K
Voucher giảm 1% tối đa 300K VNPAY</t>
        </r>
      </text>
    </comment>
    <comment ref="B33" authorId="4" shapeId="0" xr:uid="{00000000-0006-0000-2800-00004D000000}">
      <text>
        <r>
          <rPr>
            <sz val="12"/>
            <color theme="1"/>
            <rFont val="Aptos Narrow"/>
            <family val="2"/>
            <scheme val="minor"/>
          </rPr>
          <t>was 3190</t>
        </r>
      </text>
    </comment>
    <comment ref="C33" authorId="4" shapeId="0" xr:uid="{00000000-0006-0000-2800-00004E000000}">
      <text>
        <r>
          <rPr>
            <sz val="12"/>
            <color theme="1"/>
            <rFont val="Aptos Narrow"/>
            <family val="2"/>
            <scheme val="minor"/>
          </rPr>
          <t>W3 3190</t>
        </r>
      </text>
    </comment>
    <comment ref="D33" authorId="1" shapeId="0" xr:uid="{00000000-0006-0000-2800-00004F000000}">
      <text>
        <r>
          <rPr>
            <sz val="12"/>
            <color theme="1"/>
            <rFont val="Aptos Narrow"/>
            <family val="2"/>
            <scheme val="minor"/>
          </rPr>
          <t>Việt Hoàng:
Last week:
3.190.000</t>
        </r>
      </text>
    </comment>
    <comment ref="E33" authorId="4" shapeId="0" xr:uid="{00000000-0006-0000-2800-000050000000}">
      <text>
        <r>
          <rPr>
            <sz val="12"/>
            <color theme="1"/>
            <rFont val="Aptos Narrow"/>
            <family val="2"/>
            <scheme val="minor"/>
          </rPr>
          <t>was 3490000</t>
        </r>
      </text>
    </comment>
    <comment ref="E34" authorId="2" shapeId="0" xr:uid="{00000000-0006-0000-2800-000051000000}">
      <text>
        <r>
          <rPr>
            <sz val="12"/>
            <color theme="1"/>
            <rFont val="Aptos Narrow"/>
            <family val="2"/>
            <scheme val="minor"/>
          </rPr>
          <t>Last week was: 3.890K</t>
        </r>
      </text>
    </comment>
    <comment ref="B35" authorId="4" shapeId="0" xr:uid="{00000000-0006-0000-2800-000052000000}">
      <text>
        <r>
          <rPr>
            <sz val="12"/>
            <color theme="1"/>
            <rFont val="Aptos Narrow"/>
            <family val="2"/>
            <scheme val="minor"/>
          </rPr>
          <t>was 18090
VNP100</t>
        </r>
      </text>
    </comment>
    <comment ref="C35" authorId="4" shapeId="0" xr:uid="{00000000-0006-0000-2800-000053000000}">
      <text>
        <r>
          <rPr>
            <sz val="12"/>
            <color theme="1"/>
            <rFont val="Aptos Narrow"/>
            <family val="2"/>
            <scheme val="minor"/>
          </rPr>
          <t xml:space="preserve">W3 18090
</t>
        </r>
      </text>
    </comment>
    <comment ref="G35" authorId="3" shapeId="0" xr:uid="{00000000-0006-0000-2800-000054000000}">
      <text>
        <r>
          <rPr>
            <sz val="12"/>
            <color theme="1"/>
            <rFont val="Aptos Narrow"/>
            <family val="2"/>
            <scheme val="minor"/>
          </rPr>
          <t>Tran Dat:
17690</t>
        </r>
      </text>
    </comment>
    <comment ref="G36" authorId="3" shapeId="0" xr:uid="{00000000-0006-0000-2800-000055000000}">
      <text>
        <r>
          <rPr>
            <sz val="12"/>
            <color theme="1"/>
            <rFont val="Aptos Narrow"/>
            <family val="2"/>
            <scheme val="minor"/>
          </rPr>
          <t>Tran Dat:
22990</t>
        </r>
      </text>
    </comment>
    <comment ref="B37" authorId="4" shapeId="0" xr:uid="{00000000-0006-0000-2800-000056000000}">
      <text>
        <r>
          <rPr>
            <sz val="12"/>
            <color theme="1"/>
            <rFont val="Aptos Narrow"/>
            <family val="2"/>
            <scheme val="minor"/>
          </rPr>
          <t>was 26140
VNP150</t>
        </r>
      </text>
    </comment>
    <comment ref="G37" authorId="3" shapeId="0" xr:uid="{00000000-0006-0000-2800-000057000000}">
      <text>
        <r>
          <rPr>
            <sz val="12"/>
            <color theme="1"/>
            <rFont val="Aptos Narrow"/>
            <family val="2"/>
            <scheme val="minor"/>
          </rPr>
          <t>Tran Dat:
25890</t>
        </r>
      </text>
    </comment>
    <comment ref="G38" authorId="3" shapeId="0" xr:uid="{00000000-0006-0000-2800-000058000000}">
      <text>
        <r>
          <rPr>
            <sz val="12"/>
            <color theme="1"/>
            <rFont val="Aptos Narrow"/>
            <family val="2"/>
            <scheme val="minor"/>
          </rPr>
          <t>Tran Dat:
32890000</t>
        </r>
      </text>
    </comment>
  </commentList>
</comments>
</file>

<file path=xl/comments42.xml><?xml version="1.0" encoding="utf-8"?>
<comments xmlns="http://schemas.openxmlformats.org/spreadsheetml/2006/main" xmlns:mc="http://schemas.openxmlformats.org/markup-compatibility/2006" xmlns:xr="http://schemas.microsoft.com/office/spreadsheetml/2014/revision" mc:Ignorable="xr">
  <authors>
    <author>Microsoft Office User</author>
    <author>Guest User</author>
    <author>Sheva Son</author>
    <author>Tran Dat</author>
    <author>Việt Hoàng</author>
    <author>Duy</author>
    <author>chit trang</author>
    <author>Người dùng Khách</author>
  </authors>
  <commentList>
    <comment ref="B3" authorId="0" shapeId="0" xr:uid="{00000000-0006-0000-2900-000001000000}">
      <text>
        <r>
          <rPr>
            <sz val="12"/>
            <color theme="1"/>
            <rFont val="Aptos Narrow"/>
            <family val="2"/>
            <scheme val="minor"/>
          </rPr>
          <t>was 24640000
VNP150</t>
        </r>
      </text>
    </comment>
    <comment ref="F4" authorId="1" shapeId="0" xr:uid="{00000000-0006-0000-2900-000002000000}">
      <text>
        <r>
          <rPr>
            <sz val="12"/>
            <color theme="1"/>
            <rFont val="Aptos Narrow"/>
            <family val="2"/>
            <scheme val="minor"/>
          </rPr>
          <t xml:space="preserve">Unknown User:
</t>
        </r>
      </text>
    </comment>
    <comment ref="B5" authorId="0" shapeId="0" xr:uid="{00000000-0006-0000-2900-000003000000}">
      <text>
        <r>
          <rPr>
            <sz val="12"/>
            <color theme="1"/>
            <rFont val="Aptos Narrow"/>
            <family val="2"/>
            <scheme val="minor"/>
          </rPr>
          <t>Tặng phiếu mua hàng mua AirPods và Apple Watch trị giá 500,000đ
 Phiếu mua hàng mua sản phẩm giá niêm yết từ 5 triệu thuộc các nhóm TAI NGHE - LOA hãng HARMAN KARDON, JBL,MONSTER, KLIPSCH, MARSHALL, SONY; Smartwatch hãng HUAWEI, GARMIN, SAMSUNG, IMOO, OPPO, AMAZFIT trị giá 500.000đ</t>
        </r>
      </text>
    </comment>
    <comment ref="E5" authorId="2" shapeId="0" xr:uid="{00000000-0006-0000-2900-000004000000}">
      <text>
        <r>
          <rPr>
            <sz val="12"/>
            <color theme="1"/>
            <rFont val="Aptos Narrow"/>
            <family val="2"/>
            <scheme val="minor"/>
          </rPr>
          <t>Web: 32.790K
Giảm giá shock giờ vàng từ 9-22h</t>
        </r>
      </text>
    </comment>
    <comment ref="G5" authorId="3" shapeId="0" xr:uid="{00000000-0006-0000-2900-000005000000}">
      <text>
        <r>
          <rPr>
            <sz val="12"/>
            <color theme="1"/>
            <rFont val="Aptos Narrow"/>
            <family val="2"/>
            <scheme val="minor"/>
          </rPr>
          <t>Tran Dat:
32.590</t>
        </r>
      </text>
    </comment>
    <comment ref="F6" authorId="1" shapeId="0" xr:uid="{00000000-0006-0000-2900-000006000000}">
      <text>
        <r>
          <rPr>
            <sz val="12"/>
            <color theme="1"/>
            <rFont val="Aptos Narrow"/>
            <family val="2"/>
            <scheme val="minor"/>
          </rPr>
          <t>Unknown User:
18.690k</t>
        </r>
      </text>
    </comment>
    <comment ref="G7" authorId="3" shapeId="0" xr:uid="{00000000-0006-0000-2900-000007000000}">
      <text>
        <r>
          <rPr>
            <sz val="12"/>
            <color theme="1"/>
            <rFont val="Aptos Narrow"/>
            <family val="2"/>
            <scheme val="minor"/>
          </rPr>
          <t>Tran Dat:
21.790</t>
        </r>
      </text>
    </comment>
    <comment ref="B9" authorId="0" shapeId="0" xr:uid="{00000000-0006-0000-2900-000008000000}">
      <text>
        <r>
          <rPr>
            <sz val="12"/>
            <color theme="1"/>
            <rFont val="Aptos Narrow"/>
            <family val="2"/>
            <scheme val="minor"/>
          </rPr>
          <t>was 29140000
VNP150</t>
        </r>
      </text>
    </comment>
    <comment ref="C9" authorId="0" shapeId="0" xr:uid="{00000000-0006-0000-2900-000009000000}">
      <text>
        <r>
          <rPr>
            <sz val="12"/>
            <color theme="1"/>
            <rFont val="Aptos Narrow"/>
            <family val="2"/>
            <scheme val="minor"/>
          </rPr>
          <t>W5 28990</t>
        </r>
      </text>
    </comment>
    <comment ref="D9" authorId="4" shapeId="0" xr:uid="{00000000-0006-0000-2900-00000A000000}">
      <text>
        <r>
          <rPr>
            <sz val="12"/>
            <color theme="1"/>
            <rFont val="Aptos Narrow"/>
            <family val="2"/>
            <scheme val="minor"/>
          </rPr>
          <t>Việt Hoàng:
Last week:
29.290.000</t>
        </r>
      </text>
    </comment>
    <comment ref="F9" authorId="1" shapeId="0" xr:uid="{00000000-0006-0000-2900-00000B000000}">
      <text>
        <r>
          <rPr>
            <sz val="12"/>
            <color theme="1"/>
            <rFont val="Aptos Narrow"/>
            <family val="2"/>
            <scheme val="minor"/>
          </rPr>
          <t>Unknown User:
28.990k</t>
        </r>
      </text>
    </comment>
    <comment ref="B10" authorId="0" shapeId="0" xr:uid="{00000000-0006-0000-2900-00000C000000}">
      <text>
        <r>
          <rPr>
            <sz val="12"/>
            <color theme="1"/>
            <rFont val="Aptos Narrow"/>
            <family val="2"/>
            <scheme val="minor"/>
          </rPr>
          <t>was 18440</t>
        </r>
      </text>
    </comment>
    <comment ref="C10" authorId="0" shapeId="0" xr:uid="{00000000-0006-0000-2900-00000D000000}">
      <text>
        <r>
          <rPr>
            <sz val="12"/>
            <color theme="1"/>
            <rFont val="Aptos Narrow"/>
            <family val="2"/>
            <scheme val="minor"/>
          </rPr>
          <t>W5 18840</t>
        </r>
      </text>
    </comment>
    <comment ref="D10" authorId="4" shapeId="0" xr:uid="{00000000-0006-0000-2900-00000E000000}">
      <text>
        <r>
          <rPr>
            <sz val="12"/>
            <color theme="1"/>
            <rFont val="Aptos Narrow"/>
            <family val="2"/>
            <scheme val="minor"/>
          </rPr>
          <t>Việt Hoàng:
Last week:
19.690.000</t>
        </r>
      </text>
    </comment>
    <comment ref="E10" authorId="0" shapeId="0" xr:uid="{00000000-0006-0000-2900-00000F000000}">
      <text>
        <r>
          <rPr>
            <sz val="12"/>
            <color theme="1"/>
            <rFont val="Aptos Narrow"/>
            <family val="2"/>
            <scheme val="minor"/>
          </rPr>
          <t>Chỉ có Blue</t>
        </r>
      </text>
    </comment>
    <comment ref="C11" authorId="5" shapeId="0" xr:uid="{00000000-0006-0000-2900-000010000000}">
      <text>
        <r>
          <rPr>
            <sz val="12"/>
            <color theme="1"/>
            <rFont val="Aptos Narrow"/>
            <family val="2"/>
            <scheme val="minor"/>
          </rPr>
          <t>W5 15.790</t>
        </r>
      </text>
    </comment>
    <comment ref="F11" authorId="1" shapeId="0" xr:uid="{00000000-0006-0000-2900-000011000000}">
      <text>
        <r>
          <rPr>
            <sz val="12"/>
            <color theme="1"/>
            <rFont val="Aptos Narrow"/>
            <family val="2"/>
            <scheme val="minor"/>
          </rPr>
          <t>Unknown User:
15.890k</t>
        </r>
      </text>
    </comment>
    <comment ref="B12" authorId="0" shapeId="0" xr:uid="{00000000-0006-0000-2900-000012000000}">
      <text>
        <r>
          <rPr>
            <sz val="12"/>
            <color theme="1"/>
            <rFont val="Aptos Narrow"/>
            <family val="2"/>
            <scheme val="minor"/>
          </rPr>
          <t>was 13190
VNP100</t>
        </r>
      </text>
    </comment>
    <comment ref="C12" authorId="0" shapeId="0" xr:uid="{00000000-0006-0000-2900-000013000000}">
      <text>
        <r>
          <rPr>
            <sz val="12"/>
            <color theme="1"/>
            <rFont val="Aptos Narrow"/>
            <family val="2"/>
            <scheme val="minor"/>
          </rPr>
          <t xml:space="preserve">W5 12790
</t>
        </r>
      </text>
    </comment>
    <comment ref="E12" authorId="2" shapeId="0" xr:uid="{00000000-0006-0000-2900-000014000000}">
      <text>
        <r>
          <rPr>
            <sz val="12"/>
            <color theme="1"/>
            <rFont val="Aptos Narrow"/>
            <family val="2"/>
            <scheme val="minor"/>
          </rPr>
          <t>- Giảm 700K cho màu Đen và Starlight (trừ vào giá)
- Màu khác 13290</t>
        </r>
      </text>
    </comment>
    <comment ref="C13" authorId="5" shapeId="0" xr:uid="{00000000-0006-0000-2900-000015000000}">
      <text>
        <r>
          <rPr>
            <sz val="12"/>
            <color theme="1"/>
            <rFont val="Aptos Narrow"/>
            <family val="2"/>
            <scheme val="minor"/>
          </rPr>
          <t>W5 11.490</t>
        </r>
      </text>
    </comment>
    <comment ref="F13" authorId="1" shapeId="0" xr:uid="{00000000-0006-0000-2900-000016000000}">
      <text>
        <r>
          <rPr>
            <sz val="12"/>
            <color theme="1"/>
            <rFont val="Aptos Narrow"/>
            <family val="2"/>
            <scheme val="minor"/>
          </rPr>
          <t>Unknown User:
10.990</t>
        </r>
      </text>
    </comment>
    <comment ref="C15" authorId="5" shapeId="0" xr:uid="{00000000-0006-0000-2900-000017000000}">
      <text>
        <r>
          <rPr>
            <sz val="12"/>
            <color theme="1"/>
            <rFont val="Aptos Narrow"/>
            <family val="2"/>
            <scheme val="minor"/>
          </rPr>
          <t xml:space="preserve">W5 13890
</t>
        </r>
      </text>
    </comment>
    <comment ref="F15" authorId="1" shapeId="0" xr:uid="{00000000-0006-0000-2900-000018000000}">
      <text>
        <r>
          <rPr>
            <sz val="12"/>
            <color theme="1"/>
            <rFont val="Aptos Narrow"/>
            <family val="2"/>
            <scheme val="minor"/>
          </rPr>
          <t>Unknown User:
13.890</t>
        </r>
      </text>
    </comment>
    <comment ref="C16" authorId="5" shapeId="0" xr:uid="{00000000-0006-0000-2900-000019000000}">
      <text>
        <r>
          <rPr>
            <sz val="12"/>
            <color theme="1"/>
            <rFont val="Aptos Narrow"/>
            <family val="2"/>
            <scheme val="minor"/>
          </rPr>
          <t>W5 8540</t>
        </r>
      </text>
    </comment>
    <comment ref="D16" authorId="4" shapeId="0" xr:uid="{00000000-0006-0000-2900-00001A000000}">
      <text>
        <r>
          <rPr>
            <sz val="12"/>
            <color theme="1"/>
            <rFont val="Aptos Narrow"/>
            <family val="2"/>
            <scheme val="minor"/>
          </rPr>
          <t>Việt Hoàng:
Last week
8.490.000</t>
        </r>
      </text>
    </comment>
    <comment ref="E16" authorId="2" shapeId="0" xr:uid="{00000000-0006-0000-2900-00001B000000}">
      <text>
        <r>
          <rPr>
            <sz val="12"/>
            <color theme="1"/>
            <rFont val="Aptos Narrow"/>
            <family val="2"/>
            <scheme val="minor"/>
          </rPr>
          <t>was 8290</t>
        </r>
      </text>
    </comment>
    <comment ref="F16" authorId="1" shapeId="0" xr:uid="{00000000-0006-0000-2900-00001C000000}">
      <text>
        <r>
          <rPr>
            <sz val="12"/>
            <color theme="1"/>
            <rFont val="Aptos Narrow"/>
            <family val="2"/>
            <scheme val="minor"/>
          </rPr>
          <t>Unknown User:
8.490k</t>
        </r>
      </text>
    </comment>
    <comment ref="B17" authorId="0" shapeId="0" xr:uid="{00000000-0006-0000-2900-00001D000000}">
      <text>
        <r>
          <rPr>
            <sz val="12"/>
            <color theme="1"/>
            <rFont val="Aptos Narrow"/>
            <family val="2"/>
            <scheme val="minor"/>
          </rPr>
          <t>was 7040
VNP40</t>
        </r>
      </text>
    </comment>
    <comment ref="C17" authorId="0" shapeId="0" xr:uid="{00000000-0006-0000-2900-00001E000000}">
      <text>
        <r>
          <rPr>
            <sz val="12"/>
            <color theme="1"/>
            <rFont val="Aptos Narrow"/>
            <family val="2"/>
            <scheme val="minor"/>
          </rPr>
          <t xml:space="preserve">W5 6950
</t>
        </r>
      </text>
    </comment>
    <comment ref="B18" authorId="0" shapeId="0" xr:uid="{00000000-0006-0000-2900-00001F000000}">
      <text>
        <r>
          <rPr>
            <sz val="12"/>
            <color theme="1"/>
            <rFont val="Aptos Narrow"/>
            <family val="2"/>
            <scheme val="minor"/>
          </rPr>
          <t>was 14390</t>
        </r>
      </text>
    </comment>
    <comment ref="C18" authorId="0" shapeId="0" xr:uid="{00000000-0006-0000-2900-000020000000}">
      <text>
        <r>
          <rPr>
            <sz val="12"/>
            <color theme="1"/>
            <rFont val="Aptos Narrow"/>
            <family val="2"/>
            <scheme val="minor"/>
          </rPr>
          <t>W5 14490</t>
        </r>
      </text>
    </comment>
    <comment ref="F18" authorId="1" shapeId="0" xr:uid="{00000000-0006-0000-2900-000021000000}">
      <text>
        <r>
          <rPr>
            <sz val="12"/>
            <color theme="1"/>
            <rFont val="Aptos Narrow"/>
            <family val="2"/>
            <scheme val="minor"/>
          </rPr>
          <t>Unknown User:
14.490k</t>
        </r>
      </text>
    </comment>
    <comment ref="G18" authorId="3" shapeId="0" xr:uid="{00000000-0006-0000-2900-000022000000}">
      <text>
        <r>
          <rPr>
            <sz val="12"/>
            <color theme="1"/>
            <rFont val="Aptos Narrow"/>
            <family val="2"/>
            <scheme val="minor"/>
          </rPr>
          <t>Tran Dat:14.190</t>
        </r>
      </text>
    </comment>
    <comment ref="C19" authorId="5" shapeId="0" xr:uid="{00000000-0006-0000-2900-000023000000}">
      <text>
        <r>
          <rPr>
            <sz val="12"/>
            <color theme="1"/>
            <rFont val="Aptos Narrow"/>
            <family val="2"/>
            <scheme val="minor"/>
          </rPr>
          <t>W5 20440</t>
        </r>
      </text>
    </comment>
    <comment ref="E19" authorId="2" shapeId="0" xr:uid="{00000000-0006-0000-2900-000024000000}">
      <text>
        <r>
          <rPr>
            <sz val="12"/>
            <color theme="1"/>
            <rFont val="Aptos Narrow"/>
            <family val="2"/>
            <scheme val="minor"/>
          </rPr>
          <t>was 19990</t>
        </r>
      </text>
    </comment>
    <comment ref="F19" authorId="1" shapeId="0" xr:uid="{00000000-0006-0000-2900-000025000000}">
      <text>
        <r>
          <rPr>
            <sz val="12"/>
            <color theme="1"/>
            <rFont val="Aptos Narrow"/>
            <family val="2"/>
            <scheme val="minor"/>
          </rPr>
          <t>Unknown User:
20.090</t>
        </r>
      </text>
    </comment>
    <comment ref="G19" authorId="3" shapeId="0" xr:uid="{00000000-0006-0000-2900-000026000000}">
      <text>
        <r>
          <rPr>
            <sz val="12"/>
            <color theme="1"/>
            <rFont val="Aptos Narrow"/>
            <family val="2"/>
            <scheme val="minor"/>
          </rPr>
          <t>Tran Dat:
20090000</t>
        </r>
      </text>
    </comment>
    <comment ref="C20" authorId="5" shapeId="0" xr:uid="{00000000-0006-0000-2900-000027000000}">
      <text>
        <r>
          <rPr>
            <sz val="12"/>
            <color theme="1"/>
            <rFont val="Aptos Narrow"/>
            <family val="2"/>
            <scheme val="minor"/>
          </rPr>
          <t>W5 27340</t>
        </r>
      </text>
    </comment>
    <comment ref="B21" authorId="0" shapeId="0" xr:uid="{00000000-0006-0000-2900-000028000000}">
      <text>
        <r>
          <rPr>
            <sz val="12"/>
            <color theme="1"/>
            <rFont val="Aptos Narrow"/>
            <family val="2"/>
            <scheme val="minor"/>
          </rPr>
          <t>was 36640</t>
        </r>
      </text>
    </comment>
    <comment ref="C21" authorId="0" shapeId="0" xr:uid="{00000000-0006-0000-2900-000029000000}">
      <text>
        <r>
          <rPr>
            <sz val="12"/>
            <color theme="1"/>
            <rFont val="Aptos Narrow"/>
            <family val="2"/>
            <scheme val="minor"/>
          </rPr>
          <t>W5 36740</t>
        </r>
      </text>
    </comment>
    <comment ref="C22" authorId="5" shapeId="0" xr:uid="{00000000-0006-0000-2900-00002A000000}">
      <text>
        <r>
          <rPr>
            <sz val="12"/>
            <color theme="1"/>
            <rFont val="Aptos Narrow"/>
            <family val="2"/>
            <scheme val="minor"/>
          </rPr>
          <t>W5 5530</t>
        </r>
      </text>
    </comment>
    <comment ref="D22" authorId="4" shapeId="0" xr:uid="{00000000-0006-0000-2900-00002B000000}">
      <text>
        <r>
          <rPr>
            <sz val="12"/>
            <color theme="1"/>
            <rFont val="Aptos Narrow"/>
            <family val="2"/>
            <scheme val="minor"/>
          </rPr>
          <t>Việt Hoàng:
5.690.000</t>
        </r>
      </text>
    </comment>
    <comment ref="E22" authorId="2" shapeId="0" xr:uid="{00000000-0006-0000-2900-00002C000000}">
      <text>
        <r>
          <rPr>
            <sz val="12"/>
            <color theme="1"/>
            <rFont val="Aptos Narrow"/>
            <family val="2"/>
            <scheme val="minor"/>
          </rPr>
          <t>was 5590</t>
        </r>
      </text>
    </comment>
    <comment ref="G22" authorId="3" shapeId="0" xr:uid="{00000000-0006-0000-2900-00002D000000}">
      <text>
        <r>
          <rPr>
            <sz val="12"/>
            <color theme="1"/>
            <rFont val="Aptos Narrow"/>
            <family val="2"/>
            <scheme val="minor"/>
          </rPr>
          <t>Tran Dat:
5590</t>
        </r>
      </text>
    </comment>
    <comment ref="C23" authorId="5" shapeId="0" xr:uid="{00000000-0006-0000-2900-00002E000000}">
      <text>
        <r>
          <rPr>
            <sz val="12"/>
            <color theme="1"/>
            <rFont val="Aptos Narrow"/>
            <family val="2"/>
            <scheme val="minor"/>
          </rPr>
          <t>W5 6830</t>
        </r>
      </text>
    </comment>
    <comment ref="D23" authorId="4" shapeId="0" xr:uid="{00000000-0006-0000-2900-00002F000000}">
      <text>
        <r>
          <rPr>
            <sz val="12"/>
            <color theme="1"/>
            <rFont val="Aptos Narrow"/>
            <family val="2"/>
            <scheme val="minor"/>
          </rPr>
          <t>Việt Hoàng:
6.890.000</t>
        </r>
      </text>
    </comment>
    <comment ref="E23" authorId="2" shapeId="0" xr:uid="{00000000-0006-0000-2900-000030000000}">
      <text>
        <r>
          <rPr>
            <sz val="12"/>
            <color theme="1"/>
            <rFont val="Aptos Narrow"/>
            <family val="2"/>
            <scheme val="minor"/>
          </rPr>
          <t>was 6990</t>
        </r>
      </text>
    </comment>
    <comment ref="F23" authorId="6" shapeId="0" xr:uid="{00000000-0006-0000-2900-000031000000}">
      <text>
        <r>
          <rPr>
            <sz val="12"/>
            <color theme="1"/>
            <rFont val="Aptos Narrow"/>
            <family val="2"/>
            <scheme val="minor"/>
          </rPr>
          <t>chit trang:
7.190k</t>
        </r>
      </text>
    </comment>
    <comment ref="C24" authorId="5" shapeId="0" xr:uid="{00000000-0006-0000-2900-000032000000}">
      <text>
        <r>
          <rPr>
            <sz val="12"/>
            <color theme="1"/>
            <rFont val="Aptos Narrow"/>
            <family val="2"/>
            <scheme val="minor"/>
          </rPr>
          <t>W5 6330</t>
        </r>
      </text>
    </comment>
    <comment ref="D24" authorId="4" shapeId="0" xr:uid="{00000000-0006-0000-2900-000033000000}">
      <text>
        <r>
          <rPr>
            <sz val="12"/>
            <color theme="1"/>
            <rFont val="Aptos Narrow"/>
            <family val="2"/>
            <scheme val="minor"/>
          </rPr>
          <t>Việt Hoàng:
6.490.000</t>
        </r>
      </text>
    </comment>
    <comment ref="E24" authorId="2" shapeId="0" xr:uid="{00000000-0006-0000-2900-000034000000}">
      <text>
        <r>
          <rPr>
            <sz val="12"/>
            <color theme="1"/>
            <rFont val="Aptos Narrow"/>
            <family val="2"/>
            <scheme val="minor"/>
          </rPr>
          <t>was 6390</t>
        </r>
      </text>
    </comment>
    <comment ref="G24" authorId="3" shapeId="0" xr:uid="{00000000-0006-0000-2900-000035000000}">
      <text>
        <r>
          <rPr>
            <sz val="12"/>
            <color theme="1"/>
            <rFont val="Aptos Narrow"/>
            <family val="2"/>
            <scheme val="minor"/>
          </rPr>
          <t>Tran Dat:
6590000</t>
        </r>
      </text>
    </comment>
    <comment ref="C25" authorId="5" shapeId="0" xr:uid="{00000000-0006-0000-2900-000036000000}">
      <text>
        <r>
          <rPr>
            <sz val="12"/>
            <color theme="1"/>
            <rFont val="Aptos Narrow"/>
            <family val="2"/>
            <scheme val="minor"/>
          </rPr>
          <t>W5 7630</t>
        </r>
      </text>
    </comment>
    <comment ref="D25" authorId="4" shapeId="0" xr:uid="{00000000-0006-0000-2900-000037000000}">
      <text>
        <r>
          <rPr>
            <sz val="12"/>
            <color theme="1"/>
            <rFont val="Aptos Narrow"/>
            <family val="2"/>
            <scheme val="minor"/>
          </rPr>
          <t>Việt Hoàng:
7.690.000</t>
        </r>
      </text>
    </comment>
    <comment ref="E25" authorId="2" shapeId="0" xr:uid="{00000000-0006-0000-2900-000038000000}">
      <text>
        <r>
          <rPr>
            <sz val="12"/>
            <color theme="1"/>
            <rFont val="Aptos Narrow"/>
            <family val="2"/>
            <scheme val="minor"/>
          </rPr>
          <t>was 7790</t>
        </r>
      </text>
    </comment>
    <comment ref="D26" authorId="4" shapeId="0" xr:uid="{00000000-0006-0000-2900-000039000000}">
      <text>
        <r>
          <rPr>
            <sz val="12"/>
            <color theme="1"/>
            <rFont val="Aptos Narrow"/>
            <family val="2"/>
            <scheme val="minor"/>
          </rPr>
          <t>Việt Hoàng:
10.090.000</t>
        </r>
      </text>
    </comment>
    <comment ref="E26" authorId="7" shapeId="0" xr:uid="{00000000-0006-0000-2900-00003A000000}">
      <text>
        <r>
          <rPr>
            <sz val="12"/>
            <color theme="1"/>
            <rFont val="Aptos Narrow"/>
            <family val="2"/>
            <scheme val="minor"/>
          </rPr>
          <t>was 9990</t>
        </r>
      </text>
    </comment>
    <comment ref="F26" authorId="6" shapeId="0" xr:uid="{00000000-0006-0000-2900-00003B000000}">
      <text>
        <r>
          <rPr>
            <sz val="12"/>
            <color theme="1"/>
            <rFont val="Aptos Narrow"/>
            <family val="2"/>
            <scheme val="minor"/>
          </rPr>
          <t>chit trang:
10.490k</t>
        </r>
      </text>
    </comment>
    <comment ref="G26" authorId="3" shapeId="0" xr:uid="{00000000-0006-0000-2900-00003C000000}">
      <text>
        <r>
          <rPr>
            <sz val="12"/>
            <color theme="1"/>
            <rFont val="Aptos Narrow"/>
            <family val="2"/>
            <scheme val="minor"/>
          </rPr>
          <t>Tran Dat:
9.890</t>
        </r>
      </text>
    </comment>
    <comment ref="C27" authorId="5" shapeId="0" xr:uid="{00000000-0006-0000-2900-00003D000000}">
      <text>
        <r>
          <rPr>
            <sz val="12"/>
            <color theme="1"/>
            <rFont val="Aptos Narrow"/>
            <family val="2"/>
            <scheme val="minor"/>
          </rPr>
          <t>W5 12520</t>
        </r>
      </text>
    </comment>
    <comment ref="D27" authorId="4" shapeId="0" xr:uid="{00000000-0006-0000-2900-00003E000000}">
      <text>
        <r>
          <rPr>
            <sz val="12"/>
            <color theme="1"/>
            <rFont val="Aptos Narrow"/>
            <family val="2"/>
            <scheme val="minor"/>
          </rPr>
          <t>Việt Hoàng:
Last week:
12.690.000</t>
        </r>
      </text>
    </comment>
    <comment ref="E27" authorId="0" shapeId="0" xr:uid="{00000000-0006-0000-2900-00003F000000}">
      <text>
        <r>
          <rPr>
            <sz val="12"/>
            <color theme="1"/>
            <rFont val="Aptos Narrow"/>
            <family val="2"/>
            <scheme val="minor"/>
          </rPr>
          <t>was 12490</t>
        </r>
      </text>
    </comment>
    <comment ref="F27" authorId="6" shapeId="0" xr:uid="{00000000-0006-0000-2900-000040000000}">
      <text>
        <r>
          <rPr>
            <sz val="12"/>
            <color theme="1"/>
            <rFont val="Aptos Narrow"/>
            <family val="2"/>
            <scheme val="minor"/>
          </rPr>
          <t>chit trang:
13.190k</t>
        </r>
      </text>
    </comment>
    <comment ref="G27" authorId="3" shapeId="0" xr:uid="{00000000-0006-0000-2900-000041000000}">
      <text>
        <r>
          <rPr>
            <sz val="12"/>
            <color theme="1"/>
            <rFont val="Aptos Narrow"/>
            <family val="2"/>
            <scheme val="minor"/>
          </rPr>
          <t>Tran Dat:
13.290</t>
        </r>
      </text>
    </comment>
    <comment ref="C28" authorId="5" shapeId="0" xr:uid="{00000000-0006-0000-2900-000042000000}">
      <text>
        <r>
          <rPr>
            <sz val="12"/>
            <color theme="1"/>
            <rFont val="Aptos Narrow"/>
            <family val="2"/>
            <scheme val="minor"/>
          </rPr>
          <t>W5 10720</t>
        </r>
      </text>
    </comment>
    <comment ref="D28" authorId="4" shapeId="0" xr:uid="{00000000-0006-0000-2900-000043000000}">
      <text>
        <r>
          <rPr>
            <sz val="12"/>
            <color theme="1"/>
            <rFont val="Aptos Narrow"/>
            <family val="2"/>
            <scheme val="minor"/>
          </rPr>
          <t>Việt Hoàng:
Last week:
10.790.000</t>
        </r>
      </text>
    </comment>
    <comment ref="E28" authorId="0" shapeId="0" xr:uid="{00000000-0006-0000-2900-000044000000}">
      <text>
        <r>
          <rPr>
            <sz val="12"/>
            <color theme="1"/>
            <rFont val="Aptos Narrow"/>
            <family val="2"/>
            <scheme val="minor"/>
          </rPr>
          <t>was 10690</t>
        </r>
      </text>
    </comment>
    <comment ref="F28" authorId="6" shapeId="0" xr:uid="{00000000-0006-0000-2900-000045000000}">
      <text>
        <r>
          <rPr>
            <sz val="12"/>
            <color theme="1"/>
            <rFont val="Aptos Narrow"/>
            <family val="2"/>
            <scheme val="minor"/>
          </rPr>
          <t>chit trang:
10.590</t>
        </r>
      </text>
    </comment>
    <comment ref="G28" authorId="3" shapeId="0" xr:uid="{00000000-0006-0000-2900-000046000000}">
      <text>
        <r>
          <rPr>
            <sz val="12"/>
            <color theme="1"/>
            <rFont val="Aptos Narrow"/>
            <family val="2"/>
            <scheme val="minor"/>
          </rPr>
          <t>Tran Dat:
10490</t>
        </r>
      </text>
    </comment>
    <comment ref="B29" authorId="0" shapeId="0" xr:uid="{00000000-0006-0000-2900-000047000000}">
      <text>
        <r>
          <rPr>
            <sz val="12"/>
            <color theme="1"/>
            <rFont val="Aptos Narrow"/>
            <family val="2"/>
            <scheme val="minor"/>
          </rPr>
          <t>was 13320
VNP100</t>
        </r>
      </text>
    </comment>
    <comment ref="C29" authorId="0" shapeId="0" xr:uid="{00000000-0006-0000-2900-000048000000}">
      <text>
        <r>
          <rPr>
            <sz val="12"/>
            <color theme="1"/>
            <rFont val="Aptos Narrow"/>
            <family val="2"/>
            <scheme val="minor"/>
          </rPr>
          <t xml:space="preserve">W5 13990
</t>
        </r>
      </text>
    </comment>
    <comment ref="D29" authorId="4" shapeId="0" xr:uid="{00000000-0006-0000-2900-000049000000}">
      <text>
        <r>
          <rPr>
            <sz val="12"/>
            <color theme="1"/>
            <rFont val="Aptos Narrow"/>
            <family val="2"/>
            <scheme val="minor"/>
          </rPr>
          <t>Việt Hoàng:
Last week:
13.390.000</t>
        </r>
      </text>
    </comment>
    <comment ref="E29" authorId="0" shapeId="0" xr:uid="{00000000-0006-0000-2900-00004A000000}">
      <text>
        <r>
          <rPr>
            <sz val="12"/>
            <color theme="1"/>
            <rFont val="Aptos Narrow"/>
            <family val="2"/>
            <scheme val="minor"/>
          </rPr>
          <t>was 13390</t>
        </r>
      </text>
    </comment>
    <comment ref="F29" authorId="6" shapeId="0" xr:uid="{00000000-0006-0000-2900-00004B000000}">
      <text>
        <r>
          <rPr>
            <sz val="12"/>
            <color theme="1"/>
            <rFont val="Aptos Narrow"/>
            <family val="2"/>
            <scheme val="minor"/>
          </rPr>
          <t>chit trang:
14.090k</t>
        </r>
      </text>
    </comment>
    <comment ref="G29" authorId="3" shapeId="0" xr:uid="{00000000-0006-0000-2900-00004C000000}">
      <text>
        <r>
          <rPr>
            <sz val="12"/>
            <color theme="1"/>
            <rFont val="Aptos Narrow"/>
            <family val="2"/>
            <scheme val="minor"/>
          </rPr>
          <t>Tran Dat:
13290000</t>
        </r>
      </text>
    </comment>
    <comment ref="C30" authorId="5" shapeId="0" xr:uid="{00000000-0006-0000-2900-00004D000000}">
      <text>
        <r>
          <rPr>
            <sz val="12"/>
            <color theme="1"/>
            <rFont val="Aptos Narrow"/>
            <family val="2"/>
            <scheme val="minor"/>
          </rPr>
          <t>W5 22340</t>
        </r>
      </text>
    </comment>
    <comment ref="G30" authorId="3" shapeId="0" xr:uid="{00000000-0006-0000-2900-00004E000000}">
      <text>
        <r>
          <rPr>
            <sz val="12"/>
            <color theme="1"/>
            <rFont val="Aptos Narrow"/>
            <family val="2"/>
            <scheme val="minor"/>
          </rPr>
          <t xml:space="preserve">Tran Dat:
22.590
</t>
        </r>
      </text>
    </comment>
    <comment ref="B31" authorId="0" shapeId="0" xr:uid="{00000000-0006-0000-2900-00004F000000}">
      <text>
        <r>
          <rPr>
            <sz val="12"/>
            <color theme="1"/>
            <rFont val="Aptos Narrow"/>
            <family val="2"/>
            <scheme val="minor"/>
          </rPr>
          <t>was 5550
VNP40</t>
        </r>
      </text>
    </comment>
    <comment ref="C31" authorId="0" shapeId="0" xr:uid="{00000000-0006-0000-2900-000050000000}">
      <text>
        <r>
          <rPr>
            <sz val="12"/>
            <color theme="1"/>
            <rFont val="Aptos Narrow"/>
            <family val="2"/>
            <scheme val="minor"/>
          </rPr>
          <t xml:space="preserve">W5 5350
</t>
        </r>
      </text>
    </comment>
    <comment ref="D31" authorId="4" shapeId="0" xr:uid="{00000000-0006-0000-2900-000051000000}">
      <text>
        <r>
          <rPr>
            <sz val="12"/>
            <color theme="1"/>
            <rFont val="Aptos Narrow"/>
            <family val="2"/>
            <scheme val="minor"/>
          </rPr>
          <t>Việt Hoàng:
Last week:
5.390.000</t>
        </r>
      </text>
    </comment>
    <comment ref="E31" authorId="2" shapeId="0" xr:uid="{00000000-0006-0000-2900-000052000000}">
      <text>
        <r>
          <rPr>
            <sz val="12"/>
            <color theme="1"/>
            <rFont val="Aptos Narrow"/>
            <family val="2"/>
            <scheme val="minor"/>
          </rPr>
          <t>was 5390</t>
        </r>
      </text>
    </comment>
    <comment ref="F31" authorId="1" shapeId="0" xr:uid="{00000000-0006-0000-2900-000053000000}">
      <text>
        <r>
          <rPr>
            <sz val="12"/>
            <color theme="1"/>
            <rFont val="Aptos Narrow"/>
            <family val="2"/>
            <scheme val="minor"/>
          </rPr>
          <t>Unknown User:
5.290</t>
        </r>
      </text>
    </comment>
    <comment ref="G31" authorId="3" shapeId="0" xr:uid="{00000000-0006-0000-2900-000054000000}">
      <text>
        <r>
          <rPr>
            <sz val="12"/>
            <color theme="1"/>
            <rFont val="Aptos Narrow"/>
            <family val="2"/>
            <scheme val="minor"/>
          </rPr>
          <t>Tran Dat:
5490000</t>
        </r>
      </text>
    </comment>
    <comment ref="B32" authorId="0" shapeId="0" xr:uid="{00000000-0006-0000-2900-000055000000}">
      <text>
        <r>
          <rPr>
            <sz val="12"/>
            <color theme="1"/>
            <rFont val="Aptos Narrow"/>
            <family val="2"/>
            <scheme val="minor"/>
          </rPr>
          <t xml:space="preserve">was 4490
</t>
        </r>
      </text>
    </comment>
    <comment ref="C32" authorId="0" shapeId="0" xr:uid="{00000000-0006-0000-2900-000056000000}">
      <text>
        <r>
          <rPr>
            <sz val="12"/>
            <color theme="1"/>
            <rFont val="Aptos Narrow"/>
            <family val="2"/>
            <scheme val="minor"/>
          </rPr>
          <t xml:space="preserve">W5 4290
</t>
        </r>
      </text>
    </comment>
    <comment ref="D32" authorId="4" shapeId="0" xr:uid="{00000000-0006-0000-2900-000057000000}">
      <text>
        <r>
          <rPr>
            <sz val="12"/>
            <color theme="1"/>
            <rFont val="Aptos Narrow"/>
            <family val="2"/>
            <scheme val="minor"/>
          </rPr>
          <t>Việt Hoàng:
Last week:
4.290.000</t>
        </r>
      </text>
    </comment>
    <comment ref="E32" authorId="2" shapeId="0" xr:uid="{00000000-0006-0000-2900-000058000000}">
      <text>
        <r>
          <rPr>
            <sz val="12"/>
            <color theme="1"/>
            <rFont val="Aptos Narrow"/>
            <family val="2"/>
            <scheme val="minor"/>
          </rPr>
          <t>was 4290</t>
        </r>
      </text>
    </comment>
    <comment ref="F32" authorId="1" shapeId="0" xr:uid="{00000000-0006-0000-2900-000059000000}">
      <text>
        <r>
          <rPr>
            <sz val="12"/>
            <color theme="1"/>
            <rFont val="Aptos Narrow"/>
            <family val="2"/>
            <scheme val="minor"/>
          </rPr>
          <t>Unknown User:
4.290</t>
        </r>
      </text>
    </comment>
    <comment ref="G32" authorId="3" shapeId="0" xr:uid="{00000000-0006-0000-2900-00005A000000}">
      <text>
        <r>
          <rPr>
            <sz val="12"/>
            <color theme="1"/>
            <rFont val="Aptos Narrow"/>
            <family val="2"/>
            <scheme val="minor"/>
          </rPr>
          <t>Tran Dat:
4490000</t>
        </r>
      </text>
    </comment>
    <comment ref="B33" authorId="0" shapeId="0" xr:uid="{00000000-0006-0000-2900-00005B000000}">
      <text>
        <r>
          <rPr>
            <sz val="12"/>
            <color theme="1"/>
            <rFont val="Aptos Narrow"/>
            <family val="2"/>
            <scheme val="minor"/>
          </rPr>
          <t>was 3190</t>
        </r>
      </text>
    </comment>
    <comment ref="C33" authorId="0" shapeId="0" xr:uid="{00000000-0006-0000-2900-00005C000000}">
      <text>
        <r>
          <rPr>
            <sz val="12"/>
            <color theme="1"/>
            <rFont val="Aptos Narrow"/>
            <family val="2"/>
            <scheme val="minor"/>
          </rPr>
          <t>W5 3090</t>
        </r>
      </text>
    </comment>
    <comment ref="D33" authorId="4" shapeId="0" xr:uid="{00000000-0006-0000-2900-00005D000000}">
      <text>
        <r>
          <rPr>
            <sz val="12"/>
            <color theme="1"/>
            <rFont val="Aptos Narrow"/>
            <family val="2"/>
            <scheme val="minor"/>
          </rPr>
          <t>Việt Hoàng:
Last week:
3.090.000</t>
        </r>
      </text>
    </comment>
    <comment ref="E33" authorId="0" shapeId="0" xr:uid="{00000000-0006-0000-2900-00005E000000}">
      <text>
        <r>
          <rPr>
            <sz val="12"/>
            <color theme="1"/>
            <rFont val="Aptos Narrow"/>
            <family val="2"/>
            <scheme val="minor"/>
          </rPr>
          <t>was 2990</t>
        </r>
      </text>
    </comment>
    <comment ref="F33" authorId="1" shapeId="0" xr:uid="{00000000-0006-0000-2900-00005F000000}">
      <text>
        <r>
          <rPr>
            <sz val="12"/>
            <color theme="1"/>
            <rFont val="Aptos Narrow"/>
            <family val="2"/>
            <scheme val="minor"/>
          </rPr>
          <t>Unknown User:
3.090</t>
        </r>
      </text>
    </comment>
    <comment ref="G33" authorId="3" shapeId="0" xr:uid="{00000000-0006-0000-2900-000060000000}">
      <text>
        <r>
          <rPr>
            <sz val="12"/>
            <color theme="1"/>
            <rFont val="Aptos Narrow"/>
            <family val="2"/>
            <scheme val="minor"/>
          </rPr>
          <t>Tran Dat:
3.290</t>
        </r>
      </text>
    </comment>
    <comment ref="E34" authorId="2" shapeId="0" xr:uid="{00000000-0006-0000-2900-000061000000}">
      <text>
        <r>
          <rPr>
            <sz val="12"/>
            <color theme="1"/>
            <rFont val="Aptos Narrow"/>
            <family val="2"/>
            <scheme val="minor"/>
          </rPr>
          <t>was 3990</t>
        </r>
      </text>
    </comment>
    <comment ref="B35" authorId="0" shapeId="0" xr:uid="{00000000-0006-0000-2900-000062000000}">
      <text>
        <r>
          <rPr>
            <sz val="12"/>
            <color theme="1"/>
            <rFont val="Aptos Narrow"/>
            <family val="2"/>
            <scheme val="minor"/>
          </rPr>
          <t>was 18090
VNP100</t>
        </r>
      </text>
    </comment>
    <comment ref="C35" authorId="0" shapeId="0" xr:uid="{00000000-0006-0000-2900-000063000000}">
      <text>
        <r>
          <rPr>
            <sz val="12"/>
            <color theme="1"/>
            <rFont val="Aptos Narrow"/>
            <family val="2"/>
            <scheme val="minor"/>
          </rPr>
          <t xml:space="preserve">W5 17590
</t>
        </r>
      </text>
    </comment>
    <comment ref="G35" authorId="3" shapeId="0" xr:uid="{00000000-0006-0000-2900-000064000000}">
      <text>
        <r>
          <rPr>
            <sz val="12"/>
            <color theme="1"/>
            <rFont val="Aptos Narrow"/>
            <family val="2"/>
            <scheme val="minor"/>
          </rPr>
          <t>Tran Dat:
17690</t>
        </r>
      </text>
    </comment>
    <comment ref="C36" authorId="5" shapeId="0" xr:uid="{00000000-0006-0000-2900-000065000000}">
      <text>
        <r>
          <rPr>
            <sz val="12"/>
            <color theme="1"/>
            <rFont val="Aptos Narrow"/>
            <family val="2"/>
            <scheme val="minor"/>
          </rPr>
          <t>W5 22740</t>
        </r>
      </text>
    </comment>
    <comment ref="G36" authorId="3" shapeId="0" xr:uid="{00000000-0006-0000-2900-000066000000}">
      <text>
        <r>
          <rPr>
            <sz val="12"/>
            <color theme="1"/>
            <rFont val="Aptos Narrow"/>
            <family val="2"/>
            <scheme val="minor"/>
          </rPr>
          <t>Tran Dat:
22990</t>
        </r>
      </text>
    </comment>
    <comment ref="B37" authorId="0" shapeId="0" xr:uid="{00000000-0006-0000-2900-000067000000}">
      <text>
        <r>
          <rPr>
            <sz val="12"/>
            <color theme="1"/>
            <rFont val="Aptos Narrow"/>
            <family val="2"/>
            <scheme val="minor"/>
          </rPr>
          <t>was 26140
VNP150</t>
        </r>
      </text>
    </comment>
    <comment ref="F37" authorId="1" shapeId="0" xr:uid="{00000000-0006-0000-2900-000068000000}">
      <text>
        <r>
          <rPr>
            <sz val="12"/>
            <color theme="1"/>
            <rFont val="Aptos Narrow"/>
            <family val="2"/>
            <scheme val="minor"/>
          </rPr>
          <t>Unknown User:
26.290k</t>
        </r>
      </text>
    </comment>
    <comment ref="G37" authorId="3" shapeId="0" xr:uid="{00000000-0006-0000-2900-000069000000}">
      <text>
        <r>
          <rPr>
            <sz val="12"/>
            <color theme="1"/>
            <rFont val="Aptos Narrow"/>
            <family val="2"/>
            <scheme val="minor"/>
          </rPr>
          <t>Tran Dat:
26.290</t>
        </r>
      </text>
    </comment>
    <comment ref="G38" authorId="3" shapeId="0" xr:uid="{00000000-0006-0000-2900-00006A000000}">
      <text>
        <r>
          <rPr>
            <sz val="12"/>
            <color theme="1"/>
            <rFont val="Aptos Narrow"/>
            <family val="2"/>
            <scheme val="minor"/>
          </rPr>
          <t>Tran Dat:
32890000</t>
        </r>
      </text>
    </comment>
    <comment ref="F39" authorId="1" shapeId="0" xr:uid="{00000000-0006-0000-2900-00006B000000}">
      <text>
        <r>
          <rPr>
            <sz val="12"/>
            <color theme="1"/>
            <rFont val="Aptos Narrow"/>
            <family val="2"/>
            <scheme val="minor"/>
          </rPr>
          <t>Unknown User:
39.990</t>
        </r>
      </text>
    </comment>
  </commentList>
</comments>
</file>

<file path=xl/comments43.xml><?xml version="1.0" encoding="utf-8"?>
<comments xmlns="http://schemas.openxmlformats.org/spreadsheetml/2006/main" xmlns:mc="http://schemas.openxmlformats.org/markup-compatibility/2006" xmlns:xr="http://schemas.microsoft.com/office/spreadsheetml/2014/revision" mc:Ignorable="xr">
  <authors>
    <author>Việt Hoàng</author>
    <author>Tran Dat</author>
    <author>Microsoft Office User</author>
    <author>Guest User</author>
    <author>Sheva Son</author>
    <author>Duy</author>
    <author>chit trang</author>
    <author>Người dùng Khách</author>
  </authors>
  <commentList>
    <comment ref="D2" authorId="0" shapeId="0" xr:uid="{00000000-0006-0000-2A00-000001000000}">
      <text>
        <r>
          <rPr>
            <sz val="12"/>
            <color theme="1"/>
            <rFont val="Aptos Narrow"/>
            <family val="2"/>
            <scheme val="minor"/>
          </rPr>
          <t>Việt Hoàng:
Last week:
20.490.000</t>
        </r>
      </text>
    </comment>
    <comment ref="G2" authorId="1" shapeId="0" xr:uid="{00000000-0006-0000-2A00-000002000000}">
      <text>
        <r>
          <rPr>
            <sz val="12"/>
            <color theme="1"/>
            <rFont val="Aptos Narrow"/>
            <family val="2"/>
            <scheme val="minor"/>
          </rPr>
          <t>Tran Dat:
20.590</t>
        </r>
      </text>
    </comment>
    <comment ref="B3" authorId="2" shapeId="0" xr:uid="{00000000-0006-0000-2A00-000003000000}">
      <text>
        <r>
          <rPr>
            <sz val="12"/>
            <color theme="1"/>
            <rFont val="Aptos Narrow"/>
            <family val="2"/>
            <scheme val="minor"/>
          </rPr>
          <t>was 24640000
VNP150</t>
        </r>
      </text>
    </comment>
    <comment ref="D3" authorId="0" shapeId="0" xr:uid="{00000000-0006-0000-2A00-000004000000}">
      <text>
        <r>
          <rPr>
            <sz val="12"/>
            <color theme="1"/>
            <rFont val="Aptos Narrow"/>
            <family val="2"/>
            <scheme val="minor"/>
          </rPr>
          <t>Việt Hoàng:
Last week:
24.190.000</t>
        </r>
      </text>
    </comment>
    <comment ref="F3" authorId="3" shapeId="0" xr:uid="{00000000-0006-0000-2A00-000005000000}">
      <text>
        <r>
          <rPr>
            <sz val="12"/>
            <color theme="1"/>
            <rFont val="Aptos Narrow"/>
            <family val="2"/>
            <scheme val="minor"/>
          </rPr>
          <t>Unknown User:
24.690k</t>
        </r>
      </text>
    </comment>
    <comment ref="D4" authorId="0" shapeId="0" xr:uid="{00000000-0006-0000-2A00-000006000000}">
      <text>
        <r>
          <rPr>
            <sz val="12"/>
            <color theme="1"/>
            <rFont val="Aptos Narrow"/>
            <family val="2"/>
            <scheme val="minor"/>
          </rPr>
          <t>Việt Hoàng:
Last week:
26.890.000</t>
        </r>
      </text>
    </comment>
    <comment ref="F4" authorId="3" shapeId="0" xr:uid="{00000000-0006-0000-2A00-000007000000}">
      <text>
        <r>
          <rPr>
            <sz val="12"/>
            <color theme="1"/>
            <rFont val="Aptos Narrow"/>
            <family val="2"/>
            <scheme val="minor"/>
          </rPr>
          <t>Unknown User:
27.090k</t>
        </r>
      </text>
    </comment>
    <comment ref="G4" authorId="1" shapeId="0" xr:uid="{00000000-0006-0000-2A00-000008000000}">
      <text>
        <r>
          <rPr>
            <sz val="12"/>
            <color theme="1"/>
            <rFont val="Aptos Narrow"/>
            <family val="2"/>
            <scheme val="minor"/>
          </rPr>
          <t>Tran Dat:
26.990</t>
        </r>
      </text>
    </comment>
    <comment ref="B5" authorId="2" shapeId="0" xr:uid="{00000000-0006-0000-2A00-000009000000}">
      <text>
        <r>
          <rPr>
            <sz val="12"/>
            <color theme="1"/>
            <rFont val="Aptos Narrow"/>
            <family val="2"/>
            <scheme val="minor"/>
          </rPr>
          <t>Tặng phiếu mua hàng mua AirPods và Apple Watch trị giá 500,000đ
 Phiếu mua hàng mua sản phẩm giá niêm yết từ 5 triệu thuộc các nhóm TAI NGHE - LOA hãng HARMAN KARDON, JBL,MONSTER, KLIPSCH, MARSHALL, SONY; Smartwatch hãng HUAWEI, GARMIN, SAMSUNG, IMOO, OPPO, AMAZFIT trị giá 500.000đ</t>
        </r>
      </text>
    </comment>
    <comment ref="D5" authorId="0" shapeId="0" xr:uid="{00000000-0006-0000-2A00-00000A000000}">
      <text>
        <r>
          <rPr>
            <sz val="12"/>
            <color theme="1"/>
            <rFont val="Aptos Narrow"/>
            <family val="2"/>
            <scheme val="minor"/>
          </rPr>
          <t>Việt Hoàng:
Last week:
32.790.000</t>
        </r>
      </text>
    </comment>
    <comment ref="E5" authorId="4" shapeId="0" xr:uid="{00000000-0006-0000-2A00-00000B000000}">
      <text>
        <r>
          <rPr>
            <sz val="12"/>
            <color theme="1"/>
            <rFont val="Aptos Narrow"/>
            <family val="2"/>
            <scheme val="minor"/>
          </rPr>
          <t>Web: 32.790K
Giảm giá shock giờ vàng từ 9-22h</t>
        </r>
      </text>
    </comment>
    <comment ref="F6" authorId="3" shapeId="0" xr:uid="{00000000-0006-0000-2A00-00000C000000}">
      <text>
        <r>
          <rPr>
            <sz val="12"/>
            <color theme="1"/>
            <rFont val="Aptos Narrow"/>
            <family val="2"/>
            <scheme val="minor"/>
          </rPr>
          <t>Unknown User:
18.990k</t>
        </r>
      </text>
    </comment>
    <comment ref="C7" authorId="5" shapeId="0" xr:uid="{00000000-0006-0000-2A00-00000D000000}">
      <text>
        <r>
          <rPr>
            <sz val="12"/>
            <color theme="1"/>
            <rFont val="Aptos Narrow"/>
            <family val="2"/>
            <scheme val="minor"/>
          </rPr>
          <t>W6 22.690</t>
        </r>
      </text>
    </comment>
    <comment ref="G7" authorId="1" shapeId="0" xr:uid="{00000000-0006-0000-2A00-00000E000000}">
      <text>
        <r>
          <rPr>
            <sz val="12"/>
            <color theme="1"/>
            <rFont val="Aptos Narrow"/>
            <family val="2"/>
            <scheme val="minor"/>
          </rPr>
          <t>Tran Dat:
21.790</t>
        </r>
      </text>
    </comment>
    <comment ref="B9" authorId="2" shapeId="0" xr:uid="{00000000-0006-0000-2A00-00000F000000}">
      <text>
        <r>
          <rPr>
            <sz val="12"/>
            <color theme="1"/>
            <rFont val="Aptos Narrow"/>
            <family val="2"/>
            <scheme val="minor"/>
          </rPr>
          <t>was 29140000
VNP150</t>
        </r>
      </text>
    </comment>
    <comment ref="F9" authorId="3" shapeId="0" xr:uid="{00000000-0006-0000-2A00-000010000000}">
      <text>
        <r>
          <rPr>
            <sz val="12"/>
            <color theme="1"/>
            <rFont val="Aptos Narrow"/>
            <family val="2"/>
            <scheme val="minor"/>
          </rPr>
          <t>Unknown User:
29.090</t>
        </r>
      </text>
    </comment>
    <comment ref="G9" authorId="1" shapeId="0" xr:uid="{00000000-0006-0000-2A00-000011000000}">
      <text>
        <r>
          <rPr>
            <sz val="12"/>
            <color theme="1"/>
            <rFont val="Aptos Narrow"/>
            <family val="2"/>
            <scheme val="minor"/>
          </rPr>
          <t>Tran Dat:
28.690</t>
        </r>
      </text>
    </comment>
    <comment ref="B10" authorId="2" shapeId="0" xr:uid="{00000000-0006-0000-2A00-000012000000}">
      <text>
        <r>
          <rPr>
            <sz val="12"/>
            <color theme="1"/>
            <rFont val="Aptos Narrow"/>
            <family val="2"/>
            <scheme val="minor"/>
          </rPr>
          <t>was 18440</t>
        </r>
      </text>
    </comment>
    <comment ref="D10" authorId="0" shapeId="0" xr:uid="{00000000-0006-0000-2A00-000013000000}">
      <text>
        <r>
          <rPr>
            <sz val="12"/>
            <color theme="1"/>
            <rFont val="Aptos Narrow"/>
            <family val="2"/>
            <scheme val="minor"/>
          </rPr>
          <t>Việt Hoàng:
Last week:
18.990.000</t>
        </r>
      </text>
    </comment>
    <comment ref="G11" authorId="1" shapeId="0" xr:uid="{00000000-0006-0000-2A00-000014000000}">
      <text>
        <r>
          <rPr>
            <sz val="12"/>
            <color theme="1"/>
            <rFont val="Aptos Narrow"/>
            <family val="2"/>
            <scheme val="minor"/>
          </rPr>
          <t>Tran Dat:
16.390</t>
        </r>
      </text>
    </comment>
    <comment ref="B12" authorId="2" shapeId="0" xr:uid="{00000000-0006-0000-2A00-000015000000}">
      <text>
        <r>
          <rPr>
            <sz val="12"/>
            <color theme="1"/>
            <rFont val="Aptos Narrow"/>
            <family val="2"/>
            <scheme val="minor"/>
          </rPr>
          <t>was 13190
VNP100</t>
        </r>
      </text>
    </comment>
    <comment ref="C12" authorId="2" shapeId="0" xr:uid="{00000000-0006-0000-2A00-000016000000}">
      <text>
        <r>
          <rPr>
            <sz val="12"/>
            <color theme="1"/>
            <rFont val="Aptos Narrow"/>
            <family val="2"/>
            <scheme val="minor"/>
          </rPr>
          <t xml:space="preserve">W6 12950
</t>
        </r>
      </text>
    </comment>
    <comment ref="C13" authorId="5" shapeId="0" xr:uid="{00000000-0006-0000-2A00-000017000000}">
      <text>
        <r>
          <rPr>
            <sz val="12"/>
            <color theme="1"/>
            <rFont val="Aptos Narrow"/>
            <family val="2"/>
            <scheme val="minor"/>
          </rPr>
          <t>W6 9900</t>
        </r>
      </text>
    </comment>
    <comment ref="D16" authorId="0" shapeId="0" xr:uid="{00000000-0006-0000-2A00-000018000000}">
      <text>
        <r>
          <rPr>
            <sz val="12"/>
            <color theme="1"/>
            <rFont val="Aptos Narrow"/>
            <family val="2"/>
            <scheme val="minor"/>
          </rPr>
          <t>Việt Hoàng:
Last week
8.790.000</t>
        </r>
      </text>
    </comment>
    <comment ref="B17" authorId="2" shapeId="0" xr:uid="{00000000-0006-0000-2A00-000019000000}">
      <text>
        <r>
          <rPr>
            <sz val="12"/>
            <color theme="1"/>
            <rFont val="Aptos Narrow"/>
            <family val="2"/>
            <scheme val="minor"/>
          </rPr>
          <t>was 7040
VNP40</t>
        </r>
      </text>
    </comment>
    <comment ref="B18" authorId="2" shapeId="0" xr:uid="{00000000-0006-0000-2A00-00001A000000}">
      <text>
        <r>
          <rPr>
            <sz val="12"/>
            <color theme="1"/>
            <rFont val="Aptos Narrow"/>
            <family val="2"/>
            <scheme val="minor"/>
          </rPr>
          <t>was 14390</t>
        </r>
      </text>
    </comment>
    <comment ref="D18" authorId="0" shapeId="0" xr:uid="{00000000-0006-0000-2A00-00001B000000}">
      <text>
        <r>
          <rPr>
            <sz val="12"/>
            <color theme="1"/>
            <rFont val="Aptos Narrow"/>
            <family val="2"/>
            <scheme val="minor"/>
          </rPr>
          <t>Việt Hoàng:
Last week:
14.590.000</t>
        </r>
      </text>
    </comment>
    <comment ref="F18" authorId="3" shapeId="0" xr:uid="{00000000-0006-0000-2A00-00001C000000}">
      <text>
        <r>
          <rPr>
            <sz val="12"/>
            <color theme="1"/>
            <rFont val="Aptos Narrow"/>
            <family val="2"/>
            <scheme val="minor"/>
          </rPr>
          <t>Unknown User:
14.690k</t>
        </r>
      </text>
    </comment>
    <comment ref="G18" authorId="1" shapeId="0" xr:uid="{00000000-0006-0000-2A00-00001D000000}">
      <text>
        <r>
          <rPr>
            <sz val="12"/>
            <color theme="1"/>
            <rFont val="Aptos Narrow"/>
            <family val="2"/>
            <scheme val="minor"/>
          </rPr>
          <t>Tran Dat:14.190</t>
        </r>
      </text>
    </comment>
    <comment ref="G19" authorId="1" shapeId="0" xr:uid="{00000000-0006-0000-2A00-00001E000000}">
      <text>
        <r>
          <rPr>
            <sz val="12"/>
            <color theme="1"/>
            <rFont val="Aptos Narrow"/>
            <family val="2"/>
            <scheme val="minor"/>
          </rPr>
          <t>Tran Dat:
19.890.000</t>
        </r>
      </text>
    </comment>
    <comment ref="B21" authorId="2" shapeId="0" xr:uid="{00000000-0006-0000-2A00-00001F000000}">
      <text>
        <r>
          <rPr>
            <sz val="12"/>
            <color theme="1"/>
            <rFont val="Aptos Narrow"/>
            <family val="2"/>
            <scheme val="minor"/>
          </rPr>
          <t>was 36640</t>
        </r>
      </text>
    </comment>
    <comment ref="D21" authorId="0" shapeId="0" xr:uid="{00000000-0006-0000-2A00-000020000000}">
      <text>
        <r>
          <rPr>
            <sz val="12"/>
            <color theme="1"/>
            <rFont val="Aptos Narrow"/>
            <family val="2"/>
            <scheme val="minor"/>
          </rPr>
          <t>Việt Hoàng:
Last week:
36.790.000</t>
        </r>
      </text>
    </comment>
    <comment ref="C22" authorId="5" shapeId="0" xr:uid="{00000000-0006-0000-2A00-000021000000}">
      <text>
        <r>
          <rPr>
            <sz val="12"/>
            <color theme="1"/>
            <rFont val="Aptos Narrow"/>
            <family val="2"/>
            <scheme val="minor"/>
          </rPr>
          <t>W6 5890</t>
        </r>
      </text>
    </comment>
    <comment ref="D22" authorId="0" shapeId="0" xr:uid="{00000000-0006-0000-2A00-000022000000}">
      <text>
        <r>
          <rPr>
            <sz val="12"/>
            <color theme="1"/>
            <rFont val="Aptos Narrow"/>
            <family val="2"/>
            <scheme val="minor"/>
          </rPr>
          <t>Việt Hoàng:
5.890.000</t>
        </r>
      </text>
    </comment>
    <comment ref="E22" authorId="4" shapeId="0" xr:uid="{00000000-0006-0000-2A00-000023000000}">
      <text>
        <r>
          <rPr>
            <sz val="12"/>
            <color theme="1"/>
            <rFont val="Aptos Narrow"/>
            <family val="2"/>
            <scheme val="minor"/>
          </rPr>
          <t>was 5790</t>
        </r>
      </text>
    </comment>
    <comment ref="G22" authorId="1" shapeId="0" xr:uid="{00000000-0006-0000-2A00-000024000000}">
      <text>
        <r>
          <rPr>
            <sz val="12"/>
            <color theme="1"/>
            <rFont val="Aptos Narrow"/>
            <family val="2"/>
            <scheme val="minor"/>
          </rPr>
          <t>Tran Dat:
5690</t>
        </r>
      </text>
    </comment>
    <comment ref="C23" authorId="5" shapeId="0" xr:uid="{00000000-0006-0000-2A00-000025000000}">
      <text>
        <r>
          <rPr>
            <sz val="12"/>
            <color theme="1"/>
            <rFont val="Aptos Narrow"/>
            <family val="2"/>
            <scheme val="minor"/>
          </rPr>
          <t>W6 7190</t>
        </r>
      </text>
    </comment>
    <comment ref="D23" authorId="0" shapeId="0" xr:uid="{00000000-0006-0000-2A00-000026000000}">
      <text>
        <r>
          <rPr>
            <sz val="12"/>
            <color theme="1"/>
            <rFont val="Aptos Narrow"/>
            <family val="2"/>
            <scheme val="minor"/>
          </rPr>
          <t>Việt Hoàng:
6.990.000</t>
        </r>
      </text>
    </comment>
    <comment ref="E23" authorId="4" shapeId="0" xr:uid="{00000000-0006-0000-2A00-000027000000}">
      <text>
        <r>
          <rPr>
            <sz val="12"/>
            <color theme="1"/>
            <rFont val="Aptos Narrow"/>
            <family val="2"/>
            <scheme val="minor"/>
          </rPr>
          <t>was 7290</t>
        </r>
      </text>
    </comment>
    <comment ref="F23" authorId="6" shapeId="0" xr:uid="{00000000-0006-0000-2A00-000028000000}">
      <text>
        <r>
          <rPr>
            <sz val="12"/>
            <color theme="1"/>
            <rFont val="Aptos Narrow"/>
            <family val="2"/>
            <scheme val="minor"/>
          </rPr>
          <t>chit trang:
7.190k</t>
        </r>
      </text>
    </comment>
    <comment ref="G23" authorId="1" shapeId="0" xr:uid="{00000000-0006-0000-2A00-000029000000}">
      <text>
        <r>
          <rPr>
            <sz val="12"/>
            <color theme="1"/>
            <rFont val="Aptos Narrow"/>
            <family val="2"/>
            <scheme val="minor"/>
          </rPr>
          <t>Tran Dat:
7.190.000</t>
        </r>
      </text>
    </comment>
    <comment ref="C24" authorId="5" shapeId="0" xr:uid="{00000000-0006-0000-2A00-00002A000000}">
      <text>
        <r>
          <rPr>
            <sz val="12"/>
            <color theme="1"/>
            <rFont val="Aptos Narrow"/>
            <family val="2"/>
            <scheme val="minor"/>
          </rPr>
          <t>W6 6690</t>
        </r>
      </text>
    </comment>
    <comment ref="D24" authorId="0" shapeId="0" xr:uid="{00000000-0006-0000-2A00-00002B000000}">
      <text>
        <r>
          <rPr>
            <sz val="12"/>
            <color theme="1"/>
            <rFont val="Aptos Narrow"/>
            <family val="2"/>
            <scheme val="minor"/>
          </rPr>
          <t>Việt Hoàng:
6.590.000</t>
        </r>
      </text>
    </comment>
    <comment ref="E24" authorId="4" shapeId="0" xr:uid="{00000000-0006-0000-2A00-00002C000000}">
      <text>
        <r>
          <rPr>
            <sz val="12"/>
            <color theme="1"/>
            <rFont val="Aptos Narrow"/>
            <family val="2"/>
            <scheme val="minor"/>
          </rPr>
          <t>was 6590</t>
        </r>
      </text>
    </comment>
    <comment ref="G24" authorId="1" shapeId="0" xr:uid="{00000000-0006-0000-2A00-00002D000000}">
      <text>
        <r>
          <rPr>
            <sz val="12"/>
            <color theme="1"/>
            <rFont val="Aptos Narrow"/>
            <family val="2"/>
            <scheme val="minor"/>
          </rPr>
          <t>Tran Dat:
6.450</t>
        </r>
      </text>
    </comment>
    <comment ref="C25" authorId="5" shapeId="0" xr:uid="{00000000-0006-0000-2A00-00002E000000}">
      <text>
        <r>
          <rPr>
            <sz val="12"/>
            <color theme="1"/>
            <rFont val="Aptos Narrow"/>
            <family val="2"/>
            <scheme val="minor"/>
          </rPr>
          <t>W6 7990</t>
        </r>
      </text>
    </comment>
    <comment ref="E25" authorId="4" shapeId="0" xr:uid="{00000000-0006-0000-2A00-00002F000000}">
      <text>
        <r>
          <rPr>
            <sz val="12"/>
            <color theme="1"/>
            <rFont val="Aptos Narrow"/>
            <family val="2"/>
            <scheme val="minor"/>
          </rPr>
          <t>was 7990</t>
        </r>
      </text>
    </comment>
    <comment ref="G25" authorId="1" shapeId="0" xr:uid="{00000000-0006-0000-2A00-000030000000}">
      <text>
        <r>
          <rPr>
            <sz val="12"/>
            <color theme="1"/>
            <rFont val="Aptos Narrow"/>
            <family val="2"/>
            <scheme val="minor"/>
          </rPr>
          <t>Tran Dat:
7.890.000</t>
        </r>
      </text>
    </comment>
    <comment ref="D26" authorId="0" shapeId="0" xr:uid="{00000000-0006-0000-2A00-000031000000}">
      <text>
        <r>
          <rPr>
            <sz val="12"/>
            <color theme="1"/>
            <rFont val="Aptos Narrow"/>
            <family val="2"/>
            <scheme val="minor"/>
          </rPr>
          <t>Việt Hoàng:
10.790.000</t>
        </r>
      </text>
    </comment>
    <comment ref="E26" authorId="7" shapeId="0" xr:uid="{00000000-0006-0000-2A00-000032000000}">
      <text>
        <r>
          <rPr>
            <sz val="12"/>
            <color theme="1"/>
            <rFont val="Aptos Narrow"/>
            <family val="2"/>
            <scheme val="minor"/>
          </rPr>
          <t>was 10390</t>
        </r>
      </text>
    </comment>
    <comment ref="F26" authorId="6" shapeId="0" xr:uid="{00000000-0006-0000-2A00-000033000000}">
      <text>
        <r>
          <rPr>
            <sz val="12"/>
            <color theme="1"/>
            <rFont val="Aptos Narrow"/>
            <family val="2"/>
            <scheme val="minor"/>
          </rPr>
          <t>chit trang:
10.990k</t>
        </r>
      </text>
    </comment>
    <comment ref="G26" authorId="1" shapeId="0" xr:uid="{00000000-0006-0000-2A00-000034000000}">
      <text>
        <r>
          <rPr>
            <sz val="12"/>
            <color theme="1"/>
            <rFont val="Aptos Narrow"/>
            <family val="2"/>
            <scheme val="minor"/>
          </rPr>
          <t>Tran Dat:
10.490.000</t>
        </r>
      </text>
    </comment>
    <comment ref="C27" authorId="5" shapeId="0" xr:uid="{00000000-0006-0000-2A00-000035000000}">
      <text>
        <r>
          <rPr>
            <sz val="12"/>
            <color theme="1"/>
            <rFont val="Aptos Narrow"/>
            <family val="2"/>
            <scheme val="minor"/>
          </rPr>
          <t>W6 13190</t>
        </r>
      </text>
    </comment>
    <comment ref="D27" authorId="0" shapeId="0" xr:uid="{00000000-0006-0000-2A00-000036000000}">
      <text>
        <r>
          <rPr>
            <sz val="12"/>
            <color theme="1"/>
            <rFont val="Aptos Narrow"/>
            <family val="2"/>
            <scheme val="minor"/>
          </rPr>
          <t>Việt Hoàng:
Last week:
13.290.000</t>
        </r>
      </text>
    </comment>
    <comment ref="E27" authorId="2" shapeId="0" xr:uid="{00000000-0006-0000-2A00-000037000000}">
      <text>
        <r>
          <rPr>
            <sz val="12"/>
            <color theme="1"/>
            <rFont val="Aptos Narrow"/>
            <family val="2"/>
            <scheme val="minor"/>
          </rPr>
          <t>was 12990</t>
        </r>
      </text>
    </comment>
    <comment ref="F27" authorId="6" shapeId="0" xr:uid="{00000000-0006-0000-2A00-000038000000}">
      <text>
        <r>
          <rPr>
            <sz val="12"/>
            <color theme="1"/>
            <rFont val="Aptos Narrow"/>
            <family val="2"/>
            <scheme val="minor"/>
          </rPr>
          <t>chit trang:
12.590k</t>
        </r>
      </text>
    </comment>
    <comment ref="G27" authorId="1" shapeId="0" xr:uid="{00000000-0006-0000-2A00-000039000000}">
      <text>
        <r>
          <rPr>
            <sz val="12"/>
            <color theme="1"/>
            <rFont val="Aptos Narrow"/>
            <family val="2"/>
            <scheme val="minor"/>
          </rPr>
          <t>Tran Dat:
12.590</t>
        </r>
      </text>
    </comment>
    <comment ref="C28" authorId="5" shapeId="0" xr:uid="{00000000-0006-0000-2A00-00003A000000}">
      <text>
        <r>
          <rPr>
            <sz val="12"/>
            <color theme="1"/>
            <rFont val="Aptos Narrow"/>
            <family val="2"/>
            <scheme val="minor"/>
          </rPr>
          <t>W6 11590</t>
        </r>
      </text>
    </comment>
    <comment ref="D28" authorId="0" shapeId="0" xr:uid="{00000000-0006-0000-2A00-00003B000000}">
      <text>
        <r>
          <rPr>
            <sz val="12"/>
            <color theme="1"/>
            <rFont val="Aptos Narrow"/>
            <family val="2"/>
            <scheme val="minor"/>
          </rPr>
          <t>Việt Hoàng:
Last week:
11.490.000</t>
        </r>
      </text>
    </comment>
    <comment ref="E28" authorId="2" shapeId="0" xr:uid="{00000000-0006-0000-2A00-00003C000000}">
      <text>
        <r>
          <rPr>
            <sz val="12"/>
            <color theme="1"/>
            <rFont val="Aptos Narrow"/>
            <family val="2"/>
            <scheme val="minor"/>
          </rPr>
          <t>was 11290</t>
        </r>
      </text>
    </comment>
    <comment ref="F28" authorId="6" shapeId="0" xr:uid="{00000000-0006-0000-2A00-00003D000000}">
      <text>
        <r>
          <rPr>
            <sz val="12"/>
            <color theme="1"/>
            <rFont val="Aptos Narrow"/>
            <family val="2"/>
            <scheme val="minor"/>
          </rPr>
          <t>chit trang:
11.390</t>
        </r>
      </text>
    </comment>
    <comment ref="G28" authorId="1" shapeId="0" xr:uid="{00000000-0006-0000-2A00-00003E000000}">
      <text>
        <r>
          <rPr>
            <sz val="12"/>
            <color theme="1"/>
            <rFont val="Aptos Narrow"/>
            <family val="2"/>
            <scheme val="minor"/>
          </rPr>
          <t>Tran Dat:
11.490</t>
        </r>
      </text>
    </comment>
    <comment ref="B29" authorId="2" shapeId="0" xr:uid="{00000000-0006-0000-2A00-00003F000000}">
      <text>
        <r>
          <rPr>
            <sz val="12"/>
            <color theme="1"/>
            <rFont val="Aptos Narrow"/>
            <family val="2"/>
            <scheme val="minor"/>
          </rPr>
          <t>was 13320
VNP100</t>
        </r>
      </text>
    </comment>
    <comment ref="C29" authorId="2" shapeId="0" xr:uid="{00000000-0006-0000-2A00-000040000000}">
      <text>
        <r>
          <rPr>
            <sz val="12"/>
            <color theme="1"/>
            <rFont val="Aptos Narrow"/>
            <family val="2"/>
            <scheme val="minor"/>
          </rPr>
          <t xml:space="preserve">W6 14190
</t>
        </r>
      </text>
    </comment>
    <comment ref="D29" authorId="0" shapeId="0" xr:uid="{00000000-0006-0000-2A00-000041000000}">
      <text>
        <r>
          <rPr>
            <sz val="12"/>
            <color theme="1"/>
            <rFont val="Aptos Narrow"/>
            <family val="2"/>
            <scheme val="minor"/>
          </rPr>
          <t>Việt Hoàng:
Last week:
13.990.000</t>
        </r>
      </text>
    </comment>
    <comment ref="E29" authorId="2" shapeId="0" xr:uid="{00000000-0006-0000-2A00-000042000000}">
      <text>
        <r>
          <rPr>
            <sz val="12"/>
            <color theme="1"/>
            <rFont val="Aptos Narrow"/>
            <family val="2"/>
            <scheme val="minor"/>
          </rPr>
          <t>was 13890</t>
        </r>
      </text>
    </comment>
    <comment ref="F29" authorId="6" shapeId="0" xr:uid="{00000000-0006-0000-2A00-000043000000}">
      <text>
        <r>
          <rPr>
            <sz val="12"/>
            <color theme="1"/>
            <rFont val="Aptos Narrow"/>
            <family val="2"/>
            <scheme val="minor"/>
          </rPr>
          <t>chit trang:
14.090k</t>
        </r>
      </text>
    </comment>
    <comment ref="G29" authorId="1" shapeId="0" xr:uid="{00000000-0006-0000-2A00-000044000000}">
      <text>
        <r>
          <rPr>
            <sz val="12"/>
            <color theme="1"/>
            <rFont val="Aptos Narrow"/>
            <family val="2"/>
            <scheme val="minor"/>
          </rPr>
          <t>Tran Dat:
13.890</t>
        </r>
      </text>
    </comment>
    <comment ref="F30" authorId="3" shapeId="0" xr:uid="{00000000-0006-0000-2A00-000045000000}">
      <text>
        <r>
          <rPr>
            <sz val="12"/>
            <color theme="1"/>
            <rFont val="Aptos Narrow"/>
            <family val="2"/>
            <scheme val="minor"/>
          </rPr>
          <t>Unknown User:
22.490</t>
        </r>
      </text>
    </comment>
    <comment ref="B31" authorId="2" shapeId="0" xr:uid="{00000000-0006-0000-2A00-000046000000}">
      <text>
        <r>
          <rPr>
            <sz val="12"/>
            <color theme="1"/>
            <rFont val="Aptos Narrow"/>
            <family val="2"/>
            <scheme val="minor"/>
          </rPr>
          <t>was 5550
VNP40</t>
        </r>
      </text>
    </comment>
    <comment ref="C31" authorId="2" shapeId="0" xr:uid="{00000000-0006-0000-2A00-000047000000}">
      <text>
        <r>
          <rPr>
            <sz val="12"/>
            <color theme="1"/>
            <rFont val="Aptos Narrow"/>
            <family val="2"/>
            <scheme val="minor"/>
          </rPr>
          <t xml:space="preserve">W6 5790
</t>
        </r>
      </text>
    </comment>
    <comment ref="D31" authorId="0" shapeId="0" xr:uid="{00000000-0006-0000-2A00-000048000000}">
      <text>
        <r>
          <rPr>
            <sz val="12"/>
            <color theme="1"/>
            <rFont val="Aptos Narrow"/>
            <family val="2"/>
            <scheme val="minor"/>
          </rPr>
          <t>Việt Hoàng:
Last week:
5.790.000</t>
        </r>
      </text>
    </comment>
    <comment ref="E31" authorId="4" shapeId="0" xr:uid="{00000000-0006-0000-2A00-000049000000}">
      <text>
        <r>
          <rPr>
            <sz val="12"/>
            <color theme="1"/>
            <rFont val="Aptos Narrow"/>
            <family val="2"/>
            <scheme val="minor"/>
          </rPr>
          <t>was 5690</t>
        </r>
      </text>
    </comment>
    <comment ref="F31" authorId="3" shapeId="0" xr:uid="{00000000-0006-0000-2A00-00004A000000}">
      <text>
        <r>
          <rPr>
            <sz val="12"/>
            <color theme="1"/>
            <rFont val="Aptos Narrow"/>
            <family val="2"/>
            <scheme val="minor"/>
          </rPr>
          <t>Unknown User:
5.690</t>
        </r>
      </text>
    </comment>
    <comment ref="G31" authorId="1" shapeId="0" xr:uid="{00000000-0006-0000-2A00-00004B000000}">
      <text>
        <r>
          <rPr>
            <sz val="12"/>
            <color theme="1"/>
            <rFont val="Aptos Narrow"/>
            <family val="2"/>
            <scheme val="minor"/>
          </rPr>
          <t>Tran Dat:
5290000</t>
        </r>
      </text>
    </comment>
    <comment ref="B32" authorId="2" shapeId="0" xr:uid="{00000000-0006-0000-2A00-00004C000000}">
      <text>
        <r>
          <rPr>
            <sz val="12"/>
            <color theme="1"/>
            <rFont val="Aptos Narrow"/>
            <family val="2"/>
            <scheme val="minor"/>
          </rPr>
          <t xml:space="preserve">was 4490
</t>
        </r>
      </text>
    </comment>
    <comment ref="C32" authorId="2" shapeId="0" xr:uid="{00000000-0006-0000-2A00-00004D000000}">
      <text>
        <r>
          <rPr>
            <sz val="12"/>
            <color theme="1"/>
            <rFont val="Aptos Narrow"/>
            <family val="2"/>
            <scheme val="minor"/>
          </rPr>
          <t xml:space="preserve">W6 4650
</t>
        </r>
      </text>
    </comment>
    <comment ref="D32" authorId="0" shapeId="0" xr:uid="{00000000-0006-0000-2A00-00004E000000}">
      <text>
        <r>
          <rPr>
            <sz val="12"/>
            <color theme="1"/>
            <rFont val="Aptos Narrow"/>
            <family val="2"/>
            <scheme val="minor"/>
          </rPr>
          <t>Việt Hoàng:
Last week:
4.650.000</t>
        </r>
      </text>
    </comment>
    <comment ref="E32" authorId="4" shapeId="0" xr:uid="{00000000-0006-0000-2A00-00004F000000}">
      <text>
        <r>
          <rPr>
            <sz val="12"/>
            <color theme="1"/>
            <rFont val="Aptos Narrow"/>
            <family val="2"/>
            <scheme val="minor"/>
          </rPr>
          <t>was 4590</t>
        </r>
      </text>
    </comment>
    <comment ref="F32" authorId="3" shapeId="0" xr:uid="{00000000-0006-0000-2A00-000050000000}">
      <text>
        <r>
          <rPr>
            <sz val="12"/>
            <color theme="1"/>
            <rFont val="Aptos Narrow"/>
            <family val="2"/>
            <scheme val="minor"/>
          </rPr>
          <t>Unknown User:
4.590</t>
        </r>
      </text>
    </comment>
    <comment ref="G32" authorId="1" shapeId="0" xr:uid="{00000000-0006-0000-2A00-000051000000}">
      <text>
        <r>
          <rPr>
            <sz val="12"/>
            <color theme="1"/>
            <rFont val="Aptos Narrow"/>
            <family val="2"/>
            <scheme val="minor"/>
          </rPr>
          <t>Tran Dat:
4690000</t>
        </r>
      </text>
    </comment>
    <comment ref="B33" authorId="2" shapeId="0" xr:uid="{00000000-0006-0000-2A00-000052000000}">
      <text>
        <r>
          <rPr>
            <sz val="12"/>
            <color theme="1"/>
            <rFont val="Aptos Narrow"/>
            <family val="2"/>
            <scheme val="minor"/>
          </rPr>
          <t>was 3190</t>
        </r>
      </text>
    </comment>
    <comment ref="C33" authorId="2" shapeId="0" xr:uid="{00000000-0006-0000-2A00-000053000000}">
      <text>
        <r>
          <rPr>
            <sz val="12"/>
            <color theme="1"/>
            <rFont val="Aptos Narrow"/>
            <family val="2"/>
            <scheme val="minor"/>
          </rPr>
          <t>W6 3390</t>
        </r>
      </text>
    </comment>
    <comment ref="D33" authorId="0" shapeId="0" xr:uid="{00000000-0006-0000-2A00-000054000000}">
      <text>
        <r>
          <rPr>
            <sz val="12"/>
            <color theme="1"/>
            <rFont val="Aptos Narrow"/>
            <family val="2"/>
            <scheme val="minor"/>
          </rPr>
          <t>Việt Hoàng:
Last week:
3.090.000</t>
        </r>
      </text>
    </comment>
    <comment ref="E33" authorId="2" shapeId="0" xr:uid="{00000000-0006-0000-2A00-000055000000}">
      <text>
        <r>
          <rPr>
            <sz val="12"/>
            <color theme="1"/>
            <rFont val="Aptos Narrow"/>
            <family val="2"/>
            <scheme val="minor"/>
          </rPr>
          <t>was 3290</t>
        </r>
      </text>
    </comment>
    <comment ref="F33" authorId="3" shapeId="0" xr:uid="{00000000-0006-0000-2A00-000056000000}">
      <text>
        <r>
          <rPr>
            <sz val="12"/>
            <color theme="1"/>
            <rFont val="Aptos Narrow"/>
            <family val="2"/>
            <scheme val="minor"/>
          </rPr>
          <t>Unknown User:
3.390</t>
        </r>
      </text>
    </comment>
    <comment ref="G33" authorId="1" shapeId="0" xr:uid="{00000000-0006-0000-2A00-000057000000}">
      <text>
        <r>
          <rPr>
            <sz val="12"/>
            <color theme="1"/>
            <rFont val="Aptos Narrow"/>
            <family val="2"/>
            <scheme val="minor"/>
          </rPr>
          <t>Tran Dat:
3.340</t>
        </r>
      </text>
    </comment>
    <comment ref="B35" authorId="2" shapeId="0" xr:uid="{00000000-0006-0000-2A00-000058000000}">
      <text>
        <r>
          <rPr>
            <sz val="12"/>
            <color theme="1"/>
            <rFont val="Aptos Narrow"/>
            <family val="2"/>
            <scheme val="minor"/>
          </rPr>
          <t>was 18090
VNP100</t>
        </r>
      </text>
    </comment>
    <comment ref="D35" authorId="0" shapeId="0" xr:uid="{00000000-0006-0000-2A00-000059000000}">
      <text>
        <r>
          <rPr>
            <sz val="12"/>
            <color theme="1"/>
            <rFont val="Aptos Narrow"/>
            <family val="2"/>
            <scheme val="minor"/>
          </rPr>
          <t>Việt Hoàng:
Last week:
17.490.000</t>
        </r>
      </text>
    </comment>
    <comment ref="G35" authorId="1" shapeId="0" xr:uid="{00000000-0006-0000-2A00-00005A000000}">
      <text>
        <r>
          <rPr>
            <sz val="12"/>
            <color theme="1"/>
            <rFont val="Aptos Narrow"/>
            <family val="2"/>
            <scheme val="minor"/>
          </rPr>
          <t>Tran Dat:
17690</t>
        </r>
      </text>
    </comment>
    <comment ref="G36" authorId="1" shapeId="0" xr:uid="{00000000-0006-0000-2A00-00005B000000}">
      <text>
        <r>
          <rPr>
            <sz val="12"/>
            <color theme="1"/>
            <rFont val="Aptos Narrow"/>
            <family val="2"/>
            <scheme val="minor"/>
          </rPr>
          <t>Tran Dat:
23990</t>
        </r>
      </text>
    </comment>
    <comment ref="B37" authorId="2" shapeId="0" xr:uid="{00000000-0006-0000-2A00-00005C000000}">
      <text>
        <r>
          <rPr>
            <sz val="12"/>
            <color theme="1"/>
            <rFont val="Aptos Narrow"/>
            <family val="2"/>
            <scheme val="minor"/>
          </rPr>
          <t>was 26140
VNP150</t>
        </r>
      </text>
    </comment>
    <comment ref="D37" authorId="0" shapeId="0" xr:uid="{00000000-0006-0000-2A00-00005D000000}">
      <text>
        <r>
          <rPr>
            <sz val="12"/>
            <color theme="1"/>
            <rFont val="Aptos Narrow"/>
            <family val="2"/>
            <scheme val="minor"/>
          </rPr>
          <t>Việt Hoàng:
25.790.000</t>
        </r>
      </text>
    </comment>
    <comment ref="G37" authorId="1" shapeId="0" xr:uid="{00000000-0006-0000-2A00-00005E000000}">
      <text>
        <r>
          <rPr>
            <sz val="12"/>
            <color theme="1"/>
            <rFont val="Aptos Narrow"/>
            <family val="2"/>
            <scheme val="minor"/>
          </rPr>
          <t>Tran Dat:
26.290</t>
        </r>
      </text>
    </comment>
    <comment ref="D38" authorId="0" shapeId="0" xr:uid="{00000000-0006-0000-2A00-00005F000000}">
      <text>
        <r>
          <rPr>
            <sz val="12"/>
            <color theme="1"/>
            <rFont val="Aptos Narrow"/>
            <family val="2"/>
            <scheme val="minor"/>
          </rPr>
          <t>Việt Hoàng:
Last week:
32.190.000</t>
        </r>
      </text>
    </comment>
    <comment ref="G38" authorId="1" shapeId="0" xr:uid="{00000000-0006-0000-2A00-000060000000}">
      <text>
        <r>
          <rPr>
            <sz val="12"/>
            <color theme="1"/>
            <rFont val="Aptos Narrow"/>
            <family val="2"/>
            <scheme val="minor"/>
          </rPr>
          <t>Tran Dat:
32890000</t>
        </r>
      </text>
    </comment>
  </commentList>
</comments>
</file>

<file path=xl/comments44.xml><?xml version="1.0" encoding="utf-8"?>
<comments xmlns="http://schemas.openxmlformats.org/spreadsheetml/2006/main" xmlns:mc="http://schemas.openxmlformats.org/markup-compatibility/2006" xmlns:xr="http://schemas.microsoft.com/office/spreadsheetml/2014/revision" mc:Ignorable="xr">
  <authors>
    <author>Việt Hoàng</author>
    <author>Microsoft Office User</author>
    <author>Tran Dat</author>
    <author>Guest User</author>
    <author>Sheva Son</author>
    <author>Duy</author>
    <author>chit trang</author>
  </authors>
  <commentList>
    <comment ref="D2" authorId="0" shapeId="0" xr:uid="{00000000-0006-0000-2B00-000001000000}">
      <text>
        <r>
          <rPr>
            <sz val="12"/>
            <color theme="1"/>
            <rFont val="Aptos Narrow"/>
            <family val="2"/>
            <scheme val="minor"/>
          </rPr>
          <t>Việt Hoàng:
Last week:
20.890.000</t>
        </r>
      </text>
    </comment>
    <comment ref="B3" authorId="1" shapeId="0" xr:uid="{00000000-0006-0000-2B00-000002000000}">
      <text>
        <r>
          <rPr>
            <sz val="12"/>
            <color theme="1"/>
            <rFont val="Aptos Narrow"/>
            <family val="2"/>
            <scheme val="minor"/>
          </rPr>
          <t>was 24640000
VNP150</t>
        </r>
      </text>
    </comment>
    <comment ref="D3" authorId="0" shapeId="0" xr:uid="{00000000-0006-0000-2B00-000003000000}">
      <text>
        <r>
          <rPr>
            <sz val="12"/>
            <color theme="1"/>
            <rFont val="Aptos Narrow"/>
            <family val="2"/>
            <scheme val="minor"/>
          </rPr>
          <t>Việt Hoàng:
Last week:
24.290.000</t>
        </r>
      </text>
    </comment>
    <comment ref="G3" authorId="2" shapeId="0" xr:uid="{00000000-0006-0000-2B00-000004000000}">
      <text>
        <r>
          <rPr>
            <sz val="12"/>
            <color theme="1"/>
            <rFont val="Aptos Narrow"/>
            <family val="2"/>
            <scheme val="minor"/>
          </rPr>
          <t>Tran Dat:
24190</t>
        </r>
      </text>
    </comment>
    <comment ref="D4" authorId="0" shapeId="0" xr:uid="{00000000-0006-0000-2B00-000005000000}">
      <text>
        <r>
          <rPr>
            <sz val="12"/>
            <color theme="1"/>
            <rFont val="Aptos Narrow"/>
            <family val="2"/>
            <scheme val="minor"/>
          </rPr>
          <t>Việt Hoàng:
Last week:
26.990.000</t>
        </r>
      </text>
    </comment>
    <comment ref="F4" authorId="3" shapeId="0" xr:uid="{00000000-0006-0000-2B00-000006000000}">
      <text>
        <r>
          <rPr>
            <sz val="12"/>
            <color theme="1"/>
            <rFont val="Aptos Narrow"/>
            <family val="2"/>
            <scheme val="minor"/>
          </rPr>
          <t>Unknown User:
27.390k</t>
        </r>
      </text>
    </comment>
    <comment ref="G4" authorId="2" shapeId="0" xr:uid="{00000000-0006-0000-2B00-000007000000}">
      <text>
        <r>
          <rPr>
            <sz val="12"/>
            <color theme="1"/>
            <rFont val="Aptos Narrow"/>
            <family val="2"/>
            <scheme val="minor"/>
          </rPr>
          <t>Tran Dat:
27190</t>
        </r>
      </text>
    </comment>
    <comment ref="B5" authorId="1" shapeId="0" xr:uid="{00000000-0006-0000-2B00-000008000000}">
      <text>
        <r>
          <rPr>
            <sz val="12"/>
            <color theme="1"/>
            <rFont val="Aptos Narrow"/>
            <family val="2"/>
            <scheme val="minor"/>
          </rPr>
          <t>Tặng phiếu mua hàng mua AirPods và Apple Watch trị giá 500,000đ
 Phiếu mua hàng mua sản phẩm giá niêm yết từ 5 triệu thuộc các nhóm TAI NGHE - LOA hãng HARMAN KARDON, JBL,MONSTER, KLIPSCH, MARSHALL, SONY; Smartwatch hãng HUAWEI, GARMIN, SAMSUNG, IMOO, OPPO, AMAZFIT trị giá 500.000đ</t>
        </r>
      </text>
    </comment>
    <comment ref="D5" authorId="0" shapeId="0" xr:uid="{00000000-0006-0000-2B00-000009000000}">
      <text>
        <r>
          <rPr>
            <sz val="12"/>
            <color theme="1"/>
            <rFont val="Aptos Narrow"/>
            <family val="2"/>
            <scheme val="minor"/>
          </rPr>
          <t>Việt Hoàng:
Last week:
32.390.000</t>
        </r>
      </text>
    </comment>
    <comment ref="E5" authorId="4" shapeId="0" xr:uid="{00000000-0006-0000-2B00-00000A000000}">
      <text>
        <r>
          <rPr>
            <sz val="12"/>
            <color theme="1"/>
            <rFont val="Aptos Narrow"/>
            <family val="2"/>
            <scheme val="minor"/>
          </rPr>
          <t>Web: 32.790K
Giảm giá shock giờ vàng từ 9-22h</t>
        </r>
      </text>
    </comment>
    <comment ref="G5" authorId="2" shapeId="0" xr:uid="{00000000-0006-0000-2B00-00000B000000}">
      <text>
        <r>
          <rPr>
            <sz val="12"/>
            <color theme="1"/>
            <rFont val="Aptos Narrow"/>
            <family val="2"/>
            <scheme val="minor"/>
          </rPr>
          <t>Tran Dat:
32.490</t>
        </r>
      </text>
    </comment>
    <comment ref="D6" authorId="0" shapeId="0" xr:uid="{00000000-0006-0000-2B00-00000C000000}">
      <text>
        <r>
          <rPr>
            <sz val="12"/>
            <color theme="1"/>
            <rFont val="Aptos Narrow"/>
            <family val="2"/>
            <scheme val="minor"/>
          </rPr>
          <t>Việt Hoàng:
Last week:
18.690.000</t>
        </r>
      </text>
    </comment>
    <comment ref="G6" authorId="2" shapeId="0" xr:uid="{00000000-0006-0000-2B00-00000D000000}">
      <text>
        <r>
          <rPr>
            <sz val="12"/>
            <color theme="1"/>
            <rFont val="Aptos Narrow"/>
            <family val="2"/>
            <scheme val="minor"/>
          </rPr>
          <t>Tran Dat:
18.790.000</t>
        </r>
      </text>
    </comment>
    <comment ref="B9" authorId="1" shapeId="0" xr:uid="{00000000-0006-0000-2B00-00000E000000}">
      <text>
        <r>
          <rPr>
            <sz val="12"/>
            <color theme="1"/>
            <rFont val="Aptos Narrow"/>
            <family val="2"/>
            <scheme val="minor"/>
          </rPr>
          <t>was 29140000
VNP150</t>
        </r>
      </text>
    </comment>
    <comment ref="C9" authorId="5" shapeId="0" xr:uid="{00000000-0006-0000-2B00-00000F000000}">
      <text>
        <r>
          <rPr>
            <sz val="12"/>
            <color theme="1"/>
            <rFont val="Aptos Narrow"/>
            <family val="2"/>
            <scheme val="minor"/>
          </rPr>
          <t xml:space="preserve">W7 29690
</t>
        </r>
      </text>
    </comment>
    <comment ref="F9" authorId="3" shapeId="0" xr:uid="{00000000-0006-0000-2B00-000010000000}">
      <text>
        <r>
          <rPr>
            <sz val="12"/>
            <color theme="1"/>
            <rFont val="Aptos Narrow"/>
            <family val="2"/>
            <scheme val="minor"/>
          </rPr>
          <t>Unknown User:
28.890</t>
        </r>
      </text>
    </comment>
    <comment ref="B10" authorId="1" shapeId="0" xr:uid="{00000000-0006-0000-2B00-000011000000}">
      <text>
        <r>
          <rPr>
            <sz val="12"/>
            <color theme="1"/>
            <rFont val="Aptos Narrow"/>
            <family val="2"/>
            <scheme val="minor"/>
          </rPr>
          <t>was 18440</t>
        </r>
      </text>
    </comment>
    <comment ref="G11" authorId="2" shapeId="0" xr:uid="{00000000-0006-0000-2B00-000012000000}">
      <text>
        <r>
          <rPr>
            <sz val="12"/>
            <color theme="1"/>
            <rFont val="Aptos Narrow"/>
            <family val="2"/>
            <scheme val="minor"/>
          </rPr>
          <t>Tran Dat:
15.990</t>
        </r>
      </text>
    </comment>
    <comment ref="B12" authorId="1" shapeId="0" xr:uid="{00000000-0006-0000-2B00-000013000000}">
      <text>
        <r>
          <rPr>
            <sz val="12"/>
            <color theme="1"/>
            <rFont val="Aptos Narrow"/>
            <family val="2"/>
            <scheme val="minor"/>
          </rPr>
          <t>was 13190
VNP100</t>
        </r>
      </text>
    </comment>
    <comment ref="C12" authorId="1" shapeId="0" xr:uid="{00000000-0006-0000-2B00-000014000000}">
      <text>
        <r>
          <rPr>
            <sz val="12"/>
            <color theme="1"/>
            <rFont val="Aptos Narrow"/>
            <family val="2"/>
            <scheme val="minor"/>
          </rPr>
          <t xml:space="preserve">W7 12890
</t>
        </r>
      </text>
    </comment>
    <comment ref="C13" authorId="5" shapeId="0" xr:uid="{00000000-0006-0000-2B00-000015000000}">
      <text>
        <r>
          <rPr>
            <sz val="12"/>
            <color theme="1"/>
            <rFont val="Aptos Narrow"/>
            <family val="2"/>
            <scheme val="minor"/>
          </rPr>
          <t>W7 9590</t>
        </r>
      </text>
    </comment>
    <comment ref="D14" authorId="0" shapeId="0" xr:uid="{00000000-0006-0000-2B00-000016000000}">
      <text>
        <r>
          <rPr>
            <sz val="12"/>
            <color theme="1"/>
            <rFont val="Aptos Narrow"/>
            <family val="2"/>
            <scheme val="minor"/>
          </rPr>
          <t>Việt Hoàng:
Last week:
8.990.000</t>
        </r>
      </text>
    </comment>
    <comment ref="D16" authorId="0" shapeId="0" xr:uid="{00000000-0006-0000-2B00-000017000000}">
      <text>
        <r>
          <rPr>
            <sz val="12"/>
            <color theme="1"/>
            <rFont val="Aptos Narrow"/>
            <family val="2"/>
            <scheme val="minor"/>
          </rPr>
          <t>Việt Hoàng:
Last week
8.990.000</t>
        </r>
      </text>
    </comment>
    <comment ref="G16" authorId="2" shapeId="0" xr:uid="{00000000-0006-0000-2B00-000018000000}">
      <text>
        <r>
          <rPr>
            <sz val="12"/>
            <color theme="1"/>
            <rFont val="Aptos Narrow"/>
            <family val="2"/>
            <scheme val="minor"/>
          </rPr>
          <t>Tran Dat:
8.390</t>
        </r>
      </text>
    </comment>
    <comment ref="B17" authorId="1" shapeId="0" xr:uid="{00000000-0006-0000-2B00-000019000000}">
      <text>
        <r>
          <rPr>
            <sz val="12"/>
            <color theme="1"/>
            <rFont val="Aptos Narrow"/>
            <family val="2"/>
            <scheme val="minor"/>
          </rPr>
          <t>was 7040
VNP40</t>
        </r>
      </text>
    </comment>
    <comment ref="B18" authorId="1" shapeId="0" xr:uid="{00000000-0006-0000-2B00-00001A000000}">
      <text>
        <r>
          <rPr>
            <sz val="12"/>
            <color theme="1"/>
            <rFont val="Aptos Narrow"/>
            <family val="2"/>
            <scheme val="minor"/>
          </rPr>
          <t>was 14390</t>
        </r>
      </text>
    </comment>
    <comment ref="F20" authorId="3" shapeId="0" xr:uid="{00000000-0006-0000-2B00-00001B000000}">
      <text>
        <r>
          <rPr>
            <sz val="12"/>
            <color theme="1"/>
            <rFont val="Aptos Narrow"/>
            <family val="2"/>
            <scheme val="minor"/>
          </rPr>
          <t>Unknown User:
27.690k</t>
        </r>
      </text>
    </comment>
    <comment ref="B21" authorId="1" shapeId="0" xr:uid="{00000000-0006-0000-2B00-00001C000000}">
      <text>
        <r>
          <rPr>
            <sz val="12"/>
            <color theme="1"/>
            <rFont val="Aptos Narrow"/>
            <family val="2"/>
            <scheme val="minor"/>
          </rPr>
          <t>was 36640</t>
        </r>
      </text>
    </comment>
    <comment ref="G22" authorId="2" shapeId="0" xr:uid="{00000000-0006-0000-2B00-00001D000000}">
      <text>
        <r>
          <rPr>
            <sz val="12"/>
            <color theme="1"/>
            <rFont val="Aptos Narrow"/>
            <family val="2"/>
            <scheme val="minor"/>
          </rPr>
          <t>Tran Dat:
5590</t>
        </r>
      </text>
    </comment>
    <comment ref="F23" authorId="6" shapeId="0" xr:uid="{00000000-0006-0000-2B00-00001E000000}">
      <text>
        <r>
          <rPr>
            <sz val="12"/>
            <color theme="1"/>
            <rFont val="Aptos Narrow"/>
            <family val="2"/>
            <scheme val="minor"/>
          </rPr>
          <t>chit trang:
7.190k</t>
        </r>
      </text>
    </comment>
    <comment ref="G23" authorId="2" shapeId="0" xr:uid="{00000000-0006-0000-2B00-00001F000000}">
      <text>
        <r>
          <rPr>
            <sz val="12"/>
            <color theme="1"/>
            <rFont val="Aptos Narrow"/>
            <family val="2"/>
            <scheme val="minor"/>
          </rPr>
          <t>Tran Dat:
7.190.000</t>
        </r>
      </text>
    </comment>
    <comment ref="G24" authorId="2" shapeId="0" xr:uid="{00000000-0006-0000-2B00-000020000000}">
      <text>
        <r>
          <rPr>
            <sz val="12"/>
            <color theme="1"/>
            <rFont val="Aptos Narrow"/>
            <family val="2"/>
            <scheme val="minor"/>
          </rPr>
          <t>Tran Dat:
6.390</t>
        </r>
      </text>
    </comment>
    <comment ref="G25" authorId="2" shapeId="0" xr:uid="{00000000-0006-0000-2B00-000021000000}">
      <text>
        <r>
          <rPr>
            <sz val="12"/>
            <color theme="1"/>
            <rFont val="Aptos Narrow"/>
            <family val="2"/>
            <scheme val="minor"/>
          </rPr>
          <t>7.790</t>
        </r>
      </text>
    </comment>
    <comment ref="F26" authorId="6" shapeId="0" xr:uid="{00000000-0006-0000-2B00-000022000000}">
      <text>
        <r>
          <rPr>
            <sz val="12"/>
            <color theme="1"/>
            <rFont val="Aptos Narrow"/>
            <family val="2"/>
            <scheme val="minor"/>
          </rPr>
          <t>chit trang:
9,990k</t>
        </r>
      </text>
    </comment>
    <comment ref="G26" authorId="2" shapeId="0" xr:uid="{00000000-0006-0000-2B00-000023000000}">
      <text>
        <r>
          <rPr>
            <sz val="12"/>
            <color theme="1"/>
            <rFont val="Aptos Narrow"/>
            <family val="2"/>
            <scheme val="minor"/>
          </rPr>
          <t>Tran Dat:
10.490.000</t>
        </r>
      </text>
    </comment>
    <comment ref="G27" authorId="2" shapeId="0" xr:uid="{00000000-0006-0000-2B00-000024000000}">
      <text>
        <r>
          <rPr>
            <sz val="12"/>
            <color theme="1"/>
            <rFont val="Aptos Narrow"/>
            <family val="2"/>
            <scheme val="minor"/>
          </rPr>
          <t>Tran Dat:
12.190</t>
        </r>
      </text>
    </comment>
    <comment ref="G28" authorId="2" shapeId="0" xr:uid="{00000000-0006-0000-2B00-000025000000}">
      <text>
        <r>
          <rPr>
            <sz val="12"/>
            <color theme="1"/>
            <rFont val="Aptos Narrow"/>
            <family val="2"/>
            <scheme val="minor"/>
          </rPr>
          <t>Tran Dat:
10.590</t>
        </r>
      </text>
    </comment>
    <comment ref="B29" authorId="1" shapeId="0" xr:uid="{00000000-0006-0000-2B00-000026000000}">
      <text>
        <r>
          <rPr>
            <sz val="12"/>
            <color theme="1"/>
            <rFont val="Aptos Narrow"/>
            <family val="2"/>
            <scheme val="minor"/>
          </rPr>
          <t>was 13320
VNP100</t>
        </r>
      </text>
    </comment>
    <comment ref="G29" authorId="2" shapeId="0" xr:uid="{00000000-0006-0000-2B00-000027000000}">
      <text>
        <r>
          <rPr>
            <sz val="12"/>
            <color theme="1"/>
            <rFont val="Aptos Narrow"/>
            <family val="2"/>
            <scheme val="minor"/>
          </rPr>
          <t>Tran Dat:
13.690</t>
        </r>
      </text>
    </comment>
    <comment ref="F30" authorId="3" shapeId="0" xr:uid="{00000000-0006-0000-2B00-000028000000}">
      <text>
        <r>
          <rPr>
            <sz val="12"/>
            <color theme="1"/>
            <rFont val="Aptos Narrow"/>
            <family val="2"/>
            <scheme val="minor"/>
          </rPr>
          <t>Unknown User:
22.490</t>
        </r>
      </text>
    </comment>
    <comment ref="B31" authorId="1" shapeId="0" xr:uid="{00000000-0006-0000-2B00-000029000000}">
      <text>
        <r>
          <rPr>
            <sz val="12"/>
            <color theme="1"/>
            <rFont val="Aptos Narrow"/>
            <family val="2"/>
            <scheme val="minor"/>
          </rPr>
          <t>was 5550
VNP40</t>
        </r>
      </text>
    </comment>
    <comment ref="G31" authorId="2" shapeId="0" xr:uid="{00000000-0006-0000-2B00-00002A000000}">
      <text>
        <r>
          <rPr>
            <sz val="12"/>
            <color theme="1"/>
            <rFont val="Aptos Narrow"/>
            <family val="2"/>
            <scheme val="minor"/>
          </rPr>
          <t>Tran Dat:
5290000</t>
        </r>
      </text>
    </comment>
    <comment ref="B32" authorId="1" shapeId="0" xr:uid="{00000000-0006-0000-2B00-00002B000000}">
      <text>
        <r>
          <rPr>
            <sz val="12"/>
            <color theme="1"/>
            <rFont val="Aptos Narrow"/>
            <family val="2"/>
            <scheme val="minor"/>
          </rPr>
          <t xml:space="preserve">was 4490
</t>
        </r>
      </text>
    </comment>
    <comment ref="G32" authorId="2" shapeId="0" xr:uid="{00000000-0006-0000-2B00-00002C000000}">
      <text>
        <r>
          <rPr>
            <sz val="12"/>
            <color theme="1"/>
            <rFont val="Aptos Narrow"/>
            <family val="2"/>
            <scheme val="minor"/>
          </rPr>
          <t>Tran Dat:
4690000</t>
        </r>
      </text>
    </comment>
    <comment ref="B33" authorId="1" shapeId="0" xr:uid="{00000000-0006-0000-2B00-00002D000000}">
      <text>
        <r>
          <rPr>
            <sz val="12"/>
            <color theme="1"/>
            <rFont val="Aptos Narrow"/>
            <family val="2"/>
            <scheme val="minor"/>
          </rPr>
          <t>was 3190</t>
        </r>
      </text>
    </comment>
    <comment ref="D33" authorId="0" shapeId="0" xr:uid="{00000000-0006-0000-2B00-00002E000000}">
      <text>
        <r>
          <rPr>
            <sz val="12"/>
            <color theme="1"/>
            <rFont val="Aptos Narrow"/>
            <family val="2"/>
            <scheme val="minor"/>
          </rPr>
          <t>Việt Hoàng:
Last week:
3.390.000</t>
        </r>
      </text>
    </comment>
    <comment ref="G33" authorId="2" shapeId="0" xr:uid="{00000000-0006-0000-2B00-00002F000000}">
      <text>
        <r>
          <rPr>
            <sz val="12"/>
            <color theme="1"/>
            <rFont val="Aptos Narrow"/>
            <family val="2"/>
            <scheme val="minor"/>
          </rPr>
          <t>Tran Dat:
3.340</t>
        </r>
      </text>
    </comment>
    <comment ref="B35" authorId="1" shapeId="0" xr:uid="{00000000-0006-0000-2B00-000030000000}">
      <text>
        <r>
          <rPr>
            <sz val="12"/>
            <color theme="1"/>
            <rFont val="Aptos Narrow"/>
            <family val="2"/>
            <scheme val="minor"/>
          </rPr>
          <t>was 18090
VNP100</t>
        </r>
      </text>
    </comment>
    <comment ref="D35" authorId="0" shapeId="0" xr:uid="{00000000-0006-0000-2B00-000031000000}">
      <text>
        <r>
          <rPr>
            <sz val="12"/>
            <color theme="1"/>
            <rFont val="Aptos Narrow"/>
            <family val="2"/>
            <scheme val="minor"/>
          </rPr>
          <t>Việt Hoàng:
Last week:
17.590.000</t>
        </r>
      </text>
    </comment>
    <comment ref="D36" authorId="0" shapeId="0" xr:uid="{00000000-0006-0000-2B00-000032000000}">
      <text>
        <r>
          <rPr>
            <sz val="12"/>
            <color theme="1"/>
            <rFont val="Aptos Narrow"/>
            <family val="2"/>
            <scheme val="minor"/>
          </rPr>
          <t>Việt Hoàng:
Last week:
22.790.000</t>
        </r>
      </text>
    </comment>
    <comment ref="B37" authorId="1" shapeId="0" xr:uid="{00000000-0006-0000-2B00-000033000000}">
      <text>
        <r>
          <rPr>
            <sz val="12"/>
            <color theme="1"/>
            <rFont val="Aptos Narrow"/>
            <family val="2"/>
            <scheme val="minor"/>
          </rPr>
          <t>was 26140
VNP150</t>
        </r>
      </text>
    </comment>
    <comment ref="D37" authorId="0" shapeId="0" xr:uid="{00000000-0006-0000-2B00-000034000000}">
      <text>
        <r>
          <rPr>
            <sz val="12"/>
            <color theme="1"/>
            <rFont val="Aptos Narrow"/>
            <family val="2"/>
            <scheme val="minor"/>
          </rPr>
          <t>Việt Hoàng:
25.890.000</t>
        </r>
      </text>
    </comment>
    <comment ref="D38" authorId="0" shapeId="0" xr:uid="{00000000-0006-0000-2B00-000035000000}">
      <text>
        <r>
          <rPr>
            <sz val="12"/>
            <color theme="1"/>
            <rFont val="Aptos Narrow"/>
            <family val="2"/>
            <scheme val="minor"/>
          </rPr>
          <t>Việt Hoàng:
Last week:
31.890.000</t>
        </r>
      </text>
    </comment>
    <comment ref="D39" authorId="0" shapeId="0" xr:uid="{00000000-0006-0000-2B00-000036000000}">
      <text>
        <r>
          <rPr>
            <sz val="12"/>
            <color theme="1"/>
            <rFont val="Aptos Narrow"/>
            <family val="2"/>
            <scheme val="minor"/>
          </rPr>
          <t>Việt Hoàng:
Last week:
39.790.000</t>
        </r>
      </text>
    </comment>
  </commentList>
</comments>
</file>

<file path=xl/comments45.xml><?xml version="1.0" encoding="utf-8"?>
<comments xmlns="http://schemas.openxmlformats.org/spreadsheetml/2006/main" xmlns:mc="http://schemas.openxmlformats.org/markup-compatibility/2006" xmlns:xr="http://schemas.microsoft.com/office/spreadsheetml/2014/revision" mc:Ignorable="xr">
  <authors>
    <author>Microsoft Office User</author>
    <author>Duy</author>
    <author>Guest User</author>
    <author>Tran Dat</author>
    <author>Việt Hoàng</author>
    <author>Sheva Son</author>
    <author>chit trang</author>
  </authors>
  <commentList>
    <comment ref="E2" authorId="0" shapeId="0" xr:uid="{00000000-0006-0000-2C00-000001000000}">
      <text>
        <r>
          <rPr>
            <sz val="12"/>
            <color theme="1"/>
            <rFont val="Aptos Narrow"/>
            <family val="2"/>
            <scheme val="minor"/>
          </rPr>
          <t>Hotsale 20490</t>
        </r>
      </text>
    </comment>
    <comment ref="B3" authorId="0" shapeId="0" xr:uid="{00000000-0006-0000-2C00-000002000000}">
      <text>
        <r>
          <rPr>
            <sz val="12"/>
            <color theme="1"/>
            <rFont val="Aptos Narrow"/>
            <family val="2"/>
            <scheme val="minor"/>
          </rPr>
          <t>was 24640000
VNP150</t>
        </r>
      </text>
    </comment>
    <comment ref="E3" authorId="0" shapeId="0" xr:uid="{00000000-0006-0000-2C00-000003000000}">
      <text>
        <r>
          <rPr>
            <sz val="12"/>
            <color theme="1"/>
            <rFont val="Aptos Narrow"/>
            <family val="2"/>
            <scheme val="minor"/>
          </rPr>
          <t>Hotsale 24290</t>
        </r>
      </text>
    </comment>
    <comment ref="C4" authorId="1" shapeId="0" xr:uid="{00000000-0006-0000-2C00-000004000000}">
      <text>
        <r>
          <rPr>
            <sz val="12"/>
            <color theme="1"/>
            <rFont val="Aptos Narrow"/>
            <family val="2"/>
            <scheme val="minor"/>
          </rPr>
          <t>W8 27590</t>
        </r>
      </text>
    </comment>
    <comment ref="F4" authorId="2" shapeId="0" xr:uid="{00000000-0006-0000-2C00-000005000000}">
      <text>
        <r>
          <rPr>
            <sz val="12"/>
            <color theme="1"/>
            <rFont val="Aptos Narrow"/>
            <family val="2"/>
            <scheme val="minor"/>
          </rPr>
          <t>Unknown User:
27.290k</t>
        </r>
      </text>
    </comment>
    <comment ref="G4" authorId="3" shapeId="0" xr:uid="{00000000-0006-0000-2C00-000006000000}">
      <text>
        <r>
          <rPr>
            <sz val="12"/>
            <color theme="1"/>
            <rFont val="Aptos Narrow"/>
            <family val="2"/>
            <scheme val="minor"/>
          </rPr>
          <t>Tran Dat:
26890</t>
        </r>
      </text>
    </comment>
    <comment ref="B5" authorId="0" shapeId="0" xr:uid="{00000000-0006-0000-2C00-000007000000}">
      <text>
        <r>
          <rPr>
            <sz val="12"/>
            <color theme="1"/>
            <rFont val="Aptos Narrow"/>
            <family val="2"/>
            <scheme val="minor"/>
          </rPr>
          <t>Tặng phiếu mua hàng mua AirPods và Apple Watch trị giá 500,000đ
 Phiếu mua hàng mua sản phẩm giá niêm yết từ 5 triệu thuộc các nhóm TAI NGHE - LOA hãng HARMAN KARDON, JBL,MONSTER, KLIPSCH, MARSHALL, SONY; Smartwatch hãng HUAWEI, GARMIN, SAMSUNG, IMOO, OPPO, AMAZFIT trị giá 500.000đ</t>
        </r>
      </text>
    </comment>
    <comment ref="C5" authorId="1" shapeId="0" xr:uid="{00000000-0006-0000-2C00-000008000000}">
      <text>
        <r>
          <rPr>
            <sz val="12"/>
            <color theme="1"/>
            <rFont val="Aptos Narrow"/>
            <family val="2"/>
            <scheme val="minor"/>
          </rPr>
          <t>W8 32890</t>
        </r>
      </text>
    </comment>
    <comment ref="D5" authorId="4" shapeId="0" xr:uid="{00000000-0006-0000-2C00-000009000000}">
      <text>
        <r>
          <rPr>
            <sz val="12"/>
            <color theme="1"/>
            <rFont val="Aptos Narrow"/>
            <family val="2"/>
            <scheme val="minor"/>
          </rPr>
          <t>Việt Hoàng:
Last week:
32.890.000</t>
        </r>
      </text>
    </comment>
    <comment ref="E5" authorId="5" shapeId="0" xr:uid="{00000000-0006-0000-2C00-00000A000000}">
      <text>
        <r>
          <rPr>
            <sz val="12"/>
            <color theme="1"/>
            <rFont val="Aptos Narrow"/>
            <family val="2"/>
            <scheme val="minor"/>
          </rPr>
          <t>Web: 32.790K
Giảm giá shock giờ vàng từ 9-22h</t>
        </r>
      </text>
    </comment>
    <comment ref="F5" authorId="6" shapeId="0" xr:uid="{00000000-0006-0000-2C00-00000B000000}">
      <text>
        <r>
          <rPr>
            <sz val="12"/>
            <color theme="1"/>
            <rFont val="Aptos Narrow"/>
            <family val="2"/>
            <scheme val="minor"/>
          </rPr>
          <t>chit trang:
32.890k</t>
        </r>
      </text>
    </comment>
    <comment ref="G5" authorId="3" shapeId="0" xr:uid="{00000000-0006-0000-2C00-00000C000000}">
      <text>
        <r>
          <rPr>
            <sz val="12"/>
            <color theme="1"/>
            <rFont val="Aptos Narrow"/>
            <family val="2"/>
            <scheme val="minor"/>
          </rPr>
          <t>Tran Dat:
32.290</t>
        </r>
      </text>
    </comment>
    <comment ref="E6" authorId="0" shapeId="0" xr:uid="{00000000-0006-0000-2C00-00000D000000}">
      <text>
        <r>
          <rPr>
            <sz val="12"/>
            <color theme="1"/>
            <rFont val="Aptos Narrow"/>
            <family val="2"/>
            <scheme val="minor"/>
          </rPr>
          <t>hotsale 18490</t>
        </r>
      </text>
    </comment>
    <comment ref="C7" authorId="1" shapeId="0" xr:uid="{00000000-0006-0000-2C00-00000E000000}">
      <text>
        <r>
          <rPr>
            <sz val="12"/>
            <color theme="1"/>
            <rFont val="Aptos Narrow"/>
            <family val="2"/>
            <scheme val="minor"/>
          </rPr>
          <t>W8 22990</t>
        </r>
      </text>
    </comment>
    <comment ref="E7" authorId="0" shapeId="0" xr:uid="{00000000-0006-0000-2C00-00000F000000}">
      <text>
        <r>
          <rPr>
            <sz val="12"/>
            <color theme="1"/>
            <rFont val="Aptos Narrow"/>
            <family val="2"/>
            <scheme val="minor"/>
          </rPr>
          <t>Hotsale 21990</t>
        </r>
      </text>
    </comment>
    <comment ref="F7" authorId="6" shapeId="0" xr:uid="{00000000-0006-0000-2C00-000010000000}">
      <text>
        <r>
          <rPr>
            <sz val="12"/>
            <color theme="1"/>
            <rFont val="Aptos Narrow"/>
            <family val="2"/>
            <scheme val="minor"/>
          </rPr>
          <t>chit trang:
22.390k</t>
        </r>
      </text>
    </comment>
    <comment ref="B9" authorId="0" shapeId="0" xr:uid="{00000000-0006-0000-2C00-000011000000}">
      <text>
        <r>
          <rPr>
            <sz val="12"/>
            <color theme="1"/>
            <rFont val="Aptos Narrow"/>
            <family val="2"/>
            <scheme val="minor"/>
          </rPr>
          <t>was 29140000
VNP150</t>
        </r>
      </text>
    </comment>
    <comment ref="F9" authorId="2" shapeId="0" xr:uid="{00000000-0006-0000-2C00-000012000000}">
      <text>
        <r>
          <rPr>
            <sz val="12"/>
            <color theme="1"/>
            <rFont val="Aptos Narrow"/>
            <family val="2"/>
            <scheme val="minor"/>
          </rPr>
          <t>Unknown User:
29.090k</t>
        </r>
      </text>
    </comment>
    <comment ref="B10" authorId="0" shapeId="0" xr:uid="{00000000-0006-0000-2C00-000013000000}">
      <text>
        <r>
          <rPr>
            <sz val="12"/>
            <color theme="1"/>
            <rFont val="Aptos Narrow"/>
            <family val="2"/>
            <scheme val="minor"/>
          </rPr>
          <t>was 18440</t>
        </r>
      </text>
    </comment>
    <comment ref="D10" authorId="4" shapeId="0" xr:uid="{00000000-0006-0000-2C00-000014000000}">
      <text>
        <r>
          <rPr>
            <sz val="12"/>
            <color theme="1"/>
            <rFont val="Aptos Narrow"/>
            <family val="2"/>
            <scheme val="minor"/>
          </rPr>
          <t>Việt Hoàng:
Last week:
19.690.000</t>
        </r>
      </text>
    </comment>
    <comment ref="F10" authorId="6" shapeId="0" xr:uid="{00000000-0006-0000-2C00-000015000000}">
      <text>
        <r>
          <rPr>
            <sz val="12"/>
            <color theme="1"/>
            <rFont val="Aptos Narrow"/>
            <family val="2"/>
            <scheme val="minor"/>
          </rPr>
          <t>chit trang:
19.490k</t>
        </r>
      </text>
    </comment>
    <comment ref="F11" authorId="6" shapeId="0" xr:uid="{00000000-0006-0000-2C00-000016000000}">
      <text>
        <r>
          <rPr>
            <sz val="12"/>
            <color theme="1"/>
            <rFont val="Aptos Narrow"/>
            <family val="2"/>
            <scheme val="minor"/>
          </rPr>
          <t>chit trang:
15.590k</t>
        </r>
      </text>
    </comment>
    <comment ref="B12" authorId="0" shapeId="0" xr:uid="{00000000-0006-0000-2C00-000017000000}">
      <text>
        <r>
          <rPr>
            <sz val="12"/>
            <color theme="1"/>
            <rFont val="Aptos Narrow"/>
            <family val="2"/>
            <scheme val="minor"/>
          </rPr>
          <t>was 13190
VNP100</t>
        </r>
      </text>
    </comment>
    <comment ref="C12" authorId="0" shapeId="0" xr:uid="{00000000-0006-0000-2C00-000018000000}">
      <text>
        <r>
          <rPr>
            <sz val="12"/>
            <color theme="1"/>
            <rFont val="Aptos Narrow"/>
            <family val="2"/>
            <scheme val="minor"/>
          </rPr>
          <t xml:space="preserve">W8 12850
</t>
        </r>
      </text>
    </comment>
    <comment ref="E13" authorId="0" shapeId="0" xr:uid="{00000000-0006-0000-2C00-000019000000}">
      <text>
        <r>
          <rPr>
            <sz val="12"/>
            <color theme="1"/>
            <rFont val="Aptos Narrow"/>
            <family val="2"/>
            <scheme val="minor"/>
          </rPr>
          <t>was 10490</t>
        </r>
      </text>
    </comment>
    <comment ref="C16" authorId="1" shapeId="0" xr:uid="{00000000-0006-0000-2C00-00001A000000}">
      <text>
        <r>
          <rPr>
            <sz val="12"/>
            <color theme="1"/>
            <rFont val="Aptos Narrow"/>
            <family val="2"/>
            <scheme val="minor"/>
          </rPr>
          <t>W8 8990</t>
        </r>
      </text>
    </comment>
    <comment ref="D16" authorId="4" shapeId="0" xr:uid="{00000000-0006-0000-2C00-00001B000000}">
      <text>
        <r>
          <rPr>
            <sz val="12"/>
            <color theme="1"/>
            <rFont val="Aptos Narrow"/>
            <family val="2"/>
            <scheme val="minor"/>
          </rPr>
          <t>Việt Hoàng:
Last week
8.890.000</t>
        </r>
      </text>
    </comment>
    <comment ref="E16" authorId="0" shapeId="0" xr:uid="{00000000-0006-0000-2C00-00001C000000}">
      <text>
        <r>
          <rPr>
            <sz val="12"/>
            <color theme="1"/>
            <rFont val="Aptos Narrow"/>
            <family val="2"/>
            <scheme val="minor"/>
          </rPr>
          <t>was 8390
giảm thêm 200k onl</t>
        </r>
      </text>
    </comment>
    <comment ref="F16" authorId="6" shapeId="0" xr:uid="{00000000-0006-0000-2C00-00001D000000}">
      <text>
        <r>
          <rPr>
            <sz val="12"/>
            <color theme="1"/>
            <rFont val="Aptos Narrow"/>
            <family val="2"/>
            <scheme val="minor"/>
          </rPr>
          <t>chit trang:
8.790k</t>
        </r>
      </text>
    </comment>
    <comment ref="G16" authorId="3" shapeId="0" xr:uid="{00000000-0006-0000-2C00-00001E000000}">
      <text>
        <r>
          <rPr>
            <sz val="12"/>
            <color theme="1"/>
            <rFont val="Aptos Narrow"/>
            <family val="2"/>
            <scheme val="minor"/>
          </rPr>
          <t>Tran Dat:
8.690</t>
        </r>
      </text>
    </comment>
    <comment ref="B17" authorId="0" shapeId="0" xr:uid="{00000000-0006-0000-2C00-00001F000000}">
      <text>
        <r>
          <rPr>
            <sz val="12"/>
            <color theme="1"/>
            <rFont val="Aptos Narrow"/>
            <family val="2"/>
            <scheme val="minor"/>
          </rPr>
          <t>was 7040
VNP40</t>
        </r>
      </text>
    </comment>
    <comment ref="B18" authorId="0" shapeId="0" xr:uid="{00000000-0006-0000-2C00-000020000000}">
      <text>
        <r>
          <rPr>
            <sz val="12"/>
            <color theme="1"/>
            <rFont val="Aptos Narrow"/>
            <family val="2"/>
            <scheme val="minor"/>
          </rPr>
          <t>was 14390</t>
        </r>
      </text>
    </comment>
    <comment ref="D18" authorId="4" shapeId="0" xr:uid="{00000000-0006-0000-2C00-000021000000}">
      <text>
        <r>
          <rPr>
            <sz val="12"/>
            <color theme="1"/>
            <rFont val="Aptos Narrow"/>
            <family val="2"/>
            <scheme val="minor"/>
          </rPr>
          <t>Việt Hoàng:
Last week:
14.890.000</t>
        </r>
      </text>
    </comment>
    <comment ref="E18" authorId="0" shapeId="0" xr:uid="{00000000-0006-0000-2C00-000022000000}">
      <text>
        <r>
          <rPr>
            <sz val="12"/>
            <color theme="1"/>
            <rFont val="Aptos Narrow"/>
            <family val="2"/>
            <scheme val="minor"/>
          </rPr>
          <t>was 13990</t>
        </r>
      </text>
    </comment>
    <comment ref="F18" authorId="6" shapeId="0" xr:uid="{00000000-0006-0000-2C00-000023000000}">
      <text>
        <r>
          <rPr>
            <sz val="12"/>
            <color theme="1"/>
            <rFont val="Aptos Narrow"/>
            <family val="2"/>
            <scheme val="minor"/>
          </rPr>
          <t>chit trang:
14.990k</t>
        </r>
      </text>
    </comment>
    <comment ref="G18" authorId="3" shapeId="0" xr:uid="{00000000-0006-0000-2C00-000024000000}">
      <text>
        <r>
          <rPr>
            <sz val="12"/>
            <color theme="1"/>
            <rFont val="Aptos Narrow"/>
            <family val="2"/>
            <scheme val="minor"/>
          </rPr>
          <t>Tran Dat:
14590</t>
        </r>
      </text>
    </comment>
    <comment ref="D19" authorId="4" shapeId="0" xr:uid="{00000000-0006-0000-2C00-000025000000}">
      <text>
        <r>
          <rPr>
            <sz val="12"/>
            <color theme="1"/>
            <rFont val="Aptos Narrow"/>
            <family val="2"/>
            <scheme val="minor"/>
          </rPr>
          <t>Việt Hoàng:
Last week:
20.490.000</t>
        </r>
      </text>
    </comment>
    <comment ref="E19" authorId="0" shapeId="0" xr:uid="{00000000-0006-0000-2C00-000026000000}">
      <text>
        <r>
          <rPr>
            <sz val="12"/>
            <color theme="1"/>
            <rFont val="Aptos Narrow"/>
            <family val="2"/>
            <scheme val="minor"/>
          </rPr>
          <t>was 19490</t>
        </r>
      </text>
    </comment>
    <comment ref="G19" authorId="3" shapeId="0" xr:uid="{00000000-0006-0000-2C00-000027000000}">
      <text>
        <r>
          <rPr>
            <sz val="12"/>
            <color theme="1"/>
            <rFont val="Aptos Narrow"/>
            <family val="2"/>
            <scheme val="minor"/>
          </rPr>
          <t>Tran Dat:
20090</t>
        </r>
      </text>
    </comment>
    <comment ref="D20" authorId="4" shapeId="0" xr:uid="{00000000-0006-0000-2C00-000028000000}">
      <text>
        <r>
          <rPr>
            <sz val="12"/>
            <color theme="1"/>
            <rFont val="Aptos Narrow"/>
            <family val="2"/>
            <scheme val="minor"/>
          </rPr>
          <t>Việt Hoàng:
Last week:
27.690.000</t>
        </r>
      </text>
    </comment>
    <comment ref="B21" authorId="0" shapeId="0" xr:uid="{00000000-0006-0000-2C00-000029000000}">
      <text>
        <r>
          <rPr>
            <sz val="12"/>
            <color theme="1"/>
            <rFont val="Aptos Narrow"/>
            <family val="2"/>
            <scheme val="minor"/>
          </rPr>
          <t>was 36640</t>
        </r>
      </text>
    </comment>
    <comment ref="C22" authorId="1" shapeId="0" xr:uid="{00000000-0006-0000-2C00-00002A000000}">
      <text>
        <r>
          <rPr>
            <sz val="12"/>
            <color theme="1"/>
            <rFont val="Aptos Narrow"/>
            <family val="2"/>
            <scheme val="minor"/>
          </rPr>
          <t>W8 5770</t>
        </r>
      </text>
    </comment>
    <comment ref="D22" authorId="4" shapeId="0" xr:uid="{00000000-0006-0000-2C00-00002B000000}">
      <text>
        <r>
          <rPr>
            <sz val="12"/>
            <color theme="1"/>
            <rFont val="Aptos Narrow"/>
            <family val="2"/>
            <scheme val="minor"/>
          </rPr>
          <t>Việt Hoàng:
Last week:
5.690.000</t>
        </r>
      </text>
    </comment>
    <comment ref="E22" authorId="0" shapeId="0" xr:uid="{00000000-0006-0000-2C00-00002C000000}">
      <text>
        <r>
          <rPr>
            <sz val="12"/>
            <color theme="1"/>
            <rFont val="Aptos Narrow"/>
            <family val="2"/>
            <scheme val="minor"/>
          </rPr>
          <t>was 5590</t>
        </r>
      </text>
    </comment>
    <comment ref="G22" authorId="3" shapeId="0" xr:uid="{00000000-0006-0000-2C00-00002D000000}">
      <text>
        <r>
          <rPr>
            <sz val="12"/>
            <color theme="1"/>
            <rFont val="Aptos Narrow"/>
            <family val="2"/>
            <scheme val="minor"/>
          </rPr>
          <t>Tran Dat:
5690</t>
        </r>
      </text>
    </comment>
    <comment ref="C23" authorId="1" shapeId="0" xr:uid="{00000000-0006-0000-2C00-00002E000000}">
      <text>
        <r>
          <rPr>
            <sz val="12"/>
            <color theme="1"/>
            <rFont val="Aptos Narrow"/>
            <family val="2"/>
            <scheme val="minor"/>
          </rPr>
          <t>W8 7070</t>
        </r>
      </text>
    </comment>
    <comment ref="D23" authorId="4" shapeId="0" xr:uid="{00000000-0006-0000-2C00-00002F000000}">
      <text>
        <r>
          <rPr>
            <sz val="12"/>
            <color theme="1"/>
            <rFont val="Aptos Narrow"/>
            <family val="2"/>
            <scheme val="minor"/>
          </rPr>
          <t>Việt Hoàng:
Last week:
7.090.000</t>
        </r>
      </text>
    </comment>
    <comment ref="E23" authorId="0" shapeId="0" xr:uid="{00000000-0006-0000-2C00-000030000000}">
      <text>
        <r>
          <rPr>
            <sz val="12"/>
            <color theme="1"/>
            <rFont val="Aptos Narrow"/>
            <family val="2"/>
            <scheme val="minor"/>
          </rPr>
          <t>was 6990</t>
        </r>
      </text>
    </comment>
    <comment ref="F23" authorId="6" shapeId="0" xr:uid="{00000000-0006-0000-2C00-000031000000}">
      <text>
        <r>
          <rPr>
            <sz val="12"/>
            <color theme="1"/>
            <rFont val="Aptos Narrow"/>
            <family val="2"/>
            <scheme val="minor"/>
          </rPr>
          <t>chit trang:
7.190k</t>
        </r>
      </text>
    </comment>
    <comment ref="G23" authorId="3" shapeId="0" xr:uid="{00000000-0006-0000-2C00-000032000000}">
      <text>
        <r>
          <rPr>
            <sz val="12"/>
            <color theme="1"/>
            <rFont val="Aptos Narrow"/>
            <family val="2"/>
            <scheme val="minor"/>
          </rPr>
          <t>Tran Dat:
7.190.000</t>
        </r>
      </text>
    </comment>
    <comment ref="C24" authorId="1" shapeId="0" xr:uid="{00000000-0006-0000-2C00-000033000000}">
      <text>
        <r>
          <rPr>
            <sz val="12"/>
            <color theme="1"/>
            <rFont val="Aptos Narrow"/>
            <family val="2"/>
            <scheme val="minor"/>
          </rPr>
          <t>W8 6570</t>
        </r>
      </text>
    </comment>
    <comment ref="D24" authorId="4" shapeId="0" xr:uid="{00000000-0006-0000-2C00-000034000000}">
      <text>
        <r>
          <rPr>
            <sz val="12"/>
            <color theme="1"/>
            <rFont val="Aptos Narrow"/>
            <family val="2"/>
            <scheme val="minor"/>
          </rPr>
          <t>Việt Hoàng:
Last week:
6.490.000</t>
        </r>
      </text>
    </comment>
    <comment ref="E24" authorId="0" shapeId="0" xr:uid="{00000000-0006-0000-2C00-000035000000}">
      <text>
        <r>
          <rPr>
            <sz val="12"/>
            <color theme="1"/>
            <rFont val="Aptos Narrow"/>
            <family val="2"/>
            <scheme val="minor"/>
          </rPr>
          <t>was 6390</t>
        </r>
      </text>
    </comment>
    <comment ref="G24" authorId="3" shapeId="0" xr:uid="{00000000-0006-0000-2C00-000036000000}">
      <text>
        <r>
          <rPr>
            <sz val="12"/>
            <color theme="1"/>
            <rFont val="Aptos Narrow"/>
            <family val="2"/>
            <scheme val="minor"/>
          </rPr>
          <t>Tran Dat:
6.490</t>
        </r>
      </text>
    </comment>
    <comment ref="C25" authorId="1" shapeId="0" xr:uid="{00000000-0006-0000-2C00-000037000000}">
      <text>
        <r>
          <rPr>
            <sz val="12"/>
            <color theme="1"/>
            <rFont val="Aptos Narrow"/>
            <family val="2"/>
            <scheme val="minor"/>
          </rPr>
          <t>W8 7870</t>
        </r>
      </text>
    </comment>
    <comment ref="D25" authorId="4" shapeId="0" xr:uid="{00000000-0006-0000-2C00-000038000000}">
      <text>
        <r>
          <rPr>
            <sz val="12"/>
            <color theme="1"/>
            <rFont val="Aptos Narrow"/>
            <family val="2"/>
            <scheme val="minor"/>
          </rPr>
          <t>Việt Hoàng:
Last week:
7.890.000</t>
        </r>
      </text>
    </comment>
    <comment ref="E25" authorId="0" shapeId="0" xr:uid="{00000000-0006-0000-2C00-000039000000}">
      <text>
        <r>
          <rPr>
            <sz val="12"/>
            <color theme="1"/>
            <rFont val="Aptos Narrow"/>
            <family val="2"/>
            <scheme val="minor"/>
          </rPr>
          <t>was 7790</t>
        </r>
      </text>
    </comment>
    <comment ref="F25" authorId="6" shapeId="0" xr:uid="{00000000-0006-0000-2C00-00003A000000}">
      <text>
        <r>
          <rPr>
            <sz val="12"/>
            <color theme="1"/>
            <rFont val="Aptos Narrow"/>
            <family val="2"/>
            <scheme val="minor"/>
          </rPr>
          <t>chit trang:
8.090k</t>
        </r>
      </text>
    </comment>
    <comment ref="G25" authorId="3" shapeId="0" xr:uid="{00000000-0006-0000-2C00-00003B000000}">
      <text>
        <r>
          <rPr>
            <sz val="12"/>
            <color theme="1"/>
            <rFont val="Aptos Narrow"/>
            <family val="2"/>
            <scheme val="minor"/>
          </rPr>
          <t>7.790</t>
        </r>
      </text>
    </comment>
    <comment ref="C26" authorId="1" shapeId="0" xr:uid="{00000000-0006-0000-2C00-00003C000000}">
      <text>
        <r>
          <rPr>
            <sz val="12"/>
            <color theme="1"/>
            <rFont val="Aptos Narrow"/>
            <family val="2"/>
            <scheme val="minor"/>
          </rPr>
          <t>W8 9690</t>
        </r>
      </text>
    </comment>
    <comment ref="D26" authorId="4" shapeId="0" xr:uid="{00000000-0006-0000-2C00-00003D000000}">
      <text>
        <r>
          <rPr>
            <sz val="12"/>
            <color theme="1"/>
            <rFont val="Aptos Narrow"/>
            <family val="2"/>
            <scheme val="minor"/>
          </rPr>
          <t>Việt Hoàng:
Last week:
9.990.000</t>
        </r>
      </text>
    </comment>
    <comment ref="E26" authorId="0" shapeId="0" xr:uid="{00000000-0006-0000-2C00-00003E000000}">
      <text>
        <r>
          <rPr>
            <sz val="12"/>
            <color theme="1"/>
            <rFont val="Aptos Narrow"/>
            <family val="2"/>
            <scheme val="minor"/>
          </rPr>
          <t>was 9990</t>
        </r>
      </text>
    </comment>
    <comment ref="F26" authorId="6" shapeId="0" xr:uid="{00000000-0006-0000-2C00-00003F000000}">
      <text>
        <r>
          <rPr>
            <sz val="12"/>
            <color theme="1"/>
            <rFont val="Aptos Narrow"/>
            <family val="2"/>
            <scheme val="minor"/>
          </rPr>
          <t>chit trang:
9,790k</t>
        </r>
      </text>
    </comment>
    <comment ref="G26" authorId="3" shapeId="0" xr:uid="{00000000-0006-0000-2C00-000040000000}">
      <text>
        <r>
          <rPr>
            <sz val="12"/>
            <color theme="1"/>
            <rFont val="Aptos Narrow"/>
            <family val="2"/>
            <scheme val="minor"/>
          </rPr>
          <t>Tran Dat:
9.750</t>
        </r>
      </text>
    </comment>
    <comment ref="C27" authorId="1" shapeId="0" xr:uid="{00000000-0006-0000-2C00-000041000000}">
      <text>
        <r>
          <rPr>
            <sz val="12"/>
            <color theme="1"/>
            <rFont val="Aptos Narrow"/>
            <family val="2"/>
            <scheme val="minor"/>
          </rPr>
          <t>W8 12390</t>
        </r>
      </text>
    </comment>
    <comment ref="D27" authorId="4" shapeId="0" xr:uid="{00000000-0006-0000-2C00-000042000000}">
      <text>
        <r>
          <rPr>
            <sz val="12"/>
            <color theme="1"/>
            <rFont val="Aptos Narrow"/>
            <family val="2"/>
            <scheme val="minor"/>
          </rPr>
          <t>Việt Hoàng:
Last week:
12.390.000</t>
        </r>
      </text>
    </comment>
    <comment ref="E27" authorId="0" shapeId="0" xr:uid="{00000000-0006-0000-2C00-000043000000}">
      <text>
        <r>
          <rPr>
            <sz val="12"/>
            <color theme="1"/>
            <rFont val="Aptos Narrow"/>
            <family val="2"/>
            <scheme val="minor"/>
          </rPr>
          <t>was 12490</t>
        </r>
      </text>
    </comment>
    <comment ref="F27" authorId="6" shapeId="0" xr:uid="{00000000-0006-0000-2C00-000044000000}">
      <text>
        <r>
          <rPr>
            <sz val="12"/>
            <color theme="1"/>
            <rFont val="Aptos Narrow"/>
            <family val="2"/>
            <scheme val="minor"/>
          </rPr>
          <t>chit trang:
12.390</t>
        </r>
      </text>
    </comment>
    <comment ref="G27" authorId="3" shapeId="0" xr:uid="{00000000-0006-0000-2C00-000045000000}">
      <text>
        <r>
          <rPr>
            <sz val="12"/>
            <color theme="1"/>
            <rFont val="Aptos Narrow"/>
            <family val="2"/>
            <scheme val="minor"/>
          </rPr>
          <t>Tran Dat:
12.390</t>
        </r>
      </text>
    </comment>
    <comment ref="C28" authorId="1" shapeId="0" xr:uid="{00000000-0006-0000-2C00-000046000000}">
      <text>
        <r>
          <rPr>
            <sz val="12"/>
            <color theme="1"/>
            <rFont val="Aptos Narrow"/>
            <family val="2"/>
            <scheme val="minor"/>
          </rPr>
          <t>W8 10790</t>
        </r>
      </text>
    </comment>
    <comment ref="D28" authorId="4" shapeId="0" xr:uid="{00000000-0006-0000-2C00-000047000000}">
      <text>
        <r>
          <rPr>
            <sz val="12"/>
            <color theme="1"/>
            <rFont val="Aptos Narrow"/>
            <family val="2"/>
            <scheme val="minor"/>
          </rPr>
          <t>Việt Hoàng:
Last week:
10.890.000</t>
        </r>
      </text>
    </comment>
    <comment ref="E28" authorId="0" shapeId="0" xr:uid="{00000000-0006-0000-2C00-000048000000}">
      <text>
        <r>
          <rPr>
            <sz val="12"/>
            <color theme="1"/>
            <rFont val="Aptos Narrow"/>
            <family val="2"/>
            <scheme val="minor"/>
          </rPr>
          <t>was 10690</t>
        </r>
      </text>
    </comment>
    <comment ref="F28" authorId="6" shapeId="0" xr:uid="{00000000-0006-0000-2C00-000049000000}">
      <text>
        <r>
          <rPr>
            <sz val="12"/>
            <color theme="1"/>
            <rFont val="Aptos Narrow"/>
            <family val="2"/>
            <scheme val="minor"/>
          </rPr>
          <t>chit trang:
10.790k</t>
        </r>
      </text>
    </comment>
    <comment ref="G28" authorId="3" shapeId="0" xr:uid="{00000000-0006-0000-2C00-00004A000000}">
      <text>
        <r>
          <rPr>
            <sz val="12"/>
            <color theme="1"/>
            <rFont val="Aptos Narrow"/>
            <family val="2"/>
            <scheme val="minor"/>
          </rPr>
          <t>Tran Dat:
10.990</t>
        </r>
      </text>
    </comment>
    <comment ref="B29" authorId="0" shapeId="0" xr:uid="{00000000-0006-0000-2C00-00004B000000}">
      <text>
        <r>
          <rPr>
            <sz val="12"/>
            <color theme="1"/>
            <rFont val="Aptos Narrow"/>
            <family val="2"/>
            <scheme val="minor"/>
          </rPr>
          <t>was 13320
VNP100</t>
        </r>
      </text>
    </comment>
    <comment ref="C29" authorId="1" shapeId="0" xr:uid="{00000000-0006-0000-2C00-00004C000000}">
      <text>
        <r>
          <rPr>
            <sz val="12"/>
            <color theme="1"/>
            <rFont val="Aptos Narrow"/>
            <family val="2"/>
            <scheme val="minor"/>
          </rPr>
          <t>W8 13390</t>
        </r>
      </text>
    </comment>
    <comment ref="D29" authorId="4" shapeId="0" xr:uid="{00000000-0006-0000-2C00-00004D000000}">
      <text>
        <r>
          <rPr>
            <sz val="12"/>
            <color theme="1"/>
            <rFont val="Aptos Narrow"/>
            <family val="2"/>
            <scheme val="minor"/>
          </rPr>
          <t>Việt Hoàng:
Last week:
13.390.000</t>
        </r>
      </text>
    </comment>
    <comment ref="E29" authorId="0" shapeId="0" xr:uid="{00000000-0006-0000-2C00-00004E000000}">
      <text>
        <r>
          <rPr>
            <sz val="12"/>
            <color theme="1"/>
            <rFont val="Aptos Narrow"/>
            <family val="2"/>
            <scheme val="minor"/>
          </rPr>
          <t>was 13390</t>
        </r>
      </text>
    </comment>
    <comment ref="E30" authorId="0" shapeId="0" xr:uid="{00000000-0006-0000-2C00-00004F000000}">
      <text>
        <r>
          <rPr>
            <sz val="12"/>
            <color theme="1"/>
            <rFont val="Aptos Narrow"/>
            <family val="2"/>
            <scheme val="minor"/>
          </rPr>
          <t>was 21990</t>
        </r>
      </text>
    </comment>
    <comment ref="F30" authorId="2" shapeId="0" xr:uid="{00000000-0006-0000-2C00-000050000000}">
      <text>
        <r>
          <rPr>
            <sz val="12"/>
            <color theme="1"/>
            <rFont val="Aptos Narrow"/>
            <family val="2"/>
            <scheme val="minor"/>
          </rPr>
          <t>Unknown User:
22.490</t>
        </r>
      </text>
    </comment>
    <comment ref="B31" authorId="0" shapeId="0" xr:uid="{00000000-0006-0000-2C00-000051000000}">
      <text>
        <r>
          <rPr>
            <sz val="12"/>
            <color theme="1"/>
            <rFont val="Aptos Narrow"/>
            <family val="2"/>
            <scheme val="minor"/>
          </rPr>
          <t>was 5550
VNP40</t>
        </r>
      </text>
    </comment>
    <comment ref="C31" authorId="1" shapeId="0" xr:uid="{00000000-0006-0000-2C00-000052000000}">
      <text>
        <r>
          <rPr>
            <sz val="12"/>
            <color theme="1"/>
            <rFont val="Aptos Narrow"/>
            <family val="2"/>
            <scheme val="minor"/>
          </rPr>
          <t>W8 5690</t>
        </r>
      </text>
    </comment>
    <comment ref="E31" authorId="0" shapeId="0" xr:uid="{00000000-0006-0000-2C00-000053000000}">
      <text>
        <r>
          <rPr>
            <sz val="12"/>
            <color theme="1"/>
            <rFont val="Aptos Narrow"/>
            <family val="2"/>
            <scheme val="minor"/>
          </rPr>
          <t>was 5390</t>
        </r>
      </text>
    </comment>
    <comment ref="F31" authorId="6" shapeId="0" xr:uid="{00000000-0006-0000-2C00-000054000000}">
      <text>
        <r>
          <rPr>
            <sz val="12"/>
            <color theme="1"/>
            <rFont val="Aptos Narrow"/>
            <family val="2"/>
            <scheme val="minor"/>
          </rPr>
          <t>chit trang:
5.590</t>
        </r>
      </text>
    </comment>
    <comment ref="B32" authorId="0" shapeId="0" xr:uid="{00000000-0006-0000-2C00-000055000000}">
      <text>
        <r>
          <rPr>
            <sz val="12"/>
            <color theme="1"/>
            <rFont val="Aptos Narrow"/>
            <family val="2"/>
            <scheme val="minor"/>
          </rPr>
          <t xml:space="preserve">was 4490
</t>
        </r>
      </text>
    </comment>
    <comment ref="C32" authorId="1" shapeId="0" xr:uid="{00000000-0006-0000-2C00-000056000000}">
      <text>
        <r>
          <rPr>
            <sz val="12"/>
            <color theme="1"/>
            <rFont val="Aptos Narrow"/>
            <family val="2"/>
            <scheme val="minor"/>
          </rPr>
          <t>W8 4490</t>
        </r>
      </text>
    </comment>
    <comment ref="D32" authorId="4" shapeId="0" xr:uid="{00000000-0006-0000-2C00-000057000000}">
      <text>
        <r>
          <rPr>
            <sz val="12"/>
            <color theme="1"/>
            <rFont val="Aptos Narrow"/>
            <family val="2"/>
            <scheme val="minor"/>
          </rPr>
          <t>Việt Hoàng:
Last week:
4.490.000</t>
        </r>
      </text>
    </comment>
    <comment ref="E32" authorId="0" shapeId="0" xr:uid="{00000000-0006-0000-2C00-000058000000}">
      <text>
        <r>
          <rPr>
            <sz val="12"/>
            <color theme="1"/>
            <rFont val="Aptos Narrow"/>
            <family val="2"/>
            <scheme val="minor"/>
          </rPr>
          <t>was 4290</t>
        </r>
      </text>
    </comment>
    <comment ref="F32" authorId="6" shapeId="0" xr:uid="{00000000-0006-0000-2C00-000059000000}">
      <text>
        <r>
          <rPr>
            <sz val="12"/>
            <color theme="1"/>
            <rFont val="Aptos Narrow"/>
            <family val="2"/>
            <scheme val="minor"/>
          </rPr>
          <t>chit trang:
4.450k</t>
        </r>
      </text>
    </comment>
    <comment ref="B33" authorId="0" shapeId="0" xr:uid="{00000000-0006-0000-2C00-00005A000000}">
      <text>
        <r>
          <rPr>
            <sz val="12"/>
            <color theme="1"/>
            <rFont val="Aptos Narrow"/>
            <family val="2"/>
            <scheme val="minor"/>
          </rPr>
          <t>was 3190</t>
        </r>
      </text>
    </comment>
    <comment ref="C33" authorId="1" shapeId="0" xr:uid="{00000000-0006-0000-2C00-00005B000000}">
      <text>
        <r>
          <rPr>
            <sz val="12"/>
            <color theme="1"/>
            <rFont val="Aptos Narrow"/>
            <family val="2"/>
            <scheme val="minor"/>
          </rPr>
          <t>W8 3190</t>
        </r>
      </text>
    </comment>
    <comment ref="D33" authorId="4" shapeId="0" xr:uid="{00000000-0006-0000-2C00-00005C000000}">
      <text>
        <r>
          <rPr>
            <sz val="12"/>
            <color theme="1"/>
            <rFont val="Aptos Narrow"/>
            <family val="2"/>
            <scheme val="minor"/>
          </rPr>
          <t>Việt Hoàng:
Last week:
3.190.000</t>
        </r>
      </text>
    </comment>
    <comment ref="E33" authorId="0" shapeId="0" xr:uid="{00000000-0006-0000-2C00-00005D000000}">
      <text>
        <r>
          <rPr>
            <sz val="12"/>
            <color theme="1"/>
            <rFont val="Aptos Narrow"/>
            <family val="2"/>
            <scheme val="minor"/>
          </rPr>
          <t>was 2990</t>
        </r>
      </text>
    </comment>
    <comment ref="G33" authorId="3" shapeId="0" xr:uid="{00000000-0006-0000-2C00-00005E000000}">
      <text>
        <r>
          <rPr>
            <sz val="12"/>
            <color theme="1"/>
            <rFont val="Aptos Narrow"/>
            <family val="2"/>
            <scheme val="minor"/>
          </rPr>
          <t>Tran Dat:
3.190</t>
        </r>
      </text>
    </comment>
    <comment ref="B35" authorId="0" shapeId="0" xr:uid="{00000000-0006-0000-2C00-00005F000000}">
      <text>
        <r>
          <rPr>
            <sz val="12"/>
            <color theme="1"/>
            <rFont val="Aptos Narrow"/>
            <family val="2"/>
            <scheme val="minor"/>
          </rPr>
          <t>was 18090
VNP100</t>
        </r>
      </text>
    </comment>
    <comment ref="D35" authorId="4" shapeId="0" xr:uid="{00000000-0006-0000-2C00-000060000000}">
      <text>
        <r>
          <rPr>
            <sz val="12"/>
            <color theme="1"/>
            <rFont val="Aptos Narrow"/>
            <family val="2"/>
            <scheme val="minor"/>
          </rPr>
          <t>Việt Hoàng:
Last week:
17.790.000</t>
        </r>
      </text>
    </comment>
    <comment ref="G35" authorId="3" shapeId="0" xr:uid="{00000000-0006-0000-2C00-000061000000}">
      <text>
        <r>
          <rPr>
            <sz val="12"/>
            <color theme="1"/>
            <rFont val="Aptos Narrow"/>
            <family val="2"/>
            <scheme val="minor"/>
          </rPr>
          <t>Tran Dat:
17.290</t>
        </r>
      </text>
    </comment>
    <comment ref="C36" authorId="1" shapeId="0" xr:uid="{00000000-0006-0000-2C00-000062000000}">
      <text>
        <r>
          <rPr>
            <sz val="12"/>
            <color theme="1"/>
            <rFont val="Aptos Narrow"/>
            <family val="2"/>
            <scheme val="minor"/>
          </rPr>
          <t>W8 22990</t>
        </r>
      </text>
    </comment>
    <comment ref="D36" authorId="4" shapeId="0" xr:uid="{00000000-0006-0000-2C00-000063000000}">
      <text>
        <r>
          <rPr>
            <sz val="12"/>
            <color theme="1"/>
            <rFont val="Aptos Narrow"/>
            <family val="2"/>
            <scheme val="minor"/>
          </rPr>
          <t>Việt Hoàng:
Last week:
22.990.000</t>
        </r>
      </text>
    </comment>
    <comment ref="F36" authorId="6" shapeId="0" xr:uid="{00000000-0006-0000-2C00-000064000000}">
      <text>
        <r>
          <rPr>
            <sz val="12"/>
            <color theme="1"/>
            <rFont val="Aptos Narrow"/>
            <family val="2"/>
            <scheme val="minor"/>
          </rPr>
          <t>chit trang:
22.990k</t>
        </r>
      </text>
    </comment>
    <comment ref="G36" authorId="3" shapeId="0" xr:uid="{00000000-0006-0000-2C00-000065000000}">
      <text>
        <r>
          <rPr>
            <sz val="12"/>
            <color theme="1"/>
            <rFont val="Aptos Narrow"/>
            <family val="2"/>
            <scheme val="minor"/>
          </rPr>
          <t>Tran Dat:
23090</t>
        </r>
      </text>
    </comment>
    <comment ref="B37" authorId="0" shapeId="0" xr:uid="{00000000-0006-0000-2C00-000066000000}">
      <text>
        <r>
          <rPr>
            <sz val="12"/>
            <color theme="1"/>
            <rFont val="Aptos Narrow"/>
            <family val="2"/>
            <scheme val="minor"/>
          </rPr>
          <t>was 26140
VNP150</t>
        </r>
      </text>
    </comment>
    <comment ref="D37" authorId="4" shapeId="0" xr:uid="{00000000-0006-0000-2C00-000067000000}">
      <text>
        <r>
          <rPr>
            <sz val="12"/>
            <color theme="1"/>
            <rFont val="Aptos Narrow"/>
            <family val="2"/>
            <scheme val="minor"/>
          </rPr>
          <t>Việt Hoàng:
26.090.000</t>
        </r>
      </text>
    </comment>
    <comment ref="F37" authorId="6" shapeId="0" xr:uid="{00000000-0006-0000-2C00-000068000000}">
      <text>
        <r>
          <rPr>
            <sz val="12"/>
            <color theme="1"/>
            <rFont val="Aptos Narrow"/>
            <family val="2"/>
            <scheme val="minor"/>
          </rPr>
          <t>chit trang:
25,990k</t>
        </r>
      </text>
    </comment>
    <comment ref="G37" authorId="3" shapeId="0" xr:uid="{00000000-0006-0000-2C00-000069000000}">
      <text>
        <r>
          <rPr>
            <sz val="12"/>
            <color theme="1"/>
            <rFont val="Aptos Narrow"/>
            <family val="2"/>
            <scheme val="minor"/>
          </rPr>
          <t>Tran Dat:
25490</t>
        </r>
      </text>
    </comment>
  </commentList>
</comments>
</file>

<file path=xl/comments46.xml><?xml version="1.0" encoding="utf-8"?>
<comments xmlns="http://schemas.openxmlformats.org/spreadsheetml/2006/main" xmlns:mc="http://schemas.openxmlformats.org/markup-compatibility/2006" xmlns:xr="http://schemas.microsoft.com/office/spreadsheetml/2014/revision" mc:Ignorable="xr">
  <authors>
    <author>Duy</author>
    <author>Việt Hoàng</author>
    <author>Microsoft Office User</author>
    <author>chit trang</author>
    <author>Tran Dat</author>
    <author>Guest User</author>
    <author>Sheva Son</author>
  </authors>
  <commentList>
    <comment ref="C3" authorId="0" shapeId="0" xr:uid="{00000000-0006-0000-2D00-000001000000}">
      <text>
        <r>
          <rPr>
            <sz val="12"/>
            <color theme="1"/>
            <rFont val="Aptos Narrow"/>
            <family val="2"/>
            <scheme val="minor"/>
          </rPr>
          <t>W9 21490</t>
        </r>
      </text>
    </comment>
    <comment ref="D3" authorId="1" shapeId="0" xr:uid="{00000000-0006-0000-2D00-000002000000}">
      <text>
        <r>
          <rPr>
            <sz val="12"/>
            <color theme="1"/>
            <rFont val="Aptos Narrow"/>
            <family val="2"/>
            <scheme val="minor"/>
          </rPr>
          <t>Việt Hoàng:
Last week:
21.390.000</t>
        </r>
      </text>
    </comment>
    <comment ref="E3" authorId="2" shapeId="0" xr:uid="{00000000-0006-0000-2D00-000003000000}">
      <text>
        <r>
          <rPr>
            <sz val="12"/>
            <color theme="1"/>
            <rFont val="Aptos Narrow"/>
            <family val="2"/>
            <scheme val="minor"/>
          </rPr>
          <t>was 20790</t>
        </r>
      </text>
    </comment>
    <comment ref="F3" authorId="3" shapeId="0" xr:uid="{00000000-0006-0000-2D00-000004000000}">
      <text>
        <r>
          <rPr>
            <sz val="12"/>
            <color theme="1"/>
            <rFont val="Aptos Narrow"/>
            <family val="2"/>
            <scheme val="minor"/>
          </rPr>
          <t>chit trang:
20.990k</t>
        </r>
      </text>
    </comment>
    <comment ref="G3" authorId="4" shapeId="0" xr:uid="{00000000-0006-0000-2D00-000005000000}">
      <text>
        <r>
          <rPr>
            <sz val="12"/>
            <color theme="1"/>
            <rFont val="Aptos Narrow"/>
            <family val="2"/>
            <scheme val="minor"/>
          </rPr>
          <t>Tran Dat:
20490</t>
        </r>
      </text>
    </comment>
    <comment ref="B4" authorId="2" shapeId="0" xr:uid="{00000000-0006-0000-2D00-000006000000}">
      <text>
        <r>
          <rPr>
            <sz val="12"/>
            <color theme="1"/>
            <rFont val="Aptos Narrow"/>
            <family val="2"/>
            <scheme val="minor"/>
          </rPr>
          <t>was 24640000
VNP150</t>
        </r>
      </text>
    </comment>
    <comment ref="C4" authorId="0" shapeId="0" xr:uid="{00000000-0006-0000-2D00-000007000000}">
      <text>
        <r>
          <rPr>
            <sz val="12"/>
            <color theme="1"/>
            <rFont val="Aptos Narrow"/>
            <family val="2"/>
            <scheme val="minor"/>
          </rPr>
          <t>W9 24790</t>
        </r>
      </text>
    </comment>
    <comment ref="D4" authorId="1" shapeId="0" xr:uid="{00000000-0006-0000-2D00-000008000000}">
      <text>
        <r>
          <rPr>
            <sz val="12"/>
            <color theme="1"/>
            <rFont val="Aptos Narrow"/>
            <family val="2"/>
            <scheme val="minor"/>
          </rPr>
          <t>Việt Hoàng:
Last week:
24.790.000</t>
        </r>
      </text>
    </comment>
    <comment ref="E4" authorId="2" shapeId="0" xr:uid="{00000000-0006-0000-2D00-000009000000}">
      <text>
        <r>
          <rPr>
            <sz val="12"/>
            <color theme="1"/>
            <rFont val="Aptos Narrow"/>
            <family val="2"/>
            <scheme val="minor"/>
          </rPr>
          <t>was 24790</t>
        </r>
      </text>
    </comment>
    <comment ref="F4" authorId="3" shapeId="0" xr:uid="{00000000-0006-0000-2D00-00000A000000}">
      <text>
        <r>
          <rPr>
            <sz val="12"/>
            <color theme="1"/>
            <rFont val="Aptos Narrow"/>
            <family val="2"/>
            <scheme val="minor"/>
          </rPr>
          <t>chit trang:
24.990k</t>
        </r>
      </text>
    </comment>
    <comment ref="G4" authorId="4" shapeId="0" xr:uid="{00000000-0006-0000-2D00-00000B000000}">
      <text>
        <r>
          <rPr>
            <sz val="12"/>
            <color theme="1"/>
            <rFont val="Aptos Narrow"/>
            <family val="2"/>
            <scheme val="minor"/>
          </rPr>
          <t>Tran Dat:
24590</t>
        </r>
      </text>
    </comment>
    <comment ref="C5" authorId="0" shapeId="0" xr:uid="{00000000-0006-0000-2D00-00000C000000}">
      <text>
        <r>
          <rPr>
            <sz val="12"/>
            <color theme="1"/>
            <rFont val="Aptos Narrow"/>
            <family val="2"/>
            <scheme val="minor"/>
          </rPr>
          <t>W9 27490</t>
        </r>
      </text>
    </comment>
    <comment ref="D5" authorId="1" shapeId="0" xr:uid="{00000000-0006-0000-2D00-00000D000000}">
      <text>
        <r>
          <rPr>
            <sz val="12"/>
            <color theme="1"/>
            <rFont val="Aptos Narrow"/>
            <family val="2"/>
            <scheme val="minor"/>
          </rPr>
          <t>Việt Hoàng:
Last week:
27.490.000</t>
        </r>
      </text>
    </comment>
    <comment ref="E5" authorId="2" shapeId="0" xr:uid="{00000000-0006-0000-2D00-00000E000000}">
      <text>
        <r>
          <rPr>
            <sz val="12"/>
            <color theme="1"/>
            <rFont val="Aptos Narrow"/>
            <family val="2"/>
            <scheme val="minor"/>
          </rPr>
          <t>was 26990</t>
        </r>
      </text>
    </comment>
    <comment ref="F5" authorId="5" shapeId="0" xr:uid="{00000000-0006-0000-2D00-00000F000000}">
      <text>
        <r>
          <rPr>
            <sz val="12"/>
            <color theme="1"/>
            <rFont val="Aptos Narrow"/>
            <family val="2"/>
            <scheme val="minor"/>
          </rPr>
          <t>Unknown User:
26.990k</t>
        </r>
      </text>
    </comment>
    <comment ref="G5" authorId="4" shapeId="0" xr:uid="{00000000-0006-0000-2D00-000010000000}">
      <text>
        <r>
          <rPr>
            <sz val="12"/>
            <color theme="1"/>
            <rFont val="Aptos Narrow"/>
            <family val="2"/>
            <scheme val="minor"/>
          </rPr>
          <t>26590</t>
        </r>
      </text>
    </comment>
    <comment ref="B6" authorId="2" shapeId="0" xr:uid="{00000000-0006-0000-2D00-000011000000}">
      <text>
        <r>
          <rPr>
            <sz val="12"/>
            <color theme="1"/>
            <rFont val="Aptos Narrow"/>
            <family val="2"/>
            <scheme val="minor"/>
          </rPr>
          <t>Tặng phiếu mua hàng mua AirPods và Apple Watch trị giá 500,000đ
 Phiếu mua hàng mua sản phẩm giá niêm yết từ 5 triệu thuộc các nhóm TAI NGHE - LOA hãng HARMAN KARDON, JBL,MONSTER, KLIPSCH, MARSHALL, SONY; Smartwatch hãng HUAWEI, GARMIN, SAMSUNG, IMOO, OPPO, AMAZFIT trị giá 500.000đ</t>
        </r>
      </text>
    </comment>
    <comment ref="C6" authorId="0" shapeId="0" xr:uid="{00000000-0006-0000-2D00-000012000000}">
      <text>
        <r>
          <rPr>
            <sz val="12"/>
            <color theme="1"/>
            <rFont val="Aptos Narrow"/>
            <family val="2"/>
            <scheme val="minor"/>
          </rPr>
          <t>W9 32090</t>
        </r>
      </text>
    </comment>
    <comment ref="D6" authorId="1" shapeId="0" xr:uid="{00000000-0006-0000-2D00-000013000000}">
      <text>
        <r>
          <rPr>
            <sz val="12"/>
            <color theme="1"/>
            <rFont val="Aptos Narrow"/>
            <family val="2"/>
            <scheme val="minor"/>
          </rPr>
          <t>Việt Hoàng:
Last week:
31.990.000</t>
        </r>
      </text>
    </comment>
    <comment ref="E6" authorId="6" shapeId="0" xr:uid="{00000000-0006-0000-2D00-000014000000}">
      <text>
        <r>
          <rPr>
            <sz val="12"/>
            <color theme="1"/>
            <rFont val="Aptos Narrow"/>
            <family val="2"/>
            <scheme val="minor"/>
          </rPr>
          <t>was 31790</t>
        </r>
      </text>
    </comment>
    <comment ref="F6" authorId="3" shapeId="0" xr:uid="{00000000-0006-0000-2D00-000015000000}">
      <text>
        <r>
          <rPr>
            <sz val="12"/>
            <color theme="1"/>
            <rFont val="Aptos Narrow"/>
            <family val="2"/>
            <scheme val="minor"/>
          </rPr>
          <t>chit trang:
31.990k</t>
        </r>
      </text>
    </comment>
    <comment ref="G6" authorId="4" shapeId="0" xr:uid="{00000000-0006-0000-2D00-000016000000}">
      <text>
        <r>
          <rPr>
            <sz val="12"/>
            <color theme="1"/>
            <rFont val="Aptos Narrow"/>
            <family val="2"/>
            <scheme val="minor"/>
          </rPr>
          <t>Tran Dat:
31.590</t>
        </r>
      </text>
    </comment>
    <comment ref="C7" authorId="0" shapeId="0" xr:uid="{00000000-0006-0000-2D00-000017000000}">
      <text>
        <r>
          <rPr>
            <sz val="12"/>
            <color theme="1"/>
            <rFont val="Aptos Narrow"/>
            <family val="2"/>
            <scheme val="minor"/>
          </rPr>
          <t>w9 18990</t>
        </r>
      </text>
    </comment>
    <comment ref="D7" authorId="1" shapeId="0" xr:uid="{00000000-0006-0000-2D00-000018000000}">
      <text>
        <r>
          <rPr>
            <sz val="12"/>
            <color theme="1"/>
            <rFont val="Aptos Narrow"/>
            <family val="2"/>
            <scheme val="minor"/>
          </rPr>
          <t>Việt Hoàng:
Last week:
18.990.000</t>
        </r>
      </text>
    </comment>
    <comment ref="E7" authorId="2" shapeId="0" xr:uid="{00000000-0006-0000-2D00-000019000000}">
      <text>
        <r>
          <rPr>
            <sz val="12"/>
            <color theme="1"/>
            <rFont val="Aptos Narrow"/>
            <family val="2"/>
            <scheme val="minor"/>
          </rPr>
          <t>was 18990</t>
        </r>
      </text>
    </comment>
    <comment ref="F7" authorId="3" shapeId="0" xr:uid="{00000000-0006-0000-2D00-00001A000000}">
      <text>
        <r>
          <rPr>
            <sz val="12"/>
            <color theme="1"/>
            <rFont val="Aptos Narrow"/>
            <family val="2"/>
            <scheme val="minor"/>
          </rPr>
          <t>chit trang:
18.690k</t>
        </r>
      </text>
    </comment>
    <comment ref="G7" authorId="4" shapeId="0" xr:uid="{00000000-0006-0000-2D00-00001B000000}">
      <text>
        <r>
          <rPr>
            <sz val="12"/>
            <color theme="1"/>
            <rFont val="Aptos Narrow"/>
            <family val="2"/>
            <scheme val="minor"/>
          </rPr>
          <t>Tran Dat:
18390</t>
        </r>
      </text>
    </comment>
    <comment ref="C8" authorId="0" shapeId="0" xr:uid="{00000000-0006-0000-2D00-00001C000000}">
      <text>
        <r>
          <rPr>
            <sz val="12"/>
            <color theme="1"/>
            <rFont val="Aptos Narrow"/>
            <family val="2"/>
            <scheme val="minor"/>
          </rPr>
          <t>W8 22690</t>
        </r>
      </text>
    </comment>
    <comment ref="D8" authorId="1" shapeId="0" xr:uid="{00000000-0006-0000-2D00-00001D000000}">
      <text>
        <r>
          <rPr>
            <sz val="12"/>
            <color theme="1"/>
            <rFont val="Aptos Narrow"/>
            <family val="2"/>
            <scheme val="minor"/>
          </rPr>
          <t>Việt Hoàng:
Last week:
22.590.000</t>
        </r>
      </text>
    </comment>
    <comment ref="E8" authorId="2" shapeId="0" xr:uid="{00000000-0006-0000-2D00-00001E000000}">
      <text>
        <r>
          <rPr>
            <sz val="12"/>
            <color theme="1"/>
            <rFont val="Aptos Narrow"/>
            <family val="2"/>
            <scheme val="minor"/>
          </rPr>
          <t>was 22290</t>
        </r>
      </text>
    </comment>
    <comment ref="F8" authorId="3" shapeId="0" xr:uid="{00000000-0006-0000-2D00-00001F000000}">
      <text>
        <r>
          <rPr>
            <sz val="12"/>
            <color theme="1"/>
            <rFont val="Aptos Narrow"/>
            <family val="2"/>
            <scheme val="minor"/>
          </rPr>
          <t>chit trang:21.890k</t>
        </r>
      </text>
    </comment>
    <comment ref="G8" authorId="4" shapeId="0" xr:uid="{00000000-0006-0000-2D00-000020000000}">
      <text>
        <r>
          <rPr>
            <sz val="12"/>
            <color theme="1"/>
            <rFont val="Aptos Narrow"/>
            <family val="2"/>
            <scheme val="minor"/>
          </rPr>
          <t>Tran Dat:
22090</t>
        </r>
      </text>
    </comment>
    <comment ref="B10" authorId="2" shapeId="0" xr:uid="{00000000-0006-0000-2D00-000021000000}">
      <text>
        <r>
          <rPr>
            <sz val="12"/>
            <color theme="1"/>
            <rFont val="Aptos Narrow"/>
            <family val="2"/>
            <scheme val="minor"/>
          </rPr>
          <t>was 29140000
VNP150</t>
        </r>
      </text>
    </comment>
    <comment ref="B11" authorId="2" shapeId="0" xr:uid="{00000000-0006-0000-2D00-000022000000}">
      <text>
        <r>
          <rPr>
            <sz val="12"/>
            <color theme="1"/>
            <rFont val="Aptos Narrow"/>
            <family val="2"/>
            <scheme val="minor"/>
          </rPr>
          <t>was 18440</t>
        </r>
      </text>
    </comment>
    <comment ref="F11" authorId="3" shapeId="0" xr:uid="{00000000-0006-0000-2D00-000023000000}">
      <text>
        <r>
          <rPr>
            <sz val="12"/>
            <color theme="1"/>
            <rFont val="Aptos Narrow"/>
            <family val="2"/>
            <scheme val="minor"/>
          </rPr>
          <t>chit trang:
19.490k</t>
        </r>
      </text>
    </comment>
    <comment ref="G11" authorId="4" shapeId="0" xr:uid="{00000000-0006-0000-2D00-000024000000}">
      <text>
        <r>
          <rPr>
            <sz val="12"/>
            <color theme="1"/>
            <rFont val="Aptos Narrow"/>
            <family val="2"/>
            <scheme val="minor"/>
          </rPr>
          <t>Tran Dat:
19690</t>
        </r>
      </text>
    </comment>
    <comment ref="C12" authorId="0" shapeId="0" xr:uid="{00000000-0006-0000-2D00-000025000000}">
      <text>
        <r>
          <rPr>
            <sz val="12"/>
            <color theme="1"/>
            <rFont val="Aptos Narrow"/>
            <family val="2"/>
            <scheme val="minor"/>
          </rPr>
          <t>W9 15990</t>
        </r>
      </text>
    </comment>
    <comment ref="D12" authorId="1" shapeId="0" xr:uid="{00000000-0006-0000-2D00-000026000000}">
      <text>
        <r>
          <rPr>
            <sz val="12"/>
            <color theme="1"/>
            <rFont val="Aptos Narrow"/>
            <family val="2"/>
            <scheme val="minor"/>
          </rPr>
          <t>Việt Hoàng:
Last week:
15.990.000</t>
        </r>
      </text>
    </comment>
    <comment ref="E12" authorId="2" shapeId="0" xr:uid="{00000000-0006-0000-2D00-000027000000}">
      <text>
        <r>
          <rPr>
            <sz val="12"/>
            <color theme="1"/>
            <rFont val="Aptos Narrow"/>
            <family val="2"/>
            <scheme val="minor"/>
          </rPr>
          <t>was 15290</t>
        </r>
      </text>
    </comment>
    <comment ref="F12" authorId="3" shapeId="0" xr:uid="{00000000-0006-0000-2D00-000028000000}">
      <text>
        <r>
          <rPr>
            <sz val="12"/>
            <color theme="1"/>
            <rFont val="Aptos Narrow"/>
            <family val="2"/>
            <scheme val="minor"/>
          </rPr>
          <t>chit trang:
15.090k</t>
        </r>
      </text>
    </comment>
    <comment ref="G12" authorId="4" shapeId="0" xr:uid="{00000000-0006-0000-2D00-000029000000}">
      <text>
        <r>
          <rPr>
            <sz val="12"/>
            <color theme="1"/>
            <rFont val="Aptos Narrow"/>
            <family val="2"/>
            <scheme val="minor"/>
          </rPr>
          <t>Tran Dat:
15690</t>
        </r>
      </text>
    </comment>
    <comment ref="B13" authorId="2" shapeId="0" xr:uid="{00000000-0006-0000-2D00-00002A000000}">
      <text>
        <r>
          <rPr>
            <sz val="12"/>
            <color theme="1"/>
            <rFont val="Aptos Narrow"/>
            <family val="2"/>
            <scheme val="minor"/>
          </rPr>
          <t>was 13190
VNP100</t>
        </r>
      </text>
    </comment>
    <comment ref="C13" authorId="2" shapeId="0" xr:uid="{00000000-0006-0000-2D00-00002B000000}">
      <text>
        <r>
          <rPr>
            <sz val="12"/>
            <color theme="1"/>
            <rFont val="Aptos Narrow"/>
            <family val="2"/>
            <scheme val="minor"/>
          </rPr>
          <t xml:space="preserve">W9 13290
</t>
        </r>
      </text>
    </comment>
    <comment ref="D13" authorId="1" shapeId="0" xr:uid="{00000000-0006-0000-2D00-00002C000000}">
      <text>
        <r>
          <rPr>
            <sz val="12"/>
            <color theme="1"/>
            <rFont val="Aptos Narrow"/>
            <family val="2"/>
            <scheme val="minor"/>
          </rPr>
          <t>Việt Hoàng:
Last week:
12.890.000</t>
        </r>
      </text>
    </comment>
    <comment ref="E13" authorId="2" shapeId="0" xr:uid="{00000000-0006-0000-2D00-00002D000000}">
      <text>
        <r>
          <rPr>
            <sz val="12"/>
            <color theme="1"/>
            <rFont val="Aptos Narrow"/>
            <family val="2"/>
            <scheme val="minor"/>
          </rPr>
          <t>was 12590</t>
        </r>
      </text>
    </comment>
    <comment ref="F13" authorId="3" shapeId="0" xr:uid="{00000000-0006-0000-2D00-00002E000000}">
      <text>
        <r>
          <rPr>
            <sz val="12"/>
            <color theme="1"/>
            <rFont val="Aptos Narrow"/>
            <family val="2"/>
            <scheme val="minor"/>
          </rPr>
          <t>chit trang:
12.590k</t>
        </r>
      </text>
    </comment>
    <comment ref="G13" authorId="4" shapeId="0" xr:uid="{00000000-0006-0000-2D00-00002F000000}">
      <text>
        <r>
          <rPr>
            <sz val="12"/>
            <color theme="1"/>
            <rFont val="Aptos Narrow"/>
            <family val="2"/>
            <scheme val="minor"/>
          </rPr>
          <t>12590</t>
        </r>
      </text>
    </comment>
    <comment ref="C14" authorId="0" shapeId="0" xr:uid="{00000000-0006-0000-2D00-000030000000}">
      <text>
        <r>
          <rPr>
            <sz val="12"/>
            <color theme="1"/>
            <rFont val="Aptos Narrow"/>
            <family val="2"/>
            <scheme val="minor"/>
          </rPr>
          <t>W9 9990</t>
        </r>
      </text>
    </comment>
    <comment ref="F14" authorId="3" shapeId="0" xr:uid="{00000000-0006-0000-2D00-000031000000}">
      <text>
        <r>
          <rPr>
            <sz val="12"/>
            <color theme="1"/>
            <rFont val="Aptos Narrow"/>
            <family val="2"/>
            <scheme val="minor"/>
          </rPr>
          <t>chit trang:
9.990k</t>
        </r>
      </text>
    </comment>
    <comment ref="E17" authorId="2" shapeId="0" xr:uid="{00000000-0006-0000-2D00-000032000000}">
      <text>
        <r>
          <rPr>
            <sz val="12"/>
            <color theme="1"/>
            <rFont val="Aptos Narrow"/>
            <family val="2"/>
            <scheme val="minor"/>
          </rPr>
          <t>was 9690
giảm online 200k, vnp 1%</t>
        </r>
      </text>
    </comment>
    <comment ref="B18" authorId="2" shapeId="0" xr:uid="{00000000-0006-0000-2D00-000033000000}">
      <text>
        <r>
          <rPr>
            <sz val="12"/>
            <color theme="1"/>
            <rFont val="Aptos Narrow"/>
            <family val="2"/>
            <scheme val="minor"/>
          </rPr>
          <t>was 7040
VNP40</t>
        </r>
      </text>
    </comment>
    <comment ref="B19" authorId="2" shapeId="0" xr:uid="{00000000-0006-0000-2D00-000034000000}">
      <text>
        <r>
          <rPr>
            <sz val="12"/>
            <color theme="1"/>
            <rFont val="Aptos Narrow"/>
            <family val="2"/>
            <scheme val="minor"/>
          </rPr>
          <t>was 14390</t>
        </r>
      </text>
    </comment>
    <comment ref="E19" authorId="2" shapeId="0" xr:uid="{00000000-0006-0000-2D00-000035000000}">
      <text>
        <r>
          <rPr>
            <sz val="12"/>
            <color theme="1"/>
            <rFont val="Aptos Narrow"/>
            <family val="2"/>
            <scheme val="minor"/>
          </rPr>
          <t>was 15790
VNP1%</t>
        </r>
      </text>
    </comment>
    <comment ref="E20" authorId="2" shapeId="0" xr:uid="{00000000-0006-0000-2D00-000036000000}">
      <text>
        <r>
          <rPr>
            <sz val="12"/>
            <color theme="1"/>
            <rFont val="Aptos Narrow"/>
            <family val="2"/>
            <scheme val="minor"/>
          </rPr>
          <t>was 21490
vnp1%</t>
        </r>
      </text>
    </comment>
    <comment ref="F21" authorId="3" shapeId="0" xr:uid="{00000000-0006-0000-2D00-000037000000}">
      <text>
        <r>
          <rPr>
            <sz val="12"/>
            <color theme="1"/>
            <rFont val="Aptos Narrow"/>
            <family val="2"/>
            <scheme val="minor"/>
          </rPr>
          <t>chit trang:
27.890k</t>
        </r>
      </text>
    </comment>
    <comment ref="B22" authorId="2" shapeId="0" xr:uid="{00000000-0006-0000-2D00-000038000000}">
      <text>
        <r>
          <rPr>
            <sz val="12"/>
            <color theme="1"/>
            <rFont val="Aptos Narrow"/>
            <family val="2"/>
            <scheme val="minor"/>
          </rPr>
          <t>was 36640</t>
        </r>
      </text>
    </comment>
    <comment ref="E22" authorId="2" shapeId="0" xr:uid="{00000000-0006-0000-2D00-000039000000}">
      <text>
        <r>
          <rPr>
            <sz val="12"/>
            <color theme="1"/>
            <rFont val="Aptos Narrow"/>
            <family val="2"/>
            <scheme val="minor"/>
          </rPr>
          <t>was 36490</t>
        </r>
      </text>
    </comment>
    <comment ref="C23" authorId="0" shapeId="0" xr:uid="{00000000-0006-0000-2D00-00003A000000}">
      <text>
        <r>
          <rPr>
            <sz val="12"/>
            <color theme="1"/>
            <rFont val="Aptos Narrow"/>
            <family val="2"/>
            <scheme val="minor"/>
          </rPr>
          <t>W9 5990</t>
        </r>
      </text>
    </comment>
    <comment ref="D23" authorId="1" shapeId="0" xr:uid="{00000000-0006-0000-2D00-00003B000000}">
      <text>
        <r>
          <rPr>
            <sz val="12"/>
            <color theme="1"/>
            <rFont val="Aptos Narrow"/>
            <family val="2"/>
            <scheme val="minor"/>
          </rPr>
          <t>Việt Hoàng:
Last week:
5.890.000</t>
        </r>
      </text>
    </comment>
    <comment ref="E23" authorId="2" shapeId="0" xr:uid="{00000000-0006-0000-2D00-00003C000000}">
      <text>
        <r>
          <rPr>
            <sz val="12"/>
            <color theme="1"/>
            <rFont val="Aptos Narrow"/>
            <family val="2"/>
            <scheme val="minor"/>
          </rPr>
          <t>was 5690
vnp1%</t>
        </r>
      </text>
    </comment>
    <comment ref="F23" authorId="3" shapeId="0" xr:uid="{00000000-0006-0000-2D00-00003D000000}">
      <text>
        <r>
          <rPr>
            <sz val="12"/>
            <color theme="1"/>
            <rFont val="Aptos Narrow"/>
            <family val="2"/>
            <scheme val="minor"/>
          </rPr>
          <t>chit trang:
5.690k</t>
        </r>
      </text>
    </comment>
    <comment ref="G23" authorId="4" shapeId="0" xr:uid="{00000000-0006-0000-2D00-00003E000000}">
      <text>
        <r>
          <rPr>
            <sz val="12"/>
            <color theme="1"/>
            <rFont val="Aptos Narrow"/>
            <family val="2"/>
            <scheme val="minor"/>
          </rPr>
          <t>Tran Dat:
5890</t>
        </r>
      </text>
    </comment>
    <comment ref="C24" authorId="0" shapeId="0" xr:uid="{00000000-0006-0000-2D00-00003F000000}">
      <text>
        <r>
          <rPr>
            <sz val="12"/>
            <color theme="1"/>
            <rFont val="Aptos Narrow"/>
            <family val="2"/>
            <scheme val="minor"/>
          </rPr>
          <t>W9 7190</t>
        </r>
      </text>
    </comment>
    <comment ref="D24" authorId="1" shapeId="0" xr:uid="{00000000-0006-0000-2D00-000040000000}">
      <text>
        <r>
          <rPr>
            <sz val="12"/>
            <color theme="1"/>
            <rFont val="Aptos Narrow"/>
            <family val="2"/>
            <scheme val="minor"/>
          </rPr>
          <t>Việt Hoàng:
Last week:
7.190.000</t>
        </r>
      </text>
    </comment>
    <comment ref="E24" authorId="2" shapeId="0" xr:uid="{00000000-0006-0000-2D00-000041000000}">
      <text>
        <r>
          <rPr>
            <sz val="12"/>
            <color theme="1"/>
            <rFont val="Aptos Narrow"/>
            <family val="2"/>
            <scheme val="minor"/>
          </rPr>
          <t>was 6890</t>
        </r>
      </text>
    </comment>
    <comment ref="C25" authorId="0" shapeId="0" xr:uid="{00000000-0006-0000-2D00-000042000000}">
      <text>
        <r>
          <rPr>
            <sz val="12"/>
            <color theme="1"/>
            <rFont val="Aptos Narrow"/>
            <family val="2"/>
            <scheme val="minor"/>
          </rPr>
          <t>W9 6690</t>
        </r>
      </text>
    </comment>
    <comment ref="D25" authorId="1" shapeId="0" xr:uid="{00000000-0006-0000-2D00-000043000000}">
      <text>
        <r>
          <rPr>
            <sz val="12"/>
            <color theme="1"/>
            <rFont val="Aptos Narrow"/>
            <family val="2"/>
            <scheme val="minor"/>
          </rPr>
          <t>Việt Hoàng:
Last week:
6.690.000</t>
        </r>
      </text>
    </comment>
    <comment ref="E25" authorId="2" shapeId="0" xr:uid="{00000000-0006-0000-2D00-000044000000}">
      <text>
        <r>
          <rPr>
            <sz val="12"/>
            <color theme="1"/>
            <rFont val="Aptos Narrow"/>
            <family val="2"/>
            <scheme val="minor"/>
          </rPr>
          <t>was 6490
vnp1%</t>
        </r>
      </text>
    </comment>
    <comment ref="G25" authorId="4" shapeId="0" xr:uid="{00000000-0006-0000-2D00-000045000000}">
      <text>
        <r>
          <rPr>
            <sz val="12"/>
            <color theme="1"/>
            <rFont val="Aptos Narrow"/>
            <family val="2"/>
            <scheme val="minor"/>
          </rPr>
          <t>Tran Dat:
6.490</t>
        </r>
      </text>
    </comment>
    <comment ref="C26" authorId="0" shapeId="0" xr:uid="{00000000-0006-0000-2D00-000046000000}">
      <text>
        <r>
          <rPr>
            <sz val="12"/>
            <color theme="1"/>
            <rFont val="Aptos Narrow"/>
            <family val="2"/>
            <scheme val="minor"/>
          </rPr>
          <t>W9 7990</t>
        </r>
      </text>
    </comment>
    <comment ref="D26" authorId="1" shapeId="0" xr:uid="{00000000-0006-0000-2D00-000047000000}">
      <text>
        <r>
          <rPr>
            <sz val="12"/>
            <color theme="1"/>
            <rFont val="Aptos Narrow"/>
            <family val="2"/>
            <scheme val="minor"/>
          </rPr>
          <t>Việt Hoàng:
Last week:
7.990.000</t>
        </r>
      </text>
    </comment>
    <comment ref="E26" authorId="2" shapeId="0" xr:uid="{00000000-0006-0000-2D00-000048000000}">
      <text>
        <r>
          <rPr>
            <sz val="12"/>
            <color theme="1"/>
            <rFont val="Aptos Narrow"/>
            <family val="2"/>
            <scheme val="minor"/>
          </rPr>
          <t>was 7690
vnp1%</t>
        </r>
      </text>
    </comment>
    <comment ref="F26" authorId="3" shapeId="0" xr:uid="{00000000-0006-0000-2D00-000049000000}">
      <text>
        <r>
          <rPr>
            <sz val="12"/>
            <color theme="1"/>
            <rFont val="Aptos Narrow"/>
            <family val="2"/>
            <scheme val="minor"/>
          </rPr>
          <t>chit trang:
8.090k</t>
        </r>
      </text>
    </comment>
    <comment ref="G26" authorId="4" shapeId="0" xr:uid="{00000000-0006-0000-2D00-00004A000000}">
      <text>
        <r>
          <rPr>
            <sz val="12"/>
            <color theme="1"/>
            <rFont val="Aptos Narrow"/>
            <family val="2"/>
            <scheme val="minor"/>
          </rPr>
          <t>7.790</t>
        </r>
      </text>
    </comment>
    <comment ref="C27" authorId="0" shapeId="0" xr:uid="{00000000-0006-0000-2D00-00004B000000}">
      <text>
        <r>
          <rPr>
            <sz val="12"/>
            <color theme="1"/>
            <rFont val="Aptos Narrow"/>
            <family val="2"/>
            <scheme val="minor"/>
          </rPr>
          <t>W9 10990</t>
        </r>
      </text>
    </comment>
    <comment ref="D27" authorId="1" shapeId="0" xr:uid="{00000000-0006-0000-2D00-00004C000000}">
      <text>
        <r>
          <rPr>
            <sz val="12"/>
            <color theme="1"/>
            <rFont val="Aptos Narrow"/>
            <family val="2"/>
            <scheme val="minor"/>
          </rPr>
          <t>Việt Hoàng:
Last week:
10.890.000</t>
        </r>
      </text>
    </comment>
    <comment ref="E27" authorId="2" shapeId="0" xr:uid="{00000000-0006-0000-2D00-00004D000000}">
      <text>
        <r>
          <rPr>
            <sz val="12"/>
            <color theme="1"/>
            <rFont val="Aptos Narrow"/>
            <family val="2"/>
            <scheme val="minor"/>
          </rPr>
          <t>was 10390
vnp1%</t>
        </r>
      </text>
    </comment>
    <comment ref="F27" authorId="3" shapeId="0" xr:uid="{00000000-0006-0000-2D00-00004E000000}">
      <text>
        <r>
          <rPr>
            <sz val="12"/>
            <color theme="1"/>
            <rFont val="Aptos Narrow"/>
            <family val="2"/>
            <scheme val="minor"/>
          </rPr>
          <t>chit trang:9.390k</t>
        </r>
      </text>
    </comment>
    <comment ref="G27" authorId="4" shapeId="0" xr:uid="{00000000-0006-0000-2D00-00004F000000}">
      <text>
        <r>
          <rPr>
            <sz val="12"/>
            <color theme="1"/>
            <rFont val="Aptos Narrow"/>
            <family val="2"/>
            <scheme val="minor"/>
          </rPr>
          <t>10790</t>
        </r>
      </text>
    </comment>
    <comment ref="C28" authorId="0" shapeId="0" xr:uid="{00000000-0006-0000-2D00-000050000000}">
      <text>
        <r>
          <rPr>
            <sz val="12"/>
            <color theme="1"/>
            <rFont val="Aptos Narrow"/>
            <family val="2"/>
            <scheme val="minor"/>
          </rPr>
          <t>W9 13490</t>
        </r>
      </text>
    </comment>
    <comment ref="D28" authorId="1" shapeId="0" xr:uid="{00000000-0006-0000-2D00-000051000000}">
      <text>
        <r>
          <rPr>
            <sz val="12"/>
            <color theme="1"/>
            <rFont val="Aptos Narrow"/>
            <family val="2"/>
            <scheme val="minor"/>
          </rPr>
          <t>Việt Hoàng:
Last week:
13.390.000</t>
        </r>
      </text>
    </comment>
    <comment ref="E28" authorId="2" shapeId="0" xr:uid="{00000000-0006-0000-2D00-000052000000}">
      <text>
        <r>
          <rPr>
            <sz val="12"/>
            <color theme="1"/>
            <rFont val="Aptos Narrow"/>
            <family val="2"/>
            <scheme val="minor"/>
          </rPr>
          <t>was 12990
vnp1%</t>
        </r>
      </text>
    </comment>
    <comment ref="F28" authorId="3" shapeId="0" xr:uid="{00000000-0006-0000-2D00-000053000000}">
      <text>
        <r>
          <rPr>
            <sz val="12"/>
            <color theme="1"/>
            <rFont val="Aptos Narrow"/>
            <family val="2"/>
            <scheme val="minor"/>
          </rPr>
          <t>chit trang:
12.990</t>
        </r>
      </text>
    </comment>
    <comment ref="G28" authorId="4" shapeId="0" xr:uid="{00000000-0006-0000-2D00-000054000000}">
      <text>
        <r>
          <rPr>
            <sz val="12"/>
            <color theme="1"/>
            <rFont val="Aptos Narrow"/>
            <family val="2"/>
            <scheme val="minor"/>
          </rPr>
          <t>Tran Dat:
13190</t>
        </r>
      </text>
    </comment>
    <comment ref="C29" authorId="0" shapeId="0" xr:uid="{00000000-0006-0000-2D00-000055000000}">
      <text>
        <r>
          <rPr>
            <sz val="12"/>
            <color theme="1"/>
            <rFont val="Aptos Narrow"/>
            <family val="2"/>
            <scheme val="minor"/>
          </rPr>
          <t>W9 11690</t>
        </r>
      </text>
    </comment>
    <comment ref="D29" authorId="1" shapeId="0" xr:uid="{00000000-0006-0000-2D00-000056000000}">
      <text>
        <r>
          <rPr>
            <sz val="12"/>
            <color theme="1"/>
            <rFont val="Aptos Narrow"/>
            <family val="2"/>
            <scheme val="minor"/>
          </rPr>
          <t>Việt Hoàng:
Last week:
11.690.000</t>
        </r>
      </text>
    </comment>
    <comment ref="E29" authorId="2" shapeId="0" xr:uid="{00000000-0006-0000-2D00-000057000000}">
      <text>
        <r>
          <rPr>
            <sz val="12"/>
            <color theme="1"/>
            <rFont val="Aptos Narrow"/>
            <family val="2"/>
            <scheme val="minor"/>
          </rPr>
          <t>was 11290
vnp1%</t>
        </r>
      </text>
    </comment>
    <comment ref="F29" authorId="3" shapeId="0" xr:uid="{00000000-0006-0000-2D00-000058000000}">
      <text>
        <r>
          <rPr>
            <sz val="12"/>
            <color theme="1"/>
            <rFont val="Aptos Narrow"/>
            <family val="2"/>
            <scheme val="minor"/>
          </rPr>
          <t>11.290k</t>
        </r>
      </text>
    </comment>
    <comment ref="G29" authorId="4" shapeId="0" xr:uid="{00000000-0006-0000-2D00-000059000000}">
      <text>
        <r>
          <rPr>
            <sz val="12"/>
            <color theme="1"/>
            <rFont val="Aptos Narrow"/>
            <family val="2"/>
            <scheme val="minor"/>
          </rPr>
          <t>Tran Dat:
10.790</t>
        </r>
      </text>
    </comment>
    <comment ref="B30" authorId="2" shapeId="0" xr:uid="{00000000-0006-0000-2D00-00005A000000}">
      <text>
        <r>
          <rPr>
            <sz val="12"/>
            <color theme="1"/>
            <rFont val="Aptos Narrow"/>
            <family val="2"/>
            <scheme val="minor"/>
          </rPr>
          <t>was 13320
VNP100</t>
        </r>
      </text>
    </comment>
    <comment ref="C30" authorId="0" shapeId="0" xr:uid="{00000000-0006-0000-2D00-00005B000000}">
      <text>
        <r>
          <rPr>
            <sz val="12"/>
            <color theme="1"/>
            <rFont val="Aptos Narrow"/>
            <family val="2"/>
            <scheme val="minor"/>
          </rPr>
          <t>W9 14290</t>
        </r>
      </text>
    </comment>
    <comment ref="D30" authorId="1" shapeId="0" xr:uid="{00000000-0006-0000-2D00-00005C000000}">
      <text>
        <r>
          <rPr>
            <sz val="12"/>
            <color theme="1"/>
            <rFont val="Aptos Narrow"/>
            <family val="2"/>
            <scheme val="minor"/>
          </rPr>
          <t>Việt Hoàng:
Last week:
14.190.000</t>
        </r>
      </text>
    </comment>
    <comment ref="E30" authorId="2" shapeId="0" xr:uid="{00000000-0006-0000-2D00-00005D000000}">
      <text>
        <r>
          <rPr>
            <sz val="12"/>
            <color theme="1"/>
            <rFont val="Aptos Narrow"/>
            <family val="2"/>
            <scheme val="minor"/>
          </rPr>
          <t>was 13890
vnp1%</t>
        </r>
      </text>
    </comment>
    <comment ref="E31" authorId="2" shapeId="0" xr:uid="{00000000-0006-0000-2D00-00005E000000}">
      <text>
        <r>
          <rPr>
            <sz val="12"/>
            <color theme="1"/>
            <rFont val="Aptos Narrow"/>
            <family val="2"/>
            <scheme val="minor"/>
          </rPr>
          <t>was 21490
vnp1%</t>
        </r>
      </text>
    </comment>
    <comment ref="B32" authorId="2" shapeId="0" xr:uid="{00000000-0006-0000-2D00-00005F000000}">
      <text>
        <r>
          <rPr>
            <sz val="12"/>
            <color theme="1"/>
            <rFont val="Aptos Narrow"/>
            <family val="2"/>
            <scheme val="minor"/>
          </rPr>
          <t>was 5550
VNP40</t>
        </r>
      </text>
    </comment>
    <comment ref="C32" authorId="0" shapeId="0" xr:uid="{00000000-0006-0000-2D00-000060000000}">
      <text>
        <r>
          <rPr>
            <sz val="12"/>
            <color theme="1"/>
            <rFont val="Aptos Narrow"/>
            <family val="2"/>
            <scheme val="minor"/>
          </rPr>
          <t>W9 5790</t>
        </r>
      </text>
    </comment>
    <comment ref="D32" authorId="1" shapeId="0" xr:uid="{00000000-0006-0000-2D00-000061000000}">
      <text>
        <r>
          <rPr>
            <sz val="12"/>
            <color theme="1"/>
            <rFont val="Aptos Narrow"/>
            <family val="2"/>
            <scheme val="minor"/>
          </rPr>
          <t>Việt Hoàng:
Last week:
5.590.000</t>
        </r>
      </text>
    </comment>
    <comment ref="E32" authorId="2" shapeId="0" xr:uid="{00000000-0006-0000-2D00-000062000000}">
      <text>
        <r>
          <rPr>
            <sz val="12"/>
            <color theme="1"/>
            <rFont val="Aptos Narrow"/>
            <family val="2"/>
            <scheme val="minor"/>
          </rPr>
          <t>was 5590</t>
        </r>
      </text>
    </comment>
    <comment ref="F32" authorId="3" shapeId="0" xr:uid="{00000000-0006-0000-2D00-000063000000}">
      <text>
        <r>
          <rPr>
            <sz val="12"/>
            <color theme="1"/>
            <rFont val="Aptos Narrow"/>
            <family val="2"/>
            <scheme val="minor"/>
          </rPr>
          <t>chit trang:
5.690</t>
        </r>
      </text>
    </comment>
    <comment ref="B33" authorId="2" shapeId="0" xr:uid="{00000000-0006-0000-2D00-000064000000}">
      <text>
        <r>
          <rPr>
            <sz val="12"/>
            <color theme="1"/>
            <rFont val="Aptos Narrow"/>
            <family val="2"/>
            <scheme val="minor"/>
          </rPr>
          <t xml:space="preserve">was 4490
</t>
        </r>
      </text>
    </comment>
    <comment ref="C33" authorId="0" shapeId="0" xr:uid="{00000000-0006-0000-2D00-000065000000}">
      <text>
        <r>
          <rPr>
            <sz val="12"/>
            <color theme="1"/>
            <rFont val="Aptos Narrow"/>
            <family val="2"/>
            <scheme val="minor"/>
          </rPr>
          <t>W9 4650</t>
        </r>
      </text>
    </comment>
    <comment ref="D33" authorId="1" shapeId="0" xr:uid="{00000000-0006-0000-2D00-000066000000}">
      <text>
        <r>
          <rPr>
            <sz val="12"/>
            <color theme="1"/>
            <rFont val="Aptos Narrow"/>
            <family val="2"/>
            <scheme val="minor"/>
          </rPr>
          <t>Việt Hoàng:
Last week:
4.650.000</t>
        </r>
      </text>
    </comment>
    <comment ref="E33" authorId="2" shapeId="0" xr:uid="{00000000-0006-0000-2D00-000067000000}">
      <text>
        <r>
          <rPr>
            <sz val="12"/>
            <color theme="1"/>
            <rFont val="Aptos Narrow"/>
            <family val="2"/>
            <scheme val="minor"/>
          </rPr>
          <t>was 4390</t>
        </r>
      </text>
    </comment>
    <comment ref="F33" authorId="3" shapeId="0" xr:uid="{00000000-0006-0000-2D00-000068000000}">
      <text>
        <r>
          <rPr>
            <sz val="12"/>
            <color theme="1"/>
            <rFont val="Aptos Narrow"/>
            <family val="2"/>
            <scheme val="minor"/>
          </rPr>
          <t>chit trang:
4.590k</t>
        </r>
      </text>
    </comment>
    <comment ref="B34" authorId="2" shapeId="0" xr:uid="{00000000-0006-0000-2D00-000069000000}">
      <text>
        <r>
          <rPr>
            <sz val="12"/>
            <color theme="1"/>
            <rFont val="Aptos Narrow"/>
            <family val="2"/>
            <scheme val="minor"/>
          </rPr>
          <t>was 3190</t>
        </r>
      </text>
    </comment>
    <comment ref="C34" authorId="0" shapeId="0" xr:uid="{00000000-0006-0000-2D00-00006A000000}">
      <text>
        <r>
          <rPr>
            <sz val="12"/>
            <color theme="1"/>
            <rFont val="Aptos Narrow"/>
            <family val="2"/>
            <scheme val="minor"/>
          </rPr>
          <t>W9 3390</t>
        </r>
      </text>
    </comment>
    <comment ref="D34" authorId="1" shapeId="0" xr:uid="{00000000-0006-0000-2D00-00006B000000}">
      <text>
        <r>
          <rPr>
            <sz val="12"/>
            <color theme="1"/>
            <rFont val="Aptos Narrow"/>
            <family val="2"/>
            <scheme val="minor"/>
          </rPr>
          <t>Việt Hoàng:
Last week:
3.350.000</t>
        </r>
      </text>
    </comment>
    <comment ref="E34" authorId="2" shapeId="0" xr:uid="{00000000-0006-0000-2D00-00006C000000}">
      <text>
        <r>
          <rPr>
            <sz val="12"/>
            <color theme="1"/>
            <rFont val="Aptos Narrow"/>
            <family val="2"/>
            <scheme val="minor"/>
          </rPr>
          <t>was 3190</t>
        </r>
      </text>
    </comment>
    <comment ref="G34" authorId="4" shapeId="0" xr:uid="{00000000-0006-0000-2D00-00006D000000}">
      <text>
        <r>
          <rPr>
            <sz val="12"/>
            <color theme="1"/>
            <rFont val="Aptos Narrow"/>
            <family val="2"/>
            <scheme val="minor"/>
          </rPr>
          <t>Tran Dat:
3.390</t>
        </r>
      </text>
    </comment>
    <comment ref="B36" authorId="2" shapeId="0" xr:uid="{00000000-0006-0000-2D00-00006E000000}">
      <text>
        <r>
          <rPr>
            <sz val="12"/>
            <color theme="1"/>
            <rFont val="Aptos Narrow"/>
            <family val="2"/>
            <scheme val="minor"/>
          </rPr>
          <t>was 18090
VNP100</t>
        </r>
      </text>
    </comment>
    <comment ref="C36" authorId="0" shapeId="0" xr:uid="{00000000-0006-0000-2D00-00006F000000}">
      <text>
        <r>
          <rPr>
            <sz val="12"/>
            <color theme="1"/>
            <rFont val="Aptos Narrow"/>
            <family val="2"/>
            <scheme val="minor"/>
          </rPr>
          <t>W9 17790</t>
        </r>
      </text>
    </comment>
    <comment ref="G36" authorId="4" shapeId="0" xr:uid="{00000000-0006-0000-2D00-000070000000}">
      <text>
        <r>
          <rPr>
            <sz val="12"/>
            <color theme="1"/>
            <rFont val="Aptos Narrow"/>
            <family val="2"/>
            <scheme val="minor"/>
          </rPr>
          <t>Tran Dat:
17.290</t>
        </r>
      </text>
    </comment>
    <comment ref="D37" authorId="1" shapeId="0" xr:uid="{00000000-0006-0000-2D00-000071000000}">
      <text>
        <r>
          <rPr>
            <sz val="12"/>
            <color theme="1"/>
            <rFont val="Aptos Narrow"/>
            <family val="2"/>
            <scheme val="minor"/>
          </rPr>
          <t>Việt Hoàng:
Last week:
23.590.000</t>
        </r>
      </text>
    </comment>
    <comment ref="G37" authorId="4" shapeId="0" xr:uid="{00000000-0006-0000-2D00-000072000000}">
      <text>
        <r>
          <rPr>
            <sz val="12"/>
            <color theme="1"/>
            <rFont val="Aptos Narrow"/>
            <family val="2"/>
            <scheme val="minor"/>
          </rPr>
          <t>Tran Dat:
23090</t>
        </r>
      </text>
    </comment>
    <comment ref="B38" authorId="2" shapeId="0" xr:uid="{00000000-0006-0000-2D00-000073000000}">
      <text>
        <r>
          <rPr>
            <sz val="12"/>
            <color theme="1"/>
            <rFont val="Aptos Narrow"/>
            <family val="2"/>
            <scheme val="minor"/>
          </rPr>
          <t>was 26140
VNP150</t>
        </r>
      </text>
    </comment>
    <comment ref="D38" authorId="1" shapeId="0" xr:uid="{00000000-0006-0000-2D00-000074000000}">
      <text>
        <r>
          <rPr>
            <sz val="12"/>
            <color theme="1"/>
            <rFont val="Aptos Narrow"/>
            <family val="2"/>
            <scheme val="minor"/>
          </rPr>
          <t>Việt Hoàng:
26.290.000</t>
        </r>
      </text>
    </comment>
    <comment ref="G38" authorId="4" shapeId="0" xr:uid="{00000000-0006-0000-2D00-000075000000}">
      <text>
        <r>
          <rPr>
            <sz val="12"/>
            <color theme="1"/>
            <rFont val="Aptos Narrow"/>
            <family val="2"/>
            <scheme val="minor"/>
          </rPr>
          <t>Tran Dat:
25490</t>
        </r>
      </text>
    </comment>
  </commentList>
</comments>
</file>

<file path=xl/comments47.xml><?xml version="1.0" encoding="utf-8"?>
<comments xmlns="http://schemas.openxmlformats.org/spreadsheetml/2006/main" xmlns:mc="http://schemas.openxmlformats.org/markup-compatibility/2006" xmlns:xr="http://schemas.microsoft.com/office/spreadsheetml/2014/revision" mc:Ignorable="xr">
  <authors>
    <author>Duy</author>
    <author>Việt Hoàng</author>
    <author>chit trang</author>
    <author>Tran Dat</author>
    <author>Microsoft Office User</author>
  </authors>
  <commentList>
    <comment ref="C2" authorId="0" shapeId="0" xr:uid="{00000000-0006-0000-2E00-000001000000}">
      <text>
        <r>
          <rPr>
            <sz val="12"/>
            <color theme="1"/>
            <rFont val="Aptos Narrow"/>
            <family val="2"/>
            <scheme val="minor"/>
          </rPr>
          <t>W10 16990</t>
        </r>
      </text>
    </comment>
    <comment ref="D2" authorId="1" shapeId="0" xr:uid="{00000000-0006-0000-2E00-000002000000}">
      <text>
        <r>
          <rPr>
            <sz val="12"/>
            <color theme="1"/>
            <rFont val="Aptos Narrow"/>
            <family val="2"/>
            <scheme val="minor"/>
          </rPr>
          <t>Việt Hoàng:
Last week
16.990.000</t>
        </r>
      </text>
    </comment>
    <comment ref="C3" authorId="0" shapeId="0" xr:uid="{00000000-0006-0000-2E00-000003000000}">
      <text>
        <r>
          <rPr>
            <sz val="12"/>
            <color theme="1"/>
            <rFont val="Aptos Narrow"/>
            <family val="2"/>
            <scheme val="minor"/>
          </rPr>
          <t>W10 19890</t>
        </r>
      </text>
    </comment>
    <comment ref="D3" authorId="1" shapeId="0" xr:uid="{00000000-0006-0000-2E00-000004000000}">
      <text>
        <r>
          <rPr>
            <sz val="12"/>
            <color theme="1"/>
            <rFont val="Aptos Narrow"/>
            <family val="2"/>
            <scheme val="minor"/>
          </rPr>
          <t>Việt Hoàng:
Last week:
19.890.000</t>
        </r>
      </text>
    </comment>
    <comment ref="F3" authorId="2" shapeId="0" xr:uid="{00000000-0006-0000-2E00-000005000000}">
      <text>
        <r>
          <rPr>
            <sz val="12"/>
            <color theme="1"/>
            <rFont val="Aptos Narrow"/>
            <family val="2"/>
            <scheme val="minor"/>
          </rPr>
          <t>chit trang:
19.790k</t>
        </r>
      </text>
    </comment>
    <comment ref="G3" authorId="3" shapeId="0" xr:uid="{00000000-0006-0000-2E00-000006000000}">
      <text>
        <r>
          <rPr>
            <sz val="12"/>
            <color theme="1"/>
            <rFont val="Aptos Narrow"/>
            <family val="2"/>
            <scheme val="minor"/>
          </rPr>
          <t>Tran Dat:
20490</t>
        </r>
      </text>
    </comment>
    <comment ref="B4" authorId="4" shapeId="0" xr:uid="{00000000-0006-0000-2E00-000007000000}">
      <text>
        <r>
          <rPr>
            <sz val="12"/>
            <color theme="1"/>
            <rFont val="Aptos Narrow"/>
            <family val="2"/>
            <scheme val="minor"/>
          </rPr>
          <t>was 24640000
VNP150</t>
        </r>
      </text>
    </comment>
    <comment ref="C4" authorId="0" shapeId="0" xr:uid="{00000000-0006-0000-2E00-000008000000}">
      <text>
        <r>
          <rPr>
            <sz val="12"/>
            <color theme="1"/>
            <rFont val="Aptos Narrow"/>
            <family val="2"/>
            <scheme val="minor"/>
          </rPr>
          <t>W10 22890</t>
        </r>
      </text>
    </comment>
    <comment ref="D4" authorId="1" shapeId="0" xr:uid="{00000000-0006-0000-2E00-000009000000}">
      <text>
        <r>
          <rPr>
            <sz val="12"/>
            <color theme="1"/>
            <rFont val="Aptos Narrow"/>
            <family val="2"/>
            <scheme val="minor"/>
          </rPr>
          <t>Việt Hoàng:
Last week:
22.790.000</t>
        </r>
      </text>
    </comment>
    <comment ref="F4" authorId="2" shapeId="0" xr:uid="{00000000-0006-0000-2E00-00000A000000}">
      <text>
        <r>
          <rPr>
            <sz val="12"/>
            <color theme="1"/>
            <rFont val="Aptos Narrow"/>
            <family val="2"/>
            <scheme val="minor"/>
          </rPr>
          <t>chit trang:
22.690k</t>
        </r>
      </text>
    </comment>
    <comment ref="C5" authorId="0" shapeId="0" xr:uid="{00000000-0006-0000-2E00-00000B000000}">
      <text>
        <r>
          <rPr>
            <sz val="12"/>
            <color theme="1"/>
            <rFont val="Aptos Narrow"/>
            <family val="2"/>
            <scheme val="minor"/>
          </rPr>
          <t>W10 25590</t>
        </r>
      </text>
    </comment>
    <comment ref="G5" authorId="3" shapeId="0" xr:uid="{00000000-0006-0000-2E00-00000C000000}">
      <text>
        <r>
          <rPr>
            <sz val="12"/>
            <color theme="1"/>
            <rFont val="Aptos Narrow"/>
            <family val="2"/>
            <scheme val="minor"/>
          </rPr>
          <t>25990</t>
        </r>
      </text>
    </comment>
    <comment ref="B6" authorId="4" shapeId="0" xr:uid="{00000000-0006-0000-2E00-00000D000000}">
      <text>
        <r>
          <rPr>
            <sz val="12"/>
            <color theme="1"/>
            <rFont val="Aptos Narrow"/>
            <family val="2"/>
            <scheme val="minor"/>
          </rPr>
          <t>Tặng phiếu mua hàng mua AirPods và Apple Watch trị giá 500,000đ
 Phiếu mua hàng mua sản phẩm giá niêm yết từ 5 triệu thuộc các nhóm TAI NGHE - LOA hãng HARMAN KARDON, JBL,MONSTER, KLIPSCH, MARSHALL, SONY; Smartwatch hãng HUAWEI, GARMIN, SAMSUNG, IMOO, OPPO, AMAZFIT trị giá 500.000đ</t>
        </r>
      </text>
    </comment>
    <comment ref="F6" authorId="2" shapeId="0" xr:uid="{00000000-0006-0000-2E00-00000E000000}">
      <text>
        <r>
          <rPr>
            <sz val="12"/>
            <color theme="1"/>
            <rFont val="Aptos Narrow"/>
            <family val="2"/>
            <scheme val="minor"/>
          </rPr>
          <t>chit trang:
31.390k</t>
        </r>
      </text>
    </comment>
    <comment ref="G6" authorId="3" shapeId="0" xr:uid="{00000000-0006-0000-2E00-00000F000000}">
      <text>
        <r>
          <rPr>
            <sz val="12"/>
            <color theme="1"/>
            <rFont val="Aptos Narrow"/>
            <family val="2"/>
            <scheme val="minor"/>
          </rPr>
          <t>Tran Dat:
30.790</t>
        </r>
      </text>
    </comment>
    <comment ref="G7" authorId="3" shapeId="0" xr:uid="{00000000-0006-0000-2E00-000010000000}">
      <text>
        <r>
          <rPr>
            <sz val="12"/>
            <color theme="1"/>
            <rFont val="Aptos Narrow"/>
            <family val="2"/>
            <scheme val="minor"/>
          </rPr>
          <t>Tran Dat:
15.990</t>
        </r>
      </text>
    </comment>
    <comment ref="D8" authorId="1" shapeId="0" xr:uid="{00000000-0006-0000-2E00-000011000000}">
      <text>
        <r>
          <rPr>
            <sz val="12"/>
            <color theme="1"/>
            <rFont val="Aptos Narrow"/>
            <family val="2"/>
            <scheme val="minor"/>
          </rPr>
          <t>Việt Hoàng:
Last week:
19.790.000</t>
        </r>
      </text>
    </comment>
    <comment ref="B10" authorId="4" shapeId="0" xr:uid="{00000000-0006-0000-2E00-000012000000}">
      <text>
        <r>
          <rPr>
            <sz val="12"/>
            <color theme="1"/>
            <rFont val="Aptos Narrow"/>
            <family val="2"/>
            <scheme val="minor"/>
          </rPr>
          <t>was 29140000
VNP150</t>
        </r>
      </text>
    </comment>
    <comment ref="B11" authorId="4" shapeId="0" xr:uid="{00000000-0006-0000-2E00-000013000000}">
      <text>
        <r>
          <rPr>
            <sz val="12"/>
            <color theme="1"/>
            <rFont val="Aptos Narrow"/>
            <family val="2"/>
            <scheme val="minor"/>
          </rPr>
          <t>was 18440</t>
        </r>
      </text>
    </comment>
    <comment ref="F11" authorId="2" shapeId="0" xr:uid="{00000000-0006-0000-2E00-000014000000}">
      <text>
        <r>
          <rPr>
            <sz val="12"/>
            <color theme="1"/>
            <rFont val="Aptos Narrow"/>
            <family val="2"/>
            <scheme val="minor"/>
          </rPr>
          <t>chit trang:
18.690k</t>
        </r>
      </text>
    </comment>
    <comment ref="C12" authorId="0" shapeId="0" xr:uid="{00000000-0006-0000-2E00-000015000000}">
      <text>
        <r>
          <rPr>
            <sz val="12"/>
            <color theme="1"/>
            <rFont val="Aptos Narrow"/>
            <family val="2"/>
            <scheme val="minor"/>
          </rPr>
          <t>W10 13090</t>
        </r>
      </text>
    </comment>
    <comment ref="F12" authorId="2" shapeId="0" xr:uid="{00000000-0006-0000-2E00-000016000000}">
      <text>
        <r>
          <rPr>
            <sz val="12"/>
            <color theme="1"/>
            <rFont val="Aptos Narrow"/>
            <family val="2"/>
            <scheme val="minor"/>
          </rPr>
          <t>12.990k</t>
        </r>
      </text>
    </comment>
    <comment ref="B13" authorId="4" shapeId="0" xr:uid="{00000000-0006-0000-2E00-000017000000}">
      <text>
        <r>
          <rPr>
            <sz val="12"/>
            <color theme="1"/>
            <rFont val="Aptos Narrow"/>
            <family val="2"/>
            <scheme val="minor"/>
          </rPr>
          <t>was 13190
VNP100</t>
        </r>
      </text>
    </comment>
    <comment ref="C13" authorId="4" shapeId="0" xr:uid="{00000000-0006-0000-2E00-000018000000}">
      <text>
        <r>
          <rPr>
            <sz val="12"/>
            <color theme="1"/>
            <rFont val="Aptos Narrow"/>
            <family val="2"/>
            <scheme val="minor"/>
          </rPr>
          <t xml:space="preserve">W10 12090
</t>
        </r>
      </text>
    </comment>
    <comment ref="F13" authorId="2" shapeId="0" xr:uid="{00000000-0006-0000-2E00-000019000000}">
      <text>
        <r>
          <rPr>
            <sz val="12"/>
            <color theme="1"/>
            <rFont val="Aptos Narrow"/>
            <family val="2"/>
            <scheme val="minor"/>
          </rPr>
          <t>chit trang:
11.990k</t>
        </r>
      </text>
    </comment>
    <comment ref="G13" authorId="3" shapeId="0" xr:uid="{00000000-0006-0000-2E00-00001A000000}">
      <text>
        <r>
          <rPr>
            <sz val="12"/>
            <color theme="1"/>
            <rFont val="Aptos Narrow"/>
            <family val="2"/>
            <scheme val="minor"/>
          </rPr>
          <t>Tran Dat:
11790</t>
        </r>
      </text>
    </comment>
    <comment ref="E16" authorId="4" shapeId="0" xr:uid="{00000000-0006-0000-2E00-00001B000000}">
      <text>
        <r>
          <rPr>
            <sz val="12"/>
            <color theme="1"/>
            <rFont val="Aptos Narrow"/>
            <family val="2"/>
            <scheme val="minor"/>
          </rPr>
          <t>was 13790
vnp1%</t>
        </r>
      </text>
    </comment>
    <comment ref="C17" authorId="0" shapeId="0" xr:uid="{00000000-0006-0000-2E00-00001C000000}">
      <text>
        <r>
          <rPr>
            <sz val="12"/>
            <color theme="1"/>
            <rFont val="Aptos Narrow"/>
            <family val="2"/>
            <scheme val="minor"/>
          </rPr>
          <t>W10 9690</t>
        </r>
      </text>
    </comment>
    <comment ref="D17" authorId="1" shapeId="0" xr:uid="{00000000-0006-0000-2E00-00001D000000}">
      <text>
        <r>
          <rPr>
            <sz val="12"/>
            <color theme="1"/>
            <rFont val="Aptos Narrow"/>
            <family val="2"/>
            <scheme val="minor"/>
          </rPr>
          <t>Việt Hoàng:
Last week:
9.690.000</t>
        </r>
      </text>
    </comment>
    <comment ref="E17" authorId="4" shapeId="0" xr:uid="{00000000-0006-0000-2E00-00001E000000}">
      <text>
        <r>
          <rPr>
            <sz val="12"/>
            <color theme="1"/>
            <rFont val="Aptos Narrow"/>
            <family val="2"/>
            <scheme val="minor"/>
          </rPr>
          <t>was 9395
vnp1%</t>
        </r>
      </text>
    </comment>
    <comment ref="F17" authorId="2" shapeId="0" xr:uid="{00000000-0006-0000-2E00-00001F000000}">
      <text>
        <r>
          <rPr>
            <sz val="12"/>
            <color theme="1"/>
            <rFont val="Aptos Narrow"/>
            <family val="2"/>
            <scheme val="minor"/>
          </rPr>
          <t>chit trang:
9.590k</t>
        </r>
      </text>
    </comment>
    <comment ref="B18" authorId="4" shapeId="0" xr:uid="{00000000-0006-0000-2E00-000020000000}">
      <text>
        <r>
          <rPr>
            <sz val="12"/>
            <color theme="1"/>
            <rFont val="Aptos Narrow"/>
            <family val="2"/>
            <scheme val="minor"/>
          </rPr>
          <t>was 7040
VNP40</t>
        </r>
      </text>
    </comment>
    <comment ref="B19" authorId="4" shapeId="0" xr:uid="{00000000-0006-0000-2E00-000021000000}">
      <text>
        <r>
          <rPr>
            <sz val="12"/>
            <color theme="1"/>
            <rFont val="Aptos Narrow"/>
            <family val="2"/>
            <scheme val="minor"/>
          </rPr>
          <t>was 14390</t>
        </r>
      </text>
    </comment>
    <comment ref="C19" authorId="0" shapeId="0" xr:uid="{00000000-0006-0000-2E00-000022000000}">
      <text>
        <r>
          <rPr>
            <sz val="12"/>
            <color theme="1"/>
            <rFont val="Aptos Narrow"/>
            <family val="2"/>
            <scheme val="minor"/>
          </rPr>
          <t>W10 16190</t>
        </r>
      </text>
    </comment>
    <comment ref="D19" authorId="1" shapeId="0" xr:uid="{00000000-0006-0000-2E00-000023000000}">
      <text>
        <r>
          <rPr>
            <sz val="12"/>
            <color theme="1"/>
            <rFont val="Aptos Narrow"/>
            <family val="2"/>
            <scheme val="minor"/>
          </rPr>
          <t>Việt Hoàng:
Last week:
16.090.000</t>
        </r>
      </text>
    </comment>
    <comment ref="D20" authorId="1" shapeId="0" xr:uid="{00000000-0006-0000-2E00-000024000000}">
      <text>
        <r>
          <rPr>
            <sz val="12"/>
            <color theme="1"/>
            <rFont val="Aptos Narrow"/>
            <family val="2"/>
            <scheme val="minor"/>
          </rPr>
          <t>Việt Hoàng:
Last week:
21.790.000</t>
        </r>
      </text>
    </comment>
    <comment ref="F20" authorId="2" shapeId="0" xr:uid="{00000000-0006-0000-2E00-000025000000}">
      <text>
        <r>
          <rPr>
            <sz val="12"/>
            <color theme="1"/>
            <rFont val="Aptos Narrow"/>
            <family val="2"/>
            <scheme val="minor"/>
          </rPr>
          <t>chit trang:
20.990</t>
        </r>
      </text>
    </comment>
    <comment ref="B22" authorId="4" shapeId="0" xr:uid="{00000000-0006-0000-2E00-000026000000}">
      <text>
        <r>
          <rPr>
            <sz val="12"/>
            <color theme="1"/>
            <rFont val="Aptos Narrow"/>
            <family val="2"/>
            <scheme val="minor"/>
          </rPr>
          <t>was 36640</t>
        </r>
      </text>
    </comment>
    <comment ref="E23" authorId="4" shapeId="0" xr:uid="{00000000-0006-0000-2E00-000027000000}">
      <text>
        <r>
          <rPr>
            <sz val="12"/>
            <color theme="1"/>
            <rFont val="Aptos Narrow"/>
            <family val="2"/>
            <scheme val="minor"/>
          </rPr>
          <t>was 5138
vnp1%</t>
        </r>
      </text>
    </comment>
    <comment ref="F23" authorId="2" shapeId="0" xr:uid="{00000000-0006-0000-2E00-000028000000}">
      <text>
        <r>
          <rPr>
            <sz val="12"/>
            <color theme="1"/>
            <rFont val="Aptos Narrow"/>
            <family val="2"/>
            <scheme val="minor"/>
          </rPr>
          <t>chit trang:
5.290k</t>
        </r>
      </text>
    </comment>
    <comment ref="E25" authorId="4" shapeId="0" xr:uid="{00000000-0006-0000-2E00-000029000000}">
      <text>
        <r>
          <rPr>
            <sz val="12"/>
            <color theme="1"/>
            <rFont val="Aptos Narrow"/>
            <family val="2"/>
            <scheme val="minor"/>
          </rPr>
          <t>was 5831
vnp1%</t>
        </r>
      </text>
    </comment>
    <comment ref="F26" authorId="2" shapeId="0" xr:uid="{00000000-0006-0000-2E00-00002A000000}">
      <text>
        <r>
          <rPr>
            <sz val="12"/>
            <color theme="1"/>
            <rFont val="Aptos Narrow"/>
            <family val="2"/>
            <scheme val="minor"/>
          </rPr>
          <t>chit trang:
8.090k</t>
        </r>
      </text>
    </comment>
    <comment ref="G26" authorId="3" shapeId="0" xr:uid="{00000000-0006-0000-2E00-00002B000000}">
      <text>
        <r>
          <rPr>
            <sz val="12"/>
            <color theme="1"/>
            <rFont val="Aptos Narrow"/>
            <family val="2"/>
            <scheme val="minor"/>
          </rPr>
          <t xml:space="preserve">809000
</t>
        </r>
      </text>
    </comment>
    <comment ref="C27" authorId="0" shapeId="0" xr:uid="{00000000-0006-0000-2E00-00002C000000}">
      <text>
        <r>
          <rPr>
            <sz val="12"/>
            <color theme="1"/>
            <rFont val="Aptos Narrow"/>
            <family val="2"/>
            <scheme val="minor"/>
          </rPr>
          <t>W10 9390</t>
        </r>
      </text>
    </comment>
    <comment ref="D27" authorId="1" shapeId="0" xr:uid="{00000000-0006-0000-2E00-00002D000000}">
      <text>
        <r>
          <rPr>
            <sz val="12"/>
            <color theme="1"/>
            <rFont val="Aptos Narrow"/>
            <family val="2"/>
            <scheme val="minor"/>
          </rPr>
          <t>Việt Hoàng:
Last week:
10.190.000</t>
        </r>
      </text>
    </comment>
    <comment ref="F27" authorId="2" shapeId="0" xr:uid="{00000000-0006-0000-2E00-00002E000000}">
      <text>
        <r>
          <rPr>
            <sz val="12"/>
            <color theme="1"/>
            <rFont val="Aptos Narrow"/>
            <family val="2"/>
            <scheme val="minor"/>
          </rPr>
          <t>chit trang:9.590k</t>
        </r>
      </text>
    </comment>
    <comment ref="G27" authorId="3" shapeId="0" xr:uid="{00000000-0006-0000-2E00-00002F000000}">
      <text>
        <r>
          <rPr>
            <sz val="12"/>
            <color theme="1"/>
            <rFont val="Aptos Narrow"/>
            <family val="2"/>
            <scheme val="minor"/>
          </rPr>
          <t>10790</t>
        </r>
      </text>
    </comment>
    <comment ref="D28" authorId="1" shapeId="0" xr:uid="{00000000-0006-0000-2E00-000030000000}">
      <text>
        <r>
          <rPr>
            <sz val="12"/>
            <color theme="1"/>
            <rFont val="Aptos Narrow"/>
            <family val="2"/>
            <scheme val="minor"/>
          </rPr>
          <t>Việt Hoàng:
Last week:
12.790.000</t>
        </r>
      </text>
    </comment>
    <comment ref="F28" authorId="2" shapeId="0" xr:uid="{00000000-0006-0000-2E00-000031000000}">
      <text>
        <r>
          <rPr>
            <sz val="12"/>
            <color theme="1"/>
            <rFont val="Aptos Narrow"/>
            <family val="2"/>
            <scheme val="minor"/>
          </rPr>
          <t>chit trang:
12.990</t>
        </r>
      </text>
    </comment>
    <comment ref="D29" authorId="1" shapeId="0" xr:uid="{00000000-0006-0000-2E00-000032000000}">
      <text>
        <r>
          <rPr>
            <sz val="12"/>
            <color theme="1"/>
            <rFont val="Aptos Narrow"/>
            <family val="2"/>
            <scheme val="minor"/>
          </rPr>
          <t>Việt Hoàng:
Last week:
10.990.000</t>
        </r>
      </text>
    </comment>
    <comment ref="F29" authorId="2" shapeId="0" xr:uid="{00000000-0006-0000-2E00-000033000000}">
      <text>
        <r>
          <rPr>
            <sz val="12"/>
            <color theme="1"/>
            <rFont val="Aptos Narrow"/>
            <family val="2"/>
            <scheme val="minor"/>
          </rPr>
          <t>10.590k</t>
        </r>
      </text>
    </comment>
    <comment ref="G29" authorId="3" shapeId="0" xr:uid="{00000000-0006-0000-2E00-000034000000}">
      <text>
        <r>
          <rPr>
            <sz val="12"/>
            <color theme="1"/>
            <rFont val="Aptos Narrow"/>
            <family val="2"/>
            <scheme val="minor"/>
          </rPr>
          <t>Tran Dat:
10.790</t>
        </r>
      </text>
    </comment>
    <comment ref="B30" authorId="4" shapeId="0" xr:uid="{00000000-0006-0000-2E00-000035000000}">
      <text>
        <r>
          <rPr>
            <sz val="12"/>
            <color theme="1"/>
            <rFont val="Aptos Narrow"/>
            <family val="2"/>
            <scheme val="minor"/>
          </rPr>
          <t>was 13320
VNP100</t>
        </r>
      </text>
    </comment>
    <comment ref="D30" authorId="1" shapeId="0" xr:uid="{00000000-0006-0000-2E00-000036000000}">
      <text>
        <r>
          <rPr>
            <sz val="12"/>
            <color theme="1"/>
            <rFont val="Aptos Narrow"/>
            <family val="2"/>
            <scheme val="minor"/>
          </rPr>
          <t>Việt Hoàng:
Last week:
13.590.000</t>
        </r>
      </text>
    </comment>
    <comment ref="F30" authorId="2" shapeId="0" xr:uid="{00000000-0006-0000-2E00-000037000000}">
      <text>
        <r>
          <rPr>
            <sz val="12"/>
            <color theme="1"/>
            <rFont val="Aptos Narrow"/>
            <family val="2"/>
            <scheme val="minor"/>
          </rPr>
          <t>chit trang:
13.290k</t>
        </r>
      </text>
    </comment>
    <comment ref="B32" authorId="4" shapeId="0" xr:uid="{00000000-0006-0000-2E00-000038000000}">
      <text>
        <r>
          <rPr>
            <sz val="12"/>
            <color theme="1"/>
            <rFont val="Aptos Narrow"/>
            <family val="2"/>
            <scheme val="minor"/>
          </rPr>
          <t>was 5550
VNP40</t>
        </r>
      </text>
    </comment>
    <comment ref="D32" authorId="1" shapeId="0" xr:uid="{00000000-0006-0000-2E00-000039000000}">
      <text>
        <r>
          <rPr>
            <sz val="12"/>
            <color theme="1"/>
            <rFont val="Aptos Narrow"/>
            <family val="2"/>
            <scheme val="minor"/>
          </rPr>
          <t>Việt Hoàng:
Last week:
5.690.000</t>
        </r>
      </text>
    </comment>
    <comment ref="F32" authorId="2" shapeId="0" xr:uid="{00000000-0006-0000-2E00-00003A000000}">
      <text>
        <r>
          <rPr>
            <sz val="12"/>
            <color theme="1"/>
            <rFont val="Aptos Narrow"/>
            <family val="2"/>
            <scheme val="minor"/>
          </rPr>
          <t>chit trang:
5.290</t>
        </r>
      </text>
    </comment>
    <comment ref="B33" authorId="4" shapeId="0" xr:uid="{00000000-0006-0000-2E00-00003B000000}">
      <text>
        <r>
          <rPr>
            <sz val="12"/>
            <color theme="1"/>
            <rFont val="Aptos Narrow"/>
            <family val="2"/>
            <scheme val="minor"/>
          </rPr>
          <t xml:space="preserve">was 4490
</t>
        </r>
      </text>
    </comment>
    <comment ref="D33" authorId="1" shapeId="0" xr:uid="{00000000-0006-0000-2E00-00003C000000}">
      <text>
        <r>
          <rPr>
            <sz val="12"/>
            <color theme="1"/>
            <rFont val="Aptos Narrow"/>
            <family val="2"/>
            <scheme val="minor"/>
          </rPr>
          <t>Việt Hoàng:
Last week:
4.490.000</t>
        </r>
      </text>
    </comment>
    <comment ref="F33" authorId="2" shapeId="0" xr:uid="{00000000-0006-0000-2E00-00003D000000}">
      <text>
        <r>
          <rPr>
            <sz val="12"/>
            <color theme="1"/>
            <rFont val="Aptos Narrow"/>
            <family val="2"/>
            <scheme val="minor"/>
          </rPr>
          <t>chit trang:
4.290k</t>
        </r>
      </text>
    </comment>
    <comment ref="G33" authorId="3" shapeId="0" xr:uid="{00000000-0006-0000-2E00-00003E000000}">
      <text>
        <r>
          <rPr>
            <sz val="12"/>
            <color theme="1"/>
            <rFont val="Aptos Narrow"/>
            <family val="2"/>
            <scheme val="minor"/>
          </rPr>
          <t>Tran Dat:
4590</t>
        </r>
      </text>
    </comment>
    <comment ref="B34" authorId="4" shapeId="0" xr:uid="{00000000-0006-0000-2E00-00003F000000}">
      <text>
        <r>
          <rPr>
            <sz val="12"/>
            <color theme="1"/>
            <rFont val="Aptos Narrow"/>
            <family val="2"/>
            <scheme val="minor"/>
          </rPr>
          <t>was 3190</t>
        </r>
      </text>
    </comment>
    <comment ref="F34" authorId="2" shapeId="0" xr:uid="{00000000-0006-0000-2E00-000040000000}">
      <text>
        <r>
          <rPr>
            <sz val="12"/>
            <color theme="1"/>
            <rFont val="Aptos Narrow"/>
            <family val="2"/>
            <scheme val="minor"/>
          </rPr>
          <t>chit trang:
3.090k</t>
        </r>
      </text>
    </comment>
    <comment ref="G34" authorId="3" shapeId="0" xr:uid="{00000000-0006-0000-2E00-000041000000}">
      <text>
        <r>
          <rPr>
            <sz val="12"/>
            <color theme="1"/>
            <rFont val="Aptos Narrow"/>
            <family val="2"/>
            <scheme val="minor"/>
          </rPr>
          <t>Tran Dat:
3.390</t>
        </r>
      </text>
    </comment>
    <comment ref="B36" authorId="4" shapeId="0" xr:uid="{00000000-0006-0000-2E00-000042000000}">
      <text>
        <r>
          <rPr>
            <sz val="12"/>
            <color theme="1"/>
            <rFont val="Aptos Narrow"/>
            <family val="2"/>
            <scheme val="minor"/>
          </rPr>
          <t>was 18090
VNP100</t>
        </r>
      </text>
    </comment>
    <comment ref="C36" authorId="0" shapeId="0" xr:uid="{00000000-0006-0000-2E00-000043000000}">
      <text>
        <r>
          <rPr>
            <sz val="12"/>
            <color theme="1"/>
            <rFont val="Aptos Narrow"/>
            <family val="2"/>
            <scheme val="minor"/>
          </rPr>
          <t>W10 17090</t>
        </r>
      </text>
    </comment>
    <comment ref="F36" authorId="2" shapeId="0" xr:uid="{00000000-0006-0000-2E00-000044000000}">
      <text>
        <r>
          <rPr>
            <sz val="12"/>
            <color theme="1"/>
            <rFont val="Aptos Narrow"/>
            <family val="2"/>
            <scheme val="minor"/>
          </rPr>
          <t>chit trang:
17.490k</t>
        </r>
      </text>
    </comment>
    <comment ref="F37" authorId="2" shapeId="0" xr:uid="{00000000-0006-0000-2E00-000045000000}">
      <text>
        <r>
          <rPr>
            <sz val="12"/>
            <color theme="1"/>
            <rFont val="Aptos Narrow"/>
            <family val="2"/>
            <scheme val="minor"/>
          </rPr>
          <t>chit trang:
23.890k</t>
        </r>
      </text>
    </comment>
    <comment ref="G37" authorId="3" shapeId="0" xr:uid="{00000000-0006-0000-2E00-000046000000}">
      <text>
        <r>
          <rPr>
            <sz val="12"/>
            <color theme="1"/>
            <rFont val="Aptos Narrow"/>
            <family val="2"/>
            <scheme val="minor"/>
          </rPr>
          <t>Tran Dat:
24090</t>
        </r>
      </text>
    </comment>
    <comment ref="B38" authorId="4" shapeId="0" xr:uid="{00000000-0006-0000-2E00-000047000000}">
      <text>
        <r>
          <rPr>
            <sz val="12"/>
            <color theme="1"/>
            <rFont val="Aptos Narrow"/>
            <family val="2"/>
            <scheme val="minor"/>
          </rPr>
          <t>was 26140
VNP150</t>
        </r>
      </text>
    </comment>
    <comment ref="F38" authorId="2" shapeId="0" xr:uid="{00000000-0006-0000-2E00-000048000000}">
      <text>
        <r>
          <rPr>
            <sz val="12"/>
            <color theme="1"/>
            <rFont val="Aptos Narrow"/>
            <family val="2"/>
            <scheme val="minor"/>
          </rPr>
          <t>chit trang:
26.890k</t>
        </r>
      </text>
    </comment>
    <comment ref="G38" authorId="3" shapeId="0" xr:uid="{00000000-0006-0000-2E00-000049000000}">
      <text>
        <r>
          <rPr>
            <sz val="12"/>
            <color theme="1"/>
            <rFont val="Aptos Narrow"/>
            <family val="2"/>
            <scheme val="minor"/>
          </rPr>
          <t>27090000</t>
        </r>
      </text>
    </comment>
    <comment ref="F39" authorId="2" shapeId="0" xr:uid="{00000000-0006-0000-2E00-00004A000000}">
      <text>
        <r>
          <rPr>
            <sz val="12"/>
            <color theme="1"/>
            <rFont val="Aptos Narrow"/>
            <family val="2"/>
            <scheme val="minor"/>
          </rPr>
          <t>chit trang:
31.590k</t>
        </r>
      </text>
    </comment>
  </commentList>
</comments>
</file>

<file path=xl/comments48.xml><?xml version="1.0" encoding="utf-8"?>
<comments xmlns="http://schemas.openxmlformats.org/spreadsheetml/2006/main" xmlns:mc="http://schemas.openxmlformats.org/markup-compatibility/2006" xmlns:xr="http://schemas.microsoft.com/office/spreadsheetml/2014/revision" mc:Ignorable="xr">
  <authors>
    <author>Duy</author>
    <author>chit trang</author>
    <author>Microsoft Office User</author>
    <author>Việt Hoàng</author>
    <author>Tran Dat</author>
  </authors>
  <commentList>
    <comment ref="C2" authorId="0" shapeId="0" xr:uid="{00000000-0006-0000-2F00-000001000000}">
      <text>
        <r>
          <rPr>
            <sz val="12"/>
            <color theme="1"/>
            <rFont val="Aptos Narrow"/>
            <family val="2"/>
            <scheme val="minor"/>
          </rPr>
          <t>W10 16990</t>
        </r>
      </text>
    </comment>
    <comment ref="C3" authorId="0" shapeId="0" xr:uid="{00000000-0006-0000-2F00-000002000000}">
      <text>
        <r>
          <rPr>
            <sz val="12"/>
            <color theme="1"/>
            <rFont val="Aptos Narrow"/>
            <family val="2"/>
            <scheme val="minor"/>
          </rPr>
          <t>W10 19890</t>
        </r>
      </text>
    </comment>
    <comment ref="F3" authorId="1" shapeId="0" xr:uid="{00000000-0006-0000-2F00-000003000000}">
      <text>
        <r>
          <rPr>
            <sz val="12"/>
            <color theme="1"/>
            <rFont val="Aptos Narrow"/>
            <family val="2"/>
            <scheme val="minor"/>
          </rPr>
          <t>chit trang:
19.790k</t>
        </r>
      </text>
    </comment>
    <comment ref="B4" authorId="2" shapeId="0" xr:uid="{00000000-0006-0000-2F00-000004000000}">
      <text>
        <r>
          <rPr>
            <sz val="12"/>
            <color theme="1"/>
            <rFont val="Aptos Narrow"/>
            <family val="2"/>
            <scheme val="minor"/>
          </rPr>
          <t>was 24640000
VNP150</t>
        </r>
      </text>
    </comment>
    <comment ref="C4" authorId="0" shapeId="0" xr:uid="{00000000-0006-0000-2F00-000005000000}">
      <text>
        <r>
          <rPr>
            <sz val="12"/>
            <color theme="1"/>
            <rFont val="Aptos Narrow"/>
            <family val="2"/>
            <scheme val="minor"/>
          </rPr>
          <t>W10 22890</t>
        </r>
      </text>
    </comment>
    <comment ref="D4" authorId="3" shapeId="0" xr:uid="{00000000-0006-0000-2F00-000006000000}">
      <text>
        <r>
          <rPr>
            <sz val="12"/>
            <color theme="1"/>
            <rFont val="Aptos Narrow"/>
            <family val="2"/>
            <scheme val="minor"/>
          </rPr>
          <t>Việt Hoàng:
Last week:
22.690.000</t>
        </r>
      </text>
    </comment>
    <comment ref="F4" authorId="1" shapeId="0" xr:uid="{00000000-0006-0000-2F00-000007000000}">
      <text>
        <r>
          <rPr>
            <sz val="12"/>
            <color theme="1"/>
            <rFont val="Aptos Narrow"/>
            <family val="2"/>
            <scheme val="minor"/>
          </rPr>
          <t>chit trang:
22.490k</t>
        </r>
      </text>
    </comment>
    <comment ref="C5" authorId="0" shapeId="0" xr:uid="{00000000-0006-0000-2F00-000008000000}">
      <text>
        <r>
          <rPr>
            <sz val="12"/>
            <color theme="1"/>
            <rFont val="Aptos Narrow"/>
            <family val="2"/>
            <scheme val="minor"/>
          </rPr>
          <t>W10 25590</t>
        </r>
      </text>
    </comment>
    <comment ref="B6" authorId="2" shapeId="0" xr:uid="{00000000-0006-0000-2F00-000009000000}">
      <text>
        <r>
          <rPr>
            <sz val="12"/>
            <color theme="1"/>
            <rFont val="Aptos Narrow"/>
            <family val="2"/>
            <scheme val="minor"/>
          </rPr>
          <t>Tặng phiếu mua hàng mua AirPods và Apple Watch trị giá 500,000đ
 Phiếu mua hàng mua sản phẩm giá niêm yết từ 5 triệu thuộc các nhóm TAI NGHE - LOA hãng HARMAN KARDON, JBL,MONSTER, KLIPSCH, MARSHALL, SONY; Smartwatch hãng HUAWEI, GARMIN, SAMSUNG, IMOO, OPPO, AMAZFIT trị giá 500.000đ</t>
        </r>
      </text>
    </comment>
    <comment ref="D6" authorId="3" shapeId="0" xr:uid="{00000000-0006-0000-2F00-00000A000000}">
      <text>
        <r>
          <rPr>
            <sz val="12"/>
            <color theme="1"/>
            <rFont val="Aptos Narrow"/>
            <family val="2"/>
            <scheme val="minor"/>
          </rPr>
          <t>Việt Hoàng:
Last week:
31.390.000</t>
        </r>
      </text>
    </comment>
    <comment ref="F6" authorId="1" shapeId="0" xr:uid="{00000000-0006-0000-2F00-00000B000000}">
      <text>
        <r>
          <rPr>
            <sz val="12"/>
            <color theme="1"/>
            <rFont val="Aptos Narrow"/>
            <family val="2"/>
            <scheme val="minor"/>
          </rPr>
          <t>chit trang:
31.190k</t>
        </r>
      </text>
    </comment>
    <comment ref="D8" authorId="3" shapeId="0" xr:uid="{00000000-0006-0000-2F00-00000C000000}">
      <text>
        <r>
          <rPr>
            <sz val="12"/>
            <color theme="1"/>
            <rFont val="Aptos Narrow"/>
            <family val="2"/>
            <scheme val="minor"/>
          </rPr>
          <t>Việt Hoàng:
Last week:
19.690.000</t>
        </r>
      </text>
    </comment>
    <comment ref="F8" authorId="1" shapeId="0" xr:uid="{00000000-0006-0000-2F00-00000D000000}">
      <text>
        <r>
          <rPr>
            <sz val="12"/>
            <color theme="1"/>
            <rFont val="Aptos Narrow"/>
            <family val="2"/>
            <scheme val="minor"/>
          </rPr>
          <t>chit trang:
19.690k</t>
        </r>
      </text>
    </comment>
    <comment ref="G8" authorId="4" shapeId="0" xr:uid="{00000000-0006-0000-2F00-00000E000000}">
      <text>
        <r>
          <rPr>
            <sz val="12"/>
            <color theme="1"/>
            <rFont val="Aptos Narrow"/>
            <family val="2"/>
            <scheme val="minor"/>
          </rPr>
          <t>Tran Dat:
19290</t>
        </r>
      </text>
    </comment>
    <comment ref="B9" authorId="2" shapeId="0" xr:uid="{00000000-0006-0000-2F00-00000F000000}">
      <text>
        <r>
          <rPr>
            <sz val="12"/>
            <color theme="1"/>
            <rFont val="Aptos Narrow"/>
            <family val="2"/>
            <scheme val="minor"/>
          </rPr>
          <t>was 29140000
VNP150</t>
        </r>
      </text>
    </comment>
    <comment ref="B10" authorId="2" shapeId="0" xr:uid="{00000000-0006-0000-2F00-000010000000}">
      <text>
        <r>
          <rPr>
            <sz val="12"/>
            <color theme="1"/>
            <rFont val="Aptos Narrow"/>
            <family val="2"/>
            <scheme val="minor"/>
          </rPr>
          <t>was 18440</t>
        </r>
      </text>
    </comment>
    <comment ref="F10" authorId="1" shapeId="0" xr:uid="{00000000-0006-0000-2F00-000011000000}">
      <text>
        <r>
          <rPr>
            <sz val="12"/>
            <color theme="1"/>
            <rFont val="Aptos Narrow"/>
            <family val="2"/>
            <scheme val="minor"/>
          </rPr>
          <t>chit trang:
18.690k</t>
        </r>
      </text>
    </comment>
    <comment ref="C11" authorId="0" shapeId="0" xr:uid="{00000000-0006-0000-2F00-000012000000}">
      <text>
        <r>
          <rPr>
            <sz val="12"/>
            <color theme="1"/>
            <rFont val="Aptos Narrow"/>
            <family val="2"/>
            <scheme val="minor"/>
          </rPr>
          <t>W10 13090</t>
        </r>
      </text>
    </comment>
    <comment ref="F11" authorId="1" shapeId="0" xr:uid="{00000000-0006-0000-2F00-000013000000}">
      <text>
        <r>
          <rPr>
            <sz val="12"/>
            <color theme="1"/>
            <rFont val="Aptos Narrow"/>
            <family val="2"/>
            <scheme val="minor"/>
          </rPr>
          <t>13.490k</t>
        </r>
      </text>
    </comment>
    <comment ref="B12" authorId="2" shapeId="0" xr:uid="{00000000-0006-0000-2F00-000014000000}">
      <text>
        <r>
          <rPr>
            <sz val="12"/>
            <color theme="1"/>
            <rFont val="Aptos Narrow"/>
            <family val="2"/>
            <scheme val="minor"/>
          </rPr>
          <t>was 13190
VNP100</t>
        </r>
      </text>
    </comment>
    <comment ref="C12" authorId="2" shapeId="0" xr:uid="{00000000-0006-0000-2F00-000015000000}">
      <text>
        <r>
          <rPr>
            <sz val="12"/>
            <color theme="1"/>
            <rFont val="Aptos Narrow"/>
            <family val="2"/>
            <scheme val="minor"/>
          </rPr>
          <t xml:space="preserve">W10 12090
</t>
        </r>
      </text>
    </comment>
    <comment ref="F12" authorId="1" shapeId="0" xr:uid="{00000000-0006-0000-2F00-000016000000}">
      <text>
        <r>
          <rPr>
            <sz val="12"/>
            <color theme="1"/>
            <rFont val="Aptos Narrow"/>
            <family val="2"/>
            <scheme val="minor"/>
          </rPr>
          <t>chit trang:
11.890k</t>
        </r>
      </text>
    </comment>
    <comment ref="G12" authorId="4" shapeId="0" xr:uid="{00000000-0006-0000-2F00-000017000000}">
      <text>
        <r>
          <rPr>
            <sz val="12"/>
            <color theme="1"/>
            <rFont val="Aptos Narrow"/>
            <family val="2"/>
            <scheme val="minor"/>
          </rPr>
          <t>Tran Dat:
11890</t>
        </r>
      </text>
    </comment>
    <comment ref="C15" authorId="0" shapeId="0" xr:uid="{00000000-0006-0000-2F00-000018000000}">
      <text>
        <r>
          <rPr>
            <sz val="12"/>
            <color theme="1"/>
            <rFont val="Aptos Narrow"/>
            <family val="2"/>
            <scheme val="minor"/>
          </rPr>
          <t>W10 9690</t>
        </r>
      </text>
    </comment>
    <comment ref="D15" authorId="3" shapeId="0" xr:uid="{00000000-0006-0000-2F00-000019000000}">
      <text>
        <r>
          <rPr>
            <sz val="12"/>
            <color theme="1"/>
            <rFont val="Aptos Narrow"/>
            <family val="2"/>
            <scheme val="minor"/>
          </rPr>
          <t>Việt Hoàng:
Last week:
9.390.000</t>
        </r>
      </text>
    </comment>
    <comment ref="B16" authorId="2" shapeId="0" xr:uid="{00000000-0006-0000-2F00-00001A000000}">
      <text>
        <r>
          <rPr>
            <sz val="12"/>
            <color theme="1"/>
            <rFont val="Aptos Narrow"/>
            <family val="2"/>
            <scheme val="minor"/>
          </rPr>
          <t>was 7040
VNP40</t>
        </r>
      </text>
    </comment>
    <comment ref="B17" authorId="2" shapeId="0" xr:uid="{00000000-0006-0000-2F00-00001B000000}">
      <text>
        <r>
          <rPr>
            <sz val="12"/>
            <color theme="1"/>
            <rFont val="Aptos Narrow"/>
            <family val="2"/>
            <scheme val="minor"/>
          </rPr>
          <t>was 14390</t>
        </r>
      </text>
    </comment>
    <comment ref="C17" authorId="0" shapeId="0" xr:uid="{00000000-0006-0000-2F00-00001C000000}">
      <text>
        <r>
          <rPr>
            <sz val="12"/>
            <color theme="1"/>
            <rFont val="Aptos Narrow"/>
            <family val="2"/>
            <scheme val="minor"/>
          </rPr>
          <t>W10 16190</t>
        </r>
      </text>
    </comment>
    <comment ref="D17" authorId="3" shapeId="0" xr:uid="{00000000-0006-0000-2F00-00001D000000}">
      <text>
        <r>
          <rPr>
            <sz val="12"/>
            <color theme="1"/>
            <rFont val="Aptos Narrow"/>
            <family val="2"/>
            <scheme val="minor"/>
          </rPr>
          <t>Việt Hoàng:
Last week:
16.190.000</t>
        </r>
      </text>
    </comment>
    <comment ref="E17" authorId="2" shapeId="0" xr:uid="{00000000-0006-0000-2F00-00001E000000}">
      <text>
        <r>
          <rPr>
            <sz val="12"/>
            <color theme="1"/>
            <rFont val="Aptos Narrow"/>
            <family val="2"/>
            <scheme val="minor"/>
          </rPr>
          <t>was 15830
VNP1%</t>
        </r>
      </text>
    </comment>
    <comment ref="F17" authorId="1" shapeId="0" xr:uid="{00000000-0006-0000-2F00-00001F000000}">
      <text>
        <r>
          <rPr>
            <sz val="12"/>
            <color theme="1"/>
            <rFont val="Aptos Narrow"/>
            <family val="2"/>
            <scheme val="minor"/>
          </rPr>
          <t>chit trang:
16.490k</t>
        </r>
      </text>
    </comment>
    <comment ref="D18" authorId="3" shapeId="0" xr:uid="{00000000-0006-0000-2F00-000020000000}">
      <text>
        <r>
          <rPr>
            <sz val="12"/>
            <color theme="1"/>
            <rFont val="Aptos Narrow"/>
            <family val="2"/>
            <scheme val="minor"/>
          </rPr>
          <t>Việt Hoàng:
Last week:
21.590.000</t>
        </r>
      </text>
    </comment>
    <comment ref="E18" authorId="2" shapeId="0" xr:uid="{00000000-0006-0000-2F00-000021000000}">
      <text>
        <r>
          <rPr>
            <sz val="12"/>
            <color theme="1"/>
            <rFont val="Aptos Narrow"/>
            <family val="2"/>
            <scheme val="minor"/>
          </rPr>
          <t>was 20483
VNP1%</t>
        </r>
      </text>
    </comment>
    <comment ref="G18" authorId="4" shapeId="0" xr:uid="{00000000-0006-0000-2F00-000022000000}">
      <text>
        <r>
          <rPr>
            <sz val="12"/>
            <color theme="1"/>
            <rFont val="Aptos Narrow"/>
            <family val="2"/>
            <scheme val="minor"/>
          </rPr>
          <t>Tran Dat:
20.790</t>
        </r>
      </text>
    </comment>
    <comment ref="D19" authorId="3" shapeId="0" xr:uid="{00000000-0006-0000-2F00-000023000000}">
      <text>
        <r>
          <rPr>
            <sz val="12"/>
            <color theme="1"/>
            <rFont val="Aptos Narrow"/>
            <family val="2"/>
            <scheme val="minor"/>
          </rPr>
          <t>Việt Hoàng:
Last week:
27.790.000</t>
        </r>
      </text>
    </comment>
    <comment ref="F19" authorId="1" shapeId="0" xr:uid="{00000000-0006-0000-2F00-000024000000}">
      <text>
        <r>
          <rPr>
            <sz val="12"/>
            <color theme="1"/>
            <rFont val="Aptos Narrow"/>
            <family val="2"/>
            <scheme val="minor"/>
          </rPr>
          <t>chit trang:
28.290k</t>
        </r>
      </text>
    </comment>
    <comment ref="B20" authorId="2" shapeId="0" xr:uid="{00000000-0006-0000-2F00-000025000000}">
      <text>
        <r>
          <rPr>
            <sz val="12"/>
            <color theme="1"/>
            <rFont val="Aptos Narrow"/>
            <family val="2"/>
            <scheme val="minor"/>
          </rPr>
          <t>was 36640</t>
        </r>
      </text>
    </comment>
    <comment ref="D20" authorId="3" shapeId="0" xr:uid="{00000000-0006-0000-2F00-000026000000}">
      <text>
        <r>
          <rPr>
            <sz val="12"/>
            <color theme="1"/>
            <rFont val="Aptos Narrow"/>
            <family val="2"/>
            <scheme val="minor"/>
          </rPr>
          <t>Việt Hoàng:
Last week:
36.890.000</t>
        </r>
      </text>
    </comment>
    <comment ref="D21" authorId="3" shapeId="0" xr:uid="{00000000-0006-0000-2F00-000027000000}">
      <text>
        <r>
          <rPr>
            <sz val="12"/>
            <color theme="1"/>
            <rFont val="Aptos Narrow"/>
            <family val="2"/>
            <scheme val="minor"/>
          </rPr>
          <t>Việt Hoàng:
Last week:
5.690.000</t>
        </r>
      </text>
    </comment>
    <comment ref="E21" authorId="2" shapeId="0" xr:uid="{00000000-0006-0000-2F00-000028000000}">
      <text>
        <r>
          <rPr>
            <sz val="12"/>
            <color theme="1"/>
            <rFont val="Aptos Narrow"/>
            <family val="2"/>
            <scheme val="minor"/>
          </rPr>
          <t>was 5435
vnp1%</t>
        </r>
      </text>
    </comment>
    <comment ref="D22" authorId="3" shapeId="0" xr:uid="{00000000-0006-0000-2F00-000029000000}">
      <text>
        <r>
          <rPr>
            <sz val="12"/>
            <color theme="1"/>
            <rFont val="Aptos Narrow"/>
            <family val="2"/>
            <scheme val="minor"/>
          </rPr>
          <t>Việt Hoàng:
Last week:
6.990.000</t>
        </r>
      </text>
    </comment>
    <comment ref="G22" authorId="4" shapeId="0" xr:uid="{00000000-0006-0000-2F00-00002A000000}">
      <text>
        <r>
          <rPr>
            <sz val="12"/>
            <color theme="1"/>
            <rFont val="Aptos Narrow"/>
            <family val="2"/>
            <scheme val="minor"/>
          </rPr>
          <t>Tran Dat:
6.990.000</t>
        </r>
      </text>
    </comment>
    <comment ref="D23" authorId="3" shapeId="0" xr:uid="{00000000-0006-0000-2F00-00002B000000}">
      <text>
        <r>
          <rPr>
            <sz val="12"/>
            <color theme="1"/>
            <rFont val="Aptos Narrow"/>
            <family val="2"/>
            <scheme val="minor"/>
          </rPr>
          <t>Việt Hoàng:
Last week:
6.490.000</t>
        </r>
      </text>
    </comment>
    <comment ref="E23" authorId="2" shapeId="0" xr:uid="{00000000-0006-0000-2F00-00002C000000}">
      <text>
        <r>
          <rPr>
            <sz val="12"/>
            <color theme="1"/>
            <rFont val="Aptos Narrow"/>
            <family val="2"/>
            <scheme val="minor"/>
          </rPr>
          <t>was 6227
VNP1%</t>
        </r>
      </text>
    </comment>
    <comment ref="D24" authorId="3" shapeId="0" xr:uid="{00000000-0006-0000-2F00-00002D000000}">
      <text>
        <r>
          <rPr>
            <sz val="12"/>
            <color theme="1"/>
            <rFont val="Aptos Narrow"/>
            <family val="2"/>
            <scheme val="minor"/>
          </rPr>
          <t>Việt Hoàng:
Last week:
7.790.000</t>
        </r>
      </text>
    </comment>
    <comment ref="E24" authorId="2" shapeId="0" xr:uid="{00000000-0006-0000-2F00-00002E000000}">
      <text>
        <r>
          <rPr>
            <sz val="12"/>
            <color theme="1"/>
            <rFont val="Aptos Narrow"/>
            <family val="2"/>
            <scheme val="minor"/>
          </rPr>
          <t>was 7316
VNP1%</t>
        </r>
      </text>
    </comment>
    <comment ref="F24" authorId="1" shapeId="0" xr:uid="{00000000-0006-0000-2F00-00002F000000}">
      <text>
        <r>
          <rPr>
            <sz val="12"/>
            <color theme="1"/>
            <rFont val="Aptos Narrow"/>
            <family val="2"/>
            <scheme val="minor"/>
          </rPr>
          <t>chit trang:
8.090k</t>
        </r>
      </text>
    </comment>
    <comment ref="G24" authorId="4" shapeId="0" xr:uid="{00000000-0006-0000-2F00-000030000000}">
      <text>
        <r>
          <rPr>
            <sz val="12"/>
            <color theme="1"/>
            <rFont val="Aptos Narrow"/>
            <family val="2"/>
            <scheme val="minor"/>
          </rPr>
          <t xml:space="preserve">809000
</t>
        </r>
      </text>
    </comment>
    <comment ref="C25" authorId="0" shapeId="0" xr:uid="{00000000-0006-0000-2F00-000031000000}">
      <text>
        <r>
          <rPr>
            <sz val="12"/>
            <color theme="1"/>
            <rFont val="Aptos Narrow"/>
            <family val="2"/>
            <scheme val="minor"/>
          </rPr>
          <t>W10 9390</t>
        </r>
      </text>
    </comment>
    <comment ref="D25" authorId="3" shapeId="0" xr:uid="{00000000-0006-0000-2F00-000032000000}">
      <text>
        <r>
          <rPr>
            <sz val="12"/>
            <color theme="1"/>
            <rFont val="Aptos Narrow"/>
            <family val="2"/>
            <scheme val="minor"/>
          </rPr>
          <t>Việt Hoàng:
Last week:
9.490.000</t>
        </r>
      </text>
    </comment>
    <comment ref="E25" authorId="2" shapeId="0" xr:uid="{00000000-0006-0000-2F00-000033000000}">
      <text>
        <r>
          <rPr>
            <sz val="12"/>
            <color theme="1"/>
            <rFont val="Aptos Narrow"/>
            <family val="2"/>
            <scheme val="minor"/>
          </rPr>
          <t>was 9593
VNP1%</t>
        </r>
      </text>
    </comment>
    <comment ref="G25" authorId="4" shapeId="0" xr:uid="{00000000-0006-0000-2F00-000034000000}">
      <text>
        <r>
          <rPr>
            <sz val="12"/>
            <color theme="1"/>
            <rFont val="Aptos Narrow"/>
            <family val="2"/>
            <scheme val="minor"/>
          </rPr>
          <t>9690</t>
        </r>
      </text>
    </comment>
    <comment ref="D26" authorId="3" shapeId="0" xr:uid="{00000000-0006-0000-2F00-000035000000}">
      <text>
        <r>
          <rPr>
            <sz val="12"/>
            <color theme="1"/>
            <rFont val="Aptos Narrow"/>
            <family val="2"/>
            <scheme val="minor"/>
          </rPr>
          <t>Việt Hoàng:
Last week:
12.690.000</t>
        </r>
      </text>
    </comment>
    <comment ref="E26" authorId="2" shapeId="0" xr:uid="{00000000-0006-0000-2F00-000036000000}">
      <text>
        <r>
          <rPr>
            <sz val="12"/>
            <color theme="1"/>
            <rFont val="Aptos Narrow"/>
            <family val="2"/>
            <scheme val="minor"/>
          </rPr>
          <t>was 12365
VNP1%</t>
        </r>
      </text>
    </comment>
    <comment ref="G26" authorId="4" shapeId="0" xr:uid="{00000000-0006-0000-2F00-000037000000}">
      <text>
        <r>
          <rPr>
            <sz val="12"/>
            <color theme="1"/>
            <rFont val="Aptos Narrow"/>
            <family val="2"/>
            <scheme val="minor"/>
          </rPr>
          <t>Tran Dat:
12590</t>
        </r>
      </text>
    </comment>
    <comment ref="D27" authorId="3" shapeId="0" xr:uid="{00000000-0006-0000-2F00-000038000000}">
      <text>
        <r>
          <rPr>
            <sz val="12"/>
            <color theme="1"/>
            <rFont val="Aptos Narrow"/>
            <family val="2"/>
            <scheme val="minor"/>
          </rPr>
          <t>Việt Hoàng:
Last week:
10.890.000</t>
        </r>
      </text>
    </comment>
    <comment ref="E27" authorId="2" shapeId="0" xr:uid="{00000000-0006-0000-2F00-000039000000}">
      <text>
        <r>
          <rPr>
            <sz val="12"/>
            <color theme="1"/>
            <rFont val="Aptos Narrow"/>
            <family val="2"/>
            <scheme val="minor"/>
          </rPr>
          <t>was 10583
VNP1%</t>
        </r>
      </text>
    </comment>
    <comment ref="F27" authorId="1" shapeId="0" xr:uid="{00000000-0006-0000-2F00-00003A000000}">
      <text>
        <r>
          <rPr>
            <sz val="12"/>
            <color theme="1"/>
            <rFont val="Aptos Narrow"/>
            <family val="2"/>
            <scheme val="minor"/>
          </rPr>
          <t>10.590k</t>
        </r>
      </text>
    </comment>
    <comment ref="G27" authorId="4" shapeId="0" xr:uid="{00000000-0006-0000-2F00-00003B000000}">
      <text>
        <r>
          <rPr>
            <sz val="12"/>
            <color theme="1"/>
            <rFont val="Aptos Narrow"/>
            <family val="2"/>
            <scheme val="minor"/>
          </rPr>
          <t>Tran Dat:
10.590</t>
        </r>
      </text>
    </comment>
    <comment ref="B28" authorId="2" shapeId="0" xr:uid="{00000000-0006-0000-2F00-00003C000000}">
      <text>
        <r>
          <rPr>
            <sz val="12"/>
            <color theme="1"/>
            <rFont val="Aptos Narrow"/>
            <family val="2"/>
            <scheme val="minor"/>
          </rPr>
          <t>was 13320
VNP100</t>
        </r>
      </text>
    </comment>
    <comment ref="D28" authorId="3" shapeId="0" xr:uid="{00000000-0006-0000-2F00-00003D000000}">
      <text>
        <r>
          <rPr>
            <sz val="12"/>
            <color theme="1"/>
            <rFont val="Aptos Narrow"/>
            <family val="2"/>
            <scheme val="minor"/>
          </rPr>
          <t>Việt Hoàng:
Last week:
13.490.000</t>
        </r>
      </text>
    </comment>
    <comment ref="F28" authorId="1" shapeId="0" xr:uid="{00000000-0006-0000-2F00-00003E000000}">
      <text>
        <r>
          <rPr>
            <sz val="12"/>
            <color theme="1"/>
            <rFont val="Aptos Narrow"/>
            <family val="2"/>
            <scheme val="minor"/>
          </rPr>
          <t>chit trang:
13.290k</t>
        </r>
      </text>
    </comment>
    <comment ref="E29" authorId="2" shapeId="0" xr:uid="{00000000-0006-0000-2F00-00003F000000}">
      <text>
        <r>
          <rPr>
            <sz val="12"/>
            <color theme="1"/>
            <rFont val="Aptos Narrow"/>
            <family val="2"/>
            <scheme val="minor"/>
          </rPr>
          <t>was 21572
VNP1%</t>
        </r>
      </text>
    </comment>
    <comment ref="B30" authorId="2" shapeId="0" xr:uid="{00000000-0006-0000-2F00-000040000000}">
      <text>
        <r>
          <rPr>
            <sz val="12"/>
            <color theme="1"/>
            <rFont val="Aptos Narrow"/>
            <family val="2"/>
            <scheme val="minor"/>
          </rPr>
          <t>was 5550
VNP40</t>
        </r>
      </text>
    </comment>
    <comment ref="D30" authorId="3" shapeId="0" xr:uid="{00000000-0006-0000-2F00-000041000000}">
      <text>
        <r>
          <rPr>
            <sz val="12"/>
            <color theme="1"/>
            <rFont val="Aptos Narrow"/>
            <family val="2"/>
            <scheme val="minor"/>
          </rPr>
          <t>Việt Hoàng:
Last week:
5.490.000</t>
        </r>
      </text>
    </comment>
    <comment ref="E30" authorId="2" shapeId="0" xr:uid="{00000000-0006-0000-2F00-000042000000}">
      <text>
        <r>
          <rPr>
            <sz val="12"/>
            <color theme="1"/>
            <rFont val="Aptos Narrow"/>
            <family val="2"/>
            <scheme val="minor"/>
          </rPr>
          <t>was 5390
vnp1%</t>
        </r>
      </text>
    </comment>
    <comment ref="F30" authorId="1" shapeId="0" xr:uid="{00000000-0006-0000-2F00-000043000000}">
      <text>
        <r>
          <rPr>
            <sz val="12"/>
            <color theme="1"/>
            <rFont val="Aptos Narrow"/>
            <family val="2"/>
            <scheme val="minor"/>
          </rPr>
          <t>chit trang:
5.290</t>
        </r>
      </text>
    </comment>
    <comment ref="B31" authorId="2" shapeId="0" xr:uid="{00000000-0006-0000-2F00-000044000000}">
      <text>
        <r>
          <rPr>
            <sz val="12"/>
            <color theme="1"/>
            <rFont val="Aptos Narrow"/>
            <family val="2"/>
            <scheme val="minor"/>
          </rPr>
          <t xml:space="preserve">was 4490
</t>
        </r>
      </text>
    </comment>
    <comment ref="D31" authorId="3" shapeId="0" xr:uid="{00000000-0006-0000-2F00-000045000000}">
      <text>
        <r>
          <rPr>
            <sz val="12"/>
            <color theme="1"/>
            <rFont val="Aptos Narrow"/>
            <family val="2"/>
            <scheme val="minor"/>
          </rPr>
          <t>Việt Hoàng:
Last week:
4.390.000</t>
        </r>
      </text>
    </comment>
    <comment ref="E31" authorId="2" shapeId="0" xr:uid="{00000000-0006-0000-2F00-000046000000}">
      <text>
        <r>
          <rPr>
            <sz val="12"/>
            <color theme="1"/>
            <rFont val="Aptos Narrow"/>
            <family val="2"/>
            <scheme val="minor"/>
          </rPr>
          <t>was 4290
vnp1%</t>
        </r>
      </text>
    </comment>
    <comment ref="F31" authorId="1" shapeId="0" xr:uid="{00000000-0006-0000-2F00-000047000000}">
      <text>
        <r>
          <rPr>
            <sz val="12"/>
            <color theme="1"/>
            <rFont val="Aptos Narrow"/>
            <family val="2"/>
            <scheme val="minor"/>
          </rPr>
          <t>chit trang:
4.290k</t>
        </r>
      </text>
    </comment>
    <comment ref="G31" authorId="4" shapeId="0" xr:uid="{00000000-0006-0000-2F00-000048000000}">
      <text>
        <r>
          <rPr>
            <sz val="12"/>
            <color theme="1"/>
            <rFont val="Aptos Narrow"/>
            <family val="2"/>
            <scheme val="minor"/>
          </rPr>
          <t>Tran Dat:
4590</t>
        </r>
      </text>
    </comment>
    <comment ref="B32" authorId="2" shapeId="0" xr:uid="{00000000-0006-0000-2F00-000049000000}">
      <text>
        <r>
          <rPr>
            <sz val="12"/>
            <color theme="1"/>
            <rFont val="Aptos Narrow"/>
            <family val="2"/>
            <scheme val="minor"/>
          </rPr>
          <t>was 3190</t>
        </r>
      </text>
    </comment>
    <comment ref="D32" authorId="3" shapeId="0" xr:uid="{00000000-0006-0000-2F00-00004A000000}">
      <text>
        <r>
          <rPr>
            <sz val="12"/>
            <color theme="1"/>
            <rFont val="Aptos Narrow"/>
            <family val="2"/>
            <scheme val="minor"/>
          </rPr>
          <t>Việt Hoàng:
Last week:
3.190.000</t>
        </r>
      </text>
    </comment>
    <comment ref="E32" authorId="2" shapeId="0" xr:uid="{00000000-0006-0000-2F00-00004B000000}">
      <text>
        <r>
          <rPr>
            <sz val="12"/>
            <color theme="1"/>
            <rFont val="Aptos Narrow"/>
            <family val="2"/>
            <scheme val="minor"/>
          </rPr>
          <t>was 2990
vnp1%</t>
        </r>
      </text>
    </comment>
    <comment ref="F32" authorId="1" shapeId="0" xr:uid="{00000000-0006-0000-2F00-00004C000000}">
      <text>
        <r>
          <rPr>
            <sz val="12"/>
            <color theme="1"/>
            <rFont val="Aptos Narrow"/>
            <family val="2"/>
            <scheme val="minor"/>
          </rPr>
          <t>chit trang:
3.190k</t>
        </r>
      </text>
    </comment>
    <comment ref="G32" authorId="4" shapeId="0" xr:uid="{00000000-0006-0000-2F00-00004D000000}">
      <text>
        <r>
          <rPr>
            <sz val="12"/>
            <color theme="1"/>
            <rFont val="Aptos Narrow"/>
            <family val="2"/>
            <scheme val="minor"/>
          </rPr>
          <t>Tran Dat:
3.090</t>
        </r>
      </text>
    </comment>
    <comment ref="B33" authorId="2" shapeId="0" xr:uid="{00000000-0006-0000-2F00-00004E000000}">
      <text>
        <r>
          <rPr>
            <sz val="12"/>
            <color theme="1"/>
            <rFont val="Aptos Narrow"/>
            <family val="2"/>
            <scheme val="minor"/>
          </rPr>
          <t>was 18090
VNP100</t>
        </r>
      </text>
    </comment>
    <comment ref="C33" authorId="0" shapeId="0" xr:uid="{00000000-0006-0000-2F00-00004F000000}">
      <text>
        <r>
          <rPr>
            <sz val="12"/>
            <color theme="1"/>
            <rFont val="Aptos Narrow"/>
            <family val="2"/>
            <scheme val="minor"/>
          </rPr>
          <t>W10 17090</t>
        </r>
      </text>
    </comment>
    <comment ref="F33" authorId="1" shapeId="0" xr:uid="{00000000-0006-0000-2F00-000050000000}">
      <text>
        <r>
          <rPr>
            <sz val="12"/>
            <color theme="1"/>
            <rFont val="Aptos Narrow"/>
            <family val="2"/>
            <scheme val="minor"/>
          </rPr>
          <t>chit trang:
16.990k</t>
        </r>
      </text>
    </comment>
    <comment ref="D34" authorId="3" shapeId="0" xr:uid="{00000000-0006-0000-2F00-000051000000}">
      <text>
        <r>
          <rPr>
            <sz val="12"/>
            <color theme="1"/>
            <rFont val="Aptos Narrow"/>
            <family val="2"/>
            <scheme val="minor"/>
          </rPr>
          <t>Việt Hoàng:
Last week:
23.890.000</t>
        </r>
      </text>
    </comment>
    <comment ref="F34" authorId="1" shapeId="0" xr:uid="{00000000-0006-0000-2F00-000052000000}">
      <text>
        <r>
          <rPr>
            <sz val="12"/>
            <color theme="1"/>
            <rFont val="Aptos Narrow"/>
            <family val="2"/>
            <scheme val="minor"/>
          </rPr>
          <t>chit trang:
23.590k</t>
        </r>
      </text>
    </comment>
    <comment ref="B35" authorId="2" shapeId="0" xr:uid="{00000000-0006-0000-2F00-000053000000}">
      <text>
        <r>
          <rPr>
            <sz val="12"/>
            <color theme="1"/>
            <rFont val="Aptos Narrow"/>
            <family val="2"/>
            <scheme val="minor"/>
          </rPr>
          <t>was 26140
VNP150</t>
        </r>
      </text>
    </comment>
    <comment ref="D35" authorId="3" shapeId="0" xr:uid="{00000000-0006-0000-2F00-000054000000}">
      <text>
        <r>
          <rPr>
            <sz val="12"/>
            <color theme="1"/>
            <rFont val="Aptos Narrow"/>
            <family val="2"/>
            <scheme val="minor"/>
          </rPr>
          <t>Việt Hoàng:
Last week:
26.990.000</t>
        </r>
      </text>
    </comment>
    <comment ref="F35" authorId="1" shapeId="0" xr:uid="{00000000-0006-0000-2F00-000055000000}">
      <text>
        <r>
          <rPr>
            <sz val="12"/>
            <color theme="1"/>
            <rFont val="Aptos Narrow"/>
            <family val="2"/>
            <scheme val="minor"/>
          </rPr>
          <t>chit trang:
26.490k</t>
        </r>
      </text>
    </comment>
    <comment ref="D36" authorId="3" shapeId="0" xr:uid="{00000000-0006-0000-2F00-000056000000}">
      <text>
        <r>
          <rPr>
            <sz val="12"/>
            <color theme="1"/>
            <rFont val="Aptos Narrow"/>
            <family val="2"/>
            <scheme val="minor"/>
          </rPr>
          <t>Việt Hoàng:
Last week:
32.090.000</t>
        </r>
      </text>
    </comment>
    <comment ref="F36" authorId="1" shapeId="0" xr:uid="{00000000-0006-0000-2F00-000057000000}">
      <text>
        <r>
          <rPr>
            <sz val="12"/>
            <color theme="1"/>
            <rFont val="Aptos Narrow"/>
            <family val="2"/>
            <scheme val="minor"/>
          </rPr>
          <t>chit trang:
31.590k</t>
        </r>
      </text>
    </comment>
    <comment ref="F37" authorId="1" shapeId="0" xr:uid="{00000000-0006-0000-2F00-000058000000}">
      <text>
        <r>
          <rPr>
            <sz val="12"/>
            <color theme="1"/>
            <rFont val="Aptos Narrow"/>
            <family val="2"/>
            <scheme val="minor"/>
          </rPr>
          <t>chit trang:
39.990k</t>
        </r>
      </text>
    </comment>
  </commentList>
</comments>
</file>

<file path=xl/comments49.xml><?xml version="1.0" encoding="utf-8"?>
<comments xmlns="http://schemas.openxmlformats.org/spreadsheetml/2006/main" xmlns:mc="http://schemas.openxmlformats.org/markup-compatibility/2006" xmlns:xr="http://schemas.microsoft.com/office/spreadsheetml/2014/revision" mc:Ignorable="xr">
  <authors>
    <author>Tran Dat</author>
    <author>Duy</author>
    <author>Việt Hoàng</author>
    <author>chit trang</author>
    <author>Microsoft Office User</author>
  </authors>
  <commentList>
    <comment ref="G2" authorId="0" shapeId="0" xr:uid="{00000000-0006-0000-3000-000001000000}">
      <text>
        <r>
          <rPr>
            <sz val="12"/>
            <color theme="1"/>
            <rFont val="Aptos Narrow"/>
            <family val="2"/>
            <scheme val="minor"/>
          </rPr>
          <t>Tran Dat:
16.490</t>
        </r>
      </text>
    </comment>
    <comment ref="C3" authorId="1" shapeId="0" xr:uid="{00000000-0006-0000-3000-000002000000}">
      <text>
        <r>
          <rPr>
            <sz val="12"/>
            <color theme="1"/>
            <rFont val="Aptos Narrow"/>
            <family val="2"/>
            <scheme val="minor"/>
          </rPr>
          <t>W12 19690</t>
        </r>
      </text>
    </comment>
    <comment ref="D3" authorId="2" shapeId="0" xr:uid="{00000000-0006-0000-3000-000003000000}">
      <text>
        <r>
          <rPr>
            <sz val="12"/>
            <color theme="1"/>
            <rFont val="Aptos Narrow"/>
            <family val="2"/>
            <scheme val="minor"/>
          </rPr>
          <t>Việt Hoàng:
Last week:
19.490.000</t>
        </r>
      </text>
    </comment>
    <comment ref="F3" authorId="3" shapeId="0" xr:uid="{00000000-0006-0000-3000-000004000000}">
      <text>
        <r>
          <rPr>
            <sz val="12"/>
            <color theme="1"/>
            <rFont val="Aptos Narrow"/>
            <family val="2"/>
            <scheme val="minor"/>
          </rPr>
          <t>chit trang:
19.190k</t>
        </r>
      </text>
    </comment>
    <comment ref="G3" authorId="0" shapeId="0" xr:uid="{00000000-0006-0000-3000-000005000000}">
      <text>
        <r>
          <rPr>
            <sz val="12"/>
            <color theme="1"/>
            <rFont val="Aptos Narrow"/>
            <family val="2"/>
            <scheme val="minor"/>
          </rPr>
          <t>Tran Dat:
18.890</t>
        </r>
      </text>
    </comment>
    <comment ref="B4" authorId="4" shapeId="0" xr:uid="{00000000-0006-0000-3000-000006000000}">
      <text>
        <r>
          <rPr>
            <sz val="12"/>
            <color theme="1"/>
            <rFont val="Aptos Narrow"/>
            <family val="2"/>
            <scheme val="minor"/>
          </rPr>
          <t>was 24640000
VNP150</t>
        </r>
      </text>
    </comment>
    <comment ref="G4" authorId="0" shapeId="0" xr:uid="{00000000-0006-0000-3000-000007000000}">
      <text>
        <r>
          <rPr>
            <sz val="12"/>
            <color theme="1"/>
            <rFont val="Aptos Narrow"/>
            <family val="2"/>
            <scheme val="minor"/>
          </rPr>
          <t>22190</t>
        </r>
      </text>
    </comment>
    <comment ref="C5" authorId="1" shapeId="0" xr:uid="{00000000-0006-0000-3000-000008000000}">
      <text>
        <r>
          <rPr>
            <sz val="12"/>
            <color theme="1"/>
            <rFont val="Aptos Narrow"/>
            <family val="2"/>
            <scheme val="minor"/>
          </rPr>
          <t>W12 25690</t>
        </r>
      </text>
    </comment>
    <comment ref="F5" authorId="3" shapeId="0" xr:uid="{00000000-0006-0000-3000-000009000000}">
      <text>
        <r>
          <rPr>
            <sz val="12"/>
            <color theme="1"/>
            <rFont val="Aptos Narrow"/>
            <family val="2"/>
            <scheme val="minor"/>
          </rPr>
          <t>chit trang:
25.390k</t>
        </r>
      </text>
    </comment>
    <comment ref="G5" authorId="0" shapeId="0" xr:uid="{00000000-0006-0000-3000-00000A000000}">
      <text>
        <r>
          <rPr>
            <sz val="12"/>
            <color theme="1"/>
            <rFont val="Aptos Narrow"/>
            <family val="2"/>
            <scheme val="minor"/>
          </rPr>
          <t>Tran Dat:
24990</t>
        </r>
      </text>
    </comment>
    <comment ref="B6" authorId="4" shapeId="0" xr:uid="{00000000-0006-0000-3000-00000B000000}">
      <text>
        <r>
          <rPr>
            <sz val="12"/>
            <color theme="1"/>
            <rFont val="Aptos Narrow"/>
            <family val="2"/>
            <scheme val="minor"/>
          </rPr>
          <t>Tặng phiếu mua hàng mua AirPods và Apple Watch trị giá 500,000đ
 Phiếu mua hàng mua sản phẩm giá niêm yết từ 5 triệu thuộc các nhóm TAI NGHE - LOA hãng HARMAN KARDON, JBL,MONSTER, KLIPSCH, MARSHALL, SONY; Smartwatch hãng HUAWEI, GARMIN, SAMSUNG, IMOO, OPPO, AMAZFIT trị giá 500.000đ</t>
        </r>
      </text>
    </comment>
    <comment ref="C6" authorId="1" shapeId="0" xr:uid="{00000000-0006-0000-3000-00000C000000}">
      <text>
        <r>
          <rPr>
            <sz val="12"/>
            <color theme="1"/>
            <rFont val="Aptos Narrow"/>
            <family val="2"/>
            <scheme val="minor"/>
          </rPr>
          <t>W12 31390</t>
        </r>
      </text>
    </comment>
    <comment ref="F6" authorId="3" shapeId="0" xr:uid="{00000000-0006-0000-3000-00000D000000}">
      <text>
        <r>
          <rPr>
            <sz val="12"/>
            <color theme="1"/>
            <rFont val="Aptos Narrow"/>
            <family val="2"/>
            <scheme val="minor"/>
          </rPr>
          <t>chit trang:
30.990k</t>
        </r>
      </text>
    </comment>
    <comment ref="G6" authorId="0" shapeId="0" xr:uid="{00000000-0006-0000-3000-00000E000000}">
      <text>
        <r>
          <rPr>
            <sz val="12"/>
            <color theme="1"/>
            <rFont val="Aptos Narrow"/>
            <family val="2"/>
            <scheme val="minor"/>
          </rPr>
          <t>Tran Dat:
30490</t>
        </r>
      </text>
    </comment>
    <comment ref="G7" authorId="0" shapeId="0" xr:uid="{00000000-0006-0000-3000-00000F000000}">
      <text>
        <r>
          <rPr>
            <sz val="12"/>
            <color theme="1"/>
            <rFont val="Aptos Narrow"/>
            <family val="2"/>
            <scheme val="minor"/>
          </rPr>
          <t xml:space="preserve">Tran Dat:
15.590
</t>
        </r>
      </text>
    </comment>
    <comment ref="G8" authorId="0" shapeId="0" xr:uid="{00000000-0006-0000-3000-000010000000}">
      <text>
        <r>
          <rPr>
            <sz val="12"/>
            <color theme="1"/>
            <rFont val="Aptos Narrow"/>
            <family val="2"/>
            <scheme val="minor"/>
          </rPr>
          <t>Tran Dat:
19290</t>
        </r>
      </text>
    </comment>
    <comment ref="B9" authorId="4" shapeId="0" xr:uid="{00000000-0006-0000-3000-000011000000}">
      <text>
        <r>
          <rPr>
            <sz val="12"/>
            <color theme="1"/>
            <rFont val="Aptos Narrow"/>
            <family val="2"/>
            <scheme val="minor"/>
          </rPr>
          <t>was 29140000
VNP150</t>
        </r>
      </text>
    </comment>
    <comment ref="D9" authorId="2" shapeId="0" xr:uid="{00000000-0006-0000-3000-000012000000}">
      <text>
        <r>
          <rPr>
            <sz val="12"/>
            <color theme="1"/>
            <rFont val="Aptos Narrow"/>
            <family val="2"/>
            <scheme val="minor"/>
          </rPr>
          <t>Việt Hoàng:
Last week:
29.090.000</t>
        </r>
      </text>
    </comment>
    <comment ref="F9" authorId="3" shapeId="0" xr:uid="{00000000-0006-0000-3000-000013000000}">
      <text>
        <r>
          <rPr>
            <sz val="12"/>
            <color theme="1"/>
            <rFont val="Aptos Narrow"/>
            <family val="2"/>
            <scheme val="minor"/>
          </rPr>
          <t>chit trang:
28.690k</t>
        </r>
      </text>
    </comment>
    <comment ref="G9" authorId="0" shapeId="0" xr:uid="{00000000-0006-0000-3000-000014000000}">
      <text>
        <r>
          <rPr>
            <sz val="12"/>
            <color theme="1"/>
            <rFont val="Aptos Narrow"/>
            <family val="2"/>
            <scheme val="minor"/>
          </rPr>
          <t xml:space="preserve">Tran Dat:
28290
</t>
        </r>
      </text>
    </comment>
    <comment ref="B10" authorId="4" shapeId="0" xr:uid="{00000000-0006-0000-3000-000015000000}">
      <text>
        <r>
          <rPr>
            <sz val="12"/>
            <color theme="1"/>
            <rFont val="Aptos Narrow"/>
            <family val="2"/>
            <scheme val="minor"/>
          </rPr>
          <t>was 18440</t>
        </r>
      </text>
    </comment>
    <comment ref="F10" authorId="3" shapeId="0" xr:uid="{00000000-0006-0000-3000-000016000000}">
      <text>
        <r>
          <rPr>
            <sz val="12"/>
            <color theme="1"/>
            <rFont val="Aptos Narrow"/>
            <family val="2"/>
            <scheme val="minor"/>
          </rPr>
          <t>chit trang:
18.690k</t>
        </r>
      </text>
    </comment>
    <comment ref="G10" authorId="0" shapeId="0" xr:uid="{00000000-0006-0000-3000-000017000000}">
      <text>
        <r>
          <rPr>
            <sz val="12"/>
            <color theme="1"/>
            <rFont val="Aptos Narrow"/>
            <family val="2"/>
            <scheme val="minor"/>
          </rPr>
          <t>Tran Dat:
18990</t>
        </r>
      </text>
    </comment>
    <comment ref="C11" authorId="1" shapeId="0" xr:uid="{00000000-0006-0000-3000-000018000000}">
      <text>
        <r>
          <rPr>
            <sz val="12"/>
            <color theme="1"/>
            <rFont val="Aptos Narrow"/>
            <family val="2"/>
            <scheme val="minor"/>
          </rPr>
          <t>W12 13490</t>
        </r>
      </text>
    </comment>
    <comment ref="B12" authorId="4" shapeId="0" xr:uid="{00000000-0006-0000-3000-000019000000}">
      <text>
        <r>
          <rPr>
            <sz val="12"/>
            <color theme="1"/>
            <rFont val="Aptos Narrow"/>
            <family val="2"/>
            <scheme val="minor"/>
          </rPr>
          <t>was 13190
VNP100</t>
        </r>
      </text>
    </comment>
    <comment ref="F12" authorId="3" shapeId="0" xr:uid="{00000000-0006-0000-3000-00001A000000}">
      <text>
        <r>
          <rPr>
            <sz val="12"/>
            <color theme="1"/>
            <rFont val="Aptos Narrow"/>
            <family val="2"/>
            <scheme val="minor"/>
          </rPr>
          <t>chit trang:
11.790k</t>
        </r>
      </text>
    </comment>
    <comment ref="G12" authorId="0" shapeId="0" xr:uid="{00000000-0006-0000-3000-00001B000000}">
      <text>
        <r>
          <rPr>
            <sz val="12"/>
            <color theme="1"/>
            <rFont val="Aptos Narrow"/>
            <family val="2"/>
            <scheme val="minor"/>
          </rPr>
          <t>Tran Dat:
11790</t>
        </r>
      </text>
    </comment>
    <comment ref="D14" authorId="2" shapeId="0" xr:uid="{00000000-0006-0000-3000-00001C000000}">
      <text>
        <r>
          <rPr>
            <sz val="12"/>
            <color theme="1"/>
            <rFont val="Aptos Narrow"/>
            <family val="2"/>
            <scheme val="minor"/>
          </rPr>
          <t>Việt Hoàng:
Last week:
13.990.000</t>
        </r>
      </text>
    </comment>
    <comment ref="C15" authorId="1" shapeId="0" xr:uid="{00000000-0006-0000-3000-00001D000000}">
      <text>
        <r>
          <rPr>
            <sz val="12"/>
            <color theme="1"/>
            <rFont val="Aptos Narrow"/>
            <family val="2"/>
            <scheme val="minor"/>
          </rPr>
          <t>W12 9390</t>
        </r>
      </text>
    </comment>
    <comment ref="D15" authorId="2" shapeId="0" xr:uid="{00000000-0006-0000-3000-00001E000000}">
      <text>
        <r>
          <rPr>
            <sz val="12"/>
            <color theme="1"/>
            <rFont val="Aptos Narrow"/>
            <family val="2"/>
            <scheme val="minor"/>
          </rPr>
          <t>Việt Hoàng:
Last week:
9.290.000</t>
        </r>
      </text>
    </comment>
    <comment ref="E15" authorId="4" shapeId="0" xr:uid="{00000000-0006-0000-3000-00001F000000}">
      <text>
        <r>
          <rPr>
            <sz val="12"/>
            <color theme="1"/>
            <rFont val="Aptos Narrow"/>
            <family val="2"/>
            <scheme val="minor"/>
          </rPr>
          <t>was 8801
VNP1%</t>
        </r>
      </text>
    </comment>
    <comment ref="F15" authorId="3" shapeId="0" xr:uid="{00000000-0006-0000-3000-000020000000}">
      <text>
        <r>
          <rPr>
            <sz val="12"/>
            <color theme="1"/>
            <rFont val="Aptos Narrow"/>
            <family val="2"/>
            <scheme val="minor"/>
          </rPr>
          <t>chit trang:
9.290k</t>
        </r>
      </text>
    </comment>
    <comment ref="G15" authorId="0" shapeId="0" xr:uid="{00000000-0006-0000-3000-000021000000}">
      <text>
        <r>
          <rPr>
            <sz val="12"/>
            <color theme="1"/>
            <rFont val="Aptos Narrow"/>
            <family val="2"/>
            <scheme val="minor"/>
          </rPr>
          <t>Tran Dat:
9490</t>
        </r>
      </text>
    </comment>
    <comment ref="B16" authorId="4" shapeId="0" xr:uid="{00000000-0006-0000-3000-000022000000}">
      <text>
        <r>
          <rPr>
            <sz val="12"/>
            <color theme="1"/>
            <rFont val="Aptos Narrow"/>
            <family val="2"/>
            <scheme val="minor"/>
          </rPr>
          <t>was 7040
VNP40</t>
        </r>
      </text>
    </comment>
    <comment ref="G16" authorId="0" shapeId="0" xr:uid="{00000000-0006-0000-3000-000023000000}">
      <text>
        <r>
          <rPr>
            <sz val="12"/>
            <color theme="1"/>
            <rFont val="Aptos Narrow"/>
            <family val="2"/>
            <scheme val="minor"/>
          </rPr>
          <t>Tran Dat:
6890</t>
        </r>
      </text>
    </comment>
    <comment ref="B17" authorId="4" shapeId="0" xr:uid="{00000000-0006-0000-3000-000024000000}">
      <text>
        <r>
          <rPr>
            <sz val="12"/>
            <color theme="1"/>
            <rFont val="Aptos Narrow"/>
            <family val="2"/>
            <scheme val="minor"/>
          </rPr>
          <t>was 14390</t>
        </r>
      </text>
    </comment>
    <comment ref="G17" authorId="0" shapeId="0" xr:uid="{00000000-0006-0000-3000-000025000000}">
      <text>
        <r>
          <rPr>
            <sz val="12"/>
            <color theme="1"/>
            <rFont val="Aptos Narrow"/>
            <family val="2"/>
            <scheme val="minor"/>
          </rPr>
          <t>Tran Dat:
15790</t>
        </r>
      </text>
    </comment>
    <comment ref="C18" authorId="1" shapeId="0" xr:uid="{00000000-0006-0000-3000-000026000000}">
      <text>
        <r>
          <rPr>
            <sz val="12"/>
            <color theme="1"/>
            <rFont val="Aptos Narrow"/>
            <family val="2"/>
            <scheme val="minor"/>
          </rPr>
          <t>W12 21590</t>
        </r>
      </text>
    </comment>
    <comment ref="D18" authorId="2" shapeId="0" xr:uid="{00000000-0006-0000-3000-000027000000}">
      <text>
        <r>
          <rPr>
            <sz val="12"/>
            <color theme="1"/>
            <rFont val="Aptos Narrow"/>
            <family val="2"/>
            <scheme val="minor"/>
          </rPr>
          <t>Việt Hoàng:
Last week:
21.090.000</t>
        </r>
      </text>
    </comment>
    <comment ref="F18" authorId="3" shapeId="0" xr:uid="{00000000-0006-0000-3000-000028000000}">
      <text>
        <r>
          <rPr>
            <sz val="12"/>
            <color theme="1"/>
            <rFont val="Aptos Narrow"/>
            <family val="2"/>
            <scheme val="minor"/>
          </rPr>
          <t>chit trang:
20.790k</t>
        </r>
      </text>
    </comment>
    <comment ref="F19" authorId="3" shapeId="0" xr:uid="{00000000-0006-0000-3000-000029000000}">
      <text>
        <r>
          <rPr>
            <sz val="12"/>
            <color theme="1"/>
            <rFont val="Aptos Narrow"/>
            <family val="2"/>
            <scheme val="minor"/>
          </rPr>
          <t>chit trang:
28.290k</t>
        </r>
      </text>
    </comment>
    <comment ref="B20" authorId="4" shapeId="0" xr:uid="{00000000-0006-0000-3000-00002A000000}">
      <text>
        <r>
          <rPr>
            <sz val="12"/>
            <color theme="1"/>
            <rFont val="Aptos Narrow"/>
            <family val="2"/>
            <scheme val="minor"/>
          </rPr>
          <t>was 36640</t>
        </r>
      </text>
    </comment>
    <comment ref="C21" authorId="1" shapeId="0" xr:uid="{00000000-0006-0000-3000-00002B000000}">
      <text>
        <r>
          <rPr>
            <sz val="12"/>
            <color theme="1"/>
            <rFont val="Aptos Narrow"/>
            <family val="2"/>
            <scheme val="minor"/>
          </rPr>
          <t>W12 5770</t>
        </r>
      </text>
    </comment>
    <comment ref="C22" authorId="1" shapeId="0" xr:uid="{00000000-0006-0000-3000-00002C000000}">
      <text>
        <r>
          <rPr>
            <sz val="12"/>
            <color theme="1"/>
            <rFont val="Aptos Narrow"/>
            <family val="2"/>
            <scheme val="minor"/>
          </rPr>
          <t>W12 7070</t>
        </r>
      </text>
    </comment>
    <comment ref="G22" authorId="0" shapeId="0" xr:uid="{00000000-0006-0000-3000-00002D000000}">
      <text>
        <r>
          <rPr>
            <sz val="12"/>
            <color theme="1"/>
            <rFont val="Aptos Narrow"/>
            <family val="2"/>
            <scheme val="minor"/>
          </rPr>
          <t>7390</t>
        </r>
      </text>
    </comment>
    <comment ref="C23" authorId="1" shapeId="0" xr:uid="{00000000-0006-0000-3000-00002E000000}">
      <text>
        <r>
          <rPr>
            <sz val="12"/>
            <color theme="1"/>
            <rFont val="Aptos Narrow"/>
            <family val="2"/>
            <scheme val="minor"/>
          </rPr>
          <t>W12 6570</t>
        </r>
      </text>
    </comment>
    <comment ref="C24" authorId="1" shapeId="0" xr:uid="{00000000-0006-0000-3000-00002F000000}">
      <text>
        <r>
          <rPr>
            <sz val="12"/>
            <color theme="1"/>
            <rFont val="Aptos Narrow"/>
            <family val="2"/>
            <scheme val="minor"/>
          </rPr>
          <t>W12 7870</t>
        </r>
      </text>
    </comment>
    <comment ref="F24" authorId="3" shapeId="0" xr:uid="{00000000-0006-0000-3000-000030000000}">
      <text>
        <r>
          <rPr>
            <sz val="12"/>
            <color theme="1"/>
            <rFont val="Aptos Narrow"/>
            <family val="2"/>
            <scheme val="minor"/>
          </rPr>
          <t>chit trang:
8.090k</t>
        </r>
      </text>
    </comment>
    <comment ref="G24" authorId="0" shapeId="0" xr:uid="{00000000-0006-0000-3000-000031000000}">
      <text>
        <r>
          <rPr>
            <sz val="12"/>
            <color theme="1"/>
            <rFont val="Aptos Narrow"/>
            <family val="2"/>
            <scheme val="minor"/>
          </rPr>
          <t>7850</t>
        </r>
      </text>
    </comment>
    <comment ref="C26" authorId="1" shapeId="0" xr:uid="{00000000-0006-0000-3000-000032000000}">
      <text>
        <r>
          <rPr>
            <sz val="12"/>
            <color theme="1"/>
            <rFont val="Aptos Narrow"/>
            <family val="2"/>
            <scheme val="minor"/>
          </rPr>
          <t>W12 12690</t>
        </r>
      </text>
    </comment>
    <comment ref="G26" authorId="0" shapeId="0" xr:uid="{00000000-0006-0000-3000-000033000000}">
      <text>
        <r>
          <rPr>
            <sz val="12"/>
            <color theme="1"/>
            <rFont val="Aptos Narrow"/>
            <family val="2"/>
            <scheme val="minor"/>
          </rPr>
          <t>13190000</t>
        </r>
      </text>
    </comment>
    <comment ref="C27" authorId="1" shapeId="0" xr:uid="{00000000-0006-0000-3000-000034000000}">
      <text>
        <r>
          <rPr>
            <sz val="12"/>
            <color theme="1"/>
            <rFont val="Aptos Narrow"/>
            <family val="2"/>
            <scheme val="minor"/>
          </rPr>
          <t>W12 10890</t>
        </r>
      </text>
    </comment>
    <comment ref="G27" authorId="0" shapeId="0" xr:uid="{00000000-0006-0000-3000-000035000000}">
      <text>
        <r>
          <rPr>
            <sz val="12"/>
            <color theme="1"/>
            <rFont val="Aptos Narrow"/>
            <family val="2"/>
            <scheme val="minor"/>
          </rPr>
          <t>11290</t>
        </r>
      </text>
    </comment>
    <comment ref="B28" authorId="4" shapeId="0" xr:uid="{00000000-0006-0000-3000-000036000000}">
      <text>
        <r>
          <rPr>
            <sz val="12"/>
            <color theme="1"/>
            <rFont val="Aptos Narrow"/>
            <family val="2"/>
            <scheme val="minor"/>
          </rPr>
          <t>was 13320
VNP100</t>
        </r>
      </text>
    </comment>
    <comment ref="C28" authorId="1" shapeId="0" xr:uid="{00000000-0006-0000-3000-000037000000}">
      <text>
        <r>
          <rPr>
            <sz val="12"/>
            <color theme="1"/>
            <rFont val="Aptos Narrow"/>
            <family val="2"/>
            <scheme val="minor"/>
          </rPr>
          <t>W12 13490</t>
        </r>
      </text>
    </comment>
    <comment ref="F28" authorId="3" shapeId="0" xr:uid="{00000000-0006-0000-3000-000038000000}">
      <text>
        <r>
          <rPr>
            <sz val="12"/>
            <color theme="1"/>
            <rFont val="Aptos Narrow"/>
            <family val="2"/>
            <scheme val="minor"/>
          </rPr>
          <t>chit trang:
13.290k</t>
        </r>
      </text>
    </comment>
    <comment ref="G28" authorId="0" shapeId="0" xr:uid="{00000000-0006-0000-3000-000039000000}">
      <text>
        <r>
          <rPr>
            <sz val="12"/>
            <color theme="1"/>
            <rFont val="Aptos Narrow"/>
            <family val="2"/>
            <scheme val="minor"/>
          </rPr>
          <t>Tran Dat:
13890</t>
        </r>
      </text>
    </comment>
    <comment ref="B30" authorId="4" shapeId="0" xr:uid="{00000000-0006-0000-3000-00003A000000}">
      <text>
        <r>
          <rPr>
            <sz val="12"/>
            <color theme="1"/>
            <rFont val="Aptos Narrow"/>
            <family val="2"/>
            <scheme val="minor"/>
          </rPr>
          <t>was 5550
VNP40</t>
        </r>
      </text>
    </comment>
    <comment ref="C30" authorId="1" shapeId="0" xr:uid="{00000000-0006-0000-3000-00003B000000}">
      <text>
        <r>
          <rPr>
            <sz val="12"/>
            <color theme="1"/>
            <rFont val="Aptos Narrow"/>
            <family val="2"/>
            <scheme val="minor"/>
          </rPr>
          <t>W12 5690</t>
        </r>
      </text>
    </comment>
    <comment ref="E30" authorId="4" shapeId="0" xr:uid="{00000000-0006-0000-3000-00003C000000}">
      <text>
        <r>
          <rPr>
            <sz val="12"/>
            <color theme="1"/>
            <rFont val="Aptos Narrow"/>
            <family val="2"/>
            <scheme val="minor"/>
          </rPr>
          <t>was 5690
vnp1%</t>
        </r>
      </text>
    </comment>
    <comment ref="B31" authorId="4" shapeId="0" xr:uid="{00000000-0006-0000-3000-00003D000000}">
      <text>
        <r>
          <rPr>
            <sz val="12"/>
            <color theme="1"/>
            <rFont val="Aptos Narrow"/>
            <family val="2"/>
            <scheme val="minor"/>
          </rPr>
          <t xml:space="preserve">was 4490
</t>
        </r>
      </text>
    </comment>
    <comment ref="E31" authorId="4" shapeId="0" xr:uid="{00000000-0006-0000-3000-00003E000000}">
      <text>
        <r>
          <rPr>
            <sz val="12"/>
            <color theme="1"/>
            <rFont val="Aptos Narrow"/>
            <family val="2"/>
            <scheme val="minor"/>
          </rPr>
          <t>was 4490
vnp1%</t>
        </r>
      </text>
    </comment>
    <comment ref="B32" authorId="4" shapeId="0" xr:uid="{00000000-0006-0000-3000-00003F000000}">
      <text>
        <r>
          <rPr>
            <sz val="12"/>
            <color theme="1"/>
            <rFont val="Aptos Narrow"/>
            <family val="2"/>
            <scheme val="minor"/>
          </rPr>
          <t>was 3190</t>
        </r>
      </text>
    </comment>
    <comment ref="C32" authorId="1" shapeId="0" xr:uid="{00000000-0006-0000-3000-000040000000}">
      <text>
        <r>
          <rPr>
            <sz val="12"/>
            <color theme="1"/>
            <rFont val="Aptos Narrow"/>
            <family val="2"/>
            <scheme val="minor"/>
          </rPr>
          <t>W12 3190</t>
        </r>
      </text>
    </comment>
    <comment ref="E32" authorId="4" shapeId="0" xr:uid="{00000000-0006-0000-3000-000041000000}">
      <text>
        <r>
          <rPr>
            <sz val="12"/>
            <color theme="1"/>
            <rFont val="Aptos Narrow"/>
            <family val="2"/>
            <scheme val="minor"/>
          </rPr>
          <t>was 3190
vnp1%</t>
        </r>
      </text>
    </comment>
    <comment ref="B33" authorId="4" shapeId="0" xr:uid="{00000000-0006-0000-3000-000042000000}">
      <text>
        <r>
          <rPr>
            <sz val="12"/>
            <color theme="1"/>
            <rFont val="Aptos Narrow"/>
            <family val="2"/>
            <scheme val="minor"/>
          </rPr>
          <t>was 18090
VNP100</t>
        </r>
      </text>
    </comment>
    <comment ref="D33" authorId="2" shapeId="0" xr:uid="{00000000-0006-0000-3000-000043000000}">
      <text>
        <r>
          <rPr>
            <sz val="12"/>
            <color theme="1"/>
            <rFont val="Aptos Narrow"/>
            <family val="2"/>
            <scheme val="minor"/>
          </rPr>
          <t>Việt Hoàng:
Last week:
17.490.000</t>
        </r>
      </text>
    </comment>
    <comment ref="F33" authorId="3" shapeId="0" xr:uid="{00000000-0006-0000-3000-000044000000}">
      <text>
        <r>
          <rPr>
            <sz val="12"/>
            <color theme="1"/>
            <rFont val="Aptos Narrow"/>
            <family val="2"/>
            <scheme val="minor"/>
          </rPr>
          <t>chit trang:
161990k</t>
        </r>
      </text>
    </comment>
    <comment ref="G33" authorId="0" shapeId="0" xr:uid="{00000000-0006-0000-3000-000045000000}">
      <text>
        <r>
          <rPr>
            <sz val="12"/>
            <color theme="1"/>
            <rFont val="Aptos Narrow"/>
            <family val="2"/>
            <scheme val="minor"/>
          </rPr>
          <t>Tran Dat:
16990</t>
        </r>
      </text>
    </comment>
    <comment ref="C34" authorId="1" shapeId="0" xr:uid="{00000000-0006-0000-3000-000046000000}">
      <text>
        <r>
          <rPr>
            <sz val="12"/>
            <color theme="1"/>
            <rFont val="Aptos Narrow"/>
            <family val="2"/>
            <scheme val="minor"/>
          </rPr>
          <t>W12 23990</t>
        </r>
      </text>
    </comment>
    <comment ref="D34" authorId="2" shapeId="0" xr:uid="{00000000-0006-0000-3000-000047000000}">
      <text>
        <r>
          <rPr>
            <sz val="12"/>
            <color theme="1"/>
            <rFont val="Aptos Narrow"/>
            <family val="2"/>
            <scheme val="minor"/>
          </rPr>
          <t>Việt Hoàng:
Last week:
23.090.000</t>
        </r>
      </text>
    </comment>
    <comment ref="G34" authorId="0" shapeId="0" xr:uid="{00000000-0006-0000-3000-000048000000}">
      <text>
        <r>
          <rPr>
            <sz val="12"/>
            <color theme="1"/>
            <rFont val="Aptos Narrow"/>
            <family val="2"/>
            <scheme val="minor"/>
          </rPr>
          <t>Tran Dat:
23590</t>
        </r>
      </text>
    </comment>
    <comment ref="B35" authorId="4" shapeId="0" xr:uid="{00000000-0006-0000-3000-000049000000}">
      <text>
        <r>
          <rPr>
            <sz val="12"/>
            <color theme="1"/>
            <rFont val="Aptos Narrow"/>
            <family val="2"/>
            <scheme val="minor"/>
          </rPr>
          <t>was 26140
VNP150</t>
        </r>
      </text>
    </comment>
    <comment ref="C35" authorId="1" shapeId="0" xr:uid="{00000000-0006-0000-3000-00004A000000}">
      <text>
        <r>
          <rPr>
            <sz val="12"/>
            <color theme="1"/>
            <rFont val="Aptos Narrow"/>
            <family val="2"/>
            <scheme val="minor"/>
          </rPr>
          <t>w12 27090</t>
        </r>
      </text>
    </comment>
    <comment ref="D35" authorId="2" shapeId="0" xr:uid="{00000000-0006-0000-3000-00004B000000}">
      <text>
        <r>
          <rPr>
            <sz val="12"/>
            <color theme="1"/>
            <rFont val="Aptos Narrow"/>
            <family val="2"/>
            <scheme val="minor"/>
          </rPr>
          <t>Việt Hoàng:
Last week:
26.090.000</t>
        </r>
      </text>
    </comment>
    <comment ref="F35" authorId="3" shapeId="0" xr:uid="{00000000-0006-0000-3000-00004C000000}">
      <text>
        <r>
          <rPr>
            <sz val="12"/>
            <color theme="1"/>
            <rFont val="Aptos Narrow"/>
            <family val="2"/>
            <scheme val="minor"/>
          </rPr>
          <t>chit trang:
25.990k</t>
        </r>
      </text>
    </comment>
    <comment ref="C36" authorId="1" shapeId="0" xr:uid="{00000000-0006-0000-3000-00004D000000}">
      <text>
        <r>
          <rPr>
            <sz val="12"/>
            <color theme="1"/>
            <rFont val="Aptos Narrow"/>
            <family val="2"/>
            <scheme val="minor"/>
          </rPr>
          <t>W12 32490</t>
        </r>
      </text>
    </comment>
    <comment ref="D36" authorId="2" shapeId="0" xr:uid="{00000000-0006-0000-3000-00004E000000}">
      <text>
        <r>
          <rPr>
            <sz val="12"/>
            <color theme="1"/>
            <rFont val="Aptos Narrow"/>
            <family val="2"/>
            <scheme val="minor"/>
          </rPr>
          <t>Việt Hoàng:
Last week:
30.590.000</t>
        </r>
      </text>
    </comment>
  </commentList>
</comments>
</file>

<file path=xl/comments50.xml><?xml version="1.0" encoding="utf-8"?>
<comments xmlns="http://schemas.openxmlformats.org/spreadsheetml/2006/main" xmlns:mc="http://schemas.openxmlformats.org/markup-compatibility/2006" xmlns:xr="http://schemas.microsoft.com/office/spreadsheetml/2014/revision" mc:Ignorable="xr">
  <authors>
    <author>Việt Hoàng</author>
    <author>Microsoft Office User</author>
    <author>chit trang</author>
    <author>Tran Dat</author>
    <author>Duy</author>
  </authors>
  <commentList>
    <comment ref="D2" authorId="0" shapeId="0" xr:uid="{00000000-0006-0000-3100-000001000000}">
      <text>
        <r>
          <rPr>
            <sz val="12"/>
            <color theme="1"/>
            <rFont val="Aptos Narrow"/>
            <family val="2"/>
            <scheme val="minor"/>
          </rPr>
          <t>Việt Hoàng:
Last week:
16.590.000</t>
        </r>
      </text>
    </comment>
    <comment ref="E2" authorId="1" shapeId="0" xr:uid="{00000000-0006-0000-3100-000002000000}">
      <text>
        <r>
          <rPr>
            <sz val="12"/>
            <color theme="1"/>
            <rFont val="Aptos Narrow"/>
            <family val="2"/>
            <scheme val="minor"/>
          </rPr>
          <t>was 16990
VNP1%</t>
        </r>
      </text>
    </comment>
    <comment ref="F3" authorId="2" shapeId="0" xr:uid="{00000000-0006-0000-3100-000003000000}">
      <text>
        <r>
          <rPr>
            <sz val="12"/>
            <color theme="1"/>
            <rFont val="Aptos Narrow"/>
            <family val="2"/>
            <scheme val="minor"/>
          </rPr>
          <t>chit trang:
19.190k</t>
        </r>
      </text>
    </comment>
    <comment ref="G3" authorId="3" shapeId="0" xr:uid="{00000000-0006-0000-3100-000004000000}">
      <text>
        <r>
          <rPr>
            <sz val="12"/>
            <color theme="1"/>
            <rFont val="Aptos Narrow"/>
            <family val="2"/>
            <scheme val="minor"/>
          </rPr>
          <t>Tran Dat:
18.990</t>
        </r>
      </text>
    </comment>
    <comment ref="B4" authorId="1" shapeId="0" xr:uid="{00000000-0006-0000-3100-000005000000}">
      <text>
        <r>
          <rPr>
            <sz val="12"/>
            <color theme="1"/>
            <rFont val="Aptos Narrow"/>
            <family val="2"/>
            <scheme val="minor"/>
          </rPr>
          <t>was 24640000
VNP150</t>
        </r>
      </text>
    </comment>
    <comment ref="G4" authorId="3" shapeId="0" xr:uid="{00000000-0006-0000-3100-000006000000}">
      <text>
        <r>
          <rPr>
            <sz val="12"/>
            <color theme="1"/>
            <rFont val="Aptos Narrow"/>
            <family val="2"/>
            <scheme val="minor"/>
          </rPr>
          <t>21790</t>
        </r>
      </text>
    </comment>
    <comment ref="G5" authorId="3" shapeId="0" xr:uid="{00000000-0006-0000-3100-000007000000}">
      <text>
        <r>
          <rPr>
            <sz val="12"/>
            <color theme="1"/>
            <rFont val="Aptos Narrow"/>
            <family val="2"/>
            <scheme val="minor"/>
          </rPr>
          <t>Tran Dat:
24890</t>
        </r>
      </text>
    </comment>
    <comment ref="B6" authorId="1" shapeId="0" xr:uid="{00000000-0006-0000-3100-000008000000}">
      <text>
        <r>
          <rPr>
            <sz val="12"/>
            <color theme="1"/>
            <rFont val="Aptos Narrow"/>
            <family val="2"/>
            <scheme val="minor"/>
          </rPr>
          <t>Tặng phiếu mua hàng mua AirPods và Apple Watch trị giá 500,000đ
 Phiếu mua hàng mua sản phẩm giá niêm yết từ 5 triệu thuộc các nhóm TAI NGHE - LOA hãng HARMAN KARDON, JBL,MONSTER, KLIPSCH, MARSHALL, SONY; Smartwatch hãng HUAWEI, GARMIN, SAMSUNG, IMOO, OPPO, AMAZFIT trị giá 500.000đ</t>
        </r>
      </text>
    </comment>
    <comment ref="C6" authorId="4" shapeId="0" xr:uid="{00000000-0006-0000-3100-000009000000}">
      <text>
        <r>
          <rPr>
            <sz val="12"/>
            <color theme="1"/>
            <rFont val="Aptos Narrow"/>
            <family val="2"/>
            <scheme val="minor"/>
          </rPr>
          <t>W13 31090</t>
        </r>
      </text>
    </comment>
    <comment ref="F6" authorId="2" shapeId="0" xr:uid="{00000000-0006-0000-3100-00000A000000}">
      <text>
        <r>
          <rPr>
            <sz val="12"/>
            <color theme="1"/>
            <rFont val="Aptos Narrow"/>
            <family val="2"/>
            <scheme val="minor"/>
          </rPr>
          <t>chit trang:
30.790k</t>
        </r>
      </text>
    </comment>
    <comment ref="G6" authorId="3" shapeId="0" xr:uid="{00000000-0006-0000-3100-00000B000000}">
      <text>
        <r>
          <rPr>
            <sz val="12"/>
            <color theme="1"/>
            <rFont val="Aptos Narrow"/>
            <family val="2"/>
            <scheme val="minor"/>
          </rPr>
          <t>Tran Dat:
30290</t>
        </r>
      </text>
    </comment>
    <comment ref="F7" authorId="2" shapeId="0" xr:uid="{00000000-0006-0000-3100-00000C000000}">
      <text>
        <r>
          <rPr>
            <sz val="12"/>
            <color theme="1"/>
            <rFont val="Aptos Narrow"/>
            <family val="2"/>
            <scheme val="minor"/>
          </rPr>
          <t>chit trang:
15.990k</t>
        </r>
      </text>
    </comment>
    <comment ref="B9" authorId="1" shapeId="0" xr:uid="{00000000-0006-0000-3100-00000D000000}">
      <text>
        <r>
          <rPr>
            <sz val="12"/>
            <color theme="1"/>
            <rFont val="Aptos Narrow"/>
            <family val="2"/>
            <scheme val="minor"/>
          </rPr>
          <t>was 29140000
VNP150</t>
        </r>
      </text>
    </comment>
    <comment ref="D9" authorId="0" shapeId="0" xr:uid="{00000000-0006-0000-3100-00000E000000}">
      <text>
        <r>
          <rPr>
            <sz val="12"/>
            <color theme="1"/>
            <rFont val="Aptos Narrow"/>
            <family val="2"/>
            <scheme val="minor"/>
          </rPr>
          <t>Việt Hoàng:
Last week:
28.490.000</t>
        </r>
      </text>
    </comment>
    <comment ref="F9" authorId="2" shapeId="0" xr:uid="{00000000-0006-0000-3100-00000F000000}">
      <text>
        <r>
          <rPr>
            <sz val="12"/>
            <color theme="1"/>
            <rFont val="Aptos Narrow"/>
            <family val="2"/>
            <scheme val="minor"/>
          </rPr>
          <t>chit trang:
28.490k</t>
        </r>
      </text>
    </comment>
    <comment ref="G9" authorId="3" shapeId="0" xr:uid="{00000000-0006-0000-3100-000010000000}">
      <text>
        <r>
          <rPr>
            <sz val="12"/>
            <color theme="1"/>
            <rFont val="Aptos Narrow"/>
            <family val="2"/>
            <scheme val="minor"/>
          </rPr>
          <t xml:space="preserve">Tran Dat:
28090
</t>
        </r>
      </text>
    </comment>
    <comment ref="B10" authorId="1" shapeId="0" xr:uid="{00000000-0006-0000-3100-000011000000}">
      <text>
        <r>
          <rPr>
            <sz val="12"/>
            <color theme="1"/>
            <rFont val="Aptos Narrow"/>
            <family val="2"/>
            <scheme val="minor"/>
          </rPr>
          <t>was 18440</t>
        </r>
      </text>
    </comment>
    <comment ref="B12" authorId="1" shapeId="0" xr:uid="{00000000-0006-0000-3100-000012000000}">
      <text>
        <r>
          <rPr>
            <sz val="12"/>
            <color theme="1"/>
            <rFont val="Aptos Narrow"/>
            <family val="2"/>
            <scheme val="minor"/>
          </rPr>
          <t>was 13190
VNP100</t>
        </r>
      </text>
    </comment>
    <comment ref="E12" authorId="1" shapeId="0" xr:uid="{00000000-0006-0000-3100-000013000000}">
      <text>
        <r>
          <rPr>
            <sz val="12"/>
            <color theme="1"/>
            <rFont val="Aptos Narrow"/>
            <family val="2"/>
            <scheme val="minor"/>
          </rPr>
          <t>was 11990
VNP1%</t>
        </r>
      </text>
    </comment>
    <comment ref="D15" authorId="0" shapeId="0" xr:uid="{00000000-0006-0000-3100-000014000000}">
      <text>
        <r>
          <rPr>
            <sz val="12"/>
            <color theme="1"/>
            <rFont val="Aptos Narrow"/>
            <family val="2"/>
            <scheme val="minor"/>
          </rPr>
          <t>Việt Hoàng:
Last week:
8.690.000</t>
        </r>
      </text>
    </comment>
    <comment ref="E15" authorId="1" shapeId="0" xr:uid="{00000000-0006-0000-3100-000015000000}">
      <text>
        <r>
          <rPr>
            <sz val="12"/>
            <color theme="1"/>
            <rFont val="Aptos Narrow"/>
            <family val="2"/>
            <scheme val="minor"/>
          </rPr>
          <t>was 7910
vnp1%</t>
        </r>
      </text>
    </comment>
    <comment ref="G15" authorId="3" shapeId="0" xr:uid="{00000000-0006-0000-3100-000016000000}">
      <text>
        <r>
          <rPr>
            <sz val="12"/>
            <color theme="1"/>
            <rFont val="Aptos Narrow"/>
            <family val="2"/>
            <scheme val="minor"/>
          </rPr>
          <t>Tran Dat:
8390</t>
        </r>
      </text>
    </comment>
    <comment ref="B16" authorId="1" shapeId="0" xr:uid="{00000000-0006-0000-3100-000017000000}">
      <text>
        <r>
          <rPr>
            <sz val="12"/>
            <color theme="1"/>
            <rFont val="Aptos Narrow"/>
            <family val="2"/>
            <scheme val="minor"/>
          </rPr>
          <t>was 7040
VNP40</t>
        </r>
      </text>
    </comment>
    <comment ref="E16" authorId="1" shapeId="0" xr:uid="{00000000-0006-0000-3100-000018000000}">
      <text>
        <r>
          <rPr>
            <sz val="12"/>
            <color theme="1"/>
            <rFont val="Aptos Narrow"/>
            <family val="2"/>
            <scheme val="minor"/>
          </rPr>
          <t>was 6990</t>
        </r>
      </text>
    </comment>
    <comment ref="B17" authorId="1" shapeId="0" xr:uid="{00000000-0006-0000-3100-000019000000}">
      <text>
        <r>
          <rPr>
            <sz val="12"/>
            <color theme="1"/>
            <rFont val="Aptos Narrow"/>
            <family val="2"/>
            <scheme val="minor"/>
          </rPr>
          <t>was 14390</t>
        </r>
      </text>
    </comment>
    <comment ref="D17" authorId="0" shapeId="0" xr:uid="{00000000-0006-0000-3100-00001A000000}">
      <text>
        <r>
          <rPr>
            <sz val="12"/>
            <color theme="1"/>
            <rFont val="Aptos Narrow"/>
            <family val="2"/>
            <scheme val="minor"/>
          </rPr>
          <t>Việt Hoàng:
Last week:
16.590.000</t>
        </r>
      </text>
    </comment>
    <comment ref="G17" authorId="3" shapeId="0" xr:uid="{00000000-0006-0000-3100-00001B000000}">
      <text>
        <r>
          <rPr>
            <sz val="12"/>
            <color theme="1"/>
            <rFont val="Aptos Narrow"/>
            <family val="2"/>
            <scheme val="minor"/>
          </rPr>
          <t>Tran Dat:
16590</t>
        </r>
      </text>
    </comment>
    <comment ref="F18" authorId="2" shapeId="0" xr:uid="{00000000-0006-0000-3100-00001C000000}">
      <text>
        <r>
          <rPr>
            <sz val="12"/>
            <color theme="1"/>
            <rFont val="Aptos Narrow"/>
            <family val="2"/>
            <scheme val="minor"/>
          </rPr>
          <t>chit trang:
20.490k</t>
        </r>
      </text>
    </comment>
    <comment ref="G18" authorId="3" shapeId="0" xr:uid="{00000000-0006-0000-3100-00001D000000}">
      <text>
        <r>
          <rPr>
            <sz val="12"/>
            <color theme="1"/>
            <rFont val="Aptos Narrow"/>
            <family val="2"/>
            <scheme val="minor"/>
          </rPr>
          <t>Tran Dat:
20890</t>
        </r>
      </text>
    </comment>
    <comment ref="E19" authorId="1" shapeId="0" xr:uid="{00000000-0006-0000-3100-00001E000000}">
      <text>
        <r>
          <rPr>
            <sz val="12"/>
            <color theme="1"/>
            <rFont val="Aptos Narrow"/>
            <family val="2"/>
            <scheme val="minor"/>
          </rPr>
          <t xml:space="preserve">was OOS
</t>
        </r>
      </text>
    </comment>
    <comment ref="G19" authorId="3" shapeId="0" xr:uid="{00000000-0006-0000-3100-00001F000000}">
      <text>
        <r>
          <rPr>
            <sz val="12"/>
            <color theme="1"/>
            <rFont val="Aptos Narrow"/>
            <family val="2"/>
            <scheme val="minor"/>
          </rPr>
          <t>Tran Dat:
27090</t>
        </r>
      </text>
    </comment>
    <comment ref="B20" authorId="1" shapeId="0" xr:uid="{00000000-0006-0000-3100-000020000000}">
      <text>
        <r>
          <rPr>
            <sz val="12"/>
            <color theme="1"/>
            <rFont val="Aptos Narrow"/>
            <family val="2"/>
            <scheme val="minor"/>
          </rPr>
          <t>was 36640</t>
        </r>
      </text>
    </comment>
    <comment ref="G20" authorId="3" shapeId="0" xr:uid="{00000000-0006-0000-3100-000021000000}">
      <text>
        <r>
          <rPr>
            <sz val="12"/>
            <color theme="1"/>
            <rFont val="Aptos Narrow"/>
            <family val="2"/>
            <scheme val="minor"/>
          </rPr>
          <t>Tran Dat:
36490</t>
        </r>
      </text>
    </comment>
    <comment ref="C21" authorId="4" shapeId="0" xr:uid="{00000000-0006-0000-3100-000022000000}">
      <text>
        <r>
          <rPr>
            <sz val="12"/>
            <color theme="1"/>
            <rFont val="Aptos Narrow"/>
            <family val="2"/>
            <scheme val="minor"/>
          </rPr>
          <t>W13 5990</t>
        </r>
      </text>
    </comment>
    <comment ref="F21" authorId="2" shapeId="0" xr:uid="{00000000-0006-0000-3100-000023000000}">
      <text>
        <r>
          <rPr>
            <sz val="12"/>
            <color theme="1"/>
            <rFont val="Aptos Narrow"/>
            <family val="2"/>
            <scheme val="minor"/>
          </rPr>
          <t>chit trang:
5.590k</t>
        </r>
      </text>
    </comment>
    <comment ref="C22" authorId="4" shapeId="0" xr:uid="{00000000-0006-0000-3100-000024000000}">
      <text>
        <r>
          <rPr>
            <sz val="12"/>
            <color theme="1"/>
            <rFont val="Aptos Narrow"/>
            <family val="2"/>
            <scheme val="minor"/>
          </rPr>
          <t>W13 7190</t>
        </r>
      </text>
    </comment>
    <comment ref="D22" authorId="0" shapeId="0" xr:uid="{00000000-0006-0000-3100-000025000000}">
      <text>
        <r>
          <rPr>
            <sz val="12"/>
            <color theme="1"/>
            <rFont val="Aptos Narrow"/>
            <family val="2"/>
            <scheme val="minor"/>
          </rPr>
          <t>Việt Hoàng:
Last week:
7.190.000</t>
        </r>
      </text>
    </comment>
    <comment ref="E22" authorId="1" shapeId="0" xr:uid="{00000000-0006-0000-3100-000026000000}">
      <text>
        <r>
          <rPr>
            <sz val="12"/>
            <color theme="1"/>
            <rFont val="Aptos Narrow"/>
            <family val="2"/>
            <scheme val="minor"/>
          </rPr>
          <t xml:space="preserve">was 6524
vnp1%
</t>
        </r>
      </text>
    </comment>
    <comment ref="G22" authorId="3" shapeId="0" xr:uid="{00000000-0006-0000-3100-000027000000}">
      <text>
        <r>
          <rPr>
            <sz val="12"/>
            <color theme="1"/>
            <rFont val="Aptos Narrow"/>
            <family val="2"/>
            <scheme val="minor"/>
          </rPr>
          <t>6990</t>
        </r>
      </text>
    </comment>
    <comment ref="C23" authorId="4" shapeId="0" xr:uid="{00000000-0006-0000-3100-000028000000}">
      <text>
        <r>
          <rPr>
            <sz val="12"/>
            <color theme="1"/>
            <rFont val="Aptos Narrow"/>
            <family val="2"/>
            <scheme val="minor"/>
          </rPr>
          <t>W13 6690</t>
        </r>
      </text>
    </comment>
    <comment ref="D23" authorId="0" shapeId="0" xr:uid="{00000000-0006-0000-3100-000029000000}">
      <text>
        <r>
          <rPr>
            <sz val="12"/>
            <color theme="1"/>
            <rFont val="Aptos Narrow"/>
            <family val="2"/>
            <scheme val="minor"/>
          </rPr>
          <t>Việt Hoàng:
Last week:
6.690.000</t>
        </r>
      </text>
    </comment>
    <comment ref="E23" authorId="1" shapeId="0" xr:uid="{00000000-0006-0000-3100-00002A000000}">
      <text>
        <r>
          <rPr>
            <sz val="12"/>
            <color theme="1"/>
            <rFont val="Aptos Narrow"/>
            <family val="2"/>
            <scheme val="minor"/>
          </rPr>
          <t xml:space="preserve">was 6425
vnp1%
</t>
        </r>
      </text>
    </comment>
    <comment ref="G23" authorId="3" shapeId="0" xr:uid="{00000000-0006-0000-3100-00002B000000}">
      <text>
        <r>
          <rPr>
            <sz val="12"/>
            <color theme="1"/>
            <rFont val="Aptos Narrow"/>
            <family val="2"/>
            <scheme val="minor"/>
          </rPr>
          <t>Tran Dat:
6490</t>
        </r>
      </text>
    </comment>
    <comment ref="G24" authorId="3" shapeId="0" xr:uid="{00000000-0006-0000-3100-00002C000000}">
      <text>
        <r>
          <rPr>
            <sz val="12"/>
            <color theme="1"/>
            <rFont val="Aptos Narrow"/>
            <family val="2"/>
            <scheme val="minor"/>
          </rPr>
          <t>7390</t>
        </r>
      </text>
    </comment>
    <comment ref="C25" authorId="4" shapeId="0" xr:uid="{00000000-0006-0000-3100-00002D000000}">
      <text>
        <r>
          <rPr>
            <sz val="12"/>
            <color theme="1"/>
            <rFont val="Aptos Narrow"/>
            <family val="2"/>
            <scheme val="minor"/>
          </rPr>
          <t>W13 10190</t>
        </r>
      </text>
    </comment>
    <comment ref="D25" authorId="0" shapeId="0" xr:uid="{00000000-0006-0000-3100-00002E000000}">
      <text>
        <r>
          <rPr>
            <sz val="12"/>
            <color theme="1"/>
            <rFont val="Aptos Narrow"/>
            <family val="2"/>
            <scheme val="minor"/>
          </rPr>
          <t>Việt Hoàng:
Last week:
10.690.000</t>
        </r>
      </text>
    </comment>
    <comment ref="E25" authorId="1" shapeId="0" xr:uid="{00000000-0006-0000-3100-00002F000000}">
      <text>
        <r>
          <rPr>
            <sz val="12"/>
            <color theme="1"/>
            <rFont val="Aptos Narrow"/>
            <family val="2"/>
            <scheme val="minor"/>
          </rPr>
          <t>was 10286
vnp1%</t>
        </r>
      </text>
    </comment>
    <comment ref="F25" authorId="2" shapeId="0" xr:uid="{00000000-0006-0000-3100-000030000000}">
      <text>
        <r>
          <rPr>
            <sz val="12"/>
            <color theme="1"/>
            <rFont val="Aptos Narrow"/>
            <family val="2"/>
            <scheme val="minor"/>
          </rPr>
          <t>chit trang:
10.190k</t>
        </r>
      </text>
    </comment>
    <comment ref="G25" authorId="3" shapeId="0" xr:uid="{00000000-0006-0000-3100-000031000000}">
      <text>
        <r>
          <rPr>
            <sz val="12"/>
            <color theme="1"/>
            <rFont val="Aptos Narrow"/>
            <family val="2"/>
            <scheme val="minor"/>
          </rPr>
          <t>Tran Dat:
10190</t>
        </r>
      </text>
    </comment>
    <comment ref="C26" authorId="4" shapeId="0" xr:uid="{00000000-0006-0000-3100-000032000000}">
      <text>
        <r>
          <rPr>
            <sz val="12"/>
            <color theme="1"/>
            <rFont val="Aptos Narrow"/>
            <family val="2"/>
            <scheme val="minor"/>
          </rPr>
          <t>W13 13490</t>
        </r>
      </text>
    </comment>
    <comment ref="D26" authorId="0" shapeId="0" xr:uid="{00000000-0006-0000-3100-000033000000}">
      <text>
        <r>
          <rPr>
            <sz val="12"/>
            <color theme="1"/>
            <rFont val="Aptos Narrow"/>
            <family val="2"/>
            <scheme val="minor"/>
          </rPr>
          <t>Việt Hoàng:
Last week:
13.290.000</t>
        </r>
      </text>
    </comment>
    <comment ref="E26" authorId="1" shapeId="0" xr:uid="{00000000-0006-0000-3100-000034000000}">
      <text>
        <r>
          <rPr>
            <sz val="12"/>
            <color theme="1"/>
            <rFont val="Aptos Narrow"/>
            <family val="2"/>
            <scheme val="minor"/>
          </rPr>
          <t xml:space="preserve">was 12860
vnp1%
</t>
        </r>
      </text>
    </comment>
    <comment ref="F26" authorId="2" shapeId="0" xr:uid="{00000000-0006-0000-3100-000035000000}">
      <text>
        <r>
          <rPr>
            <sz val="12"/>
            <color theme="1"/>
            <rFont val="Aptos Narrow"/>
            <family val="2"/>
            <scheme val="minor"/>
          </rPr>
          <t>chit trang:
12.990k</t>
        </r>
      </text>
    </comment>
    <comment ref="C27" authorId="4" shapeId="0" xr:uid="{00000000-0006-0000-3100-000036000000}">
      <text>
        <r>
          <rPr>
            <sz val="12"/>
            <color theme="1"/>
            <rFont val="Aptos Narrow"/>
            <family val="2"/>
            <scheme val="minor"/>
          </rPr>
          <t>W13 11690</t>
        </r>
      </text>
    </comment>
    <comment ref="D27" authorId="0" shapeId="0" xr:uid="{00000000-0006-0000-3100-000037000000}">
      <text>
        <r>
          <rPr>
            <sz val="12"/>
            <color theme="1"/>
            <rFont val="Aptos Narrow"/>
            <family val="2"/>
            <scheme val="minor"/>
          </rPr>
          <t>Việt Hoàng:
Last week:
11.490.000</t>
        </r>
      </text>
    </comment>
    <comment ref="E27" authorId="1" shapeId="0" xr:uid="{00000000-0006-0000-3100-000038000000}">
      <text>
        <r>
          <rPr>
            <sz val="12"/>
            <color theme="1"/>
            <rFont val="Aptos Narrow"/>
            <family val="2"/>
            <scheme val="minor"/>
          </rPr>
          <t>was 11177
vnp1%</t>
        </r>
      </text>
    </comment>
    <comment ref="B28" authorId="1" shapeId="0" xr:uid="{00000000-0006-0000-3100-000039000000}">
      <text>
        <r>
          <rPr>
            <sz val="12"/>
            <color theme="1"/>
            <rFont val="Aptos Narrow"/>
            <family val="2"/>
            <scheme val="minor"/>
          </rPr>
          <t>was 13320
VNP100</t>
        </r>
      </text>
    </comment>
    <comment ref="C28" authorId="4" shapeId="0" xr:uid="{00000000-0006-0000-3100-00003A000000}">
      <text>
        <r>
          <rPr>
            <sz val="12"/>
            <color theme="1"/>
            <rFont val="Aptos Narrow"/>
            <family val="2"/>
            <scheme val="minor"/>
          </rPr>
          <t>W13 14290</t>
        </r>
      </text>
    </comment>
    <comment ref="D28" authorId="0" shapeId="0" xr:uid="{00000000-0006-0000-3100-00003B000000}">
      <text>
        <r>
          <rPr>
            <sz val="12"/>
            <color theme="1"/>
            <rFont val="Aptos Narrow"/>
            <family val="2"/>
            <scheme val="minor"/>
          </rPr>
          <t>Việt Hoàng:
Last week:
13.990.000</t>
        </r>
      </text>
    </comment>
    <comment ref="E28" authorId="1" shapeId="0" xr:uid="{00000000-0006-0000-3100-00003C000000}">
      <text>
        <r>
          <rPr>
            <sz val="12"/>
            <color theme="1"/>
            <rFont val="Aptos Narrow"/>
            <family val="2"/>
            <scheme val="minor"/>
          </rPr>
          <t>was 13256
vnp1%</t>
        </r>
      </text>
    </comment>
    <comment ref="F28" authorId="2" shapeId="0" xr:uid="{00000000-0006-0000-3100-00003D000000}">
      <text>
        <r>
          <rPr>
            <sz val="12"/>
            <color theme="1"/>
            <rFont val="Aptos Narrow"/>
            <family val="2"/>
            <scheme val="minor"/>
          </rPr>
          <t>chit trang:
13.290k</t>
        </r>
      </text>
    </comment>
    <comment ref="E29" authorId="1" shapeId="0" xr:uid="{00000000-0006-0000-3100-00003E000000}">
      <text>
        <r>
          <rPr>
            <sz val="12"/>
            <color theme="1"/>
            <rFont val="Aptos Narrow"/>
            <family val="2"/>
            <scheme val="minor"/>
          </rPr>
          <t>was 21590
vnp1%</t>
        </r>
      </text>
    </comment>
    <comment ref="B30" authorId="1" shapeId="0" xr:uid="{00000000-0006-0000-3100-00003F000000}">
      <text>
        <r>
          <rPr>
            <sz val="12"/>
            <color theme="1"/>
            <rFont val="Aptos Narrow"/>
            <family val="2"/>
            <scheme val="minor"/>
          </rPr>
          <t>was 5550
VNP40</t>
        </r>
      </text>
    </comment>
    <comment ref="C30" authorId="4" shapeId="0" xr:uid="{00000000-0006-0000-3100-000040000000}">
      <text>
        <r>
          <rPr>
            <sz val="12"/>
            <color theme="1"/>
            <rFont val="Aptos Narrow"/>
            <family val="2"/>
            <scheme val="minor"/>
          </rPr>
          <t>W13 5590</t>
        </r>
      </text>
    </comment>
    <comment ref="D30" authorId="0" shapeId="0" xr:uid="{00000000-0006-0000-3100-000041000000}">
      <text>
        <r>
          <rPr>
            <sz val="12"/>
            <color theme="1"/>
            <rFont val="Aptos Narrow"/>
            <family val="2"/>
            <scheme val="minor"/>
          </rPr>
          <t>Việt Hoàng:
Last week:
5.390.000</t>
        </r>
      </text>
    </comment>
    <comment ref="E30" authorId="1" shapeId="0" xr:uid="{00000000-0006-0000-3100-000042000000}">
      <text>
        <r>
          <rPr>
            <sz val="12"/>
            <color theme="1"/>
            <rFont val="Aptos Narrow"/>
            <family val="2"/>
            <scheme val="minor"/>
          </rPr>
          <t>was 5336</t>
        </r>
      </text>
    </comment>
    <comment ref="B31" authorId="1" shapeId="0" xr:uid="{00000000-0006-0000-3100-000043000000}">
      <text>
        <r>
          <rPr>
            <sz val="12"/>
            <color theme="1"/>
            <rFont val="Aptos Narrow"/>
            <family val="2"/>
            <scheme val="minor"/>
          </rPr>
          <t xml:space="preserve">was 4490
</t>
        </r>
      </text>
    </comment>
    <comment ref="C31" authorId="4" shapeId="0" xr:uid="{00000000-0006-0000-3100-000044000000}">
      <text>
        <r>
          <rPr>
            <sz val="12"/>
            <color theme="1"/>
            <rFont val="Aptos Narrow"/>
            <family val="2"/>
            <scheme val="minor"/>
          </rPr>
          <t>W13 4490</t>
        </r>
      </text>
    </comment>
    <comment ref="D31" authorId="0" shapeId="0" xr:uid="{00000000-0006-0000-3100-000045000000}">
      <text>
        <r>
          <rPr>
            <sz val="12"/>
            <color theme="1"/>
            <rFont val="Aptos Narrow"/>
            <family val="2"/>
            <scheme val="minor"/>
          </rPr>
          <t>Việt Hoàng:
Last week:
4.290.000</t>
        </r>
      </text>
    </comment>
    <comment ref="E31" authorId="1" shapeId="0" xr:uid="{00000000-0006-0000-3100-000046000000}">
      <text>
        <r>
          <rPr>
            <sz val="12"/>
            <color theme="1"/>
            <rFont val="Aptos Narrow"/>
            <family val="2"/>
            <scheme val="minor"/>
          </rPr>
          <t>was 4247</t>
        </r>
      </text>
    </comment>
    <comment ref="G31" authorId="3" shapeId="0" xr:uid="{00000000-0006-0000-3100-000047000000}">
      <text>
        <r>
          <rPr>
            <sz val="12"/>
            <color theme="1"/>
            <rFont val="Aptos Narrow"/>
            <family val="2"/>
            <scheme val="minor"/>
          </rPr>
          <t>Tran Dat:
4290</t>
        </r>
      </text>
    </comment>
    <comment ref="B32" authorId="1" shapeId="0" xr:uid="{00000000-0006-0000-3100-000048000000}">
      <text>
        <r>
          <rPr>
            <sz val="12"/>
            <color theme="1"/>
            <rFont val="Aptos Narrow"/>
            <family val="2"/>
            <scheme val="minor"/>
          </rPr>
          <t>was 3190</t>
        </r>
      </text>
    </comment>
    <comment ref="C32" authorId="4" shapeId="0" xr:uid="{00000000-0006-0000-3100-000049000000}">
      <text>
        <r>
          <rPr>
            <sz val="12"/>
            <color theme="1"/>
            <rFont val="Aptos Narrow"/>
            <family val="2"/>
            <scheme val="minor"/>
          </rPr>
          <t>W13 3290</t>
        </r>
      </text>
    </comment>
    <comment ref="D32" authorId="0" shapeId="0" xr:uid="{00000000-0006-0000-3100-00004A000000}">
      <text>
        <r>
          <rPr>
            <sz val="12"/>
            <color theme="1"/>
            <rFont val="Aptos Narrow"/>
            <family val="2"/>
            <scheme val="minor"/>
          </rPr>
          <t>Việt Hoàng:
Last week:
3.090.000</t>
        </r>
      </text>
    </comment>
    <comment ref="E32" authorId="1" shapeId="0" xr:uid="{00000000-0006-0000-3100-00004B000000}">
      <text>
        <r>
          <rPr>
            <sz val="12"/>
            <color theme="1"/>
            <rFont val="Aptos Narrow"/>
            <family val="2"/>
            <scheme val="minor"/>
          </rPr>
          <t>was 2960</t>
        </r>
      </text>
    </comment>
    <comment ref="G32" authorId="3" shapeId="0" xr:uid="{00000000-0006-0000-3100-00004C000000}">
      <text>
        <r>
          <rPr>
            <sz val="12"/>
            <color theme="1"/>
            <rFont val="Aptos Narrow"/>
            <family val="2"/>
            <scheme val="minor"/>
          </rPr>
          <t>Tran Dat:
3390</t>
        </r>
      </text>
    </comment>
    <comment ref="B33" authorId="1" shapeId="0" xr:uid="{00000000-0006-0000-3100-00004D000000}">
      <text>
        <r>
          <rPr>
            <sz val="12"/>
            <color theme="1"/>
            <rFont val="Aptos Narrow"/>
            <family val="2"/>
            <scheme val="minor"/>
          </rPr>
          <t>was 18090
VNP100</t>
        </r>
      </text>
    </comment>
    <comment ref="C33" authorId="4" shapeId="0" xr:uid="{00000000-0006-0000-3100-00004E000000}">
      <text>
        <r>
          <rPr>
            <sz val="12"/>
            <color theme="1"/>
            <rFont val="Aptos Narrow"/>
            <family val="2"/>
            <scheme val="minor"/>
          </rPr>
          <t>W13 17490</t>
        </r>
      </text>
    </comment>
    <comment ref="D33" authorId="0" shapeId="0" xr:uid="{00000000-0006-0000-3100-00004F000000}">
      <text>
        <r>
          <rPr>
            <sz val="12"/>
            <color theme="1"/>
            <rFont val="Aptos Narrow"/>
            <family val="2"/>
            <scheme val="minor"/>
          </rPr>
          <t>Việt Hoàng:
Last week:
16.990.000</t>
        </r>
      </text>
    </comment>
    <comment ref="F33" authorId="2" shapeId="0" xr:uid="{00000000-0006-0000-3100-000050000000}">
      <text>
        <r>
          <rPr>
            <sz val="12"/>
            <color theme="1"/>
            <rFont val="Aptos Narrow"/>
            <family val="2"/>
            <scheme val="minor"/>
          </rPr>
          <t>chit trang:
17.490k</t>
        </r>
      </text>
    </comment>
    <comment ref="C34" authorId="4" shapeId="0" xr:uid="{00000000-0006-0000-3100-000051000000}">
      <text>
        <r>
          <rPr>
            <sz val="12"/>
            <color theme="1"/>
            <rFont val="Aptos Narrow"/>
            <family val="2"/>
            <scheme val="minor"/>
          </rPr>
          <t>W13 22990</t>
        </r>
      </text>
    </comment>
    <comment ref="D34" authorId="0" shapeId="0" xr:uid="{00000000-0006-0000-3100-000052000000}">
      <text>
        <r>
          <rPr>
            <sz val="12"/>
            <color theme="1"/>
            <rFont val="Aptos Narrow"/>
            <family val="2"/>
            <scheme val="minor"/>
          </rPr>
          <t>Việt Hoàng:
Last week:
22.990.000</t>
        </r>
      </text>
    </comment>
    <comment ref="F34" authorId="2" shapeId="0" xr:uid="{00000000-0006-0000-3100-000053000000}">
      <text>
        <r>
          <rPr>
            <sz val="12"/>
            <color theme="1"/>
            <rFont val="Aptos Narrow"/>
            <family val="2"/>
            <scheme val="minor"/>
          </rPr>
          <t>chit trang:
22.890k</t>
        </r>
      </text>
    </comment>
    <comment ref="G34" authorId="3" shapeId="0" xr:uid="{00000000-0006-0000-3100-000054000000}">
      <text>
        <r>
          <rPr>
            <sz val="12"/>
            <color theme="1"/>
            <rFont val="Aptos Narrow"/>
            <family val="2"/>
            <scheme val="minor"/>
          </rPr>
          <t>Tran Dat:
22790</t>
        </r>
      </text>
    </comment>
    <comment ref="B35" authorId="1" shapeId="0" xr:uid="{00000000-0006-0000-3100-000055000000}">
      <text>
        <r>
          <rPr>
            <sz val="12"/>
            <color theme="1"/>
            <rFont val="Aptos Narrow"/>
            <family val="2"/>
            <scheme val="minor"/>
          </rPr>
          <t>was 26140
VNP150</t>
        </r>
      </text>
    </comment>
    <comment ref="F35" authorId="2" shapeId="0" xr:uid="{00000000-0006-0000-3100-000056000000}">
      <text>
        <r>
          <rPr>
            <sz val="12"/>
            <color theme="1"/>
            <rFont val="Aptos Narrow"/>
            <family val="2"/>
            <scheme val="minor"/>
          </rPr>
          <t>chit trang:
25.390k</t>
        </r>
      </text>
    </comment>
    <comment ref="G35" authorId="3" shapeId="0" xr:uid="{00000000-0006-0000-3100-000057000000}">
      <text>
        <r>
          <rPr>
            <sz val="12"/>
            <color theme="1"/>
            <rFont val="Aptos Narrow"/>
            <family val="2"/>
            <scheme val="minor"/>
          </rPr>
          <t>Tran Dat:
26690</t>
        </r>
      </text>
    </comment>
    <comment ref="D36" authorId="0" shapeId="0" xr:uid="{00000000-0006-0000-3100-000058000000}">
      <text>
        <r>
          <rPr>
            <sz val="12"/>
            <color theme="1"/>
            <rFont val="Aptos Narrow"/>
            <family val="2"/>
            <scheme val="minor"/>
          </rPr>
          <t>Việt Hoàng:
Last week:
30.590.000</t>
        </r>
      </text>
    </comment>
  </commentList>
</comments>
</file>

<file path=xl/comments51.xml><?xml version="1.0" encoding="utf-8"?>
<comments xmlns="http://schemas.openxmlformats.org/spreadsheetml/2006/main" xmlns:mc="http://schemas.openxmlformats.org/markup-compatibility/2006" xmlns:xr="http://schemas.microsoft.com/office/spreadsheetml/2014/revision" mc:Ignorable="xr">
  <authors>
    <author>Tran Dat</author>
    <author>chit trang</author>
    <author>Microsoft Office User</author>
    <author>Duy</author>
    <author>Việt Hoàng</author>
  </authors>
  <commentList>
    <comment ref="G2" authorId="0" shapeId="0" xr:uid="{00000000-0006-0000-3200-000001000000}">
      <text>
        <r>
          <rPr>
            <sz val="12"/>
            <color theme="1"/>
            <rFont val="Aptos Narrow"/>
            <family val="2"/>
            <scheme val="minor"/>
          </rPr>
          <t>Tran Dat:
16190</t>
        </r>
      </text>
    </comment>
    <comment ref="F3" authorId="1" shapeId="0" xr:uid="{00000000-0006-0000-3200-000002000000}">
      <text>
        <r>
          <rPr>
            <sz val="12"/>
            <color theme="1"/>
            <rFont val="Aptos Narrow"/>
            <family val="2"/>
            <scheme val="minor"/>
          </rPr>
          <t>chit trang:
18.990k</t>
        </r>
      </text>
    </comment>
    <comment ref="B4" authorId="2" shapeId="0" xr:uid="{00000000-0006-0000-3200-000003000000}">
      <text>
        <r>
          <rPr>
            <sz val="12"/>
            <color theme="1"/>
            <rFont val="Aptos Narrow"/>
            <family val="2"/>
            <scheme val="minor"/>
          </rPr>
          <t>was 24640000
VNP150</t>
        </r>
      </text>
    </comment>
    <comment ref="C4" authorId="3" shapeId="0" xr:uid="{00000000-0006-0000-3200-000004000000}">
      <text>
        <r>
          <rPr>
            <sz val="12"/>
            <color theme="1"/>
            <rFont val="Aptos Narrow"/>
            <family val="2"/>
            <scheme val="minor"/>
          </rPr>
          <t>W1 22.690</t>
        </r>
      </text>
    </comment>
    <comment ref="D4" authorId="4" shapeId="0" xr:uid="{00000000-0006-0000-3200-000005000000}">
      <text>
        <r>
          <rPr>
            <sz val="12"/>
            <color theme="1"/>
            <rFont val="Aptos Narrow"/>
            <family val="2"/>
            <scheme val="minor"/>
          </rPr>
          <t>Việt Hoàng:
Last week:
22.590.000</t>
        </r>
      </text>
    </comment>
    <comment ref="E5" authorId="2" shapeId="0" xr:uid="{00000000-0006-0000-3200-000006000000}">
      <text>
        <r>
          <rPr>
            <sz val="12"/>
            <color theme="1"/>
            <rFont val="Aptos Narrow"/>
            <family val="2"/>
            <scheme val="minor"/>
          </rPr>
          <t>was 24990
-300</t>
        </r>
      </text>
    </comment>
    <comment ref="B6" authorId="2" shapeId="0" xr:uid="{00000000-0006-0000-3200-000007000000}">
      <text>
        <r>
          <rPr>
            <sz val="12"/>
            <color theme="1"/>
            <rFont val="Aptos Narrow"/>
            <family val="2"/>
            <scheme val="minor"/>
          </rPr>
          <t>Tặng phiếu mua hàng mua AirPods và Apple Watch trị giá 500,000đ
 Phiếu mua hàng mua sản phẩm giá niêm yết từ 5 triệu thuộc các nhóm TAI NGHE - LOA hãng HARMAN KARDON, JBL,MONSTER, KLIPSCH, MARSHALL, SONY; Smartwatch hãng HUAWEI, GARMIN, SAMSUNG, IMOO, OPPO, AMAZFIT trị giá 500.000đ</t>
        </r>
      </text>
    </comment>
    <comment ref="E6" authorId="2" shapeId="0" xr:uid="{00000000-0006-0000-3200-000008000000}">
      <text>
        <r>
          <rPr>
            <sz val="12"/>
            <color theme="1"/>
            <rFont val="Aptos Narrow"/>
            <family val="2"/>
            <scheme val="minor"/>
          </rPr>
          <t>was 30490
Online -300</t>
        </r>
      </text>
    </comment>
    <comment ref="C8" authorId="3" shapeId="0" xr:uid="{00000000-0006-0000-3200-000009000000}">
      <text>
        <r>
          <rPr>
            <sz val="12"/>
            <color theme="1"/>
            <rFont val="Aptos Narrow"/>
            <family val="2"/>
            <scheme val="minor"/>
          </rPr>
          <t>W1 19.790</t>
        </r>
      </text>
    </comment>
    <comment ref="D8" authorId="4" shapeId="0" xr:uid="{00000000-0006-0000-3200-00000A000000}">
      <text>
        <r>
          <rPr>
            <sz val="12"/>
            <color theme="1"/>
            <rFont val="Aptos Narrow"/>
            <family val="2"/>
            <scheme val="minor"/>
          </rPr>
          <t>Việt Hoàng:
Last week:
19.790.000</t>
        </r>
      </text>
    </comment>
    <comment ref="B9" authorId="2" shapeId="0" xr:uid="{00000000-0006-0000-3200-00000B000000}">
      <text>
        <r>
          <rPr>
            <sz val="12"/>
            <color theme="1"/>
            <rFont val="Aptos Narrow"/>
            <family val="2"/>
            <scheme val="minor"/>
          </rPr>
          <t>was 29140000
VNP150</t>
        </r>
      </text>
    </comment>
    <comment ref="D9" authorId="4" shapeId="0" xr:uid="{00000000-0006-0000-3200-00000C000000}">
      <text>
        <r>
          <rPr>
            <sz val="12"/>
            <color theme="1"/>
            <rFont val="Aptos Narrow"/>
            <family val="2"/>
            <scheme val="minor"/>
          </rPr>
          <t>Việt Hoàng:
Last week:
27.990.000</t>
        </r>
      </text>
    </comment>
    <comment ref="F9" authorId="1" shapeId="0" xr:uid="{00000000-0006-0000-3200-00000D000000}">
      <text>
        <r>
          <rPr>
            <sz val="12"/>
            <color theme="1"/>
            <rFont val="Aptos Narrow"/>
            <family val="2"/>
            <scheme val="minor"/>
          </rPr>
          <t>chit trang:
28.690k</t>
        </r>
      </text>
    </comment>
    <comment ref="B10" authorId="2" shapeId="0" xr:uid="{00000000-0006-0000-3200-00000E000000}">
      <text>
        <r>
          <rPr>
            <sz val="12"/>
            <color theme="1"/>
            <rFont val="Aptos Narrow"/>
            <family val="2"/>
            <scheme val="minor"/>
          </rPr>
          <t>was 18440</t>
        </r>
      </text>
    </comment>
    <comment ref="C11" authorId="3" shapeId="0" xr:uid="{00000000-0006-0000-3200-00000F000000}">
      <text>
        <r>
          <rPr>
            <sz val="12"/>
            <color theme="1"/>
            <rFont val="Aptos Narrow"/>
            <family val="2"/>
            <scheme val="minor"/>
          </rPr>
          <t>W1 12.990</t>
        </r>
      </text>
    </comment>
    <comment ref="B12" authorId="2" shapeId="0" xr:uid="{00000000-0006-0000-3200-000010000000}">
      <text>
        <r>
          <rPr>
            <sz val="12"/>
            <color theme="1"/>
            <rFont val="Aptos Narrow"/>
            <family val="2"/>
            <scheme val="minor"/>
          </rPr>
          <t>was 13190
VNP100</t>
        </r>
      </text>
    </comment>
    <comment ref="C15" authorId="3" shapeId="0" xr:uid="{00000000-0006-0000-3200-000011000000}">
      <text>
        <r>
          <rPr>
            <sz val="12"/>
            <color theme="1"/>
            <rFont val="Aptos Narrow"/>
            <family val="2"/>
            <scheme val="minor"/>
          </rPr>
          <t>W1 8.690</t>
        </r>
      </text>
    </comment>
    <comment ref="D15" authorId="4" shapeId="0" xr:uid="{00000000-0006-0000-3200-000012000000}">
      <text>
        <r>
          <rPr>
            <sz val="12"/>
            <color theme="1"/>
            <rFont val="Aptos Narrow"/>
            <family val="2"/>
            <scheme val="minor"/>
          </rPr>
          <t>Việt Hoàng:
Last week:
8.590.000</t>
        </r>
      </text>
    </comment>
    <comment ref="B16" authorId="2" shapeId="0" xr:uid="{00000000-0006-0000-3200-000013000000}">
      <text>
        <r>
          <rPr>
            <sz val="12"/>
            <color theme="1"/>
            <rFont val="Aptos Narrow"/>
            <family val="2"/>
            <scheme val="minor"/>
          </rPr>
          <t>was 7040
VNP40</t>
        </r>
      </text>
    </comment>
    <comment ref="B17" authorId="2" shapeId="0" xr:uid="{00000000-0006-0000-3200-000014000000}">
      <text>
        <r>
          <rPr>
            <sz val="12"/>
            <color theme="1"/>
            <rFont val="Aptos Narrow"/>
            <family val="2"/>
            <scheme val="minor"/>
          </rPr>
          <t>was 14390</t>
        </r>
      </text>
    </comment>
    <comment ref="C17" authorId="3" shapeId="0" xr:uid="{00000000-0006-0000-3200-000015000000}">
      <text>
        <r>
          <rPr>
            <sz val="12"/>
            <color theme="1"/>
            <rFont val="Aptos Narrow"/>
            <family val="2"/>
            <scheme val="minor"/>
          </rPr>
          <t>W1 16490</t>
        </r>
      </text>
    </comment>
    <comment ref="C18" authorId="3" shapeId="0" xr:uid="{00000000-0006-0000-3200-000016000000}">
      <text>
        <r>
          <rPr>
            <sz val="12"/>
            <color theme="1"/>
            <rFont val="Aptos Narrow"/>
            <family val="2"/>
            <scheme val="minor"/>
          </rPr>
          <t>W1 20490</t>
        </r>
      </text>
    </comment>
    <comment ref="C19" authorId="3" shapeId="0" xr:uid="{00000000-0006-0000-3200-000017000000}">
      <text>
        <r>
          <rPr>
            <sz val="12"/>
            <color theme="1"/>
            <rFont val="Aptos Narrow"/>
            <family val="2"/>
            <scheme val="minor"/>
          </rPr>
          <t>W1 27890</t>
        </r>
      </text>
    </comment>
    <comment ref="B20" authorId="2" shapeId="0" xr:uid="{00000000-0006-0000-3200-000018000000}">
      <text>
        <r>
          <rPr>
            <sz val="12"/>
            <color theme="1"/>
            <rFont val="Aptos Narrow"/>
            <family val="2"/>
            <scheme val="minor"/>
          </rPr>
          <t>was 36640</t>
        </r>
      </text>
    </comment>
    <comment ref="E21" authorId="2" shapeId="0" xr:uid="{00000000-0006-0000-3200-000019000000}">
      <text>
        <r>
          <rPr>
            <sz val="12"/>
            <color theme="1"/>
            <rFont val="Aptos Narrow"/>
            <family val="2"/>
            <scheme val="minor"/>
          </rPr>
          <t>was 5336</t>
        </r>
      </text>
    </comment>
    <comment ref="F21" authorId="1" shapeId="0" xr:uid="{00000000-0006-0000-3200-00001A000000}">
      <text>
        <r>
          <rPr>
            <sz val="12"/>
            <color theme="1"/>
            <rFont val="Aptos Narrow"/>
            <family val="2"/>
            <scheme val="minor"/>
          </rPr>
          <t>chit trang:
5.790k</t>
        </r>
      </text>
    </comment>
    <comment ref="G21" authorId="0" shapeId="0" xr:uid="{00000000-0006-0000-3200-00001B000000}">
      <text>
        <r>
          <rPr>
            <sz val="12"/>
            <color theme="1"/>
            <rFont val="Aptos Narrow"/>
            <family val="2"/>
            <scheme val="minor"/>
          </rPr>
          <t>Tran Dat:
5590</t>
        </r>
      </text>
    </comment>
    <comment ref="E23" authorId="2" shapeId="0" xr:uid="{00000000-0006-0000-3200-00001C000000}">
      <text>
        <r>
          <rPr>
            <sz val="12"/>
            <color theme="1"/>
            <rFont val="Aptos Narrow"/>
            <family val="2"/>
            <scheme val="minor"/>
          </rPr>
          <t>was 5930</t>
        </r>
      </text>
    </comment>
    <comment ref="G23" authorId="0" shapeId="0" xr:uid="{00000000-0006-0000-3200-00001D000000}">
      <text>
        <r>
          <rPr>
            <sz val="12"/>
            <color theme="1"/>
            <rFont val="Aptos Narrow"/>
            <family val="2"/>
            <scheme val="minor"/>
          </rPr>
          <t>Tran Dat:
6790</t>
        </r>
      </text>
    </comment>
    <comment ref="G24" authorId="0" shapeId="0" xr:uid="{00000000-0006-0000-3200-00001E000000}">
      <text>
        <r>
          <rPr>
            <sz val="12"/>
            <color theme="1"/>
            <rFont val="Aptos Narrow"/>
            <family val="2"/>
            <scheme val="minor"/>
          </rPr>
          <t>7390</t>
        </r>
      </text>
    </comment>
    <comment ref="C25" authorId="3" shapeId="0" xr:uid="{00000000-0006-0000-3200-00001F000000}">
      <text>
        <r>
          <rPr>
            <sz val="12"/>
            <color theme="1"/>
            <rFont val="Aptos Narrow"/>
            <family val="2"/>
            <scheme val="minor"/>
          </rPr>
          <t>W1 10690</t>
        </r>
      </text>
    </comment>
    <comment ref="F25" authorId="1" shapeId="0" xr:uid="{00000000-0006-0000-3200-000020000000}">
      <text>
        <r>
          <rPr>
            <sz val="12"/>
            <color theme="1"/>
            <rFont val="Aptos Narrow"/>
            <family val="2"/>
            <scheme val="minor"/>
          </rPr>
          <t>chit trang:
10.590k</t>
        </r>
      </text>
    </comment>
    <comment ref="G25" authorId="0" shapeId="0" xr:uid="{00000000-0006-0000-3200-000021000000}">
      <text>
        <r>
          <rPr>
            <sz val="12"/>
            <color theme="1"/>
            <rFont val="Aptos Narrow"/>
            <family val="2"/>
            <scheme val="minor"/>
          </rPr>
          <t>Tran Dat:
10090</t>
        </r>
      </text>
    </comment>
    <comment ref="C26" authorId="3" shapeId="0" xr:uid="{00000000-0006-0000-3200-000022000000}">
      <text>
        <r>
          <rPr>
            <sz val="12"/>
            <color theme="1"/>
            <rFont val="Aptos Narrow"/>
            <family val="2"/>
            <scheme val="minor"/>
          </rPr>
          <t>W1 12790</t>
        </r>
      </text>
    </comment>
    <comment ref="E26" authorId="2" shapeId="0" xr:uid="{00000000-0006-0000-3200-000023000000}">
      <text>
        <r>
          <rPr>
            <sz val="12"/>
            <color theme="1"/>
            <rFont val="Aptos Narrow"/>
            <family val="2"/>
            <scheme val="minor"/>
          </rPr>
          <t>was 12731
vnp1%</t>
        </r>
      </text>
    </comment>
    <comment ref="B28" authorId="2" shapeId="0" xr:uid="{00000000-0006-0000-3200-000024000000}">
      <text>
        <r>
          <rPr>
            <sz val="12"/>
            <color theme="1"/>
            <rFont val="Aptos Narrow"/>
            <family val="2"/>
            <scheme val="minor"/>
          </rPr>
          <t>was 13320
VNP100</t>
        </r>
      </text>
    </comment>
    <comment ref="D28" authorId="4" shapeId="0" xr:uid="{00000000-0006-0000-3200-000025000000}">
      <text>
        <r>
          <rPr>
            <sz val="12"/>
            <color theme="1"/>
            <rFont val="Aptos Narrow"/>
            <family val="2"/>
            <scheme val="minor"/>
          </rPr>
          <t>Việt Hoàng:
Last week:
13.690.000</t>
        </r>
      </text>
    </comment>
    <comment ref="B30" authorId="2" shapeId="0" xr:uid="{00000000-0006-0000-3200-000026000000}">
      <text>
        <r>
          <rPr>
            <sz val="12"/>
            <color theme="1"/>
            <rFont val="Aptos Narrow"/>
            <family val="2"/>
            <scheme val="minor"/>
          </rPr>
          <t>was 5550
VNP40</t>
        </r>
      </text>
    </comment>
    <comment ref="D30" authorId="4" shapeId="0" xr:uid="{00000000-0006-0000-3200-000027000000}">
      <text>
        <r>
          <rPr>
            <sz val="12"/>
            <color theme="1"/>
            <rFont val="Aptos Narrow"/>
            <family val="2"/>
            <scheme val="minor"/>
          </rPr>
          <t>Việt Hoàng:
Last week:
5.590.000</t>
        </r>
      </text>
    </comment>
    <comment ref="B31" authorId="2" shapeId="0" xr:uid="{00000000-0006-0000-3200-000028000000}">
      <text>
        <r>
          <rPr>
            <sz val="12"/>
            <color theme="1"/>
            <rFont val="Aptos Narrow"/>
            <family val="2"/>
            <scheme val="minor"/>
          </rPr>
          <t xml:space="preserve">was 4490
</t>
        </r>
      </text>
    </comment>
    <comment ref="D31" authorId="4" shapeId="0" xr:uid="{00000000-0006-0000-3200-000029000000}">
      <text>
        <r>
          <rPr>
            <sz val="12"/>
            <color theme="1"/>
            <rFont val="Aptos Narrow"/>
            <family val="2"/>
            <scheme val="minor"/>
          </rPr>
          <t>Việt Hoàng:
Last week:
4.390.000</t>
        </r>
      </text>
    </comment>
    <comment ref="B32" authorId="2" shapeId="0" xr:uid="{00000000-0006-0000-3200-00002A000000}">
      <text>
        <r>
          <rPr>
            <sz val="12"/>
            <color theme="1"/>
            <rFont val="Aptos Narrow"/>
            <family val="2"/>
            <scheme val="minor"/>
          </rPr>
          <t>was 3190</t>
        </r>
      </text>
    </comment>
    <comment ref="D32" authorId="4" shapeId="0" xr:uid="{00000000-0006-0000-3200-00002B000000}">
      <text>
        <r>
          <rPr>
            <sz val="12"/>
            <color theme="1"/>
            <rFont val="Aptos Narrow"/>
            <family val="2"/>
            <scheme val="minor"/>
          </rPr>
          <t>Việt Hoàng:
Last week:
3.190.000</t>
        </r>
      </text>
    </comment>
    <comment ref="G32" authorId="0" shapeId="0" xr:uid="{00000000-0006-0000-3200-00002C000000}">
      <text>
        <r>
          <rPr>
            <sz val="12"/>
            <color theme="1"/>
            <rFont val="Aptos Narrow"/>
            <family val="2"/>
            <scheme val="minor"/>
          </rPr>
          <t>Tran Dat:
3390</t>
        </r>
      </text>
    </comment>
    <comment ref="B33" authorId="2" shapeId="0" xr:uid="{00000000-0006-0000-3200-00002D000000}">
      <text>
        <r>
          <rPr>
            <sz val="12"/>
            <color theme="1"/>
            <rFont val="Aptos Narrow"/>
            <family val="2"/>
            <scheme val="minor"/>
          </rPr>
          <t>was 18090
VNP100</t>
        </r>
      </text>
    </comment>
    <comment ref="C33" authorId="3" shapeId="0" xr:uid="{00000000-0006-0000-3200-00002E000000}">
      <text>
        <r>
          <rPr>
            <sz val="12"/>
            <color theme="1"/>
            <rFont val="Aptos Narrow"/>
            <family val="2"/>
            <scheme val="minor"/>
          </rPr>
          <t>W1 17690</t>
        </r>
      </text>
    </comment>
    <comment ref="C34" authorId="3" shapeId="0" xr:uid="{00000000-0006-0000-3200-00002F000000}">
      <text>
        <r>
          <rPr>
            <sz val="12"/>
            <color theme="1"/>
            <rFont val="Aptos Narrow"/>
            <family val="2"/>
            <scheme val="minor"/>
          </rPr>
          <t>W1 22090</t>
        </r>
      </text>
    </comment>
    <comment ref="D34" authorId="4" shapeId="0" xr:uid="{00000000-0006-0000-3200-000030000000}">
      <text>
        <r>
          <rPr>
            <sz val="12"/>
            <color theme="1"/>
            <rFont val="Aptos Narrow"/>
            <family val="2"/>
            <scheme val="minor"/>
          </rPr>
          <t>Việt Hoàng:
Last week:
21.990.000</t>
        </r>
      </text>
    </comment>
    <comment ref="F34" authorId="1" shapeId="0" xr:uid="{00000000-0006-0000-3200-000031000000}">
      <text>
        <r>
          <rPr>
            <sz val="12"/>
            <color theme="1"/>
            <rFont val="Aptos Narrow"/>
            <family val="2"/>
            <scheme val="minor"/>
          </rPr>
          <t>chit trang:
21.990k</t>
        </r>
      </text>
    </comment>
    <comment ref="B35" authorId="2" shapeId="0" xr:uid="{00000000-0006-0000-3200-000032000000}">
      <text>
        <r>
          <rPr>
            <sz val="12"/>
            <color theme="1"/>
            <rFont val="Aptos Narrow"/>
            <family val="2"/>
            <scheme val="minor"/>
          </rPr>
          <t>was 26140
VNP150</t>
        </r>
      </text>
    </comment>
    <comment ref="G35" authorId="0" shapeId="0" xr:uid="{00000000-0006-0000-3200-000033000000}">
      <text>
        <r>
          <rPr>
            <sz val="12"/>
            <color theme="1"/>
            <rFont val="Aptos Narrow"/>
            <family val="2"/>
            <scheme val="minor"/>
          </rPr>
          <t>Tran Dat:
25890</t>
        </r>
      </text>
    </comment>
    <comment ref="D36" authorId="4" shapeId="0" xr:uid="{00000000-0006-0000-3200-000034000000}">
      <text>
        <r>
          <rPr>
            <sz val="12"/>
            <color theme="1"/>
            <rFont val="Aptos Narrow"/>
            <family val="2"/>
            <scheme val="minor"/>
          </rPr>
          <t>Việt Hoàng:
Last week:
30.590.000</t>
        </r>
      </text>
    </comment>
  </commentList>
</comments>
</file>

<file path=xl/comments52.xml><?xml version="1.0" encoding="utf-8"?>
<comments xmlns="http://schemas.openxmlformats.org/spreadsheetml/2006/main" xmlns:mc="http://schemas.openxmlformats.org/markup-compatibility/2006" xmlns:xr="http://schemas.microsoft.com/office/spreadsheetml/2014/revision" mc:Ignorable="xr">
  <authors>
    <author>Duy</author>
    <author>Việt Hoàng</author>
    <author>Tran Dat</author>
    <author>chit trang</author>
    <author>Microsoft Office User</author>
  </authors>
  <commentList>
    <comment ref="C2" authorId="0" shapeId="0" xr:uid="{00000000-0006-0000-3300-000001000000}">
      <text>
        <r>
          <rPr>
            <sz val="12"/>
            <color theme="1"/>
            <rFont val="Aptos Narrow"/>
            <family val="2"/>
            <scheme val="minor"/>
          </rPr>
          <t>W2 16590</t>
        </r>
      </text>
    </comment>
    <comment ref="D2" authorId="1" shapeId="0" xr:uid="{00000000-0006-0000-3300-000002000000}">
      <text>
        <r>
          <rPr>
            <sz val="12"/>
            <color theme="1"/>
            <rFont val="Aptos Narrow"/>
            <family val="2"/>
            <scheme val="minor"/>
          </rPr>
          <t>Việt Hoàng:
Last week:
16.390.000</t>
        </r>
      </text>
    </comment>
    <comment ref="G2" authorId="2" shapeId="0" xr:uid="{00000000-0006-0000-3300-000003000000}">
      <text>
        <r>
          <rPr>
            <sz val="12"/>
            <color theme="1"/>
            <rFont val="Aptos Narrow"/>
            <family val="2"/>
            <scheme val="minor"/>
          </rPr>
          <t>Tran Dat:
16290</t>
        </r>
      </text>
    </comment>
    <comment ref="D3" authorId="1" shapeId="0" xr:uid="{00000000-0006-0000-3300-000004000000}">
      <text>
        <r>
          <rPr>
            <sz val="12"/>
            <color theme="1"/>
            <rFont val="Aptos Narrow"/>
            <family val="2"/>
            <scheme val="minor"/>
          </rPr>
          <t>Việt Hoàng:
19.290.000</t>
        </r>
      </text>
    </comment>
    <comment ref="F3" authorId="3" shapeId="0" xr:uid="{00000000-0006-0000-3300-000005000000}">
      <text>
        <r>
          <rPr>
            <sz val="12"/>
            <color theme="1"/>
            <rFont val="Aptos Narrow"/>
            <family val="2"/>
            <scheme val="minor"/>
          </rPr>
          <t>chit trang:
18.990k</t>
        </r>
      </text>
    </comment>
    <comment ref="B4" authorId="4" shapeId="0" xr:uid="{00000000-0006-0000-3300-000006000000}">
      <text>
        <r>
          <rPr>
            <sz val="12"/>
            <color theme="1"/>
            <rFont val="Aptos Narrow"/>
            <family val="2"/>
            <scheme val="minor"/>
          </rPr>
          <t>was 24640000
VNP150</t>
        </r>
      </text>
    </comment>
    <comment ref="C4" authorId="0" shapeId="0" xr:uid="{00000000-0006-0000-3300-000007000000}">
      <text>
        <r>
          <rPr>
            <sz val="12"/>
            <color theme="1"/>
            <rFont val="Aptos Narrow"/>
            <family val="2"/>
            <scheme val="minor"/>
          </rPr>
          <t>W2 22.590</t>
        </r>
      </text>
    </comment>
    <comment ref="D4" authorId="1" shapeId="0" xr:uid="{00000000-0006-0000-3300-000008000000}">
      <text>
        <r>
          <rPr>
            <sz val="12"/>
            <color theme="1"/>
            <rFont val="Aptos Narrow"/>
            <family val="2"/>
            <scheme val="minor"/>
          </rPr>
          <t>Việt Hoàng:
Last week:
22.490.000</t>
        </r>
      </text>
    </comment>
    <comment ref="C5" authorId="0" shapeId="0" xr:uid="{00000000-0006-0000-3300-000009000000}">
      <text>
        <r>
          <rPr>
            <sz val="12"/>
            <color theme="1"/>
            <rFont val="Aptos Narrow"/>
            <family val="2"/>
            <scheme val="minor"/>
          </rPr>
          <t>W2 25490</t>
        </r>
      </text>
    </comment>
    <comment ref="D5" authorId="1" shapeId="0" xr:uid="{00000000-0006-0000-3300-00000A000000}">
      <text>
        <r>
          <rPr>
            <sz val="12"/>
            <color theme="1"/>
            <rFont val="Aptos Narrow"/>
            <family val="2"/>
            <scheme val="minor"/>
          </rPr>
          <t>Việt Hoàng:
25.490.000</t>
        </r>
      </text>
    </comment>
    <comment ref="B6" authorId="4" shapeId="0" xr:uid="{00000000-0006-0000-3300-00000B000000}">
      <text>
        <r>
          <rPr>
            <sz val="12"/>
            <color theme="1"/>
            <rFont val="Aptos Narrow"/>
            <family val="2"/>
            <scheme val="minor"/>
          </rPr>
          <t>Tặng phiếu mua hàng mua AirPods và Apple Watch trị giá 500,000đ
 Phiếu mua hàng mua sản phẩm giá niêm yết từ 5 triệu thuộc các nhóm TAI NGHE - LOA hãng HARMAN KARDON, JBL,MONSTER, KLIPSCH, MARSHALL, SONY; Smartwatch hãng HUAWEI, GARMIN, SAMSUNG, IMOO, OPPO, AMAZFIT trị giá 500.000đ</t>
        </r>
      </text>
    </comment>
    <comment ref="C6" authorId="0" shapeId="0" xr:uid="{00000000-0006-0000-3300-00000C000000}">
      <text>
        <r>
          <rPr>
            <sz val="12"/>
            <color theme="1"/>
            <rFont val="Aptos Narrow"/>
            <family val="2"/>
            <scheme val="minor"/>
          </rPr>
          <t>W2 31190</t>
        </r>
      </text>
    </comment>
    <comment ref="F6" authorId="3" shapeId="0" xr:uid="{00000000-0006-0000-3300-00000D000000}">
      <text>
        <r>
          <rPr>
            <sz val="12"/>
            <color theme="1"/>
            <rFont val="Aptos Narrow"/>
            <family val="2"/>
            <scheme val="minor"/>
          </rPr>
          <t>chit trang:
30.690k</t>
        </r>
      </text>
    </comment>
    <comment ref="G6" authorId="2" shapeId="0" xr:uid="{00000000-0006-0000-3300-00000E000000}">
      <text>
        <r>
          <rPr>
            <sz val="12"/>
            <color theme="1"/>
            <rFont val="Aptos Narrow"/>
            <family val="2"/>
            <scheme val="minor"/>
          </rPr>
          <t>Tran Dat:
30190</t>
        </r>
      </text>
    </comment>
    <comment ref="D7" authorId="1" shapeId="0" xr:uid="{00000000-0006-0000-3300-00000F000000}">
      <text>
        <r>
          <rPr>
            <sz val="12"/>
            <color theme="1"/>
            <rFont val="Aptos Narrow"/>
            <family val="2"/>
            <scheme val="minor"/>
          </rPr>
          <t>Việt Hoàng:
15.990.000</t>
        </r>
      </text>
    </comment>
    <comment ref="D8" authorId="1" shapeId="0" xr:uid="{00000000-0006-0000-3300-000010000000}">
      <text>
        <r>
          <rPr>
            <sz val="12"/>
            <color theme="1"/>
            <rFont val="Aptos Narrow"/>
            <family val="2"/>
            <scheme val="minor"/>
          </rPr>
          <t>Việt Hoàng:
Last week:
19.590.000</t>
        </r>
      </text>
    </comment>
    <comment ref="F8" authorId="3" shapeId="0" xr:uid="{00000000-0006-0000-3300-000011000000}">
      <text>
        <r>
          <rPr>
            <sz val="12"/>
            <color theme="1"/>
            <rFont val="Aptos Narrow"/>
            <family val="2"/>
            <scheme val="minor"/>
          </rPr>
          <t>chit trang:
19.190k</t>
        </r>
      </text>
    </comment>
    <comment ref="B9" authorId="4" shapeId="0" xr:uid="{00000000-0006-0000-3300-000012000000}">
      <text>
        <r>
          <rPr>
            <sz val="12"/>
            <color theme="1"/>
            <rFont val="Aptos Narrow"/>
            <family val="2"/>
            <scheme val="minor"/>
          </rPr>
          <t>was 29140000
VNP150</t>
        </r>
      </text>
    </comment>
    <comment ref="C9" authorId="0" shapeId="0" xr:uid="{00000000-0006-0000-3300-000013000000}">
      <text>
        <r>
          <rPr>
            <sz val="12"/>
            <color theme="1"/>
            <rFont val="Aptos Narrow"/>
            <family val="2"/>
            <scheme val="minor"/>
          </rPr>
          <t>W2 29990</t>
        </r>
      </text>
    </comment>
    <comment ref="F9" authorId="3" shapeId="0" xr:uid="{00000000-0006-0000-3300-000014000000}">
      <text>
        <r>
          <rPr>
            <sz val="12"/>
            <color theme="1"/>
            <rFont val="Aptos Narrow"/>
            <family val="2"/>
            <scheme val="minor"/>
          </rPr>
          <t>chit trang:
28.590k</t>
        </r>
      </text>
    </comment>
    <comment ref="B10" authorId="4" shapeId="0" xr:uid="{00000000-0006-0000-3300-000015000000}">
      <text>
        <r>
          <rPr>
            <sz val="12"/>
            <color theme="1"/>
            <rFont val="Aptos Narrow"/>
            <family val="2"/>
            <scheme val="minor"/>
          </rPr>
          <t>was 18440</t>
        </r>
      </text>
    </comment>
    <comment ref="D10" authorId="1" shapeId="0" xr:uid="{00000000-0006-0000-3300-000016000000}">
      <text>
        <r>
          <rPr>
            <sz val="12"/>
            <color theme="1"/>
            <rFont val="Aptos Narrow"/>
            <family val="2"/>
            <scheme val="minor"/>
          </rPr>
          <t>Việt Hoàng:
18.990.000</t>
        </r>
      </text>
    </comment>
    <comment ref="C11" authorId="0" shapeId="0" xr:uid="{00000000-0006-0000-3300-000017000000}">
      <text>
        <r>
          <rPr>
            <sz val="12"/>
            <color theme="1"/>
            <rFont val="Aptos Narrow"/>
            <family val="2"/>
            <scheme val="minor"/>
          </rPr>
          <t>W2 13090</t>
        </r>
      </text>
    </comment>
    <comment ref="D11" authorId="1" shapeId="0" xr:uid="{00000000-0006-0000-3300-000018000000}">
      <text>
        <r>
          <rPr>
            <sz val="12"/>
            <color theme="1"/>
            <rFont val="Aptos Narrow"/>
            <family val="2"/>
            <scheme val="minor"/>
          </rPr>
          <t>Việt Hoàng:
12.990.000</t>
        </r>
      </text>
    </comment>
    <comment ref="G11" authorId="2" shapeId="0" xr:uid="{00000000-0006-0000-3300-000019000000}">
      <text>
        <r>
          <rPr>
            <sz val="12"/>
            <color theme="1"/>
            <rFont val="Aptos Narrow"/>
            <family val="2"/>
            <scheme val="minor"/>
          </rPr>
          <t>Tran Dat:
12990</t>
        </r>
      </text>
    </comment>
    <comment ref="B12" authorId="4" shapeId="0" xr:uid="{00000000-0006-0000-3300-00001A000000}">
      <text>
        <r>
          <rPr>
            <sz val="12"/>
            <color theme="1"/>
            <rFont val="Aptos Narrow"/>
            <family val="2"/>
            <scheme val="minor"/>
          </rPr>
          <t>was 13190
VNP100</t>
        </r>
      </text>
    </comment>
    <comment ref="C12" authorId="0" shapeId="0" xr:uid="{00000000-0006-0000-3300-00001B000000}">
      <text>
        <r>
          <rPr>
            <sz val="12"/>
            <color theme="1"/>
            <rFont val="Aptos Narrow"/>
            <family val="2"/>
            <scheme val="minor"/>
          </rPr>
          <t>W2 11990</t>
        </r>
      </text>
    </comment>
    <comment ref="D12" authorId="1" shapeId="0" xr:uid="{00000000-0006-0000-3300-00001C000000}">
      <text>
        <r>
          <rPr>
            <sz val="12"/>
            <color theme="1"/>
            <rFont val="Aptos Narrow"/>
            <family val="2"/>
            <scheme val="minor"/>
          </rPr>
          <t>Việt Hoàng:
11.990.000</t>
        </r>
      </text>
    </comment>
    <comment ref="F14" authorId="3" shapeId="0" xr:uid="{00000000-0006-0000-3300-00001D000000}">
      <text>
        <r>
          <rPr>
            <sz val="12"/>
            <color theme="1"/>
            <rFont val="Aptos Narrow"/>
            <family val="2"/>
            <scheme val="minor"/>
          </rPr>
          <t>chit trang:
13.990k</t>
        </r>
      </text>
    </comment>
    <comment ref="C15" authorId="0" shapeId="0" xr:uid="{00000000-0006-0000-3300-00001E000000}">
      <text>
        <r>
          <rPr>
            <sz val="12"/>
            <color theme="1"/>
            <rFont val="Aptos Narrow"/>
            <family val="2"/>
            <scheme val="minor"/>
          </rPr>
          <t>W2 8.590</t>
        </r>
      </text>
    </comment>
    <comment ref="D15" authorId="1" shapeId="0" xr:uid="{00000000-0006-0000-3300-00001F000000}">
      <text>
        <r>
          <rPr>
            <sz val="12"/>
            <color theme="1"/>
            <rFont val="Aptos Narrow"/>
            <family val="2"/>
            <scheme val="minor"/>
          </rPr>
          <t>Việt Hoàng:
Last week:
8.790.000</t>
        </r>
      </text>
    </comment>
    <comment ref="E15" authorId="4" shapeId="0" xr:uid="{00000000-0006-0000-3300-000020000000}">
      <text>
        <r>
          <rPr>
            <sz val="12"/>
            <color theme="1"/>
            <rFont val="Aptos Narrow"/>
            <family val="2"/>
            <scheme val="minor"/>
          </rPr>
          <t>was 8603000
VNP1%</t>
        </r>
      </text>
    </comment>
    <comment ref="B16" authorId="4" shapeId="0" xr:uid="{00000000-0006-0000-3300-000021000000}">
      <text>
        <r>
          <rPr>
            <sz val="12"/>
            <color theme="1"/>
            <rFont val="Aptos Narrow"/>
            <family val="2"/>
            <scheme val="minor"/>
          </rPr>
          <t>was 7040
VNP40</t>
        </r>
      </text>
    </comment>
    <comment ref="D16" authorId="1" shapeId="0" xr:uid="{00000000-0006-0000-3300-000022000000}">
      <text>
        <r>
          <rPr>
            <sz val="12"/>
            <color theme="1"/>
            <rFont val="Aptos Narrow"/>
            <family val="2"/>
            <scheme val="minor"/>
          </rPr>
          <t>Việt Hoàng:
6.990.000</t>
        </r>
      </text>
    </comment>
    <comment ref="B17" authorId="4" shapeId="0" xr:uid="{00000000-0006-0000-3300-000023000000}">
      <text>
        <r>
          <rPr>
            <sz val="12"/>
            <color theme="1"/>
            <rFont val="Aptos Narrow"/>
            <family val="2"/>
            <scheme val="minor"/>
          </rPr>
          <t>was 14390</t>
        </r>
      </text>
    </comment>
    <comment ref="D17" authorId="1" shapeId="0" xr:uid="{00000000-0006-0000-3300-000024000000}">
      <text>
        <r>
          <rPr>
            <sz val="12"/>
            <color theme="1"/>
            <rFont val="Aptos Narrow"/>
            <family val="2"/>
            <scheme val="minor"/>
          </rPr>
          <t>Việt Hoàng:
16.690.000</t>
        </r>
      </text>
    </comment>
    <comment ref="F17" authorId="3" shapeId="0" xr:uid="{00000000-0006-0000-3300-000025000000}">
      <text>
        <r>
          <rPr>
            <sz val="12"/>
            <color theme="1"/>
            <rFont val="Aptos Narrow"/>
            <family val="2"/>
            <scheme val="minor"/>
          </rPr>
          <t>chit trang:
16.990k</t>
        </r>
      </text>
    </comment>
    <comment ref="D18" authorId="1" shapeId="0" xr:uid="{00000000-0006-0000-3300-000026000000}">
      <text>
        <r>
          <rPr>
            <sz val="12"/>
            <color theme="1"/>
            <rFont val="Aptos Narrow"/>
            <family val="2"/>
            <scheme val="minor"/>
          </rPr>
          <t>Việt Hoàng:
21.990.000</t>
        </r>
      </text>
    </comment>
    <comment ref="G19" authorId="2" shapeId="0" xr:uid="{00000000-0006-0000-3300-000027000000}">
      <text>
        <r>
          <rPr>
            <sz val="12"/>
            <color theme="1"/>
            <rFont val="Aptos Narrow"/>
            <family val="2"/>
            <scheme val="minor"/>
          </rPr>
          <t>Tran Dat:
27290</t>
        </r>
      </text>
    </comment>
    <comment ref="B20" authorId="4" shapeId="0" xr:uid="{00000000-0006-0000-3300-000028000000}">
      <text>
        <r>
          <rPr>
            <sz val="12"/>
            <color theme="1"/>
            <rFont val="Aptos Narrow"/>
            <family val="2"/>
            <scheme val="minor"/>
          </rPr>
          <t>was 36640</t>
        </r>
      </text>
    </comment>
    <comment ref="F22" authorId="3" shapeId="0" xr:uid="{00000000-0006-0000-3300-000029000000}">
      <text>
        <r>
          <rPr>
            <sz val="12"/>
            <color theme="1"/>
            <rFont val="Aptos Narrow"/>
            <family val="2"/>
            <scheme val="minor"/>
          </rPr>
          <t>chit trang:
6.990k</t>
        </r>
      </text>
    </comment>
    <comment ref="G23" authorId="2" shapeId="0" xr:uid="{00000000-0006-0000-3300-00002A000000}">
      <text>
        <r>
          <rPr>
            <sz val="12"/>
            <color theme="1"/>
            <rFont val="Aptos Narrow"/>
            <family val="2"/>
            <scheme val="minor"/>
          </rPr>
          <t>Tran Dat:
6790</t>
        </r>
      </text>
    </comment>
    <comment ref="G24" authorId="2" shapeId="0" xr:uid="{00000000-0006-0000-3300-00002B000000}">
      <text>
        <r>
          <rPr>
            <sz val="12"/>
            <color theme="1"/>
            <rFont val="Aptos Narrow"/>
            <family val="2"/>
            <scheme val="minor"/>
          </rPr>
          <t>7770</t>
        </r>
      </text>
    </comment>
    <comment ref="C26" authorId="0" shapeId="0" xr:uid="{00000000-0006-0000-3300-00002C000000}">
      <text>
        <r>
          <rPr>
            <sz val="12"/>
            <color theme="1"/>
            <rFont val="Aptos Narrow"/>
            <family val="2"/>
            <scheme val="minor"/>
          </rPr>
          <t>W2 13390</t>
        </r>
      </text>
    </comment>
    <comment ref="C27" authorId="0" shapeId="0" xr:uid="{00000000-0006-0000-3300-00002D000000}">
      <text>
        <r>
          <rPr>
            <sz val="12"/>
            <color theme="1"/>
            <rFont val="Aptos Narrow"/>
            <family val="2"/>
            <scheme val="minor"/>
          </rPr>
          <t>W2 11590</t>
        </r>
      </text>
    </comment>
    <comment ref="F27" authorId="3" shapeId="0" xr:uid="{00000000-0006-0000-3300-00002E000000}">
      <text>
        <r>
          <rPr>
            <sz val="12"/>
            <color theme="1"/>
            <rFont val="Aptos Narrow"/>
            <family val="2"/>
            <scheme val="minor"/>
          </rPr>
          <t>chit trang:
10.990k</t>
        </r>
      </text>
    </comment>
    <comment ref="B28" authorId="4" shapeId="0" xr:uid="{00000000-0006-0000-3300-00002F000000}">
      <text>
        <r>
          <rPr>
            <sz val="12"/>
            <color theme="1"/>
            <rFont val="Aptos Narrow"/>
            <family val="2"/>
            <scheme val="minor"/>
          </rPr>
          <t>was 13320
VNP100</t>
        </r>
      </text>
    </comment>
    <comment ref="C28" authorId="0" shapeId="0" xr:uid="{00000000-0006-0000-3300-000030000000}">
      <text>
        <r>
          <rPr>
            <sz val="12"/>
            <color theme="1"/>
            <rFont val="Aptos Narrow"/>
            <family val="2"/>
            <scheme val="minor"/>
          </rPr>
          <t>W2 14090</t>
        </r>
      </text>
    </comment>
    <comment ref="D28" authorId="1" shapeId="0" xr:uid="{00000000-0006-0000-3300-000031000000}">
      <text>
        <r>
          <rPr>
            <sz val="12"/>
            <color theme="1"/>
            <rFont val="Aptos Narrow"/>
            <family val="2"/>
            <scheme val="minor"/>
          </rPr>
          <t>Việt Hoàng:
Last week:
13.990.000</t>
        </r>
      </text>
    </comment>
    <comment ref="F28" authorId="3" shapeId="0" xr:uid="{00000000-0006-0000-3300-000032000000}">
      <text>
        <r>
          <rPr>
            <sz val="12"/>
            <color theme="1"/>
            <rFont val="Aptos Narrow"/>
            <family val="2"/>
            <scheme val="minor"/>
          </rPr>
          <t>chit trang:
13.690k</t>
        </r>
      </text>
    </comment>
    <comment ref="D29" authorId="1" shapeId="0" xr:uid="{00000000-0006-0000-3300-000033000000}">
      <text>
        <r>
          <rPr>
            <sz val="12"/>
            <color theme="1"/>
            <rFont val="Aptos Narrow"/>
            <family val="2"/>
            <scheme val="minor"/>
          </rPr>
          <t>Việt Hoàng:
22.990.000</t>
        </r>
      </text>
    </comment>
    <comment ref="B30" authorId="4" shapeId="0" xr:uid="{00000000-0006-0000-3300-000034000000}">
      <text>
        <r>
          <rPr>
            <sz val="12"/>
            <color theme="1"/>
            <rFont val="Aptos Narrow"/>
            <family val="2"/>
            <scheme val="minor"/>
          </rPr>
          <t>was 5550
VNP40</t>
        </r>
      </text>
    </comment>
    <comment ref="C30" authorId="0" shapeId="0" xr:uid="{00000000-0006-0000-3300-000035000000}">
      <text>
        <r>
          <rPr>
            <sz val="12"/>
            <color theme="1"/>
            <rFont val="Aptos Narrow"/>
            <family val="2"/>
            <scheme val="minor"/>
          </rPr>
          <t>W2 5790</t>
        </r>
      </text>
    </comment>
    <comment ref="E30" authorId="4" shapeId="0" xr:uid="{00000000-0006-0000-3300-000036000000}">
      <text>
        <r>
          <rPr>
            <sz val="12"/>
            <color theme="1"/>
            <rFont val="Aptos Narrow"/>
            <family val="2"/>
            <scheme val="minor"/>
          </rPr>
          <t>was 5690
vnp1%</t>
        </r>
      </text>
    </comment>
    <comment ref="B31" authorId="4" shapeId="0" xr:uid="{00000000-0006-0000-3300-000037000000}">
      <text>
        <r>
          <rPr>
            <sz val="12"/>
            <color theme="1"/>
            <rFont val="Aptos Narrow"/>
            <family val="2"/>
            <scheme val="minor"/>
          </rPr>
          <t xml:space="preserve">was 4490
</t>
        </r>
      </text>
    </comment>
    <comment ref="C31" authorId="0" shapeId="0" xr:uid="{00000000-0006-0000-3300-000038000000}">
      <text>
        <r>
          <rPr>
            <sz val="12"/>
            <color theme="1"/>
            <rFont val="Aptos Narrow"/>
            <family val="2"/>
            <scheme val="minor"/>
          </rPr>
          <t>W2 4690</t>
        </r>
      </text>
    </comment>
    <comment ref="E31" authorId="4" shapeId="0" xr:uid="{00000000-0006-0000-3300-000039000000}">
      <text>
        <r>
          <rPr>
            <sz val="12"/>
            <color theme="1"/>
            <rFont val="Aptos Narrow"/>
            <family val="2"/>
            <scheme val="minor"/>
          </rPr>
          <t>was 4490
vnp1%</t>
        </r>
      </text>
    </comment>
    <comment ref="F31" authorId="3" shapeId="0" xr:uid="{00000000-0006-0000-3300-00003A000000}">
      <text>
        <r>
          <rPr>
            <sz val="12"/>
            <color theme="1"/>
            <rFont val="Aptos Narrow"/>
            <family val="2"/>
            <scheme val="minor"/>
          </rPr>
          <t>chit trang:
4.590k</t>
        </r>
      </text>
    </comment>
    <comment ref="B32" authorId="4" shapeId="0" xr:uid="{00000000-0006-0000-3300-00003B000000}">
      <text>
        <r>
          <rPr>
            <sz val="12"/>
            <color theme="1"/>
            <rFont val="Aptos Narrow"/>
            <family val="2"/>
            <scheme val="minor"/>
          </rPr>
          <t>was 3190</t>
        </r>
      </text>
    </comment>
    <comment ref="C32" authorId="0" shapeId="0" xr:uid="{00000000-0006-0000-3300-00003C000000}">
      <text>
        <r>
          <rPr>
            <sz val="12"/>
            <color theme="1"/>
            <rFont val="Aptos Narrow"/>
            <family val="2"/>
            <scheme val="minor"/>
          </rPr>
          <t>W2 3390</t>
        </r>
      </text>
    </comment>
    <comment ref="F32" authorId="3" shapeId="0" xr:uid="{00000000-0006-0000-3300-00003D000000}">
      <text>
        <r>
          <rPr>
            <sz val="12"/>
            <color theme="1"/>
            <rFont val="Aptos Narrow"/>
            <family val="2"/>
            <scheme val="minor"/>
          </rPr>
          <t>chit trang:
3.390k</t>
        </r>
      </text>
    </comment>
    <comment ref="B33" authorId="4" shapeId="0" xr:uid="{00000000-0006-0000-3300-00003E000000}">
      <text>
        <r>
          <rPr>
            <sz val="12"/>
            <color theme="1"/>
            <rFont val="Aptos Narrow"/>
            <family val="2"/>
            <scheme val="minor"/>
          </rPr>
          <t>was 18090
VNP100</t>
        </r>
      </text>
    </comment>
    <comment ref="D33" authorId="1" shapeId="0" xr:uid="{00000000-0006-0000-3300-00003F000000}">
      <text>
        <r>
          <rPr>
            <sz val="12"/>
            <color theme="1"/>
            <rFont val="Aptos Narrow"/>
            <family val="2"/>
            <scheme val="minor"/>
          </rPr>
          <t>Việt Hoàng:
17.490.000</t>
        </r>
      </text>
    </comment>
    <comment ref="C34" authorId="0" shapeId="0" xr:uid="{00000000-0006-0000-3300-000040000000}">
      <text>
        <r>
          <rPr>
            <sz val="12"/>
            <color theme="1"/>
            <rFont val="Aptos Narrow"/>
            <family val="2"/>
            <scheme val="minor"/>
          </rPr>
          <t>W2 21890</t>
        </r>
      </text>
    </comment>
    <comment ref="D34" authorId="1" shapeId="0" xr:uid="{00000000-0006-0000-3300-000041000000}">
      <text>
        <r>
          <rPr>
            <sz val="12"/>
            <color theme="1"/>
            <rFont val="Aptos Narrow"/>
            <family val="2"/>
            <scheme val="minor"/>
          </rPr>
          <t>Việt Hoàng:
Last week:
21.890.000</t>
        </r>
      </text>
    </comment>
    <comment ref="F34" authorId="3" shapeId="0" xr:uid="{00000000-0006-0000-3300-000042000000}">
      <text>
        <r>
          <rPr>
            <sz val="12"/>
            <color theme="1"/>
            <rFont val="Aptos Narrow"/>
            <family val="2"/>
            <scheme val="minor"/>
          </rPr>
          <t>chit trang:
22.090k</t>
        </r>
      </text>
    </comment>
    <comment ref="B35" authorId="4" shapeId="0" xr:uid="{00000000-0006-0000-3300-000043000000}">
      <text>
        <r>
          <rPr>
            <sz val="12"/>
            <color theme="1"/>
            <rFont val="Aptos Narrow"/>
            <family val="2"/>
            <scheme val="minor"/>
          </rPr>
          <t>was 26140
VNP150</t>
        </r>
      </text>
    </comment>
    <comment ref="D35" authorId="1" shapeId="0" xr:uid="{00000000-0006-0000-3300-000044000000}">
      <text>
        <r>
          <rPr>
            <sz val="12"/>
            <color theme="1"/>
            <rFont val="Aptos Narrow"/>
            <family val="2"/>
            <scheme val="minor"/>
          </rPr>
          <t>Việt Hoàng:
25.390.000</t>
        </r>
      </text>
    </comment>
    <comment ref="F35" authorId="3" shapeId="0" xr:uid="{00000000-0006-0000-3300-000045000000}">
      <text>
        <r>
          <rPr>
            <sz val="12"/>
            <color theme="1"/>
            <rFont val="Aptos Narrow"/>
            <family val="2"/>
            <scheme val="minor"/>
          </rPr>
          <t>chit trang:
24.990k</t>
        </r>
      </text>
    </comment>
    <comment ref="G35" authorId="2" shapeId="0" xr:uid="{00000000-0006-0000-3300-000046000000}">
      <text>
        <r>
          <rPr>
            <sz val="12"/>
            <color theme="1"/>
            <rFont val="Aptos Narrow"/>
            <family val="2"/>
            <scheme val="minor"/>
          </rPr>
          <t>Tran Dat:
25890</t>
        </r>
      </text>
    </comment>
  </commentList>
</comments>
</file>

<file path=xl/comments53.xml><?xml version="1.0" encoding="utf-8"?>
<comments xmlns="http://schemas.openxmlformats.org/spreadsheetml/2006/main" xmlns:mc="http://schemas.openxmlformats.org/markup-compatibility/2006" xmlns:xr="http://schemas.microsoft.com/office/spreadsheetml/2014/revision" mc:Ignorable="xr">
  <authors>
    <author>Tran Dat</author>
    <author>chit trang</author>
    <author>Microsoft Office User</author>
    <author>Duy</author>
    <author>Việt Hoàng</author>
  </authors>
  <commentList>
    <comment ref="G2" authorId="0" shapeId="0" xr:uid="{00000000-0006-0000-3400-000001000000}">
      <text>
        <r>
          <rPr>
            <sz val="12"/>
            <color theme="1"/>
            <rFont val="Aptos Narrow"/>
            <family val="2"/>
            <scheme val="minor"/>
          </rPr>
          <t>Tran Dat:
16190</t>
        </r>
      </text>
    </comment>
    <comment ref="F3" authorId="1" shapeId="0" xr:uid="{00000000-0006-0000-3400-000002000000}">
      <text>
        <r>
          <rPr>
            <sz val="12"/>
            <color theme="1"/>
            <rFont val="Aptos Narrow"/>
            <family val="2"/>
            <scheme val="minor"/>
          </rPr>
          <t>chit trang:
19.190k</t>
        </r>
      </text>
    </comment>
    <comment ref="B4" authorId="2" shapeId="0" xr:uid="{00000000-0006-0000-3400-000003000000}">
      <text>
        <r>
          <rPr>
            <sz val="12"/>
            <color theme="1"/>
            <rFont val="Aptos Narrow"/>
            <family val="2"/>
            <scheme val="minor"/>
          </rPr>
          <t>was 24640000
VNP150</t>
        </r>
      </text>
    </comment>
    <comment ref="C5" authorId="3" shapeId="0" xr:uid="{00000000-0006-0000-3400-000004000000}">
      <text>
        <r>
          <rPr>
            <sz val="12"/>
            <color theme="1"/>
            <rFont val="Aptos Narrow"/>
            <family val="2"/>
            <scheme val="minor"/>
          </rPr>
          <t>W3 25390</t>
        </r>
      </text>
    </comment>
    <comment ref="D5" authorId="4" shapeId="0" xr:uid="{00000000-0006-0000-3400-000005000000}">
      <text>
        <r>
          <rPr>
            <sz val="12"/>
            <color theme="1"/>
            <rFont val="Aptos Narrow"/>
            <family val="2"/>
            <scheme val="minor"/>
          </rPr>
          <t>Việt Hoàng:
25.290.000</t>
        </r>
      </text>
    </comment>
    <comment ref="F5" authorId="1" shapeId="0" xr:uid="{00000000-0006-0000-3400-000006000000}">
      <text>
        <r>
          <rPr>
            <sz val="12"/>
            <color theme="1"/>
            <rFont val="Aptos Narrow"/>
            <family val="2"/>
            <scheme val="minor"/>
          </rPr>
          <t>chit trang:
25.090</t>
        </r>
      </text>
    </comment>
    <comment ref="G5" authorId="0" shapeId="0" xr:uid="{00000000-0006-0000-3400-000007000000}">
      <text>
        <r>
          <rPr>
            <sz val="12"/>
            <color theme="1"/>
            <rFont val="Aptos Narrow"/>
            <family val="2"/>
            <scheme val="minor"/>
          </rPr>
          <t>Tran Dat:
24590</t>
        </r>
      </text>
    </comment>
    <comment ref="B6" authorId="2" shapeId="0" xr:uid="{00000000-0006-0000-3400-000008000000}">
      <text>
        <r>
          <rPr>
            <sz val="12"/>
            <color theme="1"/>
            <rFont val="Aptos Narrow"/>
            <family val="2"/>
            <scheme val="minor"/>
          </rPr>
          <t>Tặng phiếu mua hàng mua AirPods và Apple Watch trị giá 500,000đ
 Phiếu mua hàng mua sản phẩm giá niêm yết từ 5 triệu thuộc các nhóm TAI NGHE - LOA hãng HARMAN KARDON, JBL,MONSTER, KLIPSCH, MARSHALL, SONY; Smartwatch hãng HUAWEI, GARMIN, SAMSUNG, IMOO, OPPO, AMAZFIT trị giá 500.000đ</t>
        </r>
      </text>
    </comment>
    <comment ref="F6" authorId="1" shapeId="0" xr:uid="{00000000-0006-0000-3400-000009000000}">
      <text>
        <r>
          <rPr>
            <sz val="12"/>
            <color theme="1"/>
            <rFont val="Aptos Narrow"/>
            <family val="2"/>
            <scheme val="minor"/>
          </rPr>
          <t>chit trang:
30.990k</t>
        </r>
      </text>
    </comment>
    <comment ref="F7" authorId="1" shapeId="0" xr:uid="{00000000-0006-0000-3400-00000A000000}">
      <text>
        <r>
          <rPr>
            <sz val="12"/>
            <color theme="1"/>
            <rFont val="Aptos Narrow"/>
            <family val="2"/>
            <scheme val="minor"/>
          </rPr>
          <t>chit trang:
15.890k</t>
        </r>
      </text>
    </comment>
    <comment ref="G7" authorId="0" shapeId="0" xr:uid="{00000000-0006-0000-3400-00000B000000}">
      <text>
        <r>
          <rPr>
            <sz val="12"/>
            <color theme="1"/>
            <rFont val="Aptos Narrow"/>
            <family val="2"/>
            <scheme val="minor"/>
          </rPr>
          <t>Tran Dat:
15490</t>
        </r>
      </text>
    </comment>
    <comment ref="C8" authorId="3" shapeId="0" xr:uid="{00000000-0006-0000-3400-00000C000000}">
      <text>
        <r>
          <rPr>
            <sz val="12"/>
            <color theme="1"/>
            <rFont val="Aptos Narrow"/>
            <family val="2"/>
            <scheme val="minor"/>
          </rPr>
          <t>W3 19690</t>
        </r>
      </text>
    </comment>
    <comment ref="F8" authorId="1" shapeId="0" xr:uid="{00000000-0006-0000-3400-00000D000000}">
      <text>
        <r>
          <rPr>
            <sz val="12"/>
            <color theme="1"/>
            <rFont val="Aptos Narrow"/>
            <family val="2"/>
            <scheme val="minor"/>
          </rPr>
          <t>chit trang:
19.490k</t>
        </r>
      </text>
    </comment>
    <comment ref="B9" authorId="2" shapeId="0" xr:uid="{00000000-0006-0000-3400-00000E000000}">
      <text>
        <r>
          <rPr>
            <sz val="12"/>
            <color theme="1"/>
            <rFont val="Aptos Narrow"/>
            <family val="2"/>
            <scheme val="minor"/>
          </rPr>
          <t>was 29140000
VNP150</t>
        </r>
      </text>
    </comment>
    <comment ref="C9" authorId="3" shapeId="0" xr:uid="{00000000-0006-0000-3400-00000F000000}">
      <text>
        <r>
          <rPr>
            <sz val="12"/>
            <color theme="1"/>
            <rFont val="Aptos Narrow"/>
            <family val="2"/>
            <scheme val="minor"/>
          </rPr>
          <t>W3 28590</t>
        </r>
      </text>
    </comment>
    <comment ref="F9" authorId="1" shapeId="0" xr:uid="{00000000-0006-0000-3400-000010000000}">
      <text>
        <r>
          <rPr>
            <sz val="12"/>
            <color theme="1"/>
            <rFont val="Aptos Narrow"/>
            <family val="2"/>
            <scheme val="minor"/>
          </rPr>
          <t>chit trang:
27.990k</t>
        </r>
      </text>
    </comment>
    <comment ref="B10" authorId="2" shapeId="0" xr:uid="{00000000-0006-0000-3400-000011000000}">
      <text>
        <r>
          <rPr>
            <sz val="12"/>
            <color theme="1"/>
            <rFont val="Aptos Narrow"/>
            <family val="2"/>
            <scheme val="minor"/>
          </rPr>
          <t>was 18440</t>
        </r>
      </text>
    </comment>
    <comment ref="F10" authorId="1" shapeId="0" xr:uid="{00000000-0006-0000-3400-000012000000}">
      <text>
        <r>
          <rPr>
            <sz val="12"/>
            <color theme="1"/>
            <rFont val="Aptos Narrow"/>
            <family val="2"/>
            <scheme val="minor"/>
          </rPr>
          <t>chit trang:
17.990k</t>
        </r>
      </text>
    </comment>
    <comment ref="G10" authorId="0" shapeId="0" xr:uid="{00000000-0006-0000-3400-000013000000}">
      <text>
        <r>
          <rPr>
            <sz val="12"/>
            <color theme="1"/>
            <rFont val="Aptos Narrow"/>
            <family val="2"/>
            <scheme val="minor"/>
          </rPr>
          <t xml:space="preserve">Tran Dat:
17.490
</t>
        </r>
      </text>
    </comment>
    <comment ref="E11" authorId="2" shapeId="0" xr:uid="{00000000-0006-0000-3400-000014000000}">
      <text>
        <r>
          <rPr>
            <sz val="12"/>
            <color theme="1"/>
            <rFont val="Aptos Narrow"/>
            <family val="2"/>
            <scheme val="minor"/>
          </rPr>
          <t>was 12990</t>
        </r>
      </text>
    </comment>
    <comment ref="F11" authorId="1" shapeId="0" xr:uid="{00000000-0006-0000-3400-000015000000}">
      <text>
        <r>
          <rPr>
            <sz val="12"/>
            <color theme="1"/>
            <rFont val="Aptos Narrow"/>
            <family val="2"/>
            <scheme val="minor"/>
          </rPr>
          <t>chit trang:
12.890k</t>
        </r>
      </text>
    </comment>
    <comment ref="G11" authorId="0" shapeId="0" xr:uid="{00000000-0006-0000-3400-000016000000}">
      <text>
        <r>
          <rPr>
            <sz val="12"/>
            <color theme="1"/>
            <rFont val="Aptos Narrow"/>
            <family val="2"/>
            <scheme val="minor"/>
          </rPr>
          <t>Tran Dat:
12690</t>
        </r>
      </text>
    </comment>
    <comment ref="B12" authorId="2" shapeId="0" xr:uid="{00000000-0006-0000-3400-000017000000}">
      <text>
        <r>
          <rPr>
            <sz val="12"/>
            <color theme="1"/>
            <rFont val="Aptos Narrow"/>
            <family val="2"/>
            <scheme val="minor"/>
          </rPr>
          <t>was 13190
VNP100</t>
        </r>
      </text>
    </comment>
    <comment ref="C13" authorId="3" shapeId="0" xr:uid="{00000000-0006-0000-3400-000018000000}">
      <text>
        <r>
          <rPr>
            <sz val="12"/>
            <color theme="1"/>
            <rFont val="Aptos Narrow"/>
            <family val="2"/>
            <scheme val="minor"/>
          </rPr>
          <t>W3 10590</t>
        </r>
      </text>
    </comment>
    <comment ref="C14" authorId="3" shapeId="0" xr:uid="{00000000-0006-0000-3400-000019000000}">
      <text>
        <r>
          <rPr>
            <sz val="12"/>
            <color theme="1"/>
            <rFont val="Aptos Narrow"/>
            <family val="2"/>
            <scheme val="minor"/>
          </rPr>
          <t>W3 13990</t>
        </r>
      </text>
    </comment>
    <comment ref="E14" authorId="2" shapeId="0" xr:uid="{00000000-0006-0000-3400-00001A000000}">
      <text>
        <r>
          <rPr>
            <sz val="12"/>
            <color theme="1"/>
            <rFont val="Aptos Narrow"/>
            <family val="2"/>
            <scheme val="minor"/>
          </rPr>
          <t>was  13790
vnp1%</t>
        </r>
      </text>
    </comment>
    <comment ref="G15" authorId="0" shapeId="0" xr:uid="{00000000-0006-0000-3400-00001B000000}">
      <text>
        <r>
          <rPr>
            <sz val="12"/>
            <color theme="1"/>
            <rFont val="Aptos Narrow"/>
            <family val="2"/>
            <scheme val="minor"/>
          </rPr>
          <t>Tran Dat:
8290</t>
        </r>
      </text>
    </comment>
    <comment ref="B16" authorId="2" shapeId="0" xr:uid="{00000000-0006-0000-3400-00001C000000}">
      <text>
        <r>
          <rPr>
            <sz val="12"/>
            <color theme="1"/>
            <rFont val="Aptos Narrow"/>
            <family val="2"/>
            <scheme val="minor"/>
          </rPr>
          <t>was 7040
VNP40</t>
        </r>
      </text>
    </comment>
    <comment ref="F16" authorId="1" shapeId="0" xr:uid="{00000000-0006-0000-3400-00001D000000}">
      <text>
        <r>
          <rPr>
            <sz val="12"/>
            <color theme="1"/>
            <rFont val="Aptos Narrow"/>
            <family val="2"/>
            <scheme val="minor"/>
          </rPr>
          <t>chit trang:
9.690k</t>
        </r>
      </text>
    </comment>
    <comment ref="B17" authorId="2" shapeId="0" xr:uid="{00000000-0006-0000-3400-00001E000000}">
      <text>
        <r>
          <rPr>
            <sz val="12"/>
            <color theme="1"/>
            <rFont val="Aptos Narrow"/>
            <family val="2"/>
            <scheme val="minor"/>
          </rPr>
          <t>was 14390</t>
        </r>
      </text>
    </comment>
    <comment ref="F17" authorId="1" shapeId="0" xr:uid="{00000000-0006-0000-3400-00001F000000}">
      <text>
        <r>
          <rPr>
            <sz val="12"/>
            <color theme="1"/>
            <rFont val="Aptos Narrow"/>
            <family val="2"/>
            <scheme val="minor"/>
          </rPr>
          <t>chit trang:
16.990k</t>
        </r>
      </text>
    </comment>
    <comment ref="F18" authorId="1" shapeId="0" xr:uid="{00000000-0006-0000-3400-000020000000}">
      <text>
        <r>
          <rPr>
            <sz val="12"/>
            <color theme="1"/>
            <rFont val="Aptos Narrow"/>
            <family val="2"/>
            <scheme val="minor"/>
          </rPr>
          <t>chit trang:
22.490k</t>
        </r>
      </text>
    </comment>
    <comment ref="C19" authorId="3" shapeId="0" xr:uid="{00000000-0006-0000-3400-000021000000}">
      <text>
        <r>
          <rPr>
            <sz val="12"/>
            <color theme="1"/>
            <rFont val="Aptos Narrow"/>
            <family val="2"/>
            <scheme val="minor"/>
          </rPr>
          <t>W3 27990</t>
        </r>
      </text>
    </comment>
    <comment ref="B20" authorId="2" shapeId="0" xr:uid="{00000000-0006-0000-3400-000022000000}">
      <text>
        <r>
          <rPr>
            <sz val="12"/>
            <color theme="1"/>
            <rFont val="Aptos Narrow"/>
            <family val="2"/>
            <scheme val="minor"/>
          </rPr>
          <t>was 36640</t>
        </r>
      </text>
    </comment>
    <comment ref="F20" authorId="1" shapeId="0" xr:uid="{00000000-0006-0000-3400-000023000000}">
      <text>
        <r>
          <rPr>
            <sz val="12"/>
            <color theme="1"/>
            <rFont val="Aptos Narrow"/>
            <family val="2"/>
            <scheme val="minor"/>
          </rPr>
          <t>chit trang:
36.590k</t>
        </r>
      </text>
    </comment>
    <comment ref="D21" authorId="4" shapeId="0" xr:uid="{00000000-0006-0000-3400-000024000000}">
      <text>
        <r>
          <rPr>
            <sz val="12"/>
            <color theme="1"/>
            <rFont val="Aptos Narrow"/>
            <family val="2"/>
            <scheme val="minor"/>
          </rPr>
          <t>Việt Hoàng:
5.890.000</t>
        </r>
      </text>
    </comment>
    <comment ref="G21" authorId="0" shapeId="0" xr:uid="{00000000-0006-0000-3400-000025000000}">
      <text>
        <r>
          <rPr>
            <sz val="12"/>
            <color theme="1"/>
            <rFont val="Aptos Narrow"/>
            <family val="2"/>
            <scheme val="minor"/>
          </rPr>
          <t>Tran Dat:
5690</t>
        </r>
      </text>
    </comment>
    <comment ref="E22" authorId="2" shapeId="0" xr:uid="{00000000-0006-0000-3400-000026000000}">
      <text>
        <r>
          <rPr>
            <sz val="12"/>
            <color theme="1"/>
            <rFont val="Aptos Narrow"/>
            <family val="2"/>
            <scheme val="minor"/>
          </rPr>
          <t>was 6722
vnp1%</t>
        </r>
      </text>
    </comment>
    <comment ref="F22" authorId="1" shapeId="0" xr:uid="{00000000-0006-0000-3400-000027000000}">
      <text>
        <r>
          <rPr>
            <sz val="12"/>
            <color theme="1"/>
            <rFont val="Aptos Narrow"/>
            <family val="2"/>
            <scheme val="minor"/>
          </rPr>
          <t>chit trang:
6.290k</t>
        </r>
      </text>
    </comment>
    <comment ref="G22" authorId="0" shapeId="0" xr:uid="{00000000-0006-0000-3400-000028000000}">
      <text>
        <r>
          <rPr>
            <sz val="12"/>
            <color theme="1"/>
            <rFont val="Aptos Narrow"/>
            <family val="2"/>
            <scheme val="minor"/>
          </rPr>
          <t>Tran Dat:
6790</t>
        </r>
      </text>
    </comment>
    <comment ref="C23" authorId="3" shapeId="0" xr:uid="{00000000-0006-0000-3400-000029000000}">
      <text>
        <r>
          <rPr>
            <sz val="12"/>
            <color theme="1"/>
            <rFont val="Aptos Narrow"/>
            <family val="2"/>
            <scheme val="minor"/>
          </rPr>
          <t>W3 6590</t>
        </r>
      </text>
    </comment>
    <comment ref="D23" authorId="4" shapeId="0" xr:uid="{00000000-0006-0000-3400-00002A000000}">
      <text>
        <r>
          <rPr>
            <sz val="12"/>
            <color theme="1"/>
            <rFont val="Aptos Narrow"/>
            <family val="2"/>
            <scheme val="minor"/>
          </rPr>
          <t>Việt Hoàng:
6.590.000</t>
        </r>
      </text>
    </comment>
    <comment ref="G23" authorId="0" shapeId="0" xr:uid="{00000000-0006-0000-3400-00002B000000}">
      <text>
        <r>
          <rPr>
            <sz val="12"/>
            <color theme="1"/>
            <rFont val="Aptos Narrow"/>
            <family val="2"/>
            <scheme val="minor"/>
          </rPr>
          <t>Tran Dat:
6590</t>
        </r>
      </text>
    </comment>
    <comment ref="C24" authorId="3" shapeId="0" xr:uid="{00000000-0006-0000-3400-00002C000000}">
      <text>
        <r>
          <rPr>
            <sz val="12"/>
            <color theme="1"/>
            <rFont val="Aptos Narrow"/>
            <family val="2"/>
            <scheme val="minor"/>
          </rPr>
          <t>W3 7990</t>
        </r>
      </text>
    </comment>
    <comment ref="E24" authorId="2" shapeId="0" xr:uid="{00000000-0006-0000-3400-00002D000000}">
      <text>
        <r>
          <rPr>
            <sz val="12"/>
            <color theme="1"/>
            <rFont val="Aptos Narrow"/>
            <family val="2"/>
            <scheme val="minor"/>
          </rPr>
          <t>was 7415
vnp1%</t>
        </r>
      </text>
    </comment>
    <comment ref="F24" authorId="1" shapeId="0" xr:uid="{00000000-0006-0000-3400-00002E000000}">
      <text>
        <r>
          <rPr>
            <sz val="12"/>
            <color theme="1"/>
            <rFont val="Aptos Narrow"/>
            <family val="2"/>
            <scheme val="minor"/>
          </rPr>
          <t>chit trang:
7.790k</t>
        </r>
      </text>
    </comment>
    <comment ref="G24" authorId="0" shapeId="0" xr:uid="{00000000-0006-0000-3400-00002F000000}">
      <text>
        <r>
          <rPr>
            <sz val="12"/>
            <color theme="1"/>
            <rFont val="Aptos Narrow"/>
            <family val="2"/>
            <scheme val="minor"/>
          </rPr>
          <t>8090</t>
        </r>
      </text>
    </comment>
    <comment ref="C25" authorId="3" shapeId="0" xr:uid="{00000000-0006-0000-3400-000030000000}">
      <text>
        <r>
          <rPr>
            <sz val="12"/>
            <color theme="1"/>
            <rFont val="Aptos Narrow"/>
            <family val="2"/>
            <scheme val="minor"/>
          </rPr>
          <t>W3 10290</t>
        </r>
      </text>
    </comment>
    <comment ref="D25" authorId="4" shapeId="0" xr:uid="{00000000-0006-0000-3400-000031000000}">
      <text>
        <r>
          <rPr>
            <sz val="12"/>
            <color theme="1"/>
            <rFont val="Aptos Narrow"/>
            <family val="2"/>
            <scheme val="minor"/>
          </rPr>
          <t>Việt Hoàng:
10.490.000</t>
        </r>
      </text>
    </comment>
    <comment ref="E25" authorId="2" shapeId="0" xr:uid="{00000000-0006-0000-3400-000032000000}">
      <text>
        <r>
          <rPr>
            <sz val="12"/>
            <color theme="1"/>
            <rFont val="Aptos Narrow"/>
            <family val="2"/>
            <scheme val="minor"/>
          </rPr>
          <t>was 10187
vnp1%</t>
        </r>
      </text>
    </comment>
    <comment ref="G25" authorId="0" shapeId="0" xr:uid="{00000000-0006-0000-3400-000033000000}">
      <text>
        <r>
          <rPr>
            <sz val="12"/>
            <color theme="1"/>
            <rFont val="Aptos Narrow"/>
            <family val="2"/>
            <scheme val="minor"/>
          </rPr>
          <t>Tran Dat:
10190</t>
        </r>
      </text>
    </comment>
    <comment ref="C26" authorId="3" shapeId="0" xr:uid="{00000000-0006-0000-3400-000034000000}">
      <text>
        <r>
          <rPr>
            <sz val="12"/>
            <color theme="1"/>
            <rFont val="Aptos Narrow"/>
            <family val="2"/>
            <scheme val="minor"/>
          </rPr>
          <t>W3 12590</t>
        </r>
      </text>
    </comment>
    <comment ref="E26" authorId="2" shapeId="0" xr:uid="{00000000-0006-0000-3400-000035000000}">
      <text>
        <r>
          <rPr>
            <sz val="12"/>
            <color theme="1"/>
            <rFont val="Aptos Narrow"/>
            <family val="2"/>
            <scheme val="minor"/>
          </rPr>
          <t>was 12860
vnp1%</t>
        </r>
      </text>
    </comment>
    <comment ref="C27" authorId="3" shapeId="0" xr:uid="{00000000-0006-0000-3400-000036000000}">
      <text>
        <r>
          <rPr>
            <sz val="12"/>
            <color theme="1"/>
            <rFont val="Aptos Narrow"/>
            <family val="2"/>
            <scheme val="minor"/>
          </rPr>
          <t>W3 11390</t>
        </r>
      </text>
    </comment>
    <comment ref="D27" authorId="4" shapeId="0" xr:uid="{00000000-0006-0000-3400-000037000000}">
      <text>
        <r>
          <rPr>
            <sz val="12"/>
            <color theme="1"/>
            <rFont val="Aptos Narrow"/>
            <family val="2"/>
            <scheme val="minor"/>
          </rPr>
          <t>Việt Hoàng:
11.190.000</t>
        </r>
      </text>
    </comment>
    <comment ref="E27" authorId="2" shapeId="0" xr:uid="{00000000-0006-0000-3400-000038000000}">
      <text>
        <r>
          <rPr>
            <sz val="12"/>
            <color theme="1"/>
            <rFont val="Aptos Narrow"/>
            <family val="2"/>
            <scheme val="minor"/>
          </rPr>
          <t xml:space="preserve">was 10880
vnp1%
</t>
        </r>
      </text>
    </comment>
    <comment ref="F27" authorId="1" shapeId="0" xr:uid="{00000000-0006-0000-3400-000039000000}">
      <text>
        <r>
          <rPr>
            <sz val="12"/>
            <color theme="1"/>
            <rFont val="Aptos Narrow"/>
            <family val="2"/>
            <scheme val="minor"/>
          </rPr>
          <t>11.390k</t>
        </r>
      </text>
    </comment>
    <comment ref="G27" authorId="0" shapeId="0" xr:uid="{00000000-0006-0000-3400-00003A000000}">
      <text>
        <r>
          <rPr>
            <sz val="12"/>
            <color theme="1"/>
            <rFont val="Aptos Narrow"/>
            <family val="2"/>
            <scheme val="minor"/>
          </rPr>
          <t>Tran Dat:
10890</t>
        </r>
      </text>
    </comment>
    <comment ref="B28" authorId="2" shapeId="0" xr:uid="{00000000-0006-0000-3400-00003B000000}">
      <text>
        <r>
          <rPr>
            <sz val="12"/>
            <color theme="1"/>
            <rFont val="Aptos Narrow"/>
            <family val="2"/>
            <scheme val="minor"/>
          </rPr>
          <t>was 13320
VNP100</t>
        </r>
      </text>
    </comment>
    <comment ref="C28" authorId="3" shapeId="0" xr:uid="{00000000-0006-0000-3400-00003C000000}">
      <text>
        <r>
          <rPr>
            <sz val="12"/>
            <color theme="1"/>
            <rFont val="Aptos Narrow"/>
            <family val="2"/>
            <scheme val="minor"/>
          </rPr>
          <t>W3 13890</t>
        </r>
      </text>
    </comment>
    <comment ref="E28" authorId="2" shapeId="0" xr:uid="{00000000-0006-0000-3400-00003D000000}">
      <text>
        <r>
          <rPr>
            <sz val="12"/>
            <color theme="1"/>
            <rFont val="Aptos Narrow"/>
            <family val="2"/>
            <scheme val="minor"/>
          </rPr>
          <t>was 13553
vnp1%</t>
        </r>
      </text>
    </comment>
    <comment ref="F28" authorId="1" shapeId="0" xr:uid="{00000000-0006-0000-3400-00003E000000}">
      <text>
        <r>
          <rPr>
            <sz val="12"/>
            <color theme="1"/>
            <rFont val="Aptos Narrow"/>
            <family val="2"/>
            <scheme val="minor"/>
          </rPr>
          <t>chit trang:
13.490</t>
        </r>
      </text>
    </comment>
    <comment ref="B30" authorId="2" shapeId="0" xr:uid="{00000000-0006-0000-3400-00003F000000}">
      <text>
        <r>
          <rPr>
            <sz val="12"/>
            <color theme="1"/>
            <rFont val="Aptos Narrow"/>
            <family val="2"/>
            <scheme val="minor"/>
          </rPr>
          <t>was 5550
VNP40</t>
        </r>
      </text>
    </comment>
    <comment ref="C30" authorId="3" shapeId="0" xr:uid="{00000000-0006-0000-3400-000040000000}">
      <text>
        <r>
          <rPr>
            <sz val="12"/>
            <color theme="1"/>
            <rFont val="Aptos Narrow"/>
            <family val="2"/>
            <scheme val="minor"/>
          </rPr>
          <t>W3 5590</t>
        </r>
      </text>
    </comment>
    <comment ref="D30" authorId="4" shapeId="0" xr:uid="{00000000-0006-0000-3400-000041000000}">
      <text>
        <r>
          <rPr>
            <sz val="12"/>
            <color theme="1"/>
            <rFont val="Aptos Narrow"/>
            <family val="2"/>
            <scheme val="minor"/>
          </rPr>
          <t>Việt Hoàng:
5.690.000</t>
        </r>
      </text>
    </comment>
    <comment ref="E30" authorId="2" shapeId="0" xr:uid="{00000000-0006-0000-3400-000042000000}">
      <text>
        <r>
          <rPr>
            <sz val="12"/>
            <color theme="1"/>
            <rFont val="Aptos Narrow"/>
            <family val="2"/>
            <scheme val="minor"/>
          </rPr>
          <t>was 5633
vnp1%</t>
        </r>
      </text>
    </comment>
    <comment ref="F30" authorId="1" shapeId="0" xr:uid="{00000000-0006-0000-3400-000043000000}">
      <text>
        <r>
          <rPr>
            <sz val="12"/>
            <color theme="1"/>
            <rFont val="Aptos Narrow"/>
            <family val="2"/>
            <scheme val="minor"/>
          </rPr>
          <t>chit trang:
5.590k</t>
        </r>
      </text>
    </comment>
    <comment ref="G30" authorId="0" shapeId="0" xr:uid="{00000000-0006-0000-3400-000044000000}">
      <text>
        <r>
          <rPr>
            <sz val="12"/>
            <color theme="1"/>
            <rFont val="Aptos Narrow"/>
            <family val="2"/>
            <scheme val="minor"/>
          </rPr>
          <t>Tran Dat:
5590</t>
        </r>
      </text>
    </comment>
    <comment ref="B31" authorId="2" shapeId="0" xr:uid="{00000000-0006-0000-3400-000045000000}">
      <text>
        <r>
          <rPr>
            <sz val="12"/>
            <color theme="1"/>
            <rFont val="Aptos Narrow"/>
            <family val="2"/>
            <scheme val="minor"/>
          </rPr>
          <t xml:space="preserve">was 4490
</t>
        </r>
      </text>
    </comment>
    <comment ref="C31" authorId="3" shapeId="0" xr:uid="{00000000-0006-0000-3400-000046000000}">
      <text>
        <r>
          <rPr>
            <sz val="12"/>
            <color theme="1"/>
            <rFont val="Aptos Narrow"/>
            <family val="2"/>
            <scheme val="minor"/>
          </rPr>
          <t>W3 4590</t>
        </r>
      </text>
    </comment>
    <comment ref="D31" authorId="4" shapeId="0" xr:uid="{00000000-0006-0000-3400-000047000000}">
      <text>
        <r>
          <rPr>
            <sz val="12"/>
            <color theme="1"/>
            <rFont val="Aptos Narrow"/>
            <family val="2"/>
            <scheme val="minor"/>
          </rPr>
          <t>Việt Hoàng:
4.490.000</t>
        </r>
      </text>
    </comment>
    <comment ref="E31" authorId="2" shapeId="0" xr:uid="{00000000-0006-0000-3400-000048000000}">
      <text>
        <r>
          <rPr>
            <sz val="12"/>
            <color theme="1"/>
            <rFont val="Aptos Narrow"/>
            <family val="2"/>
            <scheme val="minor"/>
          </rPr>
          <t>was 4445
vnp1%</t>
        </r>
      </text>
    </comment>
    <comment ref="F31" authorId="1" shapeId="0" xr:uid="{00000000-0006-0000-3400-000049000000}">
      <text>
        <r>
          <rPr>
            <sz val="12"/>
            <color theme="1"/>
            <rFont val="Aptos Narrow"/>
            <family val="2"/>
            <scheme val="minor"/>
          </rPr>
          <t>chit trang:
4.490k</t>
        </r>
      </text>
    </comment>
    <comment ref="G31" authorId="0" shapeId="0" xr:uid="{00000000-0006-0000-3400-00004A000000}">
      <text>
        <r>
          <rPr>
            <sz val="12"/>
            <color theme="1"/>
            <rFont val="Aptos Narrow"/>
            <family val="2"/>
            <scheme val="minor"/>
          </rPr>
          <t>Tran Dat:
4490</t>
        </r>
      </text>
    </comment>
    <comment ref="B32" authorId="2" shapeId="0" xr:uid="{00000000-0006-0000-3400-00004B000000}">
      <text>
        <r>
          <rPr>
            <sz val="12"/>
            <color theme="1"/>
            <rFont val="Aptos Narrow"/>
            <family val="2"/>
            <scheme val="minor"/>
          </rPr>
          <t>was 3190</t>
        </r>
      </text>
    </comment>
    <comment ref="C32" authorId="3" shapeId="0" xr:uid="{00000000-0006-0000-3400-00004C000000}">
      <text>
        <r>
          <rPr>
            <sz val="12"/>
            <color theme="1"/>
            <rFont val="Aptos Narrow"/>
            <family val="2"/>
            <scheme val="minor"/>
          </rPr>
          <t>W3 3290</t>
        </r>
      </text>
    </comment>
    <comment ref="D32" authorId="4" shapeId="0" xr:uid="{00000000-0006-0000-3400-00004D000000}">
      <text>
        <r>
          <rPr>
            <sz val="12"/>
            <color theme="1"/>
            <rFont val="Aptos Narrow"/>
            <family val="2"/>
            <scheme val="minor"/>
          </rPr>
          <t>Việt Hoàng:
3.290.000</t>
        </r>
      </text>
    </comment>
    <comment ref="E32" authorId="2" shapeId="0" xr:uid="{00000000-0006-0000-3400-00004E000000}">
      <text>
        <r>
          <rPr>
            <sz val="12"/>
            <color theme="1"/>
            <rFont val="Aptos Narrow"/>
            <family val="2"/>
            <scheme val="minor"/>
          </rPr>
          <t>was 3190</t>
        </r>
      </text>
    </comment>
    <comment ref="F32" authorId="1" shapeId="0" xr:uid="{00000000-0006-0000-3400-00004F000000}">
      <text>
        <r>
          <rPr>
            <sz val="12"/>
            <color theme="1"/>
            <rFont val="Aptos Narrow"/>
            <family val="2"/>
            <scheme val="minor"/>
          </rPr>
          <t>chit trang:
3.290k</t>
        </r>
      </text>
    </comment>
    <comment ref="G32" authorId="0" shapeId="0" xr:uid="{00000000-0006-0000-3400-000050000000}">
      <text>
        <r>
          <rPr>
            <sz val="12"/>
            <color theme="1"/>
            <rFont val="Aptos Narrow"/>
            <family val="2"/>
            <scheme val="minor"/>
          </rPr>
          <t>Tran Dat:
3290</t>
        </r>
      </text>
    </comment>
    <comment ref="B33" authorId="2" shapeId="0" xr:uid="{00000000-0006-0000-3400-000051000000}">
      <text>
        <r>
          <rPr>
            <sz val="12"/>
            <color theme="1"/>
            <rFont val="Aptos Narrow"/>
            <family val="2"/>
            <scheme val="minor"/>
          </rPr>
          <t>was 18090
VNP100</t>
        </r>
      </text>
    </comment>
    <comment ref="C33" authorId="3" shapeId="0" xr:uid="{00000000-0006-0000-3400-000052000000}">
      <text>
        <r>
          <rPr>
            <sz val="12"/>
            <color theme="1"/>
            <rFont val="Aptos Narrow"/>
            <family val="2"/>
            <scheme val="minor"/>
          </rPr>
          <t>W3 17090</t>
        </r>
      </text>
    </comment>
    <comment ref="G33" authorId="0" shapeId="0" xr:uid="{00000000-0006-0000-3400-000053000000}">
      <text>
        <r>
          <rPr>
            <sz val="12"/>
            <color theme="1"/>
            <rFont val="Aptos Narrow"/>
            <family val="2"/>
            <scheme val="minor"/>
          </rPr>
          <t>Tran Dat:
16690</t>
        </r>
      </text>
    </comment>
    <comment ref="C34" authorId="3" shapeId="0" xr:uid="{00000000-0006-0000-3400-000054000000}">
      <text>
        <r>
          <rPr>
            <sz val="12"/>
            <color theme="1"/>
            <rFont val="Aptos Narrow"/>
            <family val="2"/>
            <scheme val="minor"/>
          </rPr>
          <t>W3 21790</t>
        </r>
      </text>
    </comment>
    <comment ref="F34" authorId="1" shapeId="0" xr:uid="{00000000-0006-0000-3400-000055000000}">
      <text>
        <r>
          <rPr>
            <sz val="12"/>
            <color theme="1"/>
            <rFont val="Aptos Narrow"/>
            <family val="2"/>
            <scheme val="minor"/>
          </rPr>
          <t>chit trang:
22.090k</t>
        </r>
      </text>
    </comment>
    <comment ref="G34" authorId="0" shapeId="0" xr:uid="{00000000-0006-0000-3400-000056000000}">
      <text>
        <r>
          <rPr>
            <sz val="12"/>
            <color theme="1"/>
            <rFont val="Aptos Narrow"/>
            <family val="2"/>
            <scheme val="minor"/>
          </rPr>
          <t>Tran Dat:
21990</t>
        </r>
      </text>
    </comment>
    <comment ref="B35" authorId="2" shapeId="0" xr:uid="{00000000-0006-0000-3400-000057000000}">
      <text>
        <r>
          <rPr>
            <sz val="12"/>
            <color theme="1"/>
            <rFont val="Aptos Narrow"/>
            <family val="2"/>
            <scheme val="minor"/>
          </rPr>
          <t>was 26140
VNP150</t>
        </r>
      </text>
    </comment>
    <comment ref="F35" authorId="1" shapeId="0" xr:uid="{00000000-0006-0000-3400-000058000000}">
      <text>
        <r>
          <rPr>
            <sz val="12"/>
            <color theme="1"/>
            <rFont val="Aptos Narrow"/>
            <family val="2"/>
            <scheme val="minor"/>
          </rPr>
          <t>chit trang:
24.990k</t>
        </r>
      </text>
    </comment>
    <comment ref="D36" authorId="4" shapeId="0" xr:uid="{00000000-0006-0000-3400-000059000000}">
      <text>
        <r>
          <rPr>
            <sz val="12"/>
            <color theme="1"/>
            <rFont val="Aptos Narrow"/>
            <family val="2"/>
            <scheme val="minor"/>
          </rPr>
          <t>Việt Hoàng:
26.790.000</t>
        </r>
      </text>
    </comment>
    <comment ref="D37" authorId="4" shapeId="0" xr:uid="{00000000-0006-0000-3400-00005A000000}">
      <text>
        <r>
          <rPr>
            <sz val="12"/>
            <color theme="1"/>
            <rFont val="Aptos Narrow"/>
            <family val="2"/>
            <scheme val="minor"/>
          </rPr>
          <t>Việt Hoàng:
31.690.000</t>
        </r>
      </text>
    </comment>
    <comment ref="D38" authorId="4" shapeId="0" xr:uid="{00000000-0006-0000-3400-00005B000000}">
      <text>
        <r>
          <rPr>
            <sz val="12"/>
            <color theme="1"/>
            <rFont val="Aptos Narrow"/>
            <family val="2"/>
            <scheme val="minor"/>
          </rPr>
          <t>Việt Hoàng:
39.990.000</t>
        </r>
      </text>
    </comment>
  </commentList>
</comments>
</file>

<file path=xl/comments54.xml><?xml version="1.0" encoding="utf-8"?>
<comments xmlns="http://schemas.openxmlformats.org/spreadsheetml/2006/main" xmlns:mc="http://schemas.openxmlformats.org/markup-compatibility/2006" xmlns:xr="http://schemas.microsoft.com/office/spreadsheetml/2014/revision" mc:Ignorable="xr">
  <authors>
    <author>Microsoft Office User</author>
    <author>chit trang</author>
    <author>Tran Dat</author>
    <author>Việt Hoàng</author>
    <author>Duy</author>
  </authors>
  <commentList>
    <comment ref="B4" authorId="0" shapeId="0" xr:uid="{00000000-0006-0000-3500-000001000000}">
      <text>
        <r>
          <rPr>
            <sz val="12"/>
            <color theme="1"/>
            <rFont val="Aptos Narrow"/>
            <family val="2"/>
            <scheme val="minor"/>
          </rPr>
          <t>was 24640000
VNP150</t>
        </r>
      </text>
    </comment>
    <comment ref="B6" authorId="0" shapeId="0" xr:uid="{00000000-0006-0000-3500-000002000000}">
      <text>
        <r>
          <rPr>
            <sz val="12"/>
            <color theme="1"/>
            <rFont val="Aptos Narrow"/>
            <family val="2"/>
            <scheme val="minor"/>
          </rPr>
          <t>Tặng phiếu mua hàng mua AirPods và Apple Watch trị giá 500,000đ
 Phiếu mua hàng mua sản phẩm giá niêm yết từ 5 triệu thuộc các nhóm TAI NGHE - LOA hãng HARMAN KARDON, JBL,MONSTER, KLIPSCH, MARSHALL, SONY; Smartwatch hãng HUAWEI, GARMIN, SAMSUNG, IMOO, OPPO, AMAZFIT trị giá 500.000đ</t>
        </r>
      </text>
    </comment>
    <comment ref="F7" authorId="1" shapeId="0" xr:uid="{00000000-0006-0000-3500-000003000000}">
      <text>
        <r>
          <rPr>
            <sz val="12"/>
            <color theme="1"/>
            <rFont val="Aptos Narrow"/>
            <family val="2"/>
            <scheme val="minor"/>
          </rPr>
          <t>chit trang:
15.690k</t>
        </r>
      </text>
    </comment>
    <comment ref="G7" authorId="2" shapeId="0" xr:uid="{00000000-0006-0000-3500-000004000000}">
      <text>
        <r>
          <rPr>
            <sz val="12"/>
            <color theme="1"/>
            <rFont val="Aptos Narrow"/>
            <family val="2"/>
            <scheme val="minor"/>
          </rPr>
          <t>Tran Dat:
15490</t>
        </r>
      </text>
    </comment>
    <comment ref="G8" authorId="2" shapeId="0" xr:uid="{00000000-0006-0000-3500-000005000000}">
      <text>
        <r>
          <rPr>
            <sz val="12"/>
            <color theme="1"/>
            <rFont val="Aptos Narrow"/>
            <family val="2"/>
            <scheme val="minor"/>
          </rPr>
          <t>Tran Dat:
18490</t>
        </r>
      </text>
    </comment>
    <comment ref="B9" authorId="0" shapeId="0" xr:uid="{00000000-0006-0000-3500-000006000000}">
      <text>
        <r>
          <rPr>
            <sz val="12"/>
            <color theme="1"/>
            <rFont val="Aptos Narrow"/>
            <family val="2"/>
            <scheme val="minor"/>
          </rPr>
          <t>was 29140000
VNP150</t>
        </r>
      </text>
    </comment>
    <comment ref="B10" authorId="0" shapeId="0" xr:uid="{00000000-0006-0000-3500-000007000000}">
      <text>
        <r>
          <rPr>
            <sz val="12"/>
            <color theme="1"/>
            <rFont val="Aptos Narrow"/>
            <family val="2"/>
            <scheme val="minor"/>
          </rPr>
          <t>was 18440</t>
        </r>
      </text>
    </comment>
    <comment ref="D11" authorId="3" shapeId="0" xr:uid="{00000000-0006-0000-3500-000008000000}">
      <text>
        <r>
          <rPr>
            <sz val="12"/>
            <color theme="1"/>
            <rFont val="Aptos Narrow"/>
            <family val="2"/>
            <scheme val="minor"/>
          </rPr>
          <t>Việt Hoàng:
12.890.000</t>
        </r>
      </text>
    </comment>
    <comment ref="B12" authorId="0" shapeId="0" xr:uid="{00000000-0006-0000-3500-000009000000}">
      <text>
        <r>
          <rPr>
            <sz val="12"/>
            <color theme="1"/>
            <rFont val="Aptos Narrow"/>
            <family val="2"/>
            <scheme val="minor"/>
          </rPr>
          <t>was 13190
VNP100</t>
        </r>
      </text>
    </comment>
    <comment ref="C14" authorId="4" shapeId="0" xr:uid="{00000000-0006-0000-3500-00000A000000}">
      <text>
        <r>
          <rPr>
            <sz val="12"/>
            <color theme="1"/>
            <rFont val="Aptos Narrow"/>
            <family val="2"/>
            <scheme val="minor"/>
          </rPr>
          <t>W4 13890</t>
        </r>
      </text>
    </comment>
    <comment ref="B16" authorId="0" shapeId="0" xr:uid="{00000000-0006-0000-3500-00000B000000}">
      <text>
        <r>
          <rPr>
            <sz val="12"/>
            <color theme="1"/>
            <rFont val="Aptos Narrow"/>
            <family val="2"/>
            <scheme val="minor"/>
          </rPr>
          <t>was 7040
VNP40</t>
        </r>
      </text>
    </comment>
    <comment ref="D16" authorId="3" shapeId="0" xr:uid="{00000000-0006-0000-3500-00000C000000}">
      <text>
        <r>
          <rPr>
            <sz val="12"/>
            <color theme="1"/>
            <rFont val="Aptos Narrow"/>
            <family val="2"/>
            <scheme val="minor"/>
          </rPr>
          <t>Việt Hoàng:
9.690.000</t>
        </r>
      </text>
    </comment>
    <comment ref="E16" authorId="0" shapeId="0" xr:uid="{00000000-0006-0000-3500-00000D000000}">
      <text>
        <r>
          <rPr>
            <sz val="12"/>
            <color theme="1"/>
            <rFont val="Aptos Narrow"/>
            <family val="2"/>
            <scheme val="minor"/>
          </rPr>
          <t xml:space="preserve">was 9593
vnp1%
</t>
        </r>
      </text>
    </comment>
    <comment ref="F16" authorId="1" shapeId="0" xr:uid="{00000000-0006-0000-3500-00000E000000}">
      <text>
        <r>
          <rPr>
            <sz val="12"/>
            <color theme="1"/>
            <rFont val="Aptos Narrow"/>
            <family val="2"/>
            <scheme val="minor"/>
          </rPr>
          <t>chit trang:
9.490k</t>
        </r>
      </text>
    </comment>
    <comment ref="G16" authorId="2" shapeId="0" xr:uid="{00000000-0006-0000-3500-00000F000000}">
      <text>
        <r>
          <rPr>
            <sz val="12"/>
            <color theme="1"/>
            <rFont val="Aptos Narrow"/>
            <family val="2"/>
            <scheme val="minor"/>
          </rPr>
          <t>Tran Dat:
9390</t>
        </r>
      </text>
    </comment>
    <comment ref="B17" authorId="0" shapeId="0" xr:uid="{00000000-0006-0000-3500-000010000000}">
      <text>
        <r>
          <rPr>
            <sz val="12"/>
            <color theme="1"/>
            <rFont val="Aptos Narrow"/>
            <family val="2"/>
            <scheme val="minor"/>
          </rPr>
          <t>was 14390</t>
        </r>
      </text>
    </comment>
    <comment ref="D17" authorId="3" shapeId="0" xr:uid="{00000000-0006-0000-3500-000011000000}">
      <text>
        <r>
          <rPr>
            <sz val="12"/>
            <color theme="1"/>
            <rFont val="Aptos Narrow"/>
            <family val="2"/>
            <scheme val="minor"/>
          </rPr>
          <t>Việt Hoàng:
16.990.000</t>
        </r>
      </text>
    </comment>
    <comment ref="F17" authorId="1" shapeId="0" xr:uid="{00000000-0006-0000-3500-000012000000}">
      <text>
        <r>
          <rPr>
            <sz val="12"/>
            <color theme="1"/>
            <rFont val="Aptos Narrow"/>
            <family val="2"/>
            <scheme val="minor"/>
          </rPr>
          <t>chit trang:
16.990k</t>
        </r>
      </text>
    </comment>
    <comment ref="D18" authorId="3" shapeId="0" xr:uid="{00000000-0006-0000-3500-000013000000}">
      <text>
        <r>
          <rPr>
            <sz val="12"/>
            <color theme="1"/>
            <rFont val="Aptos Narrow"/>
            <family val="2"/>
            <scheme val="minor"/>
          </rPr>
          <t>Việt Hoàng:
22.490.000</t>
        </r>
      </text>
    </comment>
    <comment ref="E18" authorId="0" shapeId="0" xr:uid="{00000000-0006-0000-3500-000014000000}">
      <text>
        <r>
          <rPr>
            <sz val="12"/>
            <color theme="1"/>
            <rFont val="Aptos Narrow"/>
            <family val="2"/>
            <scheme val="minor"/>
          </rPr>
          <t>was 21790
vnp1%</t>
        </r>
      </text>
    </comment>
    <comment ref="G18" authorId="2" shapeId="0" xr:uid="{00000000-0006-0000-3500-000015000000}">
      <text>
        <r>
          <rPr>
            <sz val="12"/>
            <color theme="1"/>
            <rFont val="Aptos Narrow"/>
            <family val="2"/>
            <scheme val="minor"/>
          </rPr>
          <t>Tran Dat:
22490</t>
        </r>
      </text>
    </comment>
    <comment ref="C19" authorId="4" shapeId="0" xr:uid="{00000000-0006-0000-3500-000016000000}">
      <text>
        <r>
          <rPr>
            <sz val="12"/>
            <color theme="1"/>
            <rFont val="Aptos Narrow"/>
            <family val="2"/>
            <scheme val="minor"/>
          </rPr>
          <t>W4 26890</t>
        </r>
      </text>
    </comment>
    <comment ref="D19" authorId="3" shapeId="0" xr:uid="{00000000-0006-0000-3500-000017000000}">
      <text>
        <r>
          <rPr>
            <sz val="12"/>
            <color theme="1"/>
            <rFont val="Aptos Narrow"/>
            <family val="2"/>
            <scheme val="minor"/>
          </rPr>
          <t>Việt Hoàng:
27.890.000</t>
        </r>
      </text>
    </comment>
    <comment ref="F19" authorId="1" shapeId="0" xr:uid="{00000000-0006-0000-3500-000018000000}">
      <text>
        <r>
          <rPr>
            <sz val="12"/>
            <color theme="1"/>
            <rFont val="Aptos Narrow"/>
            <family val="2"/>
            <scheme val="minor"/>
          </rPr>
          <t>chit trang:
27.990</t>
        </r>
      </text>
    </comment>
    <comment ref="B20" authorId="0" shapeId="0" xr:uid="{00000000-0006-0000-3500-000019000000}">
      <text>
        <r>
          <rPr>
            <sz val="12"/>
            <color theme="1"/>
            <rFont val="Aptos Narrow"/>
            <family val="2"/>
            <scheme val="minor"/>
          </rPr>
          <t>was 36640</t>
        </r>
      </text>
    </comment>
    <comment ref="D20" authorId="3" shapeId="0" xr:uid="{00000000-0006-0000-3500-00001A000000}">
      <text>
        <r>
          <rPr>
            <sz val="12"/>
            <color theme="1"/>
            <rFont val="Aptos Narrow"/>
            <family val="2"/>
            <scheme val="minor"/>
          </rPr>
          <t>Việt Hoàng:
36.690.000</t>
        </r>
      </text>
    </comment>
    <comment ref="F21" authorId="1" shapeId="0" xr:uid="{00000000-0006-0000-3500-00001B000000}">
      <text>
        <r>
          <rPr>
            <sz val="12"/>
            <color theme="1"/>
            <rFont val="Aptos Narrow"/>
            <family val="2"/>
            <scheme val="minor"/>
          </rPr>
          <t>chit trang:
5.690k</t>
        </r>
      </text>
    </comment>
    <comment ref="F23" authorId="1" shapeId="0" xr:uid="{00000000-0006-0000-3500-00001C000000}">
      <text>
        <r>
          <rPr>
            <sz val="12"/>
            <color theme="1"/>
            <rFont val="Aptos Narrow"/>
            <family val="2"/>
            <scheme val="minor"/>
          </rPr>
          <t>chit trang:
6.590k</t>
        </r>
      </text>
    </comment>
    <comment ref="F24" authorId="1" shapeId="0" xr:uid="{00000000-0006-0000-3500-00001D000000}">
      <text>
        <r>
          <rPr>
            <sz val="12"/>
            <color theme="1"/>
            <rFont val="Aptos Narrow"/>
            <family val="2"/>
            <scheme val="minor"/>
          </rPr>
          <t>chit trang:
7.790k</t>
        </r>
      </text>
    </comment>
    <comment ref="D25" authorId="3" shapeId="0" xr:uid="{00000000-0006-0000-3500-00001E000000}">
      <text>
        <r>
          <rPr>
            <sz val="12"/>
            <color theme="1"/>
            <rFont val="Aptos Narrow"/>
            <family val="2"/>
            <scheme val="minor"/>
          </rPr>
          <t>Việt Hoàng:
8.490.000</t>
        </r>
      </text>
    </comment>
    <comment ref="F25" authorId="1" shapeId="0" xr:uid="{00000000-0006-0000-3500-00001F000000}">
      <text>
        <r>
          <rPr>
            <sz val="12"/>
            <color theme="1"/>
            <rFont val="Aptos Narrow"/>
            <family val="2"/>
            <scheme val="minor"/>
          </rPr>
          <t>chit trang:
8.490k</t>
        </r>
      </text>
    </comment>
    <comment ref="G25" authorId="2" shapeId="0" xr:uid="{00000000-0006-0000-3500-000020000000}">
      <text>
        <r>
          <rPr>
            <sz val="12"/>
            <color theme="1"/>
            <rFont val="Aptos Narrow"/>
            <family val="2"/>
            <scheme val="minor"/>
          </rPr>
          <t>Tran Dat:
8490</t>
        </r>
      </text>
    </comment>
    <comment ref="F26" authorId="1" shapeId="0" xr:uid="{00000000-0006-0000-3500-000021000000}">
      <text>
        <r>
          <rPr>
            <sz val="12"/>
            <color theme="1"/>
            <rFont val="Aptos Narrow"/>
            <family val="2"/>
            <scheme val="minor"/>
          </rPr>
          <t>chit trang:
12.690k</t>
        </r>
      </text>
    </comment>
    <comment ref="D27" authorId="3" shapeId="0" xr:uid="{00000000-0006-0000-3500-000022000000}">
      <text>
        <r>
          <rPr>
            <sz val="12"/>
            <color theme="1"/>
            <rFont val="Aptos Narrow"/>
            <family val="2"/>
            <scheme val="minor"/>
          </rPr>
          <t>Việt Hoàng:
9.490.000</t>
        </r>
      </text>
    </comment>
    <comment ref="F27" authorId="1" shapeId="0" xr:uid="{00000000-0006-0000-3500-000023000000}">
      <text>
        <r>
          <rPr>
            <sz val="12"/>
            <color theme="1"/>
            <rFont val="Aptos Narrow"/>
            <family val="2"/>
            <scheme val="minor"/>
          </rPr>
          <t>9.990k</t>
        </r>
      </text>
    </comment>
    <comment ref="B28" authorId="0" shapeId="0" xr:uid="{00000000-0006-0000-3500-000024000000}">
      <text>
        <r>
          <rPr>
            <sz val="12"/>
            <color theme="1"/>
            <rFont val="Aptos Narrow"/>
            <family val="2"/>
            <scheme val="minor"/>
          </rPr>
          <t>was 13320
VNP100</t>
        </r>
      </text>
    </comment>
    <comment ref="F28" authorId="1" shapeId="0" xr:uid="{00000000-0006-0000-3500-000025000000}">
      <text>
        <r>
          <rPr>
            <sz val="12"/>
            <color theme="1"/>
            <rFont val="Aptos Narrow"/>
            <family val="2"/>
            <scheme val="minor"/>
          </rPr>
          <t>chit trang:
13.490</t>
        </r>
      </text>
    </comment>
    <comment ref="B30" authorId="0" shapeId="0" xr:uid="{00000000-0006-0000-3500-000026000000}">
      <text>
        <r>
          <rPr>
            <sz val="12"/>
            <color theme="1"/>
            <rFont val="Aptos Narrow"/>
            <family val="2"/>
            <scheme val="minor"/>
          </rPr>
          <t>was 5550
VNP40</t>
        </r>
      </text>
    </comment>
    <comment ref="B31" authorId="0" shapeId="0" xr:uid="{00000000-0006-0000-3500-000027000000}">
      <text>
        <r>
          <rPr>
            <sz val="12"/>
            <color theme="1"/>
            <rFont val="Aptos Narrow"/>
            <family val="2"/>
            <scheme val="minor"/>
          </rPr>
          <t xml:space="preserve">was 4490
</t>
        </r>
      </text>
    </comment>
    <comment ref="B32" authorId="0" shapeId="0" xr:uid="{00000000-0006-0000-3500-000028000000}">
      <text>
        <r>
          <rPr>
            <sz val="12"/>
            <color theme="1"/>
            <rFont val="Aptos Narrow"/>
            <family val="2"/>
            <scheme val="minor"/>
          </rPr>
          <t>was 3190</t>
        </r>
      </text>
    </comment>
    <comment ref="B33" authorId="0" shapeId="0" xr:uid="{00000000-0006-0000-3500-000029000000}">
      <text>
        <r>
          <rPr>
            <sz val="12"/>
            <color theme="1"/>
            <rFont val="Aptos Narrow"/>
            <family val="2"/>
            <scheme val="minor"/>
          </rPr>
          <t>was 18090
VNP100</t>
        </r>
      </text>
    </comment>
    <comment ref="C33" authorId="4" shapeId="0" xr:uid="{00000000-0006-0000-3500-00002A000000}">
      <text>
        <r>
          <rPr>
            <sz val="12"/>
            <color theme="1"/>
            <rFont val="Aptos Narrow"/>
            <family val="2"/>
            <scheme val="minor"/>
          </rPr>
          <t>W4 17590</t>
        </r>
      </text>
    </comment>
    <comment ref="F33" authorId="1" shapeId="0" xr:uid="{00000000-0006-0000-3500-00002B000000}">
      <text>
        <r>
          <rPr>
            <sz val="12"/>
            <color theme="1"/>
            <rFont val="Aptos Narrow"/>
            <family val="2"/>
            <scheme val="minor"/>
          </rPr>
          <t>chit trang:
16.890k</t>
        </r>
      </text>
    </comment>
    <comment ref="G33" authorId="2" shapeId="0" xr:uid="{00000000-0006-0000-3500-00002C000000}">
      <text>
        <r>
          <rPr>
            <sz val="12"/>
            <color theme="1"/>
            <rFont val="Aptos Narrow"/>
            <family val="2"/>
            <scheme val="minor"/>
          </rPr>
          <t>Tran Dat:
16350</t>
        </r>
      </text>
    </comment>
    <comment ref="C34" authorId="4" shapeId="0" xr:uid="{00000000-0006-0000-3500-00002D000000}">
      <text>
        <r>
          <rPr>
            <sz val="12"/>
            <color theme="1"/>
            <rFont val="Aptos Narrow"/>
            <family val="2"/>
            <scheme val="minor"/>
          </rPr>
          <t>W4 21690</t>
        </r>
      </text>
    </comment>
    <comment ref="F34" authorId="1" shapeId="0" xr:uid="{00000000-0006-0000-3500-00002E000000}">
      <text>
        <r>
          <rPr>
            <sz val="12"/>
            <color theme="1"/>
            <rFont val="Aptos Narrow"/>
            <family val="2"/>
            <scheme val="minor"/>
          </rPr>
          <t>chit trang:
21590k</t>
        </r>
      </text>
    </comment>
    <comment ref="B35" authorId="0" shapeId="0" xr:uid="{00000000-0006-0000-3500-00002F000000}">
      <text>
        <r>
          <rPr>
            <sz val="12"/>
            <color theme="1"/>
            <rFont val="Aptos Narrow"/>
            <family val="2"/>
            <scheme val="minor"/>
          </rPr>
          <t>was 26140
VNP150</t>
        </r>
      </text>
    </comment>
    <comment ref="D36" authorId="3" shapeId="0" xr:uid="{00000000-0006-0000-3500-000030000000}">
      <text>
        <r>
          <rPr>
            <sz val="12"/>
            <color theme="1"/>
            <rFont val="Aptos Narrow"/>
            <family val="2"/>
            <scheme val="minor"/>
          </rPr>
          <t>Việt Hoàng:
26.890.000</t>
        </r>
      </text>
    </comment>
  </commentList>
</comments>
</file>

<file path=xl/comments55.xml><?xml version="1.0" encoding="utf-8"?>
<comments xmlns="http://schemas.openxmlformats.org/spreadsheetml/2006/main" xmlns:mc="http://schemas.openxmlformats.org/markup-compatibility/2006" xmlns:xr="http://schemas.microsoft.com/office/spreadsheetml/2014/revision" mc:Ignorable="xr">
  <authors>
    <author>Duy</author>
    <author>Việt Hoàng</author>
    <author>Microsoft Office User</author>
    <author>Tran Dat</author>
    <author>chit trang</author>
  </authors>
  <commentList>
    <comment ref="C2" authorId="0" shapeId="0" xr:uid="{00000000-0006-0000-3600-000001000000}">
      <text>
        <r>
          <rPr>
            <sz val="12"/>
            <color theme="1"/>
            <rFont val="Aptos Narrow"/>
            <family val="2"/>
            <scheme val="minor"/>
          </rPr>
          <t>W5 16290</t>
        </r>
      </text>
    </comment>
    <comment ref="D2" authorId="1" shapeId="0" xr:uid="{00000000-0006-0000-3600-000002000000}">
      <text>
        <r>
          <rPr>
            <sz val="12"/>
            <color theme="1"/>
            <rFont val="Aptos Narrow"/>
            <family val="2"/>
            <scheme val="minor"/>
          </rPr>
          <t>Việt Hoàng:
16.290.000</t>
        </r>
      </text>
    </comment>
    <comment ref="C3" authorId="0" shapeId="0" xr:uid="{00000000-0006-0000-3600-000003000000}">
      <text>
        <r>
          <rPr>
            <sz val="12"/>
            <color theme="1"/>
            <rFont val="Aptos Narrow"/>
            <family val="2"/>
            <scheme val="minor"/>
          </rPr>
          <t>W5 19290</t>
        </r>
      </text>
    </comment>
    <comment ref="D3" authorId="1" shapeId="0" xr:uid="{00000000-0006-0000-3600-000004000000}">
      <text>
        <r>
          <rPr>
            <sz val="12"/>
            <color theme="1"/>
            <rFont val="Aptos Narrow"/>
            <family val="2"/>
            <scheme val="minor"/>
          </rPr>
          <t>Việt Hoàng:
19.190.000</t>
        </r>
      </text>
    </comment>
    <comment ref="B4" authorId="2" shapeId="0" xr:uid="{00000000-0006-0000-3600-000005000000}">
      <text>
        <r>
          <rPr>
            <sz val="12"/>
            <color theme="1"/>
            <rFont val="Aptos Narrow"/>
            <family val="2"/>
            <scheme val="minor"/>
          </rPr>
          <t>was 24640000
VNP150</t>
        </r>
      </text>
    </comment>
    <comment ref="C4" authorId="0" shapeId="0" xr:uid="{00000000-0006-0000-3600-000006000000}">
      <text>
        <r>
          <rPr>
            <sz val="12"/>
            <color theme="1"/>
            <rFont val="Aptos Narrow"/>
            <family val="2"/>
            <scheme val="minor"/>
          </rPr>
          <t>W5 22390</t>
        </r>
      </text>
    </comment>
    <comment ref="D4" authorId="1" shapeId="0" xr:uid="{00000000-0006-0000-3600-000007000000}">
      <text>
        <r>
          <rPr>
            <sz val="12"/>
            <color theme="1"/>
            <rFont val="Aptos Narrow"/>
            <family val="2"/>
            <scheme val="minor"/>
          </rPr>
          <t>Việt Hoàng:
22.390.000</t>
        </r>
      </text>
    </comment>
    <comment ref="B6" authorId="2" shapeId="0" xr:uid="{00000000-0006-0000-3600-000008000000}">
      <text>
        <r>
          <rPr>
            <sz val="12"/>
            <color theme="1"/>
            <rFont val="Aptos Narrow"/>
            <family val="2"/>
            <scheme val="minor"/>
          </rPr>
          <t>Tặng phiếu mua hàng mua AirPods và Apple Watch trị giá 500,000đ
 Phiếu mua hàng mua sản phẩm giá niêm yết từ 5 triệu thuộc các nhóm TAI NGHE - LOA hãng HARMAN KARDON, JBL,MONSTER, KLIPSCH, MARSHALL, SONY; Smartwatch hãng HUAWEI, GARMIN, SAMSUNG, IMOO, OPPO, AMAZFIT trị giá 500.000đ</t>
        </r>
      </text>
    </comment>
    <comment ref="C6" authorId="0" shapeId="0" xr:uid="{00000000-0006-0000-3600-000009000000}">
      <text>
        <r>
          <rPr>
            <sz val="12"/>
            <color theme="1"/>
            <rFont val="Aptos Narrow"/>
            <family val="2"/>
            <scheme val="minor"/>
          </rPr>
          <t>W5 31090</t>
        </r>
      </text>
    </comment>
    <comment ref="D6" authorId="1" shapeId="0" xr:uid="{00000000-0006-0000-3600-00000A000000}">
      <text>
        <r>
          <rPr>
            <sz val="12"/>
            <color theme="1"/>
            <rFont val="Aptos Narrow"/>
            <family val="2"/>
            <scheme val="minor"/>
          </rPr>
          <t>Việt Hoàng:
30.990.000</t>
        </r>
      </text>
    </comment>
    <comment ref="G7" authorId="3" shapeId="0" xr:uid="{00000000-0006-0000-3600-00000B000000}">
      <text>
        <r>
          <rPr>
            <sz val="12"/>
            <color theme="1"/>
            <rFont val="Aptos Narrow"/>
            <family val="2"/>
            <scheme val="minor"/>
          </rPr>
          <t>Tran Dat:
15290</t>
        </r>
      </text>
    </comment>
    <comment ref="G8" authorId="3" shapeId="0" xr:uid="{00000000-0006-0000-3600-00000C000000}">
      <text>
        <r>
          <rPr>
            <sz val="12"/>
            <color theme="1"/>
            <rFont val="Aptos Narrow"/>
            <family val="2"/>
            <scheme val="minor"/>
          </rPr>
          <t>Tran Dat:
18490</t>
        </r>
      </text>
    </comment>
    <comment ref="B9" authorId="2" shapeId="0" xr:uid="{00000000-0006-0000-3600-00000D000000}">
      <text>
        <r>
          <rPr>
            <sz val="12"/>
            <color theme="1"/>
            <rFont val="Aptos Narrow"/>
            <family val="2"/>
            <scheme val="minor"/>
          </rPr>
          <t>was 29140000
VNP150</t>
        </r>
      </text>
    </comment>
    <comment ref="B10" authorId="2" shapeId="0" xr:uid="{00000000-0006-0000-3600-00000E000000}">
      <text>
        <r>
          <rPr>
            <sz val="12"/>
            <color theme="1"/>
            <rFont val="Aptos Narrow"/>
            <family val="2"/>
            <scheme val="minor"/>
          </rPr>
          <t>was 18440</t>
        </r>
      </text>
    </comment>
    <comment ref="C11" authorId="0" shapeId="0" xr:uid="{00000000-0006-0000-3600-00000F000000}">
      <text>
        <r>
          <rPr>
            <sz val="12"/>
            <color theme="1"/>
            <rFont val="Aptos Narrow"/>
            <family val="2"/>
            <scheme val="minor"/>
          </rPr>
          <t>W5 12990</t>
        </r>
      </text>
    </comment>
    <comment ref="B12" authorId="2" shapeId="0" xr:uid="{00000000-0006-0000-3600-000010000000}">
      <text>
        <r>
          <rPr>
            <sz val="12"/>
            <color theme="1"/>
            <rFont val="Aptos Narrow"/>
            <family val="2"/>
            <scheme val="minor"/>
          </rPr>
          <t>was 13190
VNP100</t>
        </r>
      </text>
    </comment>
    <comment ref="B15" authorId="2" shapeId="0" xr:uid="{00000000-0006-0000-3600-000011000000}">
      <text>
        <r>
          <rPr>
            <sz val="12"/>
            <color theme="1"/>
            <rFont val="Aptos Narrow"/>
            <family val="2"/>
            <scheme val="minor"/>
          </rPr>
          <t>was 7040
VNP40</t>
        </r>
      </text>
    </comment>
    <comment ref="F15" authorId="4" shapeId="0" xr:uid="{00000000-0006-0000-3600-000012000000}">
      <text>
        <r>
          <rPr>
            <sz val="12"/>
            <color theme="1"/>
            <rFont val="Aptos Narrow"/>
            <family val="2"/>
            <scheme val="minor"/>
          </rPr>
          <t>chit trang:
8.690k</t>
        </r>
      </text>
    </comment>
    <comment ref="G15" authorId="3" shapeId="0" xr:uid="{00000000-0006-0000-3600-000013000000}">
      <text>
        <r>
          <rPr>
            <sz val="12"/>
            <color theme="1"/>
            <rFont val="Aptos Narrow"/>
            <family val="2"/>
            <scheme val="minor"/>
          </rPr>
          <t>Tran Dat:
8590</t>
        </r>
      </text>
    </comment>
    <comment ref="B16" authorId="2" shapeId="0" xr:uid="{00000000-0006-0000-3600-000014000000}">
      <text>
        <r>
          <rPr>
            <sz val="12"/>
            <color theme="1"/>
            <rFont val="Aptos Narrow"/>
            <family val="2"/>
            <scheme val="minor"/>
          </rPr>
          <t>was 14390</t>
        </r>
      </text>
    </comment>
    <comment ref="F16" authorId="4" shapeId="0" xr:uid="{00000000-0006-0000-3600-000015000000}">
      <text>
        <r>
          <rPr>
            <sz val="12"/>
            <color theme="1"/>
            <rFont val="Aptos Narrow"/>
            <family val="2"/>
            <scheme val="minor"/>
          </rPr>
          <t>chit trang:
16.690k</t>
        </r>
      </text>
    </comment>
    <comment ref="C18" authorId="0" shapeId="0" xr:uid="{00000000-0006-0000-3600-000016000000}">
      <text>
        <r>
          <rPr>
            <sz val="12"/>
            <color theme="1"/>
            <rFont val="Aptos Narrow"/>
            <family val="2"/>
            <scheme val="minor"/>
          </rPr>
          <t>W5 26490</t>
        </r>
      </text>
    </comment>
    <comment ref="E18" authorId="2" shapeId="0" xr:uid="{00000000-0006-0000-3600-000017000000}">
      <text>
        <r>
          <rPr>
            <sz val="12"/>
            <color theme="1"/>
            <rFont val="Aptos Narrow"/>
            <family val="2"/>
            <scheme val="minor"/>
          </rPr>
          <t xml:space="preserve">was 27190
</t>
        </r>
      </text>
    </comment>
    <comment ref="F18" authorId="4" shapeId="0" xr:uid="{00000000-0006-0000-3600-000018000000}">
      <text>
        <r>
          <rPr>
            <sz val="12"/>
            <color theme="1"/>
            <rFont val="Aptos Narrow"/>
            <family val="2"/>
            <scheme val="minor"/>
          </rPr>
          <t>chit trang:
26.490</t>
        </r>
      </text>
    </comment>
    <comment ref="B19" authorId="2" shapeId="0" xr:uid="{00000000-0006-0000-3600-000019000000}">
      <text>
        <r>
          <rPr>
            <sz val="12"/>
            <color theme="1"/>
            <rFont val="Aptos Narrow"/>
            <family val="2"/>
            <scheme val="minor"/>
          </rPr>
          <t>was 36640</t>
        </r>
      </text>
    </comment>
    <comment ref="C19" authorId="0" shapeId="0" xr:uid="{00000000-0006-0000-3600-00001A000000}">
      <text>
        <r>
          <rPr>
            <sz val="12"/>
            <color theme="1"/>
            <rFont val="Aptos Narrow"/>
            <family val="2"/>
            <scheme val="minor"/>
          </rPr>
          <t>W5 36690</t>
        </r>
      </text>
    </comment>
    <comment ref="C20" authorId="0" shapeId="0" xr:uid="{00000000-0006-0000-3600-00001B000000}">
      <text>
        <r>
          <rPr>
            <sz val="12"/>
            <color theme="1"/>
            <rFont val="Aptos Narrow"/>
            <family val="2"/>
            <scheme val="minor"/>
          </rPr>
          <t>W5 5220</t>
        </r>
      </text>
    </comment>
    <comment ref="D20" authorId="1" shapeId="0" xr:uid="{00000000-0006-0000-3600-00001C000000}">
      <text>
        <r>
          <rPr>
            <sz val="12"/>
            <color theme="1"/>
            <rFont val="Aptos Narrow"/>
            <family val="2"/>
            <scheme val="minor"/>
          </rPr>
          <t>Việt Hoàng:
5.190.000</t>
        </r>
      </text>
    </comment>
    <comment ref="E20" authorId="2" shapeId="0" xr:uid="{00000000-0006-0000-3600-00001D000000}">
      <text>
        <r>
          <rPr>
            <sz val="12"/>
            <color theme="1"/>
            <rFont val="Aptos Narrow"/>
            <family val="2"/>
            <scheme val="minor"/>
          </rPr>
          <t xml:space="preserve">Microsoft Office User:
</t>
        </r>
      </text>
    </comment>
    <comment ref="F20" authorId="4" shapeId="0" xr:uid="{00000000-0006-0000-3600-00001E000000}">
      <text>
        <r>
          <rPr>
            <sz val="12"/>
            <color theme="1"/>
            <rFont val="Aptos Narrow"/>
            <family val="2"/>
            <scheme val="minor"/>
          </rPr>
          <t>chit trang:
5.290k</t>
        </r>
      </text>
    </comment>
    <comment ref="G20" authorId="3" shapeId="0" xr:uid="{00000000-0006-0000-3600-00001F000000}">
      <text>
        <r>
          <rPr>
            <sz val="12"/>
            <color theme="1"/>
            <rFont val="Aptos Narrow"/>
            <family val="2"/>
            <scheme val="minor"/>
          </rPr>
          <t>Tran Dat:
5190</t>
        </r>
      </text>
    </comment>
    <comment ref="E21" authorId="2" shapeId="0" xr:uid="{00000000-0006-0000-3600-000020000000}">
      <text>
        <r>
          <rPr>
            <sz val="12"/>
            <color theme="1"/>
            <rFont val="Aptos Narrow"/>
            <family val="2"/>
            <scheme val="minor"/>
          </rPr>
          <t>was 6227
vnp1%</t>
        </r>
      </text>
    </comment>
    <comment ref="C22" authorId="0" shapeId="0" xr:uid="{00000000-0006-0000-3600-000021000000}">
      <text>
        <r>
          <rPr>
            <sz val="12"/>
            <color theme="1"/>
            <rFont val="Aptos Narrow"/>
            <family val="2"/>
            <scheme val="minor"/>
          </rPr>
          <t>W5 5820</t>
        </r>
      </text>
    </comment>
    <comment ref="D22" authorId="1" shapeId="0" xr:uid="{00000000-0006-0000-3600-000022000000}">
      <text>
        <r>
          <rPr>
            <sz val="12"/>
            <color theme="1"/>
            <rFont val="Aptos Narrow"/>
            <family val="2"/>
            <scheme val="minor"/>
          </rPr>
          <t>Việt Hoàng:
5.790.000</t>
        </r>
      </text>
    </comment>
    <comment ref="F22" authorId="4" shapeId="0" xr:uid="{00000000-0006-0000-3600-000023000000}">
      <text>
        <r>
          <rPr>
            <sz val="12"/>
            <color theme="1"/>
            <rFont val="Aptos Narrow"/>
            <family val="2"/>
            <scheme val="minor"/>
          </rPr>
          <t>chit trang:
5.990k</t>
        </r>
      </text>
    </comment>
    <comment ref="G22" authorId="3" shapeId="0" xr:uid="{00000000-0006-0000-3600-000024000000}">
      <text>
        <r>
          <rPr>
            <sz val="12"/>
            <color theme="1"/>
            <rFont val="Aptos Narrow"/>
            <family val="2"/>
            <scheme val="minor"/>
          </rPr>
          <t>Tran Dat:
5890</t>
        </r>
      </text>
    </comment>
    <comment ref="E23" authorId="2" shapeId="0" xr:uid="{00000000-0006-0000-3600-000025000000}">
      <text>
        <r>
          <rPr>
            <sz val="12"/>
            <color theme="1"/>
            <rFont val="Aptos Narrow"/>
            <family val="2"/>
            <scheme val="minor"/>
          </rPr>
          <t>was 6920
vnp1%</t>
        </r>
      </text>
    </comment>
    <comment ref="F23" authorId="4" shapeId="0" xr:uid="{00000000-0006-0000-3600-000026000000}">
      <text>
        <r>
          <rPr>
            <sz val="12"/>
            <color theme="1"/>
            <rFont val="Aptos Narrow"/>
            <family val="2"/>
            <scheme val="minor"/>
          </rPr>
          <t>chit trang:
7.790k</t>
        </r>
      </text>
    </comment>
    <comment ref="C24" authorId="0" shapeId="0" xr:uid="{00000000-0006-0000-3600-000027000000}">
      <text>
        <r>
          <rPr>
            <sz val="12"/>
            <color theme="1"/>
            <rFont val="Aptos Narrow"/>
            <family val="2"/>
            <scheme val="minor"/>
          </rPr>
          <t>W5 8380</t>
        </r>
      </text>
    </comment>
    <comment ref="D24" authorId="1" shapeId="0" xr:uid="{00000000-0006-0000-3600-000028000000}">
      <text>
        <r>
          <rPr>
            <sz val="12"/>
            <color theme="1"/>
            <rFont val="Aptos Narrow"/>
            <family val="2"/>
            <scheme val="minor"/>
          </rPr>
          <t>Việt Hoàng:
8.390.000</t>
        </r>
      </text>
    </comment>
    <comment ref="E24" authorId="2" shapeId="0" xr:uid="{00000000-0006-0000-3600-000029000000}">
      <text>
        <r>
          <rPr>
            <sz val="12"/>
            <color theme="1"/>
            <rFont val="Aptos Narrow"/>
            <family val="2"/>
            <scheme val="minor"/>
          </rPr>
          <t xml:space="preserve">was 8405
vnp1%
</t>
        </r>
      </text>
    </comment>
    <comment ref="F24" authorId="4" shapeId="0" xr:uid="{00000000-0006-0000-3600-00002A000000}">
      <text>
        <r>
          <rPr>
            <sz val="12"/>
            <color theme="1"/>
            <rFont val="Aptos Narrow"/>
            <family val="2"/>
            <scheme val="minor"/>
          </rPr>
          <t>chit trang:
8.490k</t>
        </r>
      </text>
    </comment>
    <comment ref="G24" authorId="3" shapeId="0" xr:uid="{00000000-0006-0000-3600-00002B000000}">
      <text>
        <r>
          <rPr>
            <sz val="12"/>
            <color theme="1"/>
            <rFont val="Aptos Narrow"/>
            <family val="2"/>
            <scheme val="minor"/>
          </rPr>
          <t>Tran Dat:
8390</t>
        </r>
      </text>
    </comment>
    <comment ref="E25" authorId="2" shapeId="0" xr:uid="{00000000-0006-0000-3600-00002C000000}">
      <text>
        <r>
          <rPr>
            <sz val="12"/>
            <color theme="1"/>
            <rFont val="Aptos Narrow"/>
            <family val="2"/>
            <scheme val="minor"/>
          </rPr>
          <t>was 11870
vnp1%</t>
        </r>
      </text>
    </comment>
    <comment ref="F25" authorId="4" shapeId="0" xr:uid="{00000000-0006-0000-3600-00002D000000}">
      <text>
        <r>
          <rPr>
            <sz val="12"/>
            <color theme="1"/>
            <rFont val="Aptos Narrow"/>
            <family val="2"/>
            <scheme val="minor"/>
          </rPr>
          <t>chit trang:
12.690k</t>
        </r>
      </text>
    </comment>
    <comment ref="G25" authorId="3" shapeId="0" xr:uid="{00000000-0006-0000-3600-00002E000000}">
      <text>
        <r>
          <rPr>
            <sz val="12"/>
            <color theme="1"/>
            <rFont val="Aptos Narrow"/>
            <family val="2"/>
            <scheme val="minor"/>
          </rPr>
          <t>Tran Dat:
12690</t>
        </r>
      </text>
    </comment>
    <comment ref="C26" authorId="0" shapeId="0" xr:uid="{00000000-0006-0000-3600-00002F000000}">
      <text>
        <r>
          <rPr>
            <sz val="12"/>
            <color theme="1"/>
            <rFont val="Aptos Narrow"/>
            <family val="2"/>
            <scheme val="minor"/>
          </rPr>
          <t>W5 9380</t>
        </r>
      </text>
    </comment>
    <comment ref="D26" authorId="1" shapeId="0" xr:uid="{00000000-0006-0000-3600-000030000000}">
      <text>
        <r>
          <rPr>
            <sz val="12"/>
            <color theme="1"/>
            <rFont val="Aptos Narrow"/>
            <family val="2"/>
            <scheme val="minor"/>
          </rPr>
          <t>Việt Hoàng:
9.390.000</t>
        </r>
      </text>
    </comment>
    <comment ref="E26" authorId="2" shapeId="0" xr:uid="{00000000-0006-0000-3600-000031000000}">
      <text>
        <r>
          <rPr>
            <sz val="12"/>
            <color theme="1"/>
            <rFont val="Aptos Narrow"/>
            <family val="2"/>
            <scheme val="minor"/>
          </rPr>
          <t>was 8900
vnp1%</t>
        </r>
      </text>
    </comment>
    <comment ref="G26" authorId="3" shapeId="0" xr:uid="{00000000-0006-0000-3600-000032000000}">
      <text>
        <r>
          <rPr>
            <sz val="12"/>
            <color theme="1"/>
            <rFont val="Aptos Narrow"/>
            <family val="2"/>
            <scheme val="minor"/>
          </rPr>
          <t xml:space="preserve">Tran Dat:
9490000
</t>
        </r>
      </text>
    </comment>
    <comment ref="B27" authorId="2" shapeId="0" xr:uid="{00000000-0006-0000-3600-000033000000}">
      <text>
        <r>
          <rPr>
            <sz val="12"/>
            <color theme="1"/>
            <rFont val="Aptos Narrow"/>
            <family val="2"/>
            <scheme val="minor"/>
          </rPr>
          <t>was 13320
VNP100</t>
        </r>
      </text>
    </comment>
    <comment ref="C27" authorId="0" shapeId="0" xr:uid="{00000000-0006-0000-3600-000034000000}">
      <text>
        <r>
          <rPr>
            <sz val="12"/>
            <color theme="1"/>
            <rFont val="Aptos Narrow"/>
            <family val="2"/>
            <scheme val="minor"/>
          </rPr>
          <t>W5 13790</t>
        </r>
      </text>
    </comment>
    <comment ref="E27" authorId="2" shapeId="0" xr:uid="{00000000-0006-0000-3600-000035000000}">
      <text>
        <r>
          <rPr>
            <sz val="12"/>
            <color theme="1"/>
            <rFont val="Aptos Narrow"/>
            <family val="2"/>
            <scheme val="minor"/>
          </rPr>
          <t>was 12583
vnp1%</t>
        </r>
      </text>
    </comment>
    <comment ref="B29" authorId="2" shapeId="0" xr:uid="{00000000-0006-0000-3600-000036000000}">
      <text>
        <r>
          <rPr>
            <sz val="12"/>
            <color theme="1"/>
            <rFont val="Aptos Narrow"/>
            <family val="2"/>
            <scheme val="minor"/>
          </rPr>
          <t>was 5550
VNP40</t>
        </r>
      </text>
    </comment>
    <comment ref="C29" authorId="0" shapeId="0" xr:uid="{00000000-0006-0000-3600-000037000000}">
      <text>
        <r>
          <rPr>
            <sz val="12"/>
            <color theme="1"/>
            <rFont val="Aptos Narrow"/>
            <family val="2"/>
            <scheme val="minor"/>
          </rPr>
          <t>W5 5390</t>
        </r>
      </text>
    </comment>
    <comment ref="E29" authorId="2" shapeId="0" xr:uid="{00000000-0006-0000-3600-000038000000}">
      <text>
        <r>
          <rPr>
            <sz val="12"/>
            <color theme="1"/>
            <rFont val="Aptos Narrow"/>
            <family val="2"/>
            <scheme val="minor"/>
          </rPr>
          <t>was 5138
vnp1%</t>
        </r>
      </text>
    </comment>
    <comment ref="F29" authorId="4" shapeId="0" xr:uid="{00000000-0006-0000-3600-000039000000}">
      <text>
        <r>
          <rPr>
            <sz val="12"/>
            <color theme="1"/>
            <rFont val="Aptos Narrow"/>
            <family val="2"/>
            <scheme val="minor"/>
          </rPr>
          <t>chit trang:
5.350k</t>
        </r>
      </text>
    </comment>
    <comment ref="B30" authorId="2" shapeId="0" xr:uid="{00000000-0006-0000-3600-00003A000000}">
      <text>
        <r>
          <rPr>
            <sz val="12"/>
            <color theme="1"/>
            <rFont val="Aptos Narrow"/>
            <family val="2"/>
            <scheme val="minor"/>
          </rPr>
          <t xml:space="preserve">was 4490
</t>
        </r>
      </text>
    </comment>
    <comment ref="C30" authorId="0" shapeId="0" xr:uid="{00000000-0006-0000-3600-00003B000000}">
      <text>
        <r>
          <rPr>
            <sz val="12"/>
            <color theme="1"/>
            <rFont val="Aptos Narrow"/>
            <family val="2"/>
            <scheme val="minor"/>
          </rPr>
          <t>W5 4290</t>
        </r>
      </text>
    </comment>
    <comment ref="D30" authorId="1" shapeId="0" xr:uid="{00000000-0006-0000-3600-00003C000000}">
      <text>
        <r>
          <rPr>
            <sz val="12"/>
            <color theme="1"/>
            <rFont val="Aptos Narrow"/>
            <family val="2"/>
            <scheme val="minor"/>
          </rPr>
          <t>Việt Hoàng:
4.290.000</t>
        </r>
      </text>
    </comment>
    <comment ref="E30" authorId="2" shapeId="0" xr:uid="{00000000-0006-0000-3600-00003D000000}">
      <text>
        <r>
          <rPr>
            <sz val="12"/>
            <color theme="1"/>
            <rFont val="Aptos Narrow"/>
            <family val="2"/>
            <scheme val="minor"/>
          </rPr>
          <t xml:space="preserve">was 4247
vnp1%
</t>
        </r>
      </text>
    </comment>
    <comment ref="F30" authorId="4" shapeId="0" xr:uid="{00000000-0006-0000-3600-00003E000000}">
      <text>
        <r>
          <rPr>
            <sz val="12"/>
            <color theme="1"/>
            <rFont val="Aptos Narrow"/>
            <family val="2"/>
            <scheme val="minor"/>
          </rPr>
          <t>chit trang:
4.290k</t>
        </r>
      </text>
    </comment>
    <comment ref="G30" authorId="3" shapeId="0" xr:uid="{00000000-0006-0000-3600-00003F000000}">
      <text>
        <r>
          <rPr>
            <sz val="12"/>
            <color theme="1"/>
            <rFont val="Aptos Narrow"/>
            <family val="2"/>
            <scheme val="minor"/>
          </rPr>
          <t>Tran Dat:
4250</t>
        </r>
      </text>
    </comment>
    <comment ref="B31" authorId="2" shapeId="0" xr:uid="{00000000-0006-0000-3600-000040000000}">
      <text>
        <r>
          <rPr>
            <sz val="12"/>
            <color theme="1"/>
            <rFont val="Aptos Narrow"/>
            <family val="2"/>
            <scheme val="minor"/>
          </rPr>
          <t>was 3190</t>
        </r>
      </text>
    </comment>
    <comment ref="C31" authorId="0" shapeId="0" xr:uid="{00000000-0006-0000-3600-000041000000}">
      <text>
        <r>
          <rPr>
            <sz val="12"/>
            <color theme="1"/>
            <rFont val="Aptos Narrow"/>
            <family val="2"/>
            <scheme val="minor"/>
          </rPr>
          <t>W5 3090</t>
        </r>
      </text>
    </comment>
    <comment ref="D31" authorId="1" shapeId="0" xr:uid="{00000000-0006-0000-3600-000042000000}">
      <text>
        <r>
          <rPr>
            <sz val="12"/>
            <color theme="1"/>
            <rFont val="Aptos Narrow"/>
            <family val="2"/>
            <scheme val="minor"/>
          </rPr>
          <t>Việt Hoàng:
3.090.000</t>
        </r>
      </text>
    </comment>
    <comment ref="E31" authorId="2" shapeId="0" xr:uid="{00000000-0006-0000-3600-000043000000}">
      <text>
        <r>
          <rPr>
            <sz val="12"/>
            <color theme="1"/>
            <rFont val="Aptos Narrow"/>
            <family val="2"/>
            <scheme val="minor"/>
          </rPr>
          <t>was 2990</t>
        </r>
      </text>
    </comment>
    <comment ref="F31" authorId="4" shapeId="0" xr:uid="{00000000-0006-0000-3600-000044000000}">
      <text>
        <r>
          <rPr>
            <sz val="12"/>
            <color theme="1"/>
            <rFont val="Aptos Narrow"/>
            <family val="2"/>
            <scheme val="minor"/>
          </rPr>
          <t>chit trang:
3.090k</t>
        </r>
      </text>
    </comment>
    <comment ref="G31" authorId="3" shapeId="0" xr:uid="{00000000-0006-0000-3600-000045000000}">
      <text>
        <r>
          <rPr>
            <sz val="12"/>
            <color theme="1"/>
            <rFont val="Aptos Narrow"/>
            <family val="2"/>
            <scheme val="minor"/>
          </rPr>
          <t>Tran Dat:
3.090</t>
        </r>
      </text>
    </comment>
    <comment ref="B32" authorId="2" shapeId="0" xr:uid="{00000000-0006-0000-3600-000046000000}">
      <text>
        <r>
          <rPr>
            <sz val="12"/>
            <color theme="1"/>
            <rFont val="Aptos Narrow"/>
            <family val="2"/>
            <scheme val="minor"/>
          </rPr>
          <t>was 18090
VNP100</t>
        </r>
      </text>
    </comment>
    <comment ref="G32" authorId="3" shapeId="0" xr:uid="{00000000-0006-0000-3600-000047000000}">
      <text>
        <r>
          <rPr>
            <sz val="12"/>
            <color theme="1"/>
            <rFont val="Aptos Narrow"/>
            <family val="2"/>
            <scheme val="minor"/>
          </rPr>
          <t xml:space="preserve">Tran Dat:
16690000
</t>
        </r>
      </text>
    </comment>
    <comment ref="C33" authorId="0" shapeId="0" xr:uid="{00000000-0006-0000-3600-000048000000}">
      <text>
        <r>
          <rPr>
            <sz val="12"/>
            <color theme="1"/>
            <rFont val="Aptos Narrow"/>
            <family val="2"/>
            <scheme val="minor"/>
          </rPr>
          <t>W5 21490</t>
        </r>
      </text>
    </comment>
    <comment ref="D33" authorId="1" shapeId="0" xr:uid="{00000000-0006-0000-3600-000049000000}">
      <text>
        <r>
          <rPr>
            <sz val="12"/>
            <color theme="1"/>
            <rFont val="Aptos Narrow"/>
            <family val="2"/>
            <scheme val="minor"/>
          </rPr>
          <t>Việt Hoàng:
21.790.000</t>
        </r>
      </text>
    </comment>
    <comment ref="F33" authorId="4" shapeId="0" xr:uid="{00000000-0006-0000-3600-00004A000000}">
      <text>
        <r>
          <rPr>
            <sz val="12"/>
            <color theme="1"/>
            <rFont val="Aptos Narrow"/>
            <family val="2"/>
            <scheme val="minor"/>
          </rPr>
          <t>chit trang:
21590k</t>
        </r>
      </text>
    </comment>
    <comment ref="B34" authorId="2" shapeId="0" xr:uid="{00000000-0006-0000-3600-00004B000000}">
      <text>
        <r>
          <rPr>
            <sz val="12"/>
            <color theme="1"/>
            <rFont val="Aptos Narrow"/>
            <family val="2"/>
            <scheme val="minor"/>
          </rPr>
          <t>was 26140
VNP150</t>
        </r>
      </text>
    </comment>
    <comment ref="C34" authorId="0" shapeId="0" xr:uid="{00000000-0006-0000-3600-00004C000000}">
      <text>
        <r>
          <rPr>
            <sz val="12"/>
            <color theme="1"/>
            <rFont val="Aptos Narrow"/>
            <family val="2"/>
            <scheme val="minor"/>
          </rPr>
          <t>W5 25490</t>
        </r>
      </text>
    </comment>
    <comment ref="G35" authorId="3" shapeId="0" xr:uid="{00000000-0006-0000-3600-00004D000000}">
      <text>
        <r>
          <rPr>
            <sz val="12"/>
            <color theme="1"/>
            <rFont val="Aptos Narrow"/>
            <family val="2"/>
            <scheme val="minor"/>
          </rPr>
          <t>Tran Dat:
26590</t>
        </r>
      </text>
    </comment>
  </commentList>
</comments>
</file>

<file path=xl/comments56.xml><?xml version="1.0" encoding="utf-8"?>
<comments xmlns="http://schemas.openxmlformats.org/spreadsheetml/2006/main" xmlns:mc="http://schemas.openxmlformats.org/markup-compatibility/2006" xmlns:xr="http://schemas.microsoft.com/office/spreadsheetml/2014/revision" mc:Ignorable="xr">
  <authors>
    <author>Việt Hoàng</author>
    <author>Microsoft Office User</author>
    <author>Duy</author>
    <author>chit trang</author>
    <author>Tran Dat</author>
  </authors>
  <commentList>
    <comment ref="D3" authorId="0" shapeId="0" xr:uid="{00000000-0006-0000-3700-000001000000}">
      <text>
        <r>
          <rPr>
            <sz val="12"/>
            <color theme="1"/>
            <rFont val="Aptos Narrow"/>
            <family val="2"/>
            <scheme val="minor"/>
          </rPr>
          <t>Việt Hoàng:
19.090.000</t>
        </r>
      </text>
    </comment>
    <comment ref="E3" authorId="1" shapeId="0" xr:uid="{00000000-0006-0000-3700-000002000000}">
      <text>
        <r>
          <rPr>
            <sz val="12"/>
            <color theme="1"/>
            <rFont val="Aptos Narrow"/>
            <family val="2"/>
            <scheme val="minor"/>
          </rPr>
          <t>Giờ vàng</t>
        </r>
      </text>
    </comment>
    <comment ref="B4" authorId="1" shapeId="0" xr:uid="{00000000-0006-0000-3700-000003000000}">
      <text>
        <r>
          <rPr>
            <sz val="12"/>
            <color theme="1"/>
            <rFont val="Aptos Narrow"/>
            <family val="2"/>
            <scheme val="minor"/>
          </rPr>
          <t>was 24640000
VNP150</t>
        </r>
      </text>
    </comment>
    <comment ref="D4" authorId="0" shapeId="0" xr:uid="{00000000-0006-0000-3700-000004000000}">
      <text>
        <r>
          <rPr>
            <sz val="12"/>
            <color theme="1"/>
            <rFont val="Aptos Narrow"/>
            <family val="2"/>
            <scheme val="minor"/>
          </rPr>
          <t>Việt Hoàng:
22.290.000</t>
        </r>
      </text>
    </comment>
    <comment ref="E4" authorId="1" shapeId="0" xr:uid="{00000000-0006-0000-3700-000005000000}">
      <text>
        <r>
          <rPr>
            <sz val="12"/>
            <color theme="1"/>
            <rFont val="Aptos Narrow"/>
            <family val="2"/>
            <scheme val="minor"/>
          </rPr>
          <t>Giờ vàng</t>
        </r>
      </text>
    </comment>
    <comment ref="E5" authorId="1" shapeId="0" xr:uid="{00000000-0006-0000-3700-000006000000}">
      <text>
        <r>
          <rPr>
            <sz val="12"/>
            <color theme="1"/>
            <rFont val="Aptos Narrow"/>
            <family val="2"/>
            <scheme val="minor"/>
          </rPr>
          <t xml:space="preserve">Giờ vàng
</t>
        </r>
      </text>
    </comment>
    <comment ref="B6" authorId="1" shapeId="0" xr:uid="{00000000-0006-0000-3700-000007000000}">
      <text>
        <r>
          <rPr>
            <sz val="12"/>
            <color theme="1"/>
            <rFont val="Aptos Narrow"/>
            <family val="2"/>
            <scheme val="minor"/>
          </rPr>
          <t>Tặng phiếu mua hàng mua AirPods và Apple Watch trị giá 500,000đ
 Phiếu mua hàng mua sản phẩm giá niêm yết từ 5 triệu thuộc các nhóm TAI NGHE - LOA hãng HARMAN KARDON, JBL,MONSTER, KLIPSCH, MARSHALL, SONY; Smartwatch hãng HUAWEI, GARMIN, SAMSUNG, IMOO, OPPO, AMAZFIT trị giá 500.000đ</t>
        </r>
      </text>
    </comment>
    <comment ref="C6" authorId="2" shapeId="0" xr:uid="{00000000-0006-0000-3700-000008000000}">
      <text>
        <r>
          <rPr>
            <sz val="12"/>
            <color theme="1"/>
            <rFont val="Aptos Narrow"/>
            <family val="2"/>
            <scheme val="minor"/>
          </rPr>
          <t>W6 30890</t>
        </r>
      </text>
    </comment>
    <comment ref="D6" authorId="0" shapeId="0" xr:uid="{00000000-0006-0000-3700-000009000000}">
      <text>
        <r>
          <rPr>
            <sz val="12"/>
            <color theme="1"/>
            <rFont val="Aptos Narrow"/>
            <family val="2"/>
            <scheme val="minor"/>
          </rPr>
          <t>Việt Hoàng:
30.790.000</t>
        </r>
      </text>
    </comment>
    <comment ref="E6" authorId="1" shapeId="0" xr:uid="{00000000-0006-0000-3700-00000A000000}">
      <text>
        <r>
          <rPr>
            <sz val="12"/>
            <color theme="1"/>
            <rFont val="Aptos Narrow"/>
            <family val="2"/>
            <scheme val="minor"/>
          </rPr>
          <t xml:space="preserve">Giờ vàng
</t>
        </r>
      </text>
    </comment>
    <comment ref="F6" authorId="3" shapeId="0" xr:uid="{00000000-0006-0000-3700-00000B000000}">
      <text>
        <r>
          <rPr>
            <sz val="12"/>
            <color theme="1"/>
            <rFont val="Aptos Narrow"/>
            <family val="2"/>
            <scheme val="minor"/>
          </rPr>
          <t>chit trang:
30.390k</t>
        </r>
      </text>
    </comment>
    <comment ref="C7" authorId="2" shapeId="0" xr:uid="{00000000-0006-0000-3700-00000C000000}">
      <text>
        <r>
          <rPr>
            <sz val="12"/>
            <color theme="1"/>
            <rFont val="Aptos Narrow"/>
            <family val="2"/>
            <scheme val="minor"/>
          </rPr>
          <t>W6 15990</t>
        </r>
      </text>
    </comment>
    <comment ref="D7" authorId="0" shapeId="0" xr:uid="{00000000-0006-0000-3700-00000D000000}">
      <text>
        <r>
          <rPr>
            <sz val="12"/>
            <color theme="1"/>
            <rFont val="Aptos Narrow"/>
            <family val="2"/>
            <scheme val="minor"/>
          </rPr>
          <t>Việt Hoàng:
15.890.000</t>
        </r>
      </text>
    </comment>
    <comment ref="F7" authorId="3" shapeId="0" xr:uid="{00000000-0006-0000-3700-00000E000000}">
      <text>
        <r>
          <rPr>
            <sz val="12"/>
            <color theme="1"/>
            <rFont val="Aptos Narrow"/>
            <family val="2"/>
            <scheme val="minor"/>
          </rPr>
          <t>chit trang:
15.790k</t>
        </r>
      </text>
    </comment>
    <comment ref="C8" authorId="2" shapeId="0" xr:uid="{00000000-0006-0000-3700-00000F000000}">
      <text>
        <r>
          <rPr>
            <sz val="12"/>
            <color theme="1"/>
            <rFont val="Aptos Narrow"/>
            <family val="2"/>
            <scheme val="minor"/>
          </rPr>
          <t>W6 19590</t>
        </r>
      </text>
    </comment>
    <comment ref="F8" authorId="3" shapeId="0" xr:uid="{00000000-0006-0000-3700-000010000000}">
      <text>
        <r>
          <rPr>
            <sz val="12"/>
            <color theme="1"/>
            <rFont val="Aptos Narrow"/>
            <family val="2"/>
            <scheme val="minor"/>
          </rPr>
          <t>chit trang:
19.290k</t>
        </r>
      </text>
    </comment>
    <comment ref="B9" authorId="1" shapeId="0" xr:uid="{00000000-0006-0000-3700-000011000000}">
      <text>
        <r>
          <rPr>
            <sz val="12"/>
            <color theme="1"/>
            <rFont val="Aptos Narrow"/>
            <family val="2"/>
            <scheme val="minor"/>
          </rPr>
          <t>was 29140000
VNP150</t>
        </r>
      </text>
    </comment>
    <comment ref="B10" authorId="1" shapeId="0" xr:uid="{00000000-0006-0000-3700-000012000000}">
      <text>
        <r>
          <rPr>
            <sz val="12"/>
            <color theme="1"/>
            <rFont val="Aptos Narrow"/>
            <family val="2"/>
            <scheme val="minor"/>
          </rPr>
          <t>was 18440</t>
        </r>
      </text>
    </comment>
    <comment ref="C11" authorId="2" shapeId="0" xr:uid="{00000000-0006-0000-3700-000013000000}">
      <text>
        <r>
          <rPr>
            <sz val="12"/>
            <color theme="1"/>
            <rFont val="Aptos Narrow"/>
            <family val="2"/>
            <scheme val="minor"/>
          </rPr>
          <t>W5 12990</t>
        </r>
      </text>
    </comment>
    <comment ref="F11" authorId="3" shapeId="0" xr:uid="{00000000-0006-0000-3700-000014000000}">
      <text>
        <r>
          <rPr>
            <sz val="12"/>
            <color theme="1"/>
            <rFont val="Aptos Narrow"/>
            <family val="2"/>
            <scheme val="minor"/>
          </rPr>
          <t>chit trang:
12.590k</t>
        </r>
      </text>
    </comment>
    <comment ref="B12" authorId="1" shapeId="0" xr:uid="{00000000-0006-0000-3700-000015000000}">
      <text>
        <r>
          <rPr>
            <sz val="12"/>
            <color theme="1"/>
            <rFont val="Aptos Narrow"/>
            <family val="2"/>
            <scheme val="minor"/>
          </rPr>
          <t>was 13190
VNP100</t>
        </r>
      </text>
    </comment>
    <comment ref="E12" authorId="1" shapeId="0" xr:uid="{00000000-0006-0000-3700-000016000000}">
      <text>
        <r>
          <rPr>
            <sz val="12"/>
            <color theme="1"/>
            <rFont val="Aptos Narrow"/>
            <family val="2"/>
            <scheme val="minor"/>
          </rPr>
          <t>Giờ vàng</t>
        </r>
      </text>
    </comment>
    <comment ref="F14" authorId="3" shapeId="0" xr:uid="{00000000-0006-0000-3700-000017000000}">
      <text>
        <r>
          <rPr>
            <sz val="12"/>
            <color theme="1"/>
            <rFont val="Aptos Narrow"/>
            <family val="2"/>
            <scheme val="minor"/>
          </rPr>
          <t>chit trang:
13.890k</t>
        </r>
      </text>
    </comment>
    <comment ref="B15" authorId="1" shapeId="0" xr:uid="{00000000-0006-0000-3700-000018000000}">
      <text>
        <r>
          <rPr>
            <sz val="12"/>
            <color theme="1"/>
            <rFont val="Aptos Narrow"/>
            <family val="2"/>
            <scheme val="minor"/>
          </rPr>
          <t>was 7040
VNP40</t>
        </r>
      </text>
    </comment>
    <comment ref="B16" authorId="1" shapeId="0" xr:uid="{00000000-0006-0000-3700-000019000000}">
      <text>
        <r>
          <rPr>
            <sz val="12"/>
            <color theme="1"/>
            <rFont val="Aptos Narrow"/>
            <family val="2"/>
            <scheme val="minor"/>
          </rPr>
          <t>was 14390</t>
        </r>
      </text>
    </comment>
    <comment ref="C16" authorId="2" shapeId="0" xr:uid="{00000000-0006-0000-3700-00001A000000}">
      <text>
        <r>
          <rPr>
            <sz val="12"/>
            <color theme="1"/>
            <rFont val="Aptos Narrow"/>
            <family val="2"/>
            <scheme val="minor"/>
          </rPr>
          <t>W6 16990</t>
        </r>
      </text>
    </comment>
    <comment ref="F16" authorId="3" shapeId="0" xr:uid="{00000000-0006-0000-3700-00001B000000}">
      <text>
        <r>
          <rPr>
            <sz val="12"/>
            <color theme="1"/>
            <rFont val="Aptos Narrow"/>
            <family val="2"/>
            <scheme val="minor"/>
          </rPr>
          <t>chit trang:
16.590k</t>
        </r>
      </text>
    </comment>
    <comment ref="G18" authorId="4" shapeId="0" xr:uid="{00000000-0006-0000-3700-00001C000000}">
      <text>
        <r>
          <rPr>
            <sz val="12"/>
            <color theme="1"/>
            <rFont val="Aptos Narrow"/>
            <family val="2"/>
            <scheme val="minor"/>
          </rPr>
          <t>Tran Dat:
27.490</t>
        </r>
      </text>
    </comment>
    <comment ref="B19" authorId="1" shapeId="0" xr:uid="{00000000-0006-0000-3700-00001D000000}">
      <text>
        <r>
          <rPr>
            <sz val="12"/>
            <color theme="1"/>
            <rFont val="Aptos Narrow"/>
            <family val="2"/>
            <scheme val="minor"/>
          </rPr>
          <t>was 36640</t>
        </r>
      </text>
    </comment>
    <comment ref="C20" authorId="2" shapeId="0" xr:uid="{00000000-0006-0000-3700-00001E000000}">
      <text>
        <r>
          <rPr>
            <sz val="12"/>
            <color theme="1"/>
            <rFont val="Aptos Narrow"/>
            <family val="2"/>
            <scheme val="minor"/>
          </rPr>
          <t>W6 5990</t>
        </r>
      </text>
    </comment>
    <comment ref="D20" authorId="0" shapeId="0" xr:uid="{00000000-0006-0000-3700-00001F000000}">
      <text>
        <r>
          <rPr>
            <sz val="12"/>
            <color theme="1"/>
            <rFont val="Aptos Narrow"/>
            <family val="2"/>
            <scheme val="minor"/>
          </rPr>
          <t>Việt Hoàng:
5.790.000</t>
        </r>
      </text>
    </comment>
    <comment ref="E20" authorId="1" shapeId="0" xr:uid="{00000000-0006-0000-3700-000020000000}">
      <text>
        <r>
          <rPr>
            <sz val="12"/>
            <color theme="1"/>
            <rFont val="Aptos Narrow"/>
            <family val="2"/>
            <scheme val="minor"/>
          </rPr>
          <t>was 5336
vnp1%</t>
        </r>
      </text>
    </comment>
    <comment ref="F20" authorId="3" shapeId="0" xr:uid="{00000000-0006-0000-3700-000021000000}">
      <text>
        <r>
          <rPr>
            <sz val="12"/>
            <color theme="1"/>
            <rFont val="Aptos Narrow"/>
            <family val="2"/>
            <scheme val="minor"/>
          </rPr>
          <t>chit trang:
5.790k</t>
        </r>
      </text>
    </comment>
    <comment ref="G20" authorId="4" shapeId="0" xr:uid="{00000000-0006-0000-3700-000022000000}">
      <text>
        <r>
          <rPr>
            <sz val="12"/>
            <color theme="1"/>
            <rFont val="Aptos Narrow"/>
            <family val="2"/>
            <scheme val="minor"/>
          </rPr>
          <t>Tran Dat:
5690</t>
        </r>
      </text>
    </comment>
    <comment ref="E21" authorId="1" shapeId="0" xr:uid="{00000000-0006-0000-3700-000023000000}">
      <text>
        <r>
          <rPr>
            <sz val="12"/>
            <color theme="1"/>
            <rFont val="Aptos Narrow"/>
            <family val="2"/>
            <scheme val="minor"/>
          </rPr>
          <t>was 6722
vnp1%</t>
        </r>
      </text>
    </comment>
    <comment ref="C22" authorId="2" shapeId="0" xr:uid="{00000000-0006-0000-3700-000024000000}">
      <text>
        <r>
          <rPr>
            <sz val="12"/>
            <color theme="1"/>
            <rFont val="Aptos Narrow"/>
            <family val="2"/>
            <scheme val="minor"/>
          </rPr>
          <t>W6 6590</t>
        </r>
      </text>
    </comment>
    <comment ref="D22" authorId="0" shapeId="0" xr:uid="{00000000-0006-0000-3700-000025000000}">
      <text>
        <r>
          <rPr>
            <sz val="12"/>
            <color theme="1"/>
            <rFont val="Aptos Narrow"/>
            <family val="2"/>
            <scheme val="minor"/>
          </rPr>
          <t>Việt Hoàng:
6.590.000</t>
        </r>
      </text>
    </comment>
    <comment ref="E22" authorId="1" shapeId="0" xr:uid="{00000000-0006-0000-3700-000026000000}">
      <text>
        <r>
          <rPr>
            <sz val="12"/>
            <color theme="1"/>
            <rFont val="Aptos Narrow"/>
            <family val="2"/>
            <scheme val="minor"/>
          </rPr>
          <t>was 5930
vnp1%</t>
        </r>
      </text>
    </comment>
    <comment ref="F22" authorId="3" shapeId="0" xr:uid="{00000000-0006-0000-3700-000027000000}">
      <text>
        <r>
          <rPr>
            <sz val="12"/>
            <color theme="1"/>
            <rFont val="Aptos Narrow"/>
            <family val="2"/>
            <scheme val="minor"/>
          </rPr>
          <t>chit trang:
5790k</t>
        </r>
      </text>
    </comment>
    <comment ref="E23" authorId="1" shapeId="0" xr:uid="{00000000-0006-0000-3700-000028000000}">
      <text>
        <r>
          <rPr>
            <sz val="12"/>
            <color theme="1"/>
            <rFont val="Aptos Narrow"/>
            <family val="2"/>
            <scheme val="minor"/>
          </rPr>
          <t>was 7415
vnp1%</t>
        </r>
      </text>
    </comment>
    <comment ref="F23" authorId="3" shapeId="0" xr:uid="{00000000-0006-0000-3700-000029000000}">
      <text>
        <r>
          <rPr>
            <sz val="12"/>
            <color theme="1"/>
            <rFont val="Aptos Narrow"/>
            <family val="2"/>
            <scheme val="minor"/>
          </rPr>
          <t>chit trang:
7.290k</t>
        </r>
      </text>
    </comment>
    <comment ref="C24" authorId="2" shapeId="0" xr:uid="{00000000-0006-0000-3700-00002A000000}">
      <text>
        <r>
          <rPr>
            <sz val="12"/>
            <color theme="1"/>
            <rFont val="Aptos Narrow"/>
            <family val="2"/>
            <scheme val="minor"/>
          </rPr>
          <t>W6 10790</t>
        </r>
      </text>
    </comment>
    <comment ref="D24" authorId="0" shapeId="0" xr:uid="{00000000-0006-0000-3700-00002B000000}">
      <text>
        <r>
          <rPr>
            <sz val="12"/>
            <color theme="1"/>
            <rFont val="Aptos Narrow"/>
            <family val="2"/>
            <scheme val="minor"/>
          </rPr>
          <t>Việt Hoàng:
10.690.000</t>
        </r>
      </text>
    </comment>
    <comment ref="E24" authorId="1" shapeId="0" xr:uid="{00000000-0006-0000-3700-00002C000000}">
      <text>
        <r>
          <rPr>
            <sz val="12"/>
            <color theme="1"/>
            <rFont val="Aptos Narrow"/>
            <family val="2"/>
            <scheme val="minor"/>
          </rPr>
          <t xml:space="preserve">was 10187
vnp1%
</t>
        </r>
      </text>
    </comment>
    <comment ref="F24" authorId="3" shapeId="0" xr:uid="{00000000-0006-0000-3700-00002D000000}">
      <text>
        <r>
          <rPr>
            <sz val="12"/>
            <color theme="1"/>
            <rFont val="Aptos Narrow"/>
            <family val="2"/>
            <scheme val="minor"/>
          </rPr>
          <t>chit trang:
10.590k</t>
        </r>
      </text>
    </comment>
    <comment ref="G24" authorId="4" shapeId="0" xr:uid="{00000000-0006-0000-3700-00002E000000}">
      <text>
        <r>
          <rPr>
            <sz val="12"/>
            <color theme="1"/>
            <rFont val="Aptos Narrow"/>
            <family val="2"/>
            <scheme val="minor"/>
          </rPr>
          <t>Tran Dat:
10.590</t>
        </r>
      </text>
    </comment>
    <comment ref="E25" authorId="1" shapeId="0" xr:uid="{00000000-0006-0000-3700-00002F000000}">
      <text>
        <r>
          <rPr>
            <sz val="12"/>
            <color theme="1"/>
            <rFont val="Aptos Narrow"/>
            <family val="2"/>
            <scheme val="minor"/>
          </rPr>
          <t>was 12860
vnp1%</t>
        </r>
      </text>
    </comment>
    <comment ref="F25" authorId="3" shapeId="0" xr:uid="{00000000-0006-0000-3700-000030000000}">
      <text>
        <r>
          <rPr>
            <sz val="12"/>
            <color theme="1"/>
            <rFont val="Aptos Narrow"/>
            <family val="2"/>
            <scheme val="minor"/>
          </rPr>
          <t>chit trang:
12.690k</t>
        </r>
      </text>
    </comment>
    <comment ref="C26" authorId="2" shapeId="0" xr:uid="{00000000-0006-0000-3700-000031000000}">
      <text>
        <r>
          <rPr>
            <sz val="12"/>
            <color theme="1"/>
            <rFont val="Aptos Narrow"/>
            <family val="2"/>
            <scheme val="minor"/>
          </rPr>
          <t>W6 11390</t>
        </r>
      </text>
    </comment>
    <comment ref="D26" authorId="0" shapeId="0" xr:uid="{00000000-0006-0000-3700-000032000000}">
      <text>
        <r>
          <rPr>
            <sz val="12"/>
            <color theme="1"/>
            <rFont val="Aptos Narrow"/>
            <family val="2"/>
            <scheme val="minor"/>
          </rPr>
          <t>Việt Hoàng:
11.490.000</t>
        </r>
      </text>
    </comment>
    <comment ref="E26" authorId="1" shapeId="0" xr:uid="{00000000-0006-0000-3700-000033000000}">
      <text>
        <r>
          <rPr>
            <sz val="12"/>
            <color theme="1"/>
            <rFont val="Aptos Narrow"/>
            <family val="2"/>
            <scheme val="minor"/>
          </rPr>
          <t>was 10880
vnp1%</t>
        </r>
      </text>
    </comment>
    <comment ref="G26" authorId="4" shapeId="0" xr:uid="{00000000-0006-0000-3700-000034000000}">
      <text>
        <r>
          <rPr>
            <sz val="12"/>
            <color theme="1"/>
            <rFont val="Aptos Narrow"/>
            <family val="2"/>
            <scheme val="minor"/>
          </rPr>
          <t>11290000</t>
        </r>
      </text>
    </comment>
    <comment ref="B27" authorId="1" shapeId="0" xr:uid="{00000000-0006-0000-3700-000035000000}">
      <text>
        <r>
          <rPr>
            <sz val="12"/>
            <color theme="1"/>
            <rFont val="Aptos Narrow"/>
            <family val="2"/>
            <scheme val="minor"/>
          </rPr>
          <t>was 13320
VNP100</t>
        </r>
      </text>
    </comment>
    <comment ref="E27" authorId="1" shapeId="0" xr:uid="{00000000-0006-0000-3700-000036000000}">
      <text>
        <r>
          <rPr>
            <sz val="12"/>
            <color theme="1"/>
            <rFont val="Aptos Narrow"/>
            <family val="2"/>
            <scheme val="minor"/>
          </rPr>
          <t>was 13553
vnp1%</t>
        </r>
      </text>
    </comment>
    <comment ref="D28" authorId="0" shapeId="0" xr:uid="{00000000-0006-0000-3700-000037000000}">
      <text>
        <r>
          <rPr>
            <sz val="12"/>
            <color theme="1"/>
            <rFont val="Aptos Narrow"/>
            <family val="2"/>
            <scheme val="minor"/>
          </rPr>
          <t>Việt Hoàng:
22.190.000</t>
        </r>
      </text>
    </comment>
    <comment ref="B29" authorId="1" shapeId="0" xr:uid="{00000000-0006-0000-3700-000038000000}">
      <text>
        <r>
          <rPr>
            <sz val="12"/>
            <color theme="1"/>
            <rFont val="Aptos Narrow"/>
            <family val="2"/>
            <scheme val="minor"/>
          </rPr>
          <t>was 5550
VNP40</t>
        </r>
      </text>
    </comment>
    <comment ref="C29" authorId="2" shapeId="0" xr:uid="{00000000-0006-0000-3700-000039000000}">
      <text>
        <r>
          <rPr>
            <sz val="12"/>
            <color theme="1"/>
            <rFont val="Aptos Narrow"/>
            <family val="2"/>
            <scheme val="minor"/>
          </rPr>
          <t>W6 5690</t>
        </r>
      </text>
    </comment>
    <comment ref="E29" authorId="1" shapeId="0" xr:uid="{00000000-0006-0000-3700-00003A000000}">
      <text>
        <r>
          <rPr>
            <sz val="12"/>
            <color theme="1"/>
            <rFont val="Aptos Narrow"/>
            <family val="2"/>
            <scheme val="minor"/>
          </rPr>
          <t>was 5633
vnp1%</t>
        </r>
      </text>
    </comment>
    <comment ref="F29" authorId="3" shapeId="0" xr:uid="{00000000-0006-0000-3700-00003B000000}">
      <text>
        <r>
          <rPr>
            <sz val="12"/>
            <color theme="1"/>
            <rFont val="Aptos Narrow"/>
            <family val="2"/>
            <scheme val="minor"/>
          </rPr>
          <t>chit trang:
5.650k</t>
        </r>
      </text>
    </comment>
    <comment ref="G29" authorId="4" shapeId="0" xr:uid="{00000000-0006-0000-3700-00003C000000}">
      <text>
        <r>
          <rPr>
            <sz val="12"/>
            <color theme="1"/>
            <rFont val="Aptos Narrow"/>
            <family val="2"/>
            <scheme val="minor"/>
          </rPr>
          <t>Tran Dat:
5290</t>
        </r>
      </text>
    </comment>
    <comment ref="B30" authorId="1" shapeId="0" xr:uid="{00000000-0006-0000-3700-00003D000000}">
      <text>
        <r>
          <rPr>
            <sz val="12"/>
            <color theme="1"/>
            <rFont val="Aptos Narrow"/>
            <family val="2"/>
            <scheme val="minor"/>
          </rPr>
          <t xml:space="preserve">was 4490
</t>
        </r>
      </text>
    </comment>
    <comment ref="D30" authorId="0" shapeId="0" xr:uid="{00000000-0006-0000-3700-00003E000000}">
      <text>
        <r>
          <rPr>
            <sz val="12"/>
            <color theme="1"/>
            <rFont val="Aptos Narrow"/>
            <family val="2"/>
            <scheme val="minor"/>
          </rPr>
          <t>Việt Hoàng:
4.590.000</t>
        </r>
      </text>
    </comment>
    <comment ref="E30" authorId="1" shapeId="0" xr:uid="{00000000-0006-0000-3700-00003F000000}">
      <text>
        <r>
          <rPr>
            <sz val="12"/>
            <color theme="1"/>
            <rFont val="Aptos Narrow"/>
            <family val="2"/>
            <scheme val="minor"/>
          </rPr>
          <t xml:space="preserve">was 4445
vnp1%
</t>
        </r>
      </text>
    </comment>
    <comment ref="F30" authorId="3" shapeId="0" xr:uid="{00000000-0006-0000-3700-000040000000}">
      <text>
        <r>
          <rPr>
            <sz val="12"/>
            <color theme="1"/>
            <rFont val="Aptos Narrow"/>
            <family val="2"/>
            <scheme val="minor"/>
          </rPr>
          <t>chit trang:
4.590k</t>
        </r>
      </text>
    </comment>
    <comment ref="G30" authorId="4" shapeId="0" xr:uid="{00000000-0006-0000-3700-000041000000}">
      <text>
        <r>
          <rPr>
            <sz val="12"/>
            <color theme="1"/>
            <rFont val="Aptos Narrow"/>
            <family val="2"/>
            <scheme val="minor"/>
          </rPr>
          <t>4550</t>
        </r>
      </text>
    </comment>
    <comment ref="B31" authorId="1" shapeId="0" xr:uid="{00000000-0006-0000-3700-000042000000}">
      <text>
        <r>
          <rPr>
            <sz val="12"/>
            <color theme="1"/>
            <rFont val="Aptos Narrow"/>
            <family val="2"/>
            <scheme val="minor"/>
          </rPr>
          <t>was 3190</t>
        </r>
      </text>
    </comment>
    <comment ref="C31" authorId="2" shapeId="0" xr:uid="{00000000-0006-0000-3700-000043000000}">
      <text>
        <r>
          <rPr>
            <sz val="12"/>
            <color theme="1"/>
            <rFont val="Aptos Narrow"/>
            <family val="2"/>
            <scheme val="minor"/>
          </rPr>
          <t>W6 3390</t>
        </r>
      </text>
    </comment>
    <comment ref="D31" authorId="0" shapeId="0" xr:uid="{00000000-0006-0000-3700-000044000000}">
      <text>
        <r>
          <rPr>
            <sz val="12"/>
            <color theme="1"/>
            <rFont val="Aptos Narrow"/>
            <family val="2"/>
            <scheme val="minor"/>
          </rPr>
          <t>Việt Hoàng:
3.290.000</t>
        </r>
      </text>
    </comment>
    <comment ref="E31" authorId="1" shapeId="0" xr:uid="{00000000-0006-0000-3700-000045000000}">
      <text>
        <r>
          <rPr>
            <sz val="12"/>
            <color theme="1"/>
            <rFont val="Aptos Narrow"/>
            <family val="2"/>
            <scheme val="minor"/>
          </rPr>
          <t>was 3190</t>
        </r>
      </text>
    </comment>
    <comment ref="F31" authorId="3" shapeId="0" xr:uid="{00000000-0006-0000-3700-000046000000}">
      <text>
        <r>
          <rPr>
            <sz val="12"/>
            <color theme="1"/>
            <rFont val="Aptos Narrow"/>
            <family val="2"/>
            <scheme val="minor"/>
          </rPr>
          <t>chit trang:
3.290k</t>
        </r>
      </text>
    </comment>
    <comment ref="G31" authorId="4" shapeId="0" xr:uid="{00000000-0006-0000-3700-000047000000}">
      <text>
        <r>
          <rPr>
            <sz val="12"/>
            <color theme="1"/>
            <rFont val="Aptos Narrow"/>
            <family val="2"/>
            <scheme val="minor"/>
          </rPr>
          <t>Tran Dat:
3.290</t>
        </r>
      </text>
    </comment>
    <comment ref="B32" authorId="1" shapeId="0" xr:uid="{00000000-0006-0000-3700-000048000000}">
      <text>
        <r>
          <rPr>
            <sz val="12"/>
            <color theme="1"/>
            <rFont val="Aptos Narrow"/>
            <family val="2"/>
            <scheme val="minor"/>
          </rPr>
          <t>was 18090
VNP100</t>
        </r>
      </text>
    </comment>
    <comment ref="F33" authorId="3" shapeId="0" xr:uid="{00000000-0006-0000-3700-000049000000}">
      <text>
        <r>
          <rPr>
            <sz val="12"/>
            <color theme="1"/>
            <rFont val="Aptos Narrow"/>
            <family val="2"/>
            <scheme val="minor"/>
          </rPr>
          <t>chit trang:
21.190k</t>
        </r>
      </text>
    </comment>
    <comment ref="B34" authorId="1" shapeId="0" xr:uid="{00000000-0006-0000-3700-00004A000000}">
      <text>
        <r>
          <rPr>
            <sz val="12"/>
            <color theme="1"/>
            <rFont val="Aptos Narrow"/>
            <family val="2"/>
            <scheme val="minor"/>
          </rPr>
          <t>was 26140
VNP150</t>
        </r>
      </text>
    </comment>
    <comment ref="C34" authorId="2" shapeId="0" xr:uid="{00000000-0006-0000-3700-00004B000000}">
      <text>
        <r>
          <rPr>
            <sz val="12"/>
            <color theme="1"/>
            <rFont val="Aptos Narrow"/>
            <family val="2"/>
            <scheme val="minor"/>
          </rPr>
          <t>W6 24690</t>
        </r>
      </text>
    </comment>
    <comment ref="D34" authorId="0" shapeId="0" xr:uid="{00000000-0006-0000-3700-00004C000000}">
      <text>
        <r>
          <rPr>
            <sz val="12"/>
            <color theme="1"/>
            <rFont val="Aptos Narrow"/>
            <family val="2"/>
            <scheme val="minor"/>
          </rPr>
          <t>Việt Hoàng:
24.990.000</t>
        </r>
      </text>
    </comment>
  </commentList>
</comments>
</file>

<file path=xl/comments57.xml><?xml version="1.0" encoding="utf-8"?>
<comments xmlns="http://schemas.openxmlformats.org/spreadsheetml/2006/main" xmlns:mc="http://schemas.openxmlformats.org/markup-compatibility/2006" xmlns:xr="http://schemas.microsoft.com/office/spreadsheetml/2014/revision" mc:Ignorable="xr">
  <authors>
    <author>Microsoft Office User</author>
    <author>Duy</author>
    <author>Việt Hoàng</author>
    <author>chit trang</author>
    <author>Tran Dat</author>
  </authors>
  <commentList>
    <comment ref="E3" authorId="0" shapeId="0" xr:uid="{00000000-0006-0000-3800-000001000000}">
      <text>
        <r>
          <rPr>
            <sz val="12"/>
            <color theme="1"/>
            <rFont val="Aptos Narrow"/>
            <family val="2"/>
            <scheme val="minor"/>
          </rPr>
          <t>Giờ vàng</t>
        </r>
      </text>
    </comment>
    <comment ref="B4" authorId="0" shapeId="0" xr:uid="{00000000-0006-0000-3800-000002000000}">
      <text>
        <r>
          <rPr>
            <sz val="12"/>
            <color theme="1"/>
            <rFont val="Aptos Narrow"/>
            <family val="2"/>
            <scheme val="minor"/>
          </rPr>
          <t>was 24640000
VNP150</t>
        </r>
      </text>
    </comment>
    <comment ref="C4" authorId="1" shapeId="0" xr:uid="{00000000-0006-0000-3800-000003000000}">
      <text>
        <r>
          <rPr>
            <sz val="12"/>
            <color theme="1"/>
            <rFont val="Aptos Narrow"/>
            <family val="2"/>
            <scheme val="minor"/>
          </rPr>
          <t>W7 22290</t>
        </r>
      </text>
    </comment>
    <comment ref="E4" authorId="0" shapeId="0" xr:uid="{00000000-0006-0000-3800-000004000000}">
      <text>
        <r>
          <rPr>
            <sz val="12"/>
            <color theme="1"/>
            <rFont val="Aptos Narrow"/>
            <family val="2"/>
            <scheme val="minor"/>
          </rPr>
          <t>Giờ vàng</t>
        </r>
      </text>
    </comment>
    <comment ref="C5" authorId="1" shapeId="0" xr:uid="{00000000-0006-0000-3800-000005000000}">
      <text>
        <r>
          <rPr>
            <sz val="12"/>
            <color theme="1"/>
            <rFont val="Aptos Narrow"/>
            <family val="2"/>
            <scheme val="minor"/>
          </rPr>
          <t>W7 25290</t>
        </r>
      </text>
    </comment>
    <comment ref="D5" authorId="2" shapeId="0" xr:uid="{00000000-0006-0000-3800-000006000000}">
      <text>
        <r>
          <rPr>
            <sz val="12"/>
            <color theme="1"/>
            <rFont val="Aptos Narrow"/>
            <family val="2"/>
            <scheme val="minor"/>
          </rPr>
          <t>Việt Hoàng:
25.190.000</t>
        </r>
      </text>
    </comment>
    <comment ref="E5" authorId="0" shapeId="0" xr:uid="{00000000-0006-0000-3800-000007000000}">
      <text>
        <r>
          <rPr>
            <sz val="12"/>
            <color theme="1"/>
            <rFont val="Aptos Narrow"/>
            <family val="2"/>
            <scheme val="minor"/>
          </rPr>
          <t xml:space="preserve">Giờ vàng
</t>
        </r>
      </text>
    </comment>
    <comment ref="B6" authorId="0" shapeId="0" xr:uid="{00000000-0006-0000-3800-000008000000}">
      <text>
        <r>
          <rPr>
            <sz val="12"/>
            <color theme="1"/>
            <rFont val="Aptos Narrow"/>
            <family val="2"/>
            <scheme val="minor"/>
          </rPr>
          <t>Tặng phiếu mua hàng mua AirPods và Apple Watch trị giá 500,000đ
 Phiếu mua hàng mua sản phẩm giá niêm yết từ 5 triệu thuộc các nhóm TAI NGHE - LOA hãng HARMAN KARDON, JBL,MONSTER, KLIPSCH, MARSHALL, SONY; Smartwatch hãng HUAWEI, GARMIN, SAMSUNG, IMOO, OPPO, AMAZFIT trị giá 500.000đ</t>
        </r>
      </text>
    </comment>
    <comment ref="E6" authorId="0" shapeId="0" xr:uid="{00000000-0006-0000-3800-000009000000}">
      <text>
        <r>
          <rPr>
            <sz val="12"/>
            <color theme="1"/>
            <rFont val="Aptos Narrow"/>
            <family val="2"/>
            <scheme val="minor"/>
          </rPr>
          <t xml:space="preserve">Giờ vàng
</t>
        </r>
      </text>
    </comment>
    <comment ref="F7" authorId="3" shapeId="0" xr:uid="{00000000-0006-0000-3800-00000A000000}">
      <text>
        <r>
          <rPr>
            <sz val="12"/>
            <color theme="1"/>
            <rFont val="Aptos Narrow"/>
            <family val="2"/>
            <scheme val="minor"/>
          </rPr>
          <t>chit trang:
15.590k</t>
        </r>
      </text>
    </comment>
    <comment ref="D8" authorId="2" shapeId="0" xr:uid="{00000000-0006-0000-3800-00000B000000}">
      <text>
        <r>
          <rPr>
            <sz val="12"/>
            <color theme="1"/>
            <rFont val="Aptos Narrow"/>
            <family val="2"/>
            <scheme val="minor"/>
          </rPr>
          <t>Việt Hoàng:
19.490.000</t>
        </r>
      </text>
    </comment>
    <comment ref="F8" authorId="3" shapeId="0" xr:uid="{00000000-0006-0000-3800-00000C000000}">
      <text>
        <r>
          <rPr>
            <sz val="12"/>
            <color theme="1"/>
            <rFont val="Aptos Narrow"/>
            <family val="2"/>
            <scheme val="minor"/>
          </rPr>
          <t>chit trang:
19.390k</t>
        </r>
      </text>
    </comment>
    <comment ref="B9" authorId="0" shapeId="0" xr:uid="{00000000-0006-0000-3800-00000D000000}">
      <text>
        <r>
          <rPr>
            <sz val="12"/>
            <color theme="1"/>
            <rFont val="Aptos Narrow"/>
            <family val="2"/>
            <scheme val="minor"/>
          </rPr>
          <t>was 29140000
VNP150</t>
        </r>
      </text>
    </comment>
    <comment ref="B10" authorId="0" shapeId="0" xr:uid="{00000000-0006-0000-3800-00000E000000}">
      <text>
        <r>
          <rPr>
            <sz val="12"/>
            <color theme="1"/>
            <rFont val="Aptos Narrow"/>
            <family val="2"/>
            <scheme val="minor"/>
          </rPr>
          <t>was 18440</t>
        </r>
      </text>
    </comment>
    <comment ref="C11" authorId="1" shapeId="0" xr:uid="{00000000-0006-0000-3800-00000F000000}">
      <text>
        <r>
          <rPr>
            <sz val="12"/>
            <color theme="1"/>
            <rFont val="Aptos Narrow"/>
            <family val="2"/>
            <scheme val="minor"/>
          </rPr>
          <t>W7 12790</t>
        </r>
      </text>
    </comment>
    <comment ref="D11" authorId="2" shapeId="0" xr:uid="{00000000-0006-0000-3800-000010000000}">
      <text>
        <r>
          <rPr>
            <sz val="12"/>
            <color theme="1"/>
            <rFont val="Aptos Narrow"/>
            <family val="2"/>
            <scheme val="minor"/>
          </rPr>
          <t>Việt Hoàng:
12.790.000</t>
        </r>
      </text>
    </comment>
    <comment ref="F11" authorId="3" shapeId="0" xr:uid="{00000000-0006-0000-3800-000011000000}">
      <text>
        <r>
          <rPr>
            <sz val="12"/>
            <color theme="1"/>
            <rFont val="Aptos Narrow"/>
            <family val="2"/>
            <scheme val="minor"/>
          </rPr>
          <t>chit trang:
12.590</t>
        </r>
      </text>
    </comment>
    <comment ref="B12" authorId="0" shapeId="0" xr:uid="{00000000-0006-0000-3800-000012000000}">
      <text>
        <r>
          <rPr>
            <sz val="12"/>
            <color theme="1"/>
            <rFont val="Aptos Narrow"/>
            <family val="2"/>
            <scheme val="minor"/>
          </rPr>
          <t>was 13190
VNP100</t>
        </r>
      </text>
    </comment>
    <comment ref="C12" authorId="1" shapeId="0" xr:uid="{00000000-0006-0000-3800-000013000000}">
      <text>
        <r>
          <rPr>
            <sz val="12"/>
            <color theme="1"/>
            <rFont val="Aptos Narrow"/>
            <family val="2"/>
            <scheme val="minor"/>
          </rPr>
          <t>W7 11790</t>
        </r>
      </text>
    </comment>
    <comment ref="E12" authorId="0" shapeId="0" xr:uid="{00000000-0006-0000-3800-000014000000}">
      <text>
        <r>
          <rPr>
            <sz val="12"/>
            <color theme="1"/>
            <rFont val="Aptos Narrow"/>
            <family val="2"/>
            <scheme val="minor"/>
          </rPr>
          <t>Giờ vàng</t>
        </r>
      </text>
    </comment>
    <comment ref="C14" authorId="1" shapeId="0" xr:uid="{00000000-0006-0000-3800-000015000000}">
      <text>
        <r>
          <rPr>
            <sz val="12"/>
            <color theme="1"/>
            <rFont val="Aptos Narrow"/>
            <family val="2"/>
            <scheme val="minor"/>
          </rPr>
          <t>W7 11790</t>
        </r>
      </text>
    </comment>
    <comment ref="D14" authorId="2" shapeId="0" xr:uid="{00000000-0006-0000-3800-000016000000}">
      <text>
        <r>
          <rPr>
            <sz val="12"/>
            <color theme="1"/>
            <rFont val="Aptos Narrow"/>
            <family val="2"/>
            <scheme val="minor"/>
          </rPr>
          <t>Việt Hoàng:
13.890.000</t>
        </r>
      </text>
    </comment>
    <comment ref="F14" authorId="3" shapeId="0" xr:uid="{00000000-0006-0000-3800-000017000000}">
      <text>
        <r>
          <rPr>
            <sz val="12"/>
            <color theme="1"/>
            <rFont val="Aptos Narrow"/>
            <family val="2"/>
            <scheme val="minor"/>
          </rPr>
          <t>chit trang:
13.290k</t>
        </r>
      </text>
    </comment>
    <comment ref="B15" authorId="0" shapeId="0" xr:uid="{00000000-0006-0000-3800-000018000000}">
      <text>
        <r>
          <rPr>
            <sz val="12"/>
            <color theme="1"/>
            <rFont val="Aptos Narrow"/>
            <family val="2"/>
            <scheme val="minor"/>
          </rPr>
          <t>was 7040
VNP40</t>
        </r>
      </text>
    </comment>
    <comment ref="D15" authorId="2" shapeId="0" xr:uid="{00000000-0006-0000-3800-000019000000}">
      <text>
        <r>
          <rPr>
            <sz val="12"/>
            <color theme="1"/>
            <rFont val="Aptos Narrow"/>
            <family val="2"/>
            <scheme val="minor"/>
          </rPr>
          <t>Việt Hoàng:
8.490.000</t>
        </r>
      </text>
    </comment>
    <comment ref="E15" authorId="0" shapeId="0" xr:uid="{00000000-0006-0000-3800-00001A000000}">
      <text>
        <r>
          <rPr>
            <sz val="12"/>
            <color theme="1"/>
            <rFont val="Aptos Narrow"/>
            <family val="2"/>
            <scheme val="minor"/>
          </rPr>
          <t>was 8405
vnp1%</t>
        </r>
      </text>
    </comment>
    <comment ref="F15" authorId="3" shapeId="0" xr:uid="{00000000-0006-0000-3800-00001B000000}">
      <text>
        <r>
          <rPr>
            <sz val="12"/>
            <color theme="1"/>
            <rFont val="Aptos Narrow"/>
            <family val="2"/>
            <scheme val="minor"/>
          </rPr>
          <t>chit trang:
8.890k</t>
        </r>
      </text>
    </comment>
    <comment ref="G15" authorId="4" shapeId="0" xr:uid="{00000000-0006-0000-3800-00001C000000}">
      <text>
        <r>
          <rPr>
            <sz val="12"/>
            <color theme="1"/>
            <rFont val="Aptos Narrow"/>
            <family val="2"/>
            <scheme val="minor"/>
          </rPr>
          <t>Tran Dat:
8.390</t>
        </r>
      </text>
    </comment>
    <comment ref="B16" authorId="0" shapeId="0" xr:uid="{00000000-0006-0000-3800-00001D000000}">
      <text>
        <r>
          <rPr>
            <sz val="12"/>
            <color theme="1"/>
            <rFont val="Aptos Narrow"/>
            <family val="2"/>
            <scheme val="minor"/>
          </rPr>
          <t>was 14390</t>
        </r>
      </text>
    </comment>
    <comment ref="D16" authorId="2" shapeId="0" xr:uid="{00000000-0006-0000-3800-00001E000000}">
      <text>
        <r>
          <rPr>
            <sz val="12"/>
            <color theme="1"/>
            <rFont val="Aptos Narrow"/>
            <family val="2"/>
            <scheme val="minor"/>
          </rPr>
          <t>Việt Hoàng:
16.690.000</t>
        </r>
      </text>
    </comment>
    <comment ref="F16" authorId="3" shapeId="0" xr:uid="{00000000-0006-0000-3800-00001F000000}">
      <text>
        <r>
          <rPr>
            <sz val="12"/>
            <color theme="1"/>
            <rFont val="Aptos Narrow"/>
            <family val="2"/>
            <scheme val="minor"/>
          </rPr>
          <t>chit trang:
16.490k</t>
        </r>
      </text>
    </comment>
    <comment ref="C18" authorId="1" shapeId="0" xr:uid="{00000000-0006-0000-3800-000020000000}">
      <text>
        <r>
          <rPr>
            <sz val="12"/>
            <color theme="1"/>
            <rFont val="Aptos Narrow"/>
            <family val="2"/>
            <scheme val="minor"/>
          </rPr>
          <t>W7 25990</t>
        </r>
      </text>
    </comment>
    <comment ref="D18" authorId="2" shapeId="0" xr:uid="{00000000-0006-0000-3800-000021000000}">
      <text>
        <r>
          <rPr>
            <sz val="12"/>
            <color theme="1"/>
            <rFont val="Aptos Narrow"/>
            <family val="2"/>
            <scheme val="minor"/>
          </rPr>
          <t>Việt Hoàng:
27.490.000</t>
        </r>
      </text>
    </comment>
    <comment ref="E18" authorId="0" shapeId="0" xr:uid="{00000000-0006-0000-3800-000022000000}">
      <text>
        <r>
          <rPr>
            <sz val="12"/>
            <color theme="1"/>
            <rFont val="Aptos Narrow"/>
            <family val="2"/>
            <scheme val="minor"/>
          </rPr>
          <t>was 26490</t>
        </r>
      </text>
    </comment>
    <comment ref="F18" authorId="3" shapeId="0" xr:uid="{00000000-0006-0000-3800-000023000000}">
      <text>
        <r>
          <rPr>
            <sz val="12"/>
            <color theme="1"/>
            <rFont val="Aptos Narrow"/>
            <family val="2"/>
            <scheme val="minor"/>
          </rPr>
          <t>chit trang:
26.690k</t>
        </r>
      </text>
    </comment>
    <comment ref="G18" authorId="4" shapeId="0" xr:uid="{00000000-0006-0000-3800-000024000000}">
      <text>
        <r>
          <rPr>
            <sz val="12"/>
            <color theme="1"/>
            <rFont val="Aptos Narrow"/>
            <family val="2"/>
            <scheme val="minor"/>
          </rPr>
          <t>Tran Dat:
26.390</t>
        </r>
      </text>
    </comment>
    <comment ref="B19" authorId="0" shapeId="0" xr:uid="{00000000-0006-0000-3800-000025000000}">
      <text>
        <r>
          <rPr>
            <sz val="12"/>
            <color theme="1"/>
            <rFont val="Aptos Narrow"/>
            <family val="2"/>
            <scheme val="minor"/>
          </rPr>
          <t>was 36640</t>
        </r>
      </text>
    </comment>
    <comment ref="C19" authorId="1" shapeId="0" xr:uid="{00000000-0006-0000-3800-000026000000}">
      <text>
        <r>
          <rPr>
            <sz val="12"/>
            <color theme="1"/>
            <rFont val="Aptos Narrow"/>
            <family val="2"/>
            <scheme val="minor"/>
          </rPr>
          <t>W7 33990</t>
        </r>
      </text>
    </comment>
    <comment ref="G20" authorId="4" shapeId="0" xr:uid="{00000000-0006-0000-3800-000027000000}">
      <text>
        <r>
          <rPr>
            <sz val="12"/>
            <color theme="1"/>
            <rFont val="Aptos Narrow"/>
            <family val="2"/>
            <scheme val="minor"/>
          </rPr>
          <t>Tran Dat:
5190</t>
        </r>
      </text>
    </comment>
    <comment ref="G21" authorId="4" shapeId="0" xr:uid="{00000000-0006-0000-3800-000028000000}">
      <text>
        <r>
          <rPr>
            <sz val="12"/>
            <color theme="1"/>
            <rFont val="Aptos Narrow"/>
            <family val="2"/>
            <scheme val="minor"/>
          </rPr>
          <t>Tran Dat:
6490</t>
        </r>
      </text>
    </comment>
    <comment ref="G24" authorId="4" shapeId="0" xr:uid="{00000000-0006-0000-3800-000029000000}">
      <text>
        <r>
          <rPr>
            <sz val="12"/>
            <color theme="1"/>
            <rFont val="Aptos Narrow"/>
            <family val="2"/>
            <scheme val="minor"/>
          </rPr>
          <t>Tran Dat:
8450</t>
        </r>
      </text>
    </comment>
    <comment ref="G25" authorId="4" shapeId="0" xr:uid="{00000000-0006-0000-3800-00002A000000}">
      <text>
        <r>
          <rPr>
            <sz val="12"/>
            <color theme="1"/>
            <rFont val="Aptos Narrow"/>
            <family val="2"/>
            <scheme val="minor"/>
          </rPr>
          <t>Tran Dat:
12890</t>
        </r>
      </text>
    </comment>
    <comment ref="G26" authorId="4" shapeId="0" xr:uid="{00000000-0006-0000-3800-00002B000000}">
      <text>
        <r>
          <rPr>
            <sz val="12"/>
            <color theme="1"/>
            <rFont val="Aptos Narrow"/>
            <family val="2"/>
            <scheme val="minor"/>
          </rPr>
          <t>9350</t>
        </r>
      </text>
    </comment>
    <comment ref="B27" authorId="0" shapeId="0" xr:uid="{00000000-0006-0000-3800-00002C000000}">
      <text>
        <r>
          <rPr>
            <sz val="12"/>
            <color theme="1"/>
            <rFont val="Aptos Narrow"/>
            <family val="2"/>
            <scheme val="minor"/>
          </rPr>
          <t>was 13320
VNP100</t>
        </r>
      </text>
    </comment>
    <comment ref="B29" authorId="0" shapeId="0" xr:uid="{00000000-0006-0000-3800-00002D000000}">
      <text>
        <r>
          <rPr>
            <sz val="12"/>
            <color theme="1"/>
            <rFont val="Aptos Narrow"/>
            <family val="2"/>
            <scheme val="minor"/>
          </rPr>
          <t>was 5550
VNP40</t>
        </r>
      </text>
    </comment>
    <comment ref="B30" authorId="0" shapeId="0" xr:uid="{00000000-0006-0000-3800-00002E000000}">
      <text>
        <r>
          <rPr>
            <sz val="12"/>
            <color theme="1"/>
            <rFont val="Aptos Narrow"/>
            <family val="2"/>
            <scheme val="minor"/>
          </rPr>
          <t xml:space="preserve">was 4490
</t>
        </r>
      </text>
    </comment>
    <comment ref="B31" authorId="0" shapeId="0" xr:uid="{00000000-0006-0000-3800-00002F000000}">
      <text>
        <r>
          <rPr>
            <sz val="12"/>
            <color theme="1"/>
            <rFont val="Aptos Narrow"/>
            <family val="2"/>
            <scheme val="minor"/>
          </rPr>
          <t>was 3190</t>
        </r>
      </text>
    </comment>
    <comment ref="B32" authorId="0" shapeId="0" xr:uid="{00000000-0006-0000-3800-000030000000}">
      <text>
        <r>
          <rPr>
            <sz val="12"/>
            <color theme="1"/>
            <rFont val="Aptos Narrow"/>
            <family val="2"/>
            <scheme val="minor"/>
          </rPr>
          <t>was 18090
VNP100</t>
        </r>
      </text>
    </comment>
    <comment ref="C33" authorId="1" shapeId="0" xr:uid="{00000000-0006-0000-3800-000031000000}">
      <text>
        <r>
          <rPr>
            <sz val="12"/>
            <color theme="1"/>
            <rFont val="Aptos Narrow"/>
            <family val="2"/>
            <scheme val="minor"/>
          </rPr>
          <t>W7 21290</t>
        </r>
      </text>
    </comment>
    <comment ref="D33" authorId="2" shapeId="0" xr:uid="{00000000-0006-0000-3800-000032000000}">
      <text>
        <r>
          <rPr>
            <sz val="12"/>
            <color theme="1"/>
            <rFont val="Aptos Narrow"/>
            <family val="2"/>
            <scheme val="minor"/>
          </rPr>
          <t>Việt Hoàng:
21.490.000</t>
        </r>
      </text>
    </comment>
    <comment ref="F33" authorId="3" shapeId="0" xr:uid="{00000000-0006-0000-3800-000033000000}">
      <text>
        <r>
          <rPr>
            <sz val="12"/>
            <color theme="1"/>
            <rFont val="Aptos Narrow"/>
            <family val="2"/>
            <scheme val="minor"/>
          </rPr>
          <t>chit trang:
20.190k</t>
        </r>
      </text>
    </comment>
    <comment ref="G33" authorId="4" shapeId="0" xr:uid="{00000000-0006-0000-3800-000034000000}">
      <text>
        <r>
          <rPr>
            <sz val="12"/>
            <color theme="1"/>
            <rFont val="Aptos Narrow"/>
            <family val="2"/>
            <scheme val="minor"/>
          </rPr>
          <t>Tran Dat:
20990</t>
        </r>
      </text>
    </comment>
    <comment ref="B34" authorId="0" shapeId="0" xr:uid="{00000000-0006-0000-3800-000035000000}">
      <text>
        <r>
          <rPr>
            <sz val="12"/>
            <color theme="1"/>
            <rFont val="Aptos Narrow"/>
            <family val="2"/>
            <scheme val="minor"/>
          </rPr>
          <t>was 26140
VNP150</t>
        </r>
      </text>
    </comment>
    <comment ref="F35" authorId="3" shapeId="0" xr:uid="{00000000-0006-0000-3800-000036000000}">
      <text>
        <r>
          <rPr>
            <sz val="12"/>
            <color theme="1"/>
            <rFont val="Aptos Narrow"/>
            <family val="2"/>
            <scheme val="minor"/>
          </rPr>
          <t>chit trang:
26.290k</t>
        </r>
      </text>
    </comment>
    <comment ref="G35" authorId="4" shapeId="0" xr:uid="{00000000-0006-0000-3800-000037000000}">
      <text>
        <r>
          <rPr>
            <sz val="12"/>
            <color theme="1"/>
            <rFont val="Aptos Narrow"/>
            <family val="2"/>
            <scheme val="minor"/>
          </rPr>
          <t xml:space="preserve">Tran Dat:
26290
</t>
        </r>
      </text>
    </comment>
  </commentList>
</comments>
</file>

<file path=xl/comments58.xml><?xml version="1.0" encoding="utf-8"?>
<comments xmlns="http://schemas.openxmlformats.org/spreadsheetml/2006/main" xmlns:mc="http://schemas.openxmlformats.org/markup-compatibility/2006" xmlns:xr="http://schemas.microsoft.com/office/spreadsheetml/2014/revision" mc:Ignorable="xr">
  <authors>
    <author>Microsoft Office User</author>
    <author>chit trang</author>
    <author>Tran Dat</author>
    <author>Việt Hoàng</author>
    <author>Duy</author>
    <author>Người dùng Khách</author>
  </authors>
  <commentList>
    <comment ref="E3" authorId="0" shapeId="0" xr:uid="{00000000-0006-0000-3900-000001000000}">
      <text>
        <r>
          <rPr>
            <sz val="12"/>
            <color theme="1"/>
            <rFont val="Aptos Narrow"/>
            <family val="2"/>
            <scheme val="minor"/>
          </rPr>
          <t>Giờ vàng</t>
        </r>
      </text>
    </comment>
    <comment ref="F3" authorId="1" shapeId="0" xr:uid="{00000000-0006-0000-3900-000002000000}">
      <text>
        <r>
          <rPr>
            <sz val="12"/>
            <color theme="1"/>
            <rFont val="Aptos Narrow"/>
            <family val="2"/>
            <scheme val="minor"/>
          </rPr>
          <t>chit trang:
18.990k</t>
        </r>
      </text>
    </comment>
    <comment ref="G3" authorId="2" shapeId="0" xr:uid="{00000000-0006-0000-3900-000003000000}">
      <text>
        <r>
          <rPr>
            <sz val="12"/>
            <color theme="1"/>
            <rFont val="Aptos Narrow"/>
            <family val="2"/>
            <scheme val="minor"/>
          </rPr>
          <t>Tran Dat:
18.790</t>
        </r>
      </text>
    </comment>
    <comment ref="B4" authorId="0" shapeId="0" xr:uid="{00000000-0006-0000-3900-000004000000}">
      <text>
        <r>
          <rPr>
            <sz val="12"/>
            <color theme="1"/>
            <rFont val="Aptos Narrow"/>
            <family val="2"/>
            <scheme val="minor"/>
          </rPr>
          <t>was 24640000
VNP150</t>
        </r>
      </text>
    </comment>
    <comment ref="D4" authorId="3" shapeId="0" xr:uid="{00000000-0006-0000-3900-000005000000}">
      <text>
        <r>
          <rPr>
            <sz val="12"/>
            <color theme="1"/>
            <rFont val="Aptos Narrow"/>
            <family val="2"/>
            <scheme val="minor"/>
          </rPr>
          <t>Việt Hoàng:
22.190.000</t>
        </r>
      </text>
    </comment>
    <comment ref="E4" authorId="0" shapeId="0" xr:uid="{00000000-0006-0000-3900-000006000000}">
      <text>
        <r>
          <rPr>
            <sz val="12"/>
            <color theme="1"/>
            <rFont val="Aptos Narrow"/>
            <family val="2"/>
            <scheme val="minor"/>
          </rPr>
          <t>Giờ vàng</t>
        </r>
      </text>
    </comment>
    <comment ref="G4" authorId="2" shapeId="0" xr:uid="{00000000-0006-0000-3900-000007000000}">
      <text>
        <r>
          <rPr>
            <sz val="12"/>
            <color theme="1"/>
            <rFont val="Aptos Narrow"/>
            <family val="2"/>
            <scheme val="minor"/>
          </rPr>
          <t>Tran Dat:
21990</t>
        </r>
      </text>
    </comment>
    <comment ref="D5" authorId="3" shapeId="0" xr:uid="{00000000-0006-0000-3900-000008000000}">
      <text>
        <r>
          <rPr>
            <sz val="12"/>
            <color theme="1"/>
            <rFont val="Aptos Narrow"/>
            <family val="2"/>
            <scheme val="minor"/>
          </rPr>
          <t>Việt Hoàng:
25.090.000</t>
        </r>
      </text>
    </comment>
    <comment ref="E5" authorId="0" shapeId="0" xr:uid="{00000000-0006-0000-3900-000009000000}">
      <text>
        <r>
          <rPr>
            <sz val="12"/>
            <color theme="1"/>
            <rFont val="Aptos Narrow"/>
            <family val="2"/>
            <scheme val="minor"/>
          </rPr>
          <t xml:space="preserve">Giờ vàng
</t>
        </r>
      </text>
    </comment>
    <comment ref="B6" authorId="0" shapeId="0" xr:uid="{00000000-0006-0000-3900-00000A000000}">
      <text>
        <r>
          <rPr>
            <sz val="12"/>
            <color theme="1"/>
            <rFont val="Aptos Narrow"/>
            <family val="2"/>
            <scheme val="minor"/>
          </rPr>
          <t>Tặng phiếu mua hàng mua AirPods và Apple Watch trị giá 500,000đ
 Phiếu mua hàng mua sản phẩm giá niêm yết từ 5 triệu thuộc các nhóm TAI NGHE - LOA hãng HARMAN KARDON, JBL,MONSTER, KLIPSCH, MARSHALL, SONY; Smartwatch hãng HUAWEI, GARMIN, SAMSUNG, IMOO, OPPO, AMAZFIT trị giá 500.000đ</t>
        </r>
      </text>
    </comment>
    <comment ref="E6" authorId="0" shapeId="0" xr:uid="{00000000-0006-0000-3900-00000B000000}">
      <text>
        <r>
          <rPr>
            <sz val="12"/>
            <color theme="1"/>
            <rFont val="Aptos Narrow"/>
            <family val="2"/>
            <scheme val="minor"/>
          </rPr>
          <t xml:space="preserve">Giờ vàng
</t>
        </r>
      </text>
    </comment>
    <comment ref="F6" authorId="1" shapeId="0" xr:uid="{00000000-0006-0000-3900-00000C000000}">
      <text>
        <r>
          <rPr>
            <sz val="12"/>
            <color theme="1"/>
            <rFont val="Aptos Narrow"/>
            <family val="2"/>
            <scheme val="minor"/>
          </rPr>
          <t>chit trang:
30.490k</t>
        </r>
      </text>
    </comment>
    <comment ref="G6" authorId="2" shapeId="0" xr:uid="{00000000-0006-0000-3900-00000D000000}">
      <text>
        <r>
          <rPr>
            <sz val="12"/>
            <color theme="1"/>
            <rFont val="Aptos Narrow"/>
            <family val="2"/>
            <scheme val="minor"/>
          </rPr>
          <t>Tran Dat:
30.090</t>
        </r>
      </text>
    </comment>
    <comment ref="F7" authorId="1" shapeId="0" xr:uid="{00000000-0006-0000-3900-00000E000000}">
      <text>
        <r>
          <rPr>
            <sz val="12"/>
            <color theme="1"/>
            <rFont val="Aptos Narrow"/>
            <family val="2"/>
            <scheme val="minor"/>
          </rPr>
          <t>chit trang:
15.650k</t>
        </r>
      </text>
    </comment>
    <comment ref="G7" authorId="2" shapeId="0" xr:uid="{00000000-0006-0000-3900-00000F000000}">
      <text>
        <r>
          <rPr>
            <sz val="12"/>
            <color theme="1"/>
            <rFont val="Aptos Narrow"/>
            <family val="2"/>
            <scheme val="minor"/>
          </rPr>
          <t>Tran Dat:
15490</t>
        </r>
      </text>
    </comment>
    <comment ref="F8" authorId="1" shapeId="0" xr:uid="{00000000-0006-0000-3900-000010000000}">
      <text>
        <r>
          <rPr>
            <sz val="12"/>
            <color theme="1"/>
            <rFont val="Aptos Narrow"/>
            <family val="2"/>
            <scheme val="minor"/>
          </rPr>
          <t>chit trang:
19.290k</t>
        </r>
      </text>
    </comment>
    <comment ref="B9" authorId="0" shapeId="0" xr:uid="{00000000-0006-0000-3900-000011000000}">
      <text>
        <r>
          <rPr>
            <sz val="12"/>
            <color theme="1"/>
            <rFont val="Aptos Narrow"/>
            <family val="2"/>
            <scheme val="minor"/>
          </rPr>
          <t>was 29140000
VNP150</t>
        </r>
      </text>
    </comment>
    <comment ref="B10" authorId="0" shapeId="0" xr:uid="{00000000-0006-0000-3900-000012000000}">
      <text>
        <r>
          <rPr>
            <sz val="12"/>
            <color theme="1"/>
            <rFont val="Aptos Narrow"/>
            <family val="2"/>
            <scheme val="minor"/>
          </rPr>
          <t>was 18440</t>
        </r>
      </text>
    </comment>
    <comment ref="F11" authorId="1" shapeId="0" xr:uid="{00000000-0006-0000-3900-000013000000}">
      <text>
        <r>
          <rPr>
            <sz val="12"/>
            <color theme="1"/>
            <rFont val="Aptos Narrow"/>
            <family val="2"/>
            <scheme val="minor"/>
          </rPr>
          <t>chit trang:
12.590</t>
        </r>
      </text>
    </comment>
    <comment ref="B12" authorId="0" shapeId="0" xr:uid="{00000000-0006-0000-3900-000014000000}">
      <text>
        <r>
          <rPr>
            <sz val="12"/>
            <color theme="1"/>
            <rFont val="Aptos Narrow"/>
            <family val="2"/>
            <scheme val="minor"/>
          </rPr>
          <t>was 13190
VNP100</t>
        </r>
      </text>
    </comment>
    <comment ref="E12" authorId="0" shapeId="0" xr:uid="{00000000-0006-0000-3900-000015000000}">
      <text>
        <r>
          <rPr>
            <sz val="12"/>
            <color theme="1"/>
            <rFont val="Aptos Narrow"/>
            <family val="2"/>
            <scheme val="minor"/>
          </rPr>
          <t>Giờ vàng</t>
        </r>
      </text>
    </comment>
    <comment ref="B15" authorId="0" shapeId="0" xr:uid="{00000000-0006-0000-3900-000016000000}">
      <text>
        <r>
          <rPr>
            <sz val="12"/>
            <color theme="1"/>
            <rFont val="Aptos Narrow"/>
            <family val="2"/>
            <scheme val="minor"/>
          </rPr>
          <t>was 7040
VNP40</t>
        </r>
      </text>
    </comment>
    <comment ref="E15" authorId="0" shapeId="0" xr:uid="{00000000-0006-0000-3900-000017000000}">
      <text>
        <r>
          <rPr>
            <sz val="12"/>
            <color theme="1"/>
            <rFont val="Aptos Narrow"/>
            <family val="2"/>
            <scheme val="minor"/>
          </rPr>
          <t>was 8405
vnp1%</t>
        </r>
      </text>
    </comment>
    <comment ref="F15" authorId="1" shapeId="0" xr:uid="{00000000-0006-0000-3900-000018000000}">
      <text>
        <r>
          <rPr>
            <sz val="12"/>
            <color theme="1"/>
            <rFont val="Aptos Narrow"/>
            <family val="2"/>
            <scheme val="minor"/>
          </rPr>
          <t>chit trang:
9790k</t>
        </r>
      </text>
    </comment>
    <comment ref="B16" authorId="0" shapeId="0" xr:uid="{00000000-0006-0000-3900-000019000000}">
      <text>
        <r>
          <rPr>
            <sz val="12"/>
            <color theme="1"/>
            <rFont val="Aptos Narrow"/>
            <family val="2"/>
            <scheme val="minor"/>
          </rPr>
          <t>was 14390</t>
        </r>
      </text>
    </comment>
    <comment ref="F16" authorId="1" shapeId="0" xr:uid="{00000000-0006-0000-3900-00001A000000}">
      <text>
        <r>
          <rPr>
            <sz val="12"/>
            <color theme="1"/>
            <rFont val="Aptos Narrow"/>
            <family val="2"/>
            <scheme val="minor"/>
          </rPr>
          <t>chit trang:
16.390k</t>
        </r>
      </text>
    </comment>
    <comment ref="G16" authorId="2" shapeId="0" xr:uid="{00000000-0006-0000-3900-00001B000000}">
      <text>
        <r>
          <rPr>
            <sz val="12"/>
            <color theme="1"/>
            <rFont val="Aptos Narrow"/>
            <family val="2"/>
            <scheme val="minor"/>
          </rPr>
          <t>Tran Dat:
16490</t>
        </r>
      </text>
    </comment>
    <comment ref="E18" authorId="0" shapeId="0" xr:uid="{00000000-0006-0000-3900-00001C000000}">
      <text>
        <r>
          <rPr>
            <sz val="12"/>
            <color theme="1"/>
            <rFont val="Aptos Narrow"/>
            <family val="2"/>
            <scheme val="minor"/>
          </rPr>
          <t>was 26490</t>
        </r>
      </text>
    </comment>
    <comment ref="G18" authorId="2" shapeId="0" xr:uid="{00000000-0006-0000-3900-00001D000000}">
      <text>
        <r>
          <rPr>
            <sz val="12"/>
            <color theme="1"/>
            <rFont val="Aptos Narrow"/>
            <family val="2"/>
            <scheme val="minor"/>
          </rPr>
          <t>Tran Dat:
26.390</t>
        </r>
      </text>
    </comment>
    <comment ref="B19" authorId="0" shapeId="0" xr:uid="{00000000-0006-0000-3900-00001E000000}">
      <text>
        <r>
          <rPr>
            <sz val="12"/>
            <color theme="1"/>
            <rFont val="Aptos Narrow"/>
            <family val="2"/>
            <scheme val="minor"/>
          </rPr>
          <t>was 36640</t>
        </r>
      </text>
    </comment>
    <comment ref="C20" authorId="4" shapeId="0" xr:uid="{00000000-0006-0000-3900-00001F000000}">
      <text>
        <r>
          <rPr>
            <sz val="12"/>
            <color theme="1"/>
            <rFont val="Aptos Narrow"/>
            <family val="2"/>
            <scheme val="minor"/>
          </rPr>
          <t>W8 5220</t>
        </r>
      </text>
    </comment>
    <comment ref="D20" authorId="3" shapeId="0" xr:uid="{00000000-0006-0000-3900-000020000000}">
      <text>
        <r>
          <rPr>
            <sz val="12"/>
            <color theme="1"/>
            <rFont val="Aptos Narrow"/>
            <family val="2"/>
            <scheme val="minor"/>
          </rPr>
          <t>Việt Hoàng:
5.090.000</t>
        </r>
      </text>
    </comment>
    <comment ref="E20" authorId="5" shapeId="0" xr:uid="{00000000-0006-0000-3900-000021000000}">
      <text>
        <r>
          <rPr>
            <sz val="12"/>
            <color theme="1"/>
            <rFont val="Aptos Narrow"/>
            <family val="2"/>
            <scheme val="minor"/>
          </rPr>
          <t xml:space="preserve">Người dùng Không xác định:
5732000
</t>
        </r>
      </text>
    </comment>
    <comment ref="F20" authorId="1" shapeId="0" xr:uid="{00000000-0006-0000-3900-000022000000}">
      <text>
        <r>
          <rPr>
            <sz val="12"/>
            <color theme="1"/>
            <rFont val="Aptos Narrow"/>
            <family val="2"/>
            <scheme val="minor"/>
          </rPr>
          <t>chit trang:
5.190k</t>
        </r>
      </text>
    </comment>
    <comment ref="E21" authorId="5" shapeId="0" xr:uid="{00000000-0006-0000-3900-000023000000}">
      <text>
        <r>
          <rPr>
            <sz val="12"/>
            <color theme="1"/>
            <rFont val="Aptos Narrow"/>
            <family val="2"/>
            <scheme val="minor"/>
          </rPr>
          <t xml:space="preserve">Người dùng Không xác định:
6227000
</t>
        </r>
      </text>
    </comment>
    <comment ref="C22" authorId="4" shapeId="0" xr:uid="{00000000-0006-0000-3900-000024000000}">
      <text>
        <r>
          <rPr>
            <sz val="12"/>
            <color theme="1"/>
            <rFont val="Aptos Narrow"/>
            <family val="2"/>
            <scheme val="minor"/>
          </rPr>
          <t>W8 5820</t>
        </r>
      </text>
    </comment>
    <comment ref="D22" authorId="3" shapeId="0" xr:uid="{00000000-0006-0000-3900-000025000000}">
      <text>
        <r>
          <rPr>
            <sz val="12"/>
            <color theme="1"/>
            <rFont val="Aptos Narrow"/>
            <family val="2"/>
            <scheme val="minor"/>
          </rPr>
          <t>Việt Hoàng:
5.790.000</t>
        </r>
      </text>
    </comment>
    <comment ref="E23" authorId="5" shapeId="0" xr:uid="{00000000-0006-0000-3900-000026000000}">
      <text>
        <r>
          <rPr>
            <sz val="12"/>
            <color theme="1"/>
            <rFont val="Aptos Narrow"/>
            <family val="2"/>
            <scheme val="minor"/>
          </rPr>
          <t xml:space="preserve">Người dùng Không xác định:
6920000
</t>
        </r>
      </text>
    </comment>
    <comment ref="C24" authorId="4" shapeId="0" xr:uid="{00000000-0006-0000-3900-000027000000}">
      <text>
        <r>
          <rPr>
            <sz val="12"/>
            <color theme="1"/>
            <rFont val="Aptos Narrow"/>
            <family val="2"/>
            <scheme val="minor"/>
          </rPr>
          <t>W8 8480</t>
        </r>
      </text>
    </comment>
    <comment ref="D24" authorId="3" shapeId="0" xr:uid="{00000000-0006-0000-3900-000028000000}">
      <text>
        <r>
          <rPr>
            <sz val="12"/>
            <color theme="1"/>
            <rFont val="Aptos Narrow"/>
            <family val="2"/>
            <scheme val="minor"/>
          </rPr>
          <t>Việt Hoàng:
8.390.000</t>
        </r>
      </text>
    </comment>
    <comment ref="E24" authorId="5" shapeId="0" xr:uid="{00000000-0006-0000-3900-000029000000}">
      <text>
        <r>
          <rPr>
            <sz val="12"/>
            <color theme="1"/>
            <rFont val="Aptos Narrow"/>
            <family val="2"/>
            <scheme val="minor"/>
          </rPr>
          <t>Người dùng Không xác định:
8405000</t>
        </r>
      </text>
    </comment>
    <comment ref="F24" authorId="1" shapeId="0" xr:uid="{00000000-0006-0000-3900-00002A000000}">
      <text>
        <r>
          <rPr>
            <sz val="12"/>
            <color theme="1"/>
            <rFont val="Aptos Narrow"/>
            <family val="2"/>
            <scheme val="minor"/>
          </rPr>
          <t>chit trang:
8.450k</t>
        </r>
      </text>
    </comment>
    <comment ref="G24" authorId="2" shapeId="0" xr:uid="{00000000-0006-0000-3900-00002B000000}">
      <text>
        <r>
          <rPr>
            <sz val="12"/>
            <color theme="1"/>
            <rFont val="Aptos Narrow"/>
            <family val="2"/>
            <scheme val="minor"/>
          </rPr>
          <t>Tran Dat:
8450</t>
        </r>
      </text>
    </comment>
    <comment ref="E25" authorId="5" shapeId="0" xr:uid="{00000000-0006-0000-3900-00002C000000}">
      <text>
        <r>
          <rPr>
            <sz val="12"/>
            <color theme="1"/>
            <rFont val="Aptos Narrow"/>
            <family val="2"/>
            <scheme val="minor"/>
          </rPr>
          <t>Người dùng Không xác định:
11870000</t>
        </r>
      </text>
    </comment>
    <comment ref="G25" authorId="2" shapeId="0" xr:uid="{00000000-0006-0000-3900-00002D000000}">
      <text>
        <r>
          <rPr>
            <sz val="12"/>
            <color theme="1"/>
            <rFont val="Aptos Narrow"/>
            <family val="2"/>
            <scheme val="minor"/>
          </rPr>
          <t>Tran Dat:
12690</t>
        </r>
      </text>
    </comment>
    <comment ref="C26" authorId="4" shapeId="0" xr:uid="{00000000-0006-0000-3900-00002E000000}">
      <text>
        <r>
          <rPr>
            <sz val="12"/>
            <color theme="1"/>
            <rFont val="Aptos Narrow"/>
            <family val="2"/>
            <scheme val="minor"/>
          </rPr>
          <t>W8 9280</t>
        </r>
      </text>
    </comment>
    <comment ref="D26" authorId="3" shapeId="0" xr:uid="{00000000-0006-0000-3900-00002F000000}">
      <text>
        <r>
          <rPr>
            <sz val="12"/>
            <color theme="1"/>
            <rFont val="Aptos Narrow"/>
            <family val="2"/>
            <scheme val="minor"/>
          </rPr>
          <t>Việt Hoàng:
9.490.000</t>
        </r>
      </text>
    </comment>
    <comment ref="E26" authorId="5" shapeId="0" xr:uid="{00000000-0006-0000-3900-000030000000}">
      <text>
        <r>
          <rPr>
            <sz val="12"/>
            <color theme="1"/>
            <rFont val="Aptos Narrow"/>
            <family val="2"/>
            <scheme val="minor"/>
          </rPr>
          <t>Người dùng Không xác định:
8900000</t>
        </r>
      </text>
    </comment>
    <comment ref="F26" authorId="1" shapeId="0" xr:uid="{00000000-0006-0000-3900-000031000000}">
      <text>
        <r>
          <rPr>
            <sz val="12"/>
            <color theme="1"/>
            <rFont val="Aptos Narrow"/>
            <family val="2"/>
            <scheme val="minor"/>
          </rPr>
          <t>chit trang:
9.490</t>
        </r>
      </text>
    </comment>
    <comment ref="G26" authorId="2" shapeId="0" xr:uid="{00000000-0006-0000-3900-000032000000}">
      <text>
        <r>
          <rPr>
            <sz val="12"/>
            <color theme="1"/>
            <rFont val="Aptos Narrow"/>
            <family val="2"/>
            <scheme val="minor"/>
          </rPr>
          <t>9090</t>
        </r>
      </text>
    </comment>
    <comment ref="B27" authorId="0" shapeId="0" xr:uid="{00000000-0006-0000-3900-000033000000}">
      <text>
        <r>
          <rPr>
            <sz val="12"/>
            <color theme="1"/>
            <rFont val="Aptos Narrow"/>
            <family val="2"/>
            <scheme val="minor"/>
          </rPr>
          <t>was 13320
VNP100</t>
        </r>
      </text>
    </comment>
    <comment ref="E27" authorId="5" shapeId="0" xr:uid="{00000000-0006-0000-3900-000034000000}">
      <text>
        <r>
          <rPr>
            <sz val="12"/>
            <color theme="1"/>
            <rFont val="Aptos Narrow"/>
            <family val="2"/>
            <scheme val="minor"/>
          </rPr>
          <t>Người dùng Không xác định:
12583000</t>
        </r>
      </text>
    </comment>
    <comment ref="E28" authorId="5" shapeId="0" xr:uid="{00000000-0006-0000-3900-000035000000}">
      <text>
        <r>
          <rPr>
            <sz val="12"/>
            <color theme="1"/>
            <rFont val="Aptos Narrow"/>
            <family val="2"/>
            <scheme val="minor"/>
          </rPr>
          <t>Người dùng Không xác định:
21790000</t>
        </r>
      </text>
    </comment>
    <comment ref="B29" authorId="0" shapeId="0" xr:uid="{00000000-0006-0000-3900-000036000000}">
      <text>
        <r>
          <rPr>
            <sz val="12"/>
            <color theme="1"/>
            <rFont val="Aptos Narrow"/>
            <family val="2"/>
            <scheme val="minor"/>
          </rPr>
          <t>was 5550
VNP40</t>
        </r>
      </text>
    </comment>
    <comment ref="C29" authorId="4" shapeId="0" xr:uid="{00000000-0006-0000-3900-000037000000}">
      <text>
        <r>
          <rPr>
            <sz val="12"/>
            <color theme="1"/>
            <rFont val="Aptos Narrow"/>
            <family val="2"/>
            <scheme val="minor"/>
          </rPr>
          <t>W8 5390</t>
        </r>
      </text>
    </comment>
    <comment ref="D29" authorId="3" shapeId="0" xr:uid="{00000000-0006-0000-3900-000038000000}">
      <text>
        <r>
          <rPr>
            <sz val="12"/>
            <color theme="1"/>
            <rFont val="Aptos Narrow"/>
            <family val="2"/>
            <scheme val="minor"/>
          </rPr>
          <t>Việt Hoàng:
5.390.000</t>
        </r>
      </text>
    </comment>
    <comment ref="E29" authorId="5" shapeId="0" xr:uid="{00000000-0006-0000-3900-000039000000}">
      <text>
        <r>
          <rPr>
            <sz val="12"/>
            <color theme="1"/>
            <rFont val="Aptos Narrow"/>
            <family val="2"/>
            <scheme val="minor"/>
          </rPr>
          <t>Người dùng Không xác định:
5138000</t>
        </r>
      </text>
    </comment>
    <comment ref="F29" authorId="1" shapeId="0" xr:uid="{00000000-0006-0000-3900-00003A000000}">
      <text>
        <r>
          <rPr>
            <sz val="12"/>
            <color theme="1"/>
            <rFont val="Aptos Narrow"/>
            <family val="2"/>
            <scheme val="minor"/>
          </rPr>
          <t>chit trang:
5.390k</t>
        </r>
      </text>
    </comment>
    <comment ref="G29" authorId="2" shapeId="0" xr:uid="{00000000-0006-0000-3900-00003B000000}">
      <text>
        <r>
          <rPr>
            <sz val="12"/>
            <color theme="1"/>
            <rFont val="Aptos Narrow"/>
            <family val="2"/>
            <scheme val="minor"/>
          </rPr>
          <t>Tran Dat:
5290</t>
        </r>
      </text>
    </comment>
    <comment ref="B30" authorId="0" shapeId="0" xr:uid="{00000000-0006-0000-3900-00003C000000}">
      <text>
        <r>
          <rPr>
            <sz val="12"/>
            <color theme="1"/>
            <rFont val="Aptos Narrow"/>
            <family val="2"/>
            <scheme val="minor"/>
          </rPr>
          <t xml:space="preserve">was 4490
</t>
        </r>
      </text>
    </comment>
    <comment ref="C30" authorId="4" shapeId="0" xr:uid="{00000000-0006-0000-3900-00003D000000}">
      <text>
        <r>
          <rPr>
            <sz val="12"/>
            <color theme="1"/>
            <rFont val="Aptos Narrow"/>
            <family val="2"/>
            <scheme val="minor"/>
          </rPr>
          <t>W8 4590</t>
        </r>
      </text>
    </comment>
    <comment ref="D30" authorId="3" shapeId="0" xr:uid="{00000000-0006-0000-3900-00003E000000}">
      <text>
        <r>
          <rPr>
            <sz val="12"/>
            <color theme="1"/>
            <rFont val="Aptos Narrow"/>
            <family val="2"/>
            <scheme val="minor"/>
          </rPr>
          <t>Việt Hoàng:
4.390.000</t>
        </r>
      </text>
    </comment>
    <comment ref="E30" authorId="5" shapeId="0" xr:uid="{00000000-0006-0000-3900-00003F000000}">
      <text>
        <r>
          <rPr>
            <sz val="12"/>
            <color theme="1"/>
            <rFont val="Aptos Narrow"/>
            <family val="2"/>
            <scheme val="minor"/>
          </rPr>
          <t xml:space="preserve">Người dùng Không xác định:
4247000
</t>
        </r>
      </text>
    </comment>
    <comment ref="F30" authorId="1" shapeId="0" xr:uid="{00000000-0006-0000-3900-000040000000}">
      <text>
        <r>
          <rPr>
            <sz val="12"/>
            <color theme="1"/>
            <rFont val="Aptos Narrow"/>
            <family val="2"/>
            <scheme val="minor"/>
          </rPr>
          <t>chit trang:
4.390</t>
        </r>
      </text>
    </comment>
    <comment ref="G30" authorId="2" shapeId="0" xr:uid="{00000000-0006-0000-3900-000041000000}">
      <text>
        <r>
          <rPr>
            <sz val="12"/>
            <color theme="1"/>
            <rFont val="Aptos Narrow"/>
            <family val="2"/>
            <scheme val="minor"/>
          </rPr>
          <t>Tran Dat:
4350</t>
        </r>
      </text>
    </comment>
    <comment ref="B31" authorId="0" shapeId="0" xr:uid="{00000000-0006-0000-3900-000042000000}">
      <text>
        <r>
          <rPr>
            <sz val="12"/>
            <color theme="1"/>
            <rFont val="Aptos Narrow"/>
            <family val="2"/>
            <scheme val="minor"/>
          </rPr>
          <t>was 3190</t>
        </r>
      </text>
    </comment>
    <comment ref="C31" authorId="4" shapeId="0" xr:uid="{00000000-0006-0000-3900-000043000000}">
      <text>
        <r>
          <rPr>
            <sz val="12"/>
            <color theme="1"/>
            <rFont val="Aptos Narrow"/>
            <family val="2"/>
            <scheme val="minor"/>
          </rPr>
          <t>W8 3090</t>
        </r>
      </text>
    </comment>
    <comment ref="D31" authorId="3" shapeId="0" xr:uid="{00000000-0006-0000-3900-000044000000}">
      <text>
        <r>
          <rPr>
            <sz val="12"/>
            <color theme="1"/>
            <rFont val="Aptos Narrow"/>
            <family val="2"/>
            <scheme val="minor"/>
          </rPr>
          <t>Việt Hoàng:
3.090.000</t>
        </r>
      </text>
    </comment>
    <comment ref="E31" authorId="5" shapeId="0" xr:uid="{00000000-0006-0000-3900-000045000000}">
      <text>
        <r>
          <rPr>
            <sz val="12"/>
            <color theme="1"/>
            <rFont val="Aptos Narrow"/>
            <family val="2"/>
            <scheme val="minor"/>
          </rPr>
          <t>Người dùng Không xác định:
2990000</t>
        </r>
      </text>
    </comment>
    <comment ref="F31" authorId="1" shapeId="0" xr:uid="{00000000-0006-0000-3900-000046000000}">
      <text>
        <r>
          <rPr>
            <sz val="12"/>
            <color theme="1"/>
            <rFont val="Aptos Narrow"/>
            <family val="2"/>
            <scheme val="minor"/>
          </rPr>
          <t>chit trang:
3.090</t>
        </r>
      </text>
    </comment>
    <comment ref="G31" authorId="2" shapeId="0" xr:uid="{00000000-0006-0000-3900-000047000000}">
      <text>
        <r>
          <rPr>
            <sz val="12"/>
            <color theme="1"/>
            <rFont val="Aptos Narrow"/>
            <family val="2"/>
            <scheme val="minor"/>
          </rPr>
          <t>Tran Dat:
3050</t>
        </r>
      </text>
    </comment>
    <comment ref="B32" authorId="0" shapeId="0" xr:uid="{00000000-0006-0000-3900-000048000000}">
      <text>
        <r>
          <rPr>
            <sz val="12"/>
            <color theme="1"/>
            <rFont val="Aptos Narrow"/>
            <family val="2"/>
            <scheme val="minor"/>
          </rPr>
          <t>was 18090
VNP100</t>
        </r>
      </text>
    </comment>
    <comment ref="C32" authorId="4" shapeId="0" xr:uid="{00000000-0006-0000-3900-000049000000}">
      <text>
        <r>
          <rPr>
            <sz val="12"/>
            <color theme="1"/>
            <rFont val="Aptos Narrow"/>
            <family val="2"/>
            <scheme val="minor"/>
          </rPr>
          <t>W8 17490</t>
        </r>
      </text>
    </comment>
    <comment ref="D33" authorId="3" shapeId="0" xr:uid="{00000000-0006-0000-3900-00004A000000}">
      <text>
        <r>
          <rPr>
            <sz val="12"/>
            <color theme="1"/>
            <rFont val="Aptos Narrow"/>
            <family val="2"/>
            <scheme val="minor"/>
          </rPr>
          <t>Việt Hoàng:
21.190.000</t>
        </r>
      </text>
    </comment>
    <comment ref="B34" authorId="0" shapeId="0" xr:uid="{00000000-0006-0000-3900-00004B000000}">
      <text>
        <r>
          <rPr>
            <sz val="12"/>
            <color theme="1"/>
            <rFont val="Aptos Narrow"/>
            <family val="2"/>
            <scheme val="minor"/>
          </rPr>
          <t>was 26140
VNP150</t>
        </r>
      </text>
    </comment>
    <comment ref="F35" authorId="1" shapeId="0" xr:uid="{00000000-0006-0000-3900-00004C000000}">
      <text>
        <r>
          <rPr>
            <sz val="12"/>
            <color theme="1"/>
            <rFont val="Aptos Narrow"/>
            <family val="2"/>
            <scheme val="minor"/>
          </rPr>
          <t>chit trang:
25.990k</t>
        </r>
      </text>
    </comment>
  </commentList>
</comments>
</file>

<file path=xl/comments59.xml><?xml version="1.0" encoding="utf-8"?>
<comments xmlns="http://schemas.openxmlformats.org/spreadsheetml/2006/main" xmlns:mc="http://schemas.openxmlformats.org/markup-compatibility/2006" xmlns:xr="http://schemas.microsoft.com/office/spreadsheetml/2014/revision" mc:Ignorable="xr">
  <authors>
    <author>Microsoft Office User</author>
    <author>Việt Hoàng</author>
    <author>chit trang</author>
    <author>Duy</author>
    <author>Tran Dat</author>
    <author>Người dùng Khách</author>
  </authors>
  <commentList>
    <comment ref="E3" authorId="0" shapeId="0" xr:uid="{00000000-0006-0000-3A00-000001000000}">
      <text>
        <r>
          <rPr>
            <sz val="12"/>
            <color theme="1"/>
            <rFont val="Aptos Narrow"/>
            <family val="2"/>
            <scheme val="minor"/>
          </rPr>
          <t>Giờ vàng</t>
        </r>
      </text>
    </comment>
    <comment ref="B4" authorId="0" shapeId="0" xr:uid="{00000000-0006-0000-3A00-000002000000}">
      <text>
        <r>
          <rPr>
            <sz val="12"/>
            <color theme="1"/>
            <rFont val="Aptos Narrow"/>
            <family val="2"/>
            <scheme val="minor"/>
          </rPr>
          <t>was 24640000
VNP150</t>
        </r>
      </text>
    </comment>
    <comment ref="E4" authorId="0" shapeId="0" xr:uid="{00000000-0006-0000-3A00-000003000000}">
      <text>
        <r>
          <rPr>
            <sz val="12"/>
            <color theme="1"/>
            <rFont val="Aptos Narrow"/>
            <family val="2"/>
            <scheme val="minor"/>
          </rPr>
          <t>Giờ vàng</t>
        </r>
      </text>
    </comment>
    <comment ref="E5" authorId="0" shapeId="0" xr:uid="{00000000-0006-0000-3A00-000004000000}">
      <text>
        <r>
          <rPr>
            <sz val="12"/>
            <color theme="1"/>
            <rFont val="Aptos Narrow"/>
            <family val="2"/>
            <scheme val="minor"/>
          </rPr>
          <t xml:space="preserve">Giờ vàng
</t>
        </r>
      </text>
    </comment>
    <comment ref="B6" authorId="0" shapeId="0" xr:uid="{00000000-0006-0000-3A00-000005000000}">
      <text>
        <r>
          <rPr>
            <sz val="12"/>
            <color theme="1"/>
            <rFont val="Aptos Narrow"/>
            <family val="2"/>
            <scheme val="minor"/>
          </rPr>
          <t>Tặng phiếu mua hàng mua AirPods và Apple Watch trị giá 500,000đ
 Phiếu mua hàng mua sản phẩm giá niêm yết từ 5 triệu thuộc các nhóm TAI NGHE - LOA hãng HARMAN KARDON, JBL,MONSTER, KLIPSCH, MARSHALL, SONY; Smartwatch hãng HUAWEI, GARMIN, SAMSUNG, IMOO, OPPO, AMAZFIT trị giá 500.000đ</t>
        </r>
      </text>
    </comment>
    <comment ref="E6" authorId="0" shapeId="0" xr:uid="{00000000-0006-0000-3A00-000006000000}">
      <text>
        <r>
          <rPr>
            <sz val="12"/>
            <color theme="1"/>
            <rFont val="Aptos Narrow"/>
            <family val="2"/>
            <scheme val="minor"/>
          </rPr>
          <t xml:space="preserve">Giờ vàng
</t>
        </r>
      </text>
    </comment>
    <comment ref="D7" authorId="1" shapeId="0" xr:uid="{00000000-0006-0000-3A00-000007000000}">
      <text>
        <r>
          <rPr>
            <sz val="12"/>
            <color theme="1"/>
            <rFont val="Aptos Narrow"/>
            <family val="2"/>
            <scheme val="minor"/>
          </rPr>
          <t>Việt Hoàng:
15.790.000</t>
        </r>
      </text>
    </comment>
    <comment ref="F7" authorId="2" shapeId="0" xr:uid="{00000000-0006-0000-3A00-000008000000}">
      <text>
        <r>
          <rPr>
            <sz val="12"/>
            <color theme="1"/>
            <rFont val="Aptos Narrow"/>
            <family val="2"/>
            <scheme val="minor"/>
          </rPr>
          <t>chit trang:
15.650k</t>
        </r>
      </text>
    </comment>
    <comment ref="F8" authorId="2" shapeId="0" xr:uid="{00000000-0006-0000-3A00-000009000000}">
      <text>
        <r>
          <rPr>
            <sz val="12"/>
            <color theme="1"/>
            <rFont val="Aptos Narrow"/>
            <family val="2"/>
            <scheme val="minor"/>
          </rPr>
          <t>chit trang:
19.090k</t>
        </r>
      </text>
    </comment>
    <comment ref="B9" authorId="0" shapeId="0" xr:uid="{00000000-0006-0000-3A00-00000A000000}">
      <text>
        <r>
          <rPr>
            <sz val="12"/>
            <color theme="1"/>
            <rFont val="Aptos Narrow"/>
            <family val="2"/>
            <scheme val="minor"/>
          </rPr>
          <t>was 29140000
VNP150</t>
        </r>
      </text>
    </comment>
    <comment ref="B10" authorId="0" shapeId="0" xr:uid="{00000000-0006-0000-3A00-00000B000000}">
      <text>
        <r>
          <rPr>
            <sz val="12"/>
            <color theme="1"/>
            <rFont val="Aptos Narrow"/>
            <family val="2"/>
            <scheme val="minor"/>
          </rPr>
          <t>was 18440</t>
        </r>
      </text>
    </comment>
    <comment ref="C11" authorId="3" shapeId="0" xr:uid="{00000000-0006-0000-3A00-00000C000000}">
      <text>
        <r>
          <rPr>
            <sz val="12"/>
            <color theme="1"/>
            <rFont val="Aptos Narrow"/>
            <family val="2"/>
            <scheme val="minor"/>
          </rPr>
          <t>W9 12690</t>
        </r>
      </text>
    </comment>
    <comment ref="F11" authorId="2" shapeId="0" xr:uid="{00000000-0006-0000-3A00-00000D000000}">
      <text>
        <r>
          <rPr>
            <sz val="12"/>
            <color theme="1"/>
            <rFont val="Aptos Narrow"/>
            <family val="2"/>
            <scheme val="minor"/>
          </rPr>
          <t>chit trang:
12.490</t>
        </r>
      </text>
    </comment>
    <comment ref="B12" authorId="0" shapeId="0" xr:uid="{00000000-0006-0000-3A00-00000E000000}">
      <text>
        <r>
          <rPr>
            <sz val="12"/>
            <color theme="1"/>
            <rFont val="Aptos Narrow"/>
            <family val="2"/>
            <scheme val="minor"/>
          </rPr>
          <t>was 13190
VNP100</t>
        </r>
      </text>
    </comment>
    <comment ref="C12" authorId="3" shapeId="0" xr:uid="{00000000-0006-0000-3A00-00000F000000}">
      <text>
        <r>
          <rPr>
            <sz val="12"/>
            <color theme="1"/>
            <rFont val="Aptos Narrow"/>
            <family val="2"/>
            <scheme val="minor"/>
          </rPr>
          <t>W9 11690</t>
        </r>
      </text>
    </comment>
    <comment ref="E12" authorId="0" shapeId="0" xr:uid="{00000000-0006-0000-3A00-000010000000}">
      <text>
        <r>
          <rPr>
            <sz val="12"/>
            <color theme="1"/>
            <rFont val="Aptos Narrow"/>
            <family val="2"/>
            <scheme val="minor"/>
          </rPr>
          <t>Giờ vàng</t>
        </r>
      </text>
    </comment>
    <comment ref="C14" authorId="3" shapeId="0" xr:uid="{00000000-0006-0000-3A00-000011000000}">
      <text>
        <r>
          <rPr>
            <sz val="12"/>
            <color theme="1"/>
            <rFont val="Aptos Narrow"/>
            <family val="2"/>
            <scheme val="minor"/>
          </rPr>
          <t>W9 13790</t>
        </r>
      </text>
    </comment>
    <comment ref="B15" authorId="0" shapeId="0" xr:uid="{00000000-0006-0000-3A00-000012000000}">
      <text>
        <r>
          <rPr>
            <sz val="12"/>
            <color theme="1"/>
            <rFont val="Aptos Narrow"/>
            <family val="2"/>
            <scheme val="minor"/>
          </rPr>
          <t>was 7040
VNP40</t>
        </r>
      </text>
    </comment>
    <comment ref="C15" authorId="3" shapeId="0" xr:uid="{00000000-0006-0000-3A00-000013000000}">
      <text>
        <r>
          <rPr>
            <sz val="12"/>
            <color theme="1"/>
            <rFont val="Aptos Narrow"/>
            <family val="2"/>
            <scheme val="minor"/>
          </rPr>
          <t>W9 9990</t>
        </r>
      </text>
    </comment>
    <comment ref="D15" authorId="1" shapeId="0" xr:uid="{00000000-0006-0000-3A00-000014000000}">
      <text>
        <r>
          <rPr>
            <sz val="12"/>
            <color theme="1"/>
            <rFont val="Aptos Narrow"/>
            <family val="2"/>
            <scheme val="minor"/>
          </rPr>
          <t>Việt Hoàng:
9.890.000</t>
        </r>
      </text>
    </comment>
    <comment ref="E15" authorId="0" shapeId="0" xr:uid="{00000000-0006-0000-3A00-000015000000}">
      <text>
        <r>
          <rPr>
            <sz val="12"/>
            <color theme="1"/>
            <rFont val="Aptos Narrow"/>
            <family val="2"/>
            <scheme val="minor"/>
          </rPr>
          <t>was 9395
vnp1%</t>
        </r>
      </text>
    </comment>
    <comment ref="F15" authorId="2" shapeId="0" xr:uid="{00000000-0006-0000-3A00-000016000000}">
      <text>
        <r>
          <rPr>
            <sz val="12"/>
            <color theme="1"/>
            <rFont val="Aptos Narrow"/>
            <family val="2"/>
            <scheme val="minor"/>
          </rPr>
          <t>chit trang:
9.590k</t>
        </r>
      </text>
    </comment>
    <comment ref="G15" authorId="4" shapeId="0" xr:uid="{00000000-0006-0000-3A00-000017000000}">
      <text>
        <r>
          <rPr>
            <sz val="12"/>
            <color theme="1"/>
            <rFont val="Aptos Narrow"/>
            <family val="2"/>
            <scheme val="minor"/>
          </rPr>
          <t>Tran Dat:
9590</t>
        </r>
      </text>
    </comment>
    <comment ref="B16" authorId="0" shapeId="0" xr:uid="{00000000-0006-0000-3A00-000018000000}">
      <text>
        <r>
          <rPr>
            <sz val="12"/>
            <color theme="1"/>
            <rFont val="Aptos Narrow"/>
            <family val="2"/>
            <scheme val="minor"/>
          </rPr>
          <t>was 14390</t>
        </r>
      </text>
    </comment>
    <comment ref="D16" authorId="1" shapeId="0" xr:uid="{00000000-0006-0000-3A00-000019000000}">
      <text>
        <r>
          <rPr>
            <sz val="12"/>
            <color theme="1"/>
            <rFont val="Aptos Narrow"/>
            <family val="2"/>
            <scheme val="minor"/>
          </rPr>
          <t>Việt Hoàng:
16.590.000</t>
        </r>
      </text>
    </comment>
    <comment ref="E16" authorId="0" shapeId="0" xr:uid="{00000000-0006-0000-3A00-00001A000000}">
      <text>
        <r>
          <rPr>
            <sz val="12"/>
            <color theme="1"/>
            <rFont val="Aptos Narrow"/>
            <family val="2"/>
            <scheme val="minor"/>
          </rPr>
          <t>was 16325
vnp 1%</t>
        </r>
      </text>
    </comment>
    <comment ref="G16" authorId="4" shapeId="0" xr:uid="{00000000-0006-0000-3A00-00001B000000}">
      <text>
        <r>
          <rPr>
            <sz val="12"/>
            <color theme="1"/>
            <rFont val="Aptos Narrow"/>
            <family val="2"/>
            <scheme val="minor"/>
          </rPr>
          <t xml:space="preserve">Tran Dat:
16290
</t>
        </r>
      </text>
    </comment>
    <comment ref="C18" authorId="3" shapeId="0" xr:uid="{00000000-0006-0000-3A00-00001C000000}">
      <text>
        <r>
          <rPr>
            <sz val="12"/>
            <color theme="1"/>
            <rFont val="Aptos Narrow"/>
            <family val="2"/>
            <scheme val="minor"/>
          </rPr>
          <t>W9 27090</t>
        </r>
      </text>
    </comment>
    <comment ref="D18" authorId="1" shapeId="0" xr:uid="{00000000-0006-0000-3A00-00001D000000}">
      <text>
        <r>
          <rPr>
            <sz val="12"/>
            <color theme="1"/>
            <rFont val="Aptos Narrow"/>
            <family val="2"/>
            <scheme val="minor"/>
          </rPr>
          <t>Việt Hoàng:
26.990.000</t>
        </r>
      </text>
    </comment>
    <comment ref="G18" authorId="4" shapeId="0" xr:uid="{00000000-0006-0000-3A00-00001E000000}">
      <text>
        <r>
          <rPr>
            <sz val="12"/>
            <color theme="1"/>
            <rFont val="Aptos Narrow"/>
            <family val="2"/>
            <scheme val="minor"/>
          </rPr>
          <t>Tran Dat:
26.490</t>
        </r>
      </text>
    </comment>
    <comment ref="B19" authorId="0" shapeId="0" xr:uid="{00000000-0006-0000-3A00-00001F000000}">
      <text>
        <r>
          <rPr>
            <sz val="12"/>
            <color theme="1"/>
            <rFont val="Aptos Narrow"/>
            <family val="2"/>
            <scheme val="minor"/>
          </rPr>
          <t>was 36640</t>
        </r>
      </text>
    </comment>
    <comment ref="C19" authorId="3" shapeId="0" xr:uid="{00000000-0006-0000-3A00-000020000000}">
      <text>
        <r>
          <rPr>
            <sz val="12"/>
            <color theme="1"/>
            <rFont val="Aptos Narrow"/>
            <family val="2"/>
            <scheme val="minor"/>
          </rPr>
          <t>W9 36590</t>
        </r>
      </text>
    </comment>
    <comment ref="D19" authorId="1" shapeId="0" xr:uid="{00000000-0006-0000-3A00-000021000000}">
      <text>
        <r>
          <rPr>
            <sz val="12"/>
            <color theme="1"/>
            <rFont val="Aptos Narrow"/>
            <family val="2"/>
            <scheme val="minor"/>
          </rPr>
          <t>Việt Hoàng:
36.590.000</t>
        </r>
      </text>
    </comment>
    <comment ref="C20" authorId="3" shapeId="0" xr:uid="{00000000-0006-0000-3A00-000022000000}">
      <text>
        <r>
          <rPr>
            <sz val="12"/>
            <color theme="1"/>
            <rFont val="Aptos Narrow"/>
            <family val="2"/>
            <scheme val="minor"/>
          </rPr>
          <t>W9 5990</t>
        </r>
      </text>
    </comment>
    <comment ref="D20" authorId="1" shapeId="0" xr:uid="{00000000-0006-0000-3A00-000023000000}">
      <text>
        <r>
          <rPr>
            <sz val="12"/>
            <color theme="1"/>
            <rFont val="Aptos Narrow"/>
            <family val="2"/>
            <scheme val="minor"/>
          </rPr>
          <t>Việt Hoàng:
5.790.000</t>
        </r>
      </text>
    </comment>
    <comment ref="E20" authorId="5" shapeId="0" xr:uid="{00000000-0006-0000-3A00-000024000000}">
      <text>
        <r>
          <rPr>
            <sz val="12"/>
            <color theme="1"/>
            <rFont val="Aptos Narrow"/>
            <family val="2"/>
            <scheme val="minor"/>
          </rPr>
          <t>was 5732
vnp1%</t>
        </r>
      </text>
    </comment>
    <comment ref="F20" authorId="2" shapeId="0" xr:uid="{00000000-0006-0000-3A00-000025000000}">
      <text>
        <r>
          <rPr>
            <sz val="12"/>
            <color theme="1"/>
            <rFont val="Aptos Narrow"/>
            <family val="2"/>
            <scheme val="minor"/>
          </rPr>
          <t>chit trang:
5.790k</t>
        </r>
      </text>
    </comment>
    <comment ref="E21" authorId="5" shapeId="0" xr:uid="{00000000-0006-0000-3A00-000026000000}">
      <text>
        <r>
          <rPr>
            <sz val="12"/>
            <color theme="1"/>
            <rFont val="Aptos Narrow"/>
            <family val="2"/>
            <scheme val="minor"/>
          </rPr>
          <t>was 5490
vnp1%</t>
        </r>
      </text>
    </comment>
    <comment ref="C22" authorId="3" shapeId="0" xr:uid="{00000000-0006-0000-3A00-000027000000}">
      <text>
        <r>
          <rPr>
            <sz val="12"/>
            <color theme="1"/>
            <rFont val="Aptos Narrow"/>
            <family val="2"/>
            <scheme val="minor"/>
          </rPr>
          <t>W9 6590</t>
        </r>
      </text>
    </comment>
    <comment ref="D22" authorId="1" shapeId="0" xr:uid="{00000000-0006-0000-3A00-000028000000}">
      <text>
        <r>
          <rPr>
            <sz val="12"/>
            <color theme="1"/>
            <rFont val="Aptos Narrow"/>
            <family val="2"/>
            <scheme val="minor"/>
          </rPr>
          <t>Việt Hoàng:
6.590.000</t>
        </r>
      </text>
    </comment>
    <comment ref="E22" authorId="0" shapeId="0" xr:uid="{00000000-0006-0000-3A00-000029000000}">
      <text>
        <r>
          <rPr>
            <sz val="12"/>
            <color theme="1"/>
            <rFont val="Aptos Narrow"/>
            <family val="2"/>
            <scheme val="minor"/>
          </rPr>
          <t>was 6495
vnp1%</t>
        </r>
      </text>
    </comment>
    <comment ref="E23" authorId="5" shapeId="0" xr:uid="{00000000-0006-0000-3A00-00002A000000}">
      <text>
        <r>
          <rPr>
            <sz val="12"/>
            <color theme="1"/>
            <rFont val="Aptos Narrow"/>
            <family val="2"/>
            <scheme val="minor"/>
          </rPr>
          <t>was 7712
vnp1%</t>
        </r>
      </text>
    </comment>
    <comment ref="C24" authorId="3" shapeId="0" xr:uid="{00000000-0006-0000-3A00-00002B000000}">
      <text>
        <r>
          <rPr>
            <sz val="12"/>
            <color theme="1"/>
            <rFont val="Aptos Narrow"/>
            <family val="2"/>
            <scheme val="minor"/>
          </rPr>
          <t>W9 10790</t>
        </r>
      </text>
    </comment>
    <comment ref="D24" authorId="1" shapeId="0" xr:uid="{00000000-0006-0000-3A00-00002C000000}">
      <text>
        <r>
          <rPr>
            <sz val="12"/>
            <color theme="1"/>
            <rFont val="Aptos Narrow"/>
            <family val="2"/>
            <scheme val="minor"/>
          </rPr>
          <t>Việt Hoàng:
10.690.000</t>
        </r>
      </text>
    </comment>
    <comment ref="E24" authorId="5" shapeId="0" xr:uid="{00000000-0006-0000-3A00-00002D000000}">
      <text>
        <r>
          <rPr>
            <sz val="12"/>
            <color theme="1"/>
            <rFont val="Aptos Narrow"/>
            <family val="2"/>
            <scheme val="minor"/>
          </rPr>
          <t>was 10187
vnp1%</t>
        </r>
      </text>
    </comment>
    <comment ref="F24" authorId="2" shapeId="0" xr:uid="{00000000-0006-0000-3A00-00002E000000}">
      <text>
        <r>
          <rPr>
            <sz val="12"/>
            <color theme="1"/>
            <rFont val="Aptos Narrow"/>
            <family val="2"/>
            <scheme val="minor"/>
          </rPr>
          <t>chit trang:
10.390k</t>
        </r>
      </text>
    </comment>
    <comment ref="C25" authorId="3" shapeId="0" xr:uid="{00000000-0006-0000-3A00-00002F000000}">
      <text>
        <r>
          <rPr>
            <sz val="12"/>
            <color theme="1"/>
            <rFont val="Aptos Narrow"/>
            <family val="2"/>
            <scheme val="minor"/>
          </rPr>
          <t>W9 13390</t>
        </r>
      </text>
    </comment>
    <comment ref="E25" authorId="5" shapeId="0" xr:uid="{00000000-0006-0000-3A00-000030000000}">
      <text>
        <r>
          <rPr>
            <sz val="12"/>
            <color theme="1"/>
            <rFont val="Aptos Narrow"/>
            <family val="2"/>
            <scheme val="minor"/>
          </rPr>
          <t>was 12860
vnp1%</t>
        </r>
      </text>
    </comment>
    <comment ref="F25" authorId="2" shapeId="0" xr:uid="{00000000-0006-0000-3A00-000031000000}">
      <text>
        <r>
          <rPr>
            <sz val="12"/>
            <color theme="1"/>
            <rFont val="Aptos Narrow"/>
            <family val="2"/>
            <scheme val="minor"/>
          </rPr>
          <t>chit trang:
12.990k</t>
        </r>
      </text>
    </comment>
    <comment ref="C26" authorId="3" shapeId="0" xr:uid="{00000000-0006-0000-3A00-000032000000}">
      <text>
        <r>
          <rPr>
            <sz val="12"/>
            <color theme="1"/>
            <rFont val="Aptos Narrow"/>
            <family val="2"/>
            <scheme val="minor"/>
          </rPr>
          <t>W9 11590</t>
        </r>
      </text>
    </comment>
    <comment ref="D26" authorId="1" shapeId="0" xr:uid="{00000000-0006-0000-3A00-000033000000}">
      <text>
        <r>
          <rPr>
            <sz val="12"/>
            <color theme="1"/>
            <rFont val="Aptos Narrow"/>
            <family val="2"/>
            <scheme val="minor"/>
          </rPr>
          <t>Việt Hoàng:
11.490.000</t>
        </r>
      </text>
    </comment>
    <comment ref="E26" authorId="5" shapeId="0" xr:uid="{00000000-0006-0000-3A00-000034000000}">
      <text>
        <r>
          <rPr>
            <sz val="12"/>
            <color theme="1"/>
            <rFont val="Aptos Narrow"/>
            <family val="2"/>
            <scheme val="minor"/>
          </rPr>
          <t>was 10880
vnp1%</t>
        </r>
      </text>
    </comment>
    <comment ref="F26" authorId="2" shapeId="0" xr:uid="{00000000-0006-0000-3A00-000035000000}">
      <text>
        <r>
          <rPr>
            <sz val="12"/>
            <color theme="1"/>
            <rFont val="Aptos Narrow"/>
            <family val="2"/>
            <scheme val="minor"/>
          </rPr>
          <t>chit trang11.590k</t>
        </r>
      </text>
    </comment>
    <comment ref="G26" authorId="4" shapeId="0" xr:uid="{00000000-0006-0000-3A00-000036000000}">
      <text>
        <r>
          <rPr>
            <sz val="12"/>
            <color theme="1"/>
            <rFont val="Aptos Narrow"/>
            <family val="2"/>
            <scheme val="minor"/>
          </rPr>
          <t>9390</t>
        </r>
      </text>
    </comment>
    <comment ref="B27" authorId="0" shapeId="0" xr:uid="{00000000-0006-0000-3A00-000037000000}">
      <text>
        <r>
          <rPr>
            <sz val="12"/>
            <color theme="1"/>
            <rFont val="Aptos Narrow"/>
            <family val="2"/>
            <scheme val="minor"/>
          </rPr>
          <t>was 13320
VNP100</t>
        </r>
      </text>
    </comment>
    <comment ref="E27" authorId="5" shapeId="0" xr:uid="{00000000-0006-0000-3A00-000038000000}">
      <text>
        <r>
          <rPr>
            <sz val="12"/>
            <color theme="1"/>
            <rFont val="Aptos Narrow"/>
            <family val="2"/>
            <scheme val="minor"/>
          </rPr>
          <t>was 13553
vnp1%</t>
        </r>
      </text>
    </comment>
    <comment ref="B29" authorId="0" shapeId="0" xr:uid="{00000000-0006-0000-3A00-000039000000}">
      <text>
        <r>
          <rPr>
            <sz val="12"/>
            <color theme="1"/>
            <rFont val="Aptos Narrow"/>
            <family val="2"/>
            <scheme val="minor"/>
          </rPr>
          <t>was 5550
VNP40</t>
        </r>
      </text>
    </comment>
    <comment ref="C29" authorId="3" shapeId="0" xr:uid="{00000000-0006-0000-3A00-00003A000000}">
      <text>
        <r>
          <rPr>
            <sz val="12"/>
            <color theme="1"/>
            <rFont val="Aptos Narrow"/>
            <family val="2"/>
            <scheme val="minor"/>
          </rPr>
          <t>W9 5690</t>
        </r>
      </text>
    </comment>
    <comment ref="D29" authorId="1" shapeId="0" xr:uid="{00000000-0006-0000-3A00-00003B000000}">
      <text>
        <r>
          <rPr>
            <sz val="12"/>
            <color theme="1"/>
            <rFont val="Aptos Narrow"/>
            <family val="2"/>
            <scheme val="minor"/>
          </rPr>
          <t>Việt Hoàng:
5.590.000</t>
        </r>
      </text>
    </comment>
    <comment ref="E29" authorId="0" shapeId="0" xr:uid="{00000000-0006-0000-3A00-00003C000000}">
      <text>
        <r>
          <rPr>
            <sz val="12"/>
            <color theme="1"/>
            <rFont val="Aptos Narrow"/>
            <family val="2"/>
            <scheme val="minor"/>
          </rPr>
          <t>was 5633
vnp1%</t>
        </r>
      </text>
    </comment>
    <comment ref="F29" authorId="2" shapeId="0" xr:uid="{00000000-0006-0000-3A00-00003D000000}">
      <text>
        <r>
          <rPr>
            <sz val="12"/>
            <color theme="1"/>
            <rFont val="Aptos Narrow"/>
            <family val="2"/>
            <scheme val="minor"/>
          </rPr>
          <t>chit trang:
5.690k</t>
        </r>
      </text>
    </comment>
    <comment ref="G29" authorId="4" shapeId="0" xr:uid="{00000000-0006-0000-3A00-00003E000000}">
      <text>
        <r>
          <rPr>
            <sz val="12"/>
            <color theme="1"/>
            <rFont val="Aptos Narrow"/>
            <family val="2"/>
            <scheme val="minor"/>
          </rPr>
          <t>Tran Dat:
5590</t>
        </r>
      </text>
    </comment>
    <comment ref="B30" authorId="0" shapeId="0" xr:uid="{00000000-0006-0000-3A00-00003F000000}">
      <text>
        <r>
          <rPr>
            <sz val="12"/>
            <color theme="1"/>
            <rFont val="Aptos Narrow"/>
            <family val="2"/>
            <scheme val="minor"/>
          </rPr>
          <t xml:space="preserve">was 4490
</t>
        </r>
      </text>
    </comment>
    <comment ref="C30" authorId="3" shapeId="0" xr:uid="{00000000-0006-0000-3A00-000040000000}">
      <text>
        <r>
          <rPr>
            <sz val="12"/>
            <color theme="1"/>
            <rFont val="Aptos Narrow"/>
            <family val="2"/>
            <scheme val="minor"/>
          </rPr>
          <t>W9 4690</t>
        </r>
      </text>
    </comment>
    <comment ref="D30" authorId="1" shapeId="0" xr:uid="{00000000-0006-0000-3A00-000041000000}">
      <text>
        <r>
          <rPr>
            <sz val="12"/>
            <color theme="1"/>
            <rFont val="Aptos Narrow"/>
            <family val="2"/>
            <scheme val="minor"/>
          </rPr>
          <t>Việt Hoàng:
4.490.000</t>
        </r>
      </text>
    </comment>
    <comment ref="E30" authorId="0" shapeId="0" xr:uid="{00000000-0006-0000-3A00-000042000000}">
      <text>
        <r>
          <rPr>
            <sz val="12"/>
            <color theme="1"/>
            <rFont val="Aptos Narrow"/>
            <family val="2"/>
            <scheme val="minor"/>
          </rPr>
          <t xml:space="preserve">was 4445
vnp1%
</t>
        </r>
      </text>
    </comment>
    <comment ref="F30" authorId="2" shapeId="0" xr:uid="{00000000-0006-0000-3A00-000043000000}">
      <text>
        <r>
          <rPr>
            <sz val="12"/>
            <color theme="1"/>
            <rFont val="Aptos Narrow"/>
            <family val="2"/>
            <scheme val="minor"/>
          </rPr>
          <t>chit trang:
4.590</t>
        </r>
      </text>
    </comment>
    <comment ref="G30" authorId="4" shapeId="0" xr:uid="{00000000-0006-0000-3A00-000044000000}">
      <text>
        <r>
          <rPr>
            <sz val="12"/>
            <color theme="1"/>
            <rFont val="Aptos Narrow"/>
            <family val="2"/>
            <scheme val="minor"/>
          </rPr>
          <t>Tran Dat:
4590</t>
        </r>
      </text>
    </comment>
    <comment ref="B31" authorId="0" shapeId="0" xr:uid="{00000000-0006-0000-3A00-000045000000}">
      <text>
        <r>
          <rPr>
            <sz val="12"/>
            <color theme="1"/>
            <rFont val="Aptos Narrow"/>
            <family val="2"/>
            <scheme val="minor"/>
          </rPr>
          <t>was 3190</t>
        </r>
      </text>
    </comment>
    <comment ref="C31" authorId="3" shapeId="0" xr:uid="{00000000-0006-0000-3A00-000046000000}">
      <text>
        <r>
          <rPr>
            <sz val="12"/>
            <color theme="1"/>
            <rFont val="Aptos Narrow"/>
            <family val="2"/>
            <scheme val="minor"/>
          </rPr>
          <t>W9 3390</t>
        </r>
      </text>
    </comment>
    <comment ref="D31" authorId="1" shapeId="0" xr:uid="{00000000-0006-0000-3A00-000047000000}">
      <text>
        <r>
          <rPr>
            <sz val="12"/>
            <color theme="1"/>
            <rFont val="Aptos Narrow"/>
            <family val="2"/>
            <scheme val="minor"/>
          </rPr>
          <t>Việt Hoàng:
3.190.000</t>
        </r>
      </text>
    </comment>
    <comment ref="E31" authorId="0" shapeId="0" xr:uid="{00000000-0006-0000-3A00-000048000000}">
      <text>
        <r>
          <rPr>
            <sz val="12"/>
            <color theme="1"/>
            <rFont val="Aptos Narrow"/>
            <family val="2"/>
            <scheme val="minor"/>
          </rPr>
          <t>was 3190</t>
        </r>
      </text>
    </comment>
    <comment ref="F31" authorId="2" shapeId="0" xr:uid="{00000000-0006-0000-3A00-000049000000}">
      <text>
        <r>
          <rPr>
            <sz val="12"/>
            <color theme="1"/>
            <rFont val="Aptos Narrow"/>
            <family val="2"/>
            <scheme val="minor"/>
          </rPr>
          <t>chit trang:
3.290</t>
        </r>
      </text>
    </comment>
    <comment ref="G31" authorId="4" shapeId="0" xr:uid="{00000000-0006-0000-3A00-00004A000000}">
      <text>
        <r>
          <rPr>
            <sz val="12"/>
            <color theme="1"/>
            <rFont val="Aptos Narrow"/>
            <family val="2"/>
            <scheme val="minor"/>
          </rPr>
          <t>Tran Dat:
3290</t>
        </r>
      </text>
    </comment>
    <comment ref="B32" authorId="0" shapeId="0" xr:uid="{00000000-0006-0000-3A00-00004B000000}">
      <text>
        <r>
          <rPr>
            <sz val="12"/>
            <color theme="1"/>
            <rFont val="Aptos Narrow"/>
            <family val="2"/>
            <scheme val="minor"/>
          </rPr>
          <t>was 18090
VNP100</t>
        </r>
      </text>
    </comment>
    <comment ref="G32" authorId="4" shapeId="0" xr:uid="{00000000-0006-0000-3A00-00004C000000}">
      <text>
        <r>
          <rPr>
            <sz val="12"/>
            <color theme="1"/>
            <rFont val="Aptos Narrow"/>
            <family val="2"/>
            <scheme val="minor"/>
          </rPr>
          <t>Tran Dat:
16490</t>
        </r>
      </text>
    </comment>
    <comment ref="B34" authorId="0" shapeId="0" xr:uid="{00000000-0006-0000-3A00-00004D000000}">
      <text>
        <r>
          <rPr>
            <sz val="12"/>
            <color theme="1"/>
            <rFont val="Aptos Narrow"/>
            <family val="2"/>
            <scheme val="minor"/>
          </rPr>
          <t>was 26140
VNP150</t>
        </r>
      </text>
    </comment>
    <comment ref="D35" authorId="1" shapeId="0" xr:uid="{00000000-0006-0000-3A00-00004E000000}">
      <text>
        <r>
          <rPr>
            <sz val="12"/>
            <color theme="1"/>
            <rFont val="Aptos Narrow"/>
            <family val="2"/>
            <scheme val="minor"/>
          </rPr>
          <t>Việt Hoàng:
26.690.000</t>
        </r>
      </text>
    </comment>
    <comment ref="F35" authorId="2" shapeId="0" xr:uid="{00000000-0006-0000-3A00-00004F000000}">
      <text>
        <r>
          <rPr>
            <sz val="12"/>
            <color theme="1"/>
            <rFont val="Aptos Narrow"/>
            <family val="2"/>
            <scheme val="minor"/>
          </rPr>
          <t>chit trang:
26.490k</t>
        </r>
      </text>
    </comment>
  </commentList>
</comments>
</file>

<file path=xl/comments60.xml><?xml version="1.0" encoding="utf-8"?>
<comments xmlns="http://schemas.openxmlformats.org/spreadsheetml/2006/main" xmlns:mc="http://schemas.openxmlformats.org/markup-compatibility/2006" xmlns:xr="http://schemas.microsoft.com/office/spreadsheetml/2014/revision" mc:Ignorable="xr">
  <authors>
    <author>Microsoft Office User</author>
    <author>Việt Hoàng</author>
    <author>Người dùng Khách</author>
    <author>chit trang</author>
    <author>Tran Dat</author>
  </authors>
  <commentList>
    <comment ref="E2" authorId="0" shapeId="0" xr:uid="{00000000-0006-0000-3B00-000001000000}">
      <text>
        <r>
          <rPr>
            <sz val="12"/>
            <color theme="1"/>
            <rFont val="Aptos Narrow"/>
            <family val="2"/>
            <scheme val="minor"/>
          </rPr>
          <t>giờ vàng</t>
        </r>
      </text>
    </comment>
    <comment ref="D3" authorId="1" shapeId="0" xr:uid="{00000000-0006-0000-3B00-000002000000}">
      <text>
        <r>
          <rPr>
            <sz val="12"/>
            <color theme="1"/>
            <rFont val="Aptos Narrow"/>
            <family val="2"/>
            <scheme val="minor"/>
          </rPr>
          <t>Việt Hoàng:
18.990.000</t>
        </r>
      </text>
    </comment>
    <comment ref="E3" authorId="0" shapeId="0" xr:uid="{00000000-0006-0000-3B00-000003000000}">
      <text>
        <r>
          <rPr>
            <sz val="12"/>
            <color theme="1"/>
            <rFont val="Aptos Narrow"/>
            <family val="2"/>
            <scheme val="minor"/>
          </rPr>
          <t>Giờ vàng</t>
        </r>
      </text>
    </comment>
    <comment ref="B4" authorId="0" shapeId="0" xr:uid="{00000000-0006-0000-3B00-000004000000}">
      <text>
        <r>
          <rPr>
            <sz val="12"/>
            <color theme="1"/>
            <rFont val="Aptos Narrow"/>
            <family val="2"/>
            <scheme val="minor"/>
          </rPr>
          <t>was 24640000
VNP150</t>
        </r>
      </text>
    </comment>
    <comment ref="C4" authorId="2" shapeId="0" xr:uid="{00000000-0006-0000-3B00-000005000000}">
      <text>
        <r>
          <rPr>
            <sz val="12"/>
            <color theme="1"/>
            <rFont val="Aptos Narrow"/>
            <family val="2"/>
            <scheme val="minor"/>
          </rPr>
          <t>W10 22190</t>
        </r>
      </text>
    </comment>
    <comment ref="D4" authorId="1" shapeId="0" xr:uid="{00000000-0006-0000-3B00-000006000000}">
      <text>
        <r>
          <rPr>
            <sz val="12"/>
            <color theme="1"/>
            <rFont val="Aptos Narrow"/>
            <family val="2"/>
            <scheme val="minor"/>
          </rPr>
          <t>Việt Hoàng:
22.090.000</t>
        </r>
      </text>
    </comment>
    <comment ref="E4" authorId="0" shapeId="0" xr:uid="{00000000-0006-0000-3B00-000007000000}">
      <text>
        <r>
          <rPr>
            <sz val="12"/>
            <color theme="1"/>
            <rFont val="Aptos Narrow"/>
            <family val="2"/>
            <scheme val="minor"/>
          </rPr>
          <t>Giờ vàng</t>
        </r>
      </text>
    </comment>
    <comment ref="F4" authorId="3" shapeId="0" xr:uid="{00000000-0006-0000-3B00-000008000000}">
      <text>
        <r>
          <rPr>
            <sz val="12"/>
            <color theme="1"/>
            <rFont val="Aptos Narrow"/>
            <family val="2"/>
            <scheme val="minor"/>
          </rPr>
          <t>chit trang:
22.190</t>
        </r>
      </text>
    </comment>
    <comment ref="E5" authorId="0" shapeId="0" xr:uid="{00000000-0006-0000-3B00-000009000000}">
      <text>
        <r>
          <rPr>
            <sz val="12"/>
            <color theme="1"/>
            <rFont val="Aptos Narrow"/>
            <family val="2"/>
            <scheme val="minor"/>
          </rPr>
          <t xml:space="preserve">Giờ vàng
</t>
        </r>
      </text>
    </comment>
    <comment ref="B6" authorId="0" shapeId="0" xr:uid="{00000000-0006-0000-3B00-00000A000000}">
      <text>
        <r>
          <rPr>
            <sz val="12"/>
            <color theme="1"/>
            <rFont val="Aptos Narrow"/>
            <family val="2"/>
            <scheme val="minor"/>
          </rPr>
          <t>Tặng phiếu mua hàng mua AirPods và Apple Watch trị giá 500,000đ
 Phiếu mua hàng mua sản phẩm giá niêm yết từ 5 triệu thuộc các nhóm TAI NGHE - LOA hãng HARMAN KARDON, JBL,MONSTER, KLIPSCH, MARSHALL, SONY; Smartwatch hãng HUAWEI, GARMIN, SAMSUNG, IMOO, OPPO, AMAZFIT trị giá 500.000đ</t>
        </r>
      </text>
    </comment>
    <comment ref="E6" authorId="0" shapeId="0" xr:uid="{00000000-0006-0000-3B00-00000B000000}">
      <text>
        <r>
          <rPr>
            <sz val="12"/>
            <color theme="1"/>
            <rFont val="Aptos Narrow"/>
            <family val="2"/>
            <scheme val="minor"/>
          </rPr>
          <t xml:space="preserve">Giờ vàng
</t>
        </r>
      </text>
    </comment>
    <comment ref="D7" authorId="1" shapeId="0" xr:uid="{00000000-0006-0000-3B00-00000C000000}">
      <text>
        <r>
          <rPr>
            <sz val="12"/>
            <color theme="1"/>
            <rFont val="Aptos Narrow"/>
            <family val="2"/>
            <scheme val="minor"/>
          </rPr>
          <t>Việt Hoàng:
15.590.000</t>
        </r>
      </text>
    </comment>
    <comment ref="G7" authorId="4" shapeId="0" xr:uid="{00000000-0006-0000-3B00-00000D000000}">
      <text>
        <r>
          <rPr>
            <sz val="12"/>
            <color theme="1"/>
            <rFont val="Aptos Narrow"/>
            <family val="2"/>
            <scheme val="minor"/>
          </rPr>
          <t>Tran Dat:
15390</t>
        </r>
      </text>
    </comment>
    <comment ref="F8" authorId="3" shapeId="0" xr:uid="{00000000-0006-0000-3B00-00000E000000}">
      <text>
        <r>
          <rPr>
            <sz val="12"/>
            <color theme="1"/>
            <rFont val="Aptos Narrow"/>
            <family val="2"/>
            <scheme val="minor"/>
          </rPr>
          <t>chit trang:
19.290k</t>
        </r>
      </text>
    </comment>
    <comment ref="G8" authorId="4" shapeId="0" xr:uid="{00000000-0006-0000-3B00-00000F000000}">
      <text>
        <r>
          <rPr>
            <sz val="12"/>
            <color theme="1"/>
            <rFont val="Aptos Narrow"/>
            <family val="2"/>
            <scheme val="minor"/>
          </rPr>
          <t xml:space="preserve">Tran Dat:
18.990
</t>
        </r>
      </text>
    </comment>
    <comment ref="B9" authorId="0" shapeId="0" xr:uid="{00000000-0006-0000-3B00-000010000000}">
      <text>
        <r>
          <rPr>
            <sz val="12"/>
            <color theme="1"/>
            <rFont val="Aptos Narrow"/>
            <family val="2"/>
            <scheme val="minor"/>
          </rPr>
          <t>was 29140000
VNP150</t>
        </r>
      </text>
    </comment>
    <comment ref="B10" authorId="0" shapeId="0" xr:uid="{00000000-0006-0000-3B00-000011000000}">
      <text>
        <r>
          <rPr>
            <sz val="12"/>
            <color theme="1"/>
            <rFont val="Aptos Narrow"/>
            <family val="2"/>
            <scheme val="minor"/>
          </rPr>
          <t>was 18440</t>
        </r>
      </text>
    </comment>
    <comment ref="G10" authorId="4" shapeId="0" xr:uid="{00000000-0006-0000-3B00-000012000000}">
      <text>
        <r>
          <rPr>
            <sz val="12"/>
            <color theme="1"/>
            <rFont val="Aptos Narrow"/>
            <family val="2"/>
            <scheme val="minor"/>
          </rPr>
          <t xml:space="preserve">Tran Dat:
17.490
</t>
        </r>
      </text>
    </comment>
    <comment ref="F11" authorId="3" shapeId="0" xr:uid="{00000000-0006-0000-3B00-000013000000}">
      <text>
        <r>
          <rPr>
            <sz val="12"/>
            <color theme="1"/>
            <rFont val="Aptos Narrow"/>
            <family val="2"/>
            <scheme val="minor"/>
          </rPr>
          <t>chit trang:
12.590</t>
        </r>
      </text>
    </comment>
    <comment ref="G11" authorId="4" shapeId="0" xr:uid="{00000000-0006-0000-3B00-000014000000}">
      <text>
        <r>
          <rPr>
            <sz val="12"/>
            <color theme="1"/>
            <rFont val="Aptos Narrow"/>
            <family val="2"/>
            <scheme val="minor"/>
          </rPr>
          <t>Tran Dat:
12490</t>
        </r>
      </text>
    </comment>
    <comment ref="B12" authorId="0" shapeId="0" xr:uid="{00000000-0006-0000-3B00-000015000000}">
      <text>
        <r>
          <rPr>
            <sz val="12"/>
            <color theme="1"/>
            <rFont val="Aptos Narrow"/>
            <family val="2"/>
            <scheme val="minor"/>
          </rPr>
          <t>was 13190
VNP100</t>
        </r>
      </text>
    </comment>
    <comment ref="E12" authorId="0" shapeId="0" xr:uid="{00000000-0006-0000-3B00-000016000000}">
      <text>
        <r>
          <rPr>
            <sz val="12"/>
            <color theme="1"/>
            <rFont val="Aptos Narrow"/>
            <family val="2"/>
            <scheme val="minor"/>
          </rPr>
          <t>Giờ vàng</t>
        </r>
      </text>
    </comment>
    <comment ref="B15" authorId="0" shapeId="0" xr:uid="{00000000-0006-0000-3B00-000017000000}">
      <text>
        <r>
          <rPr>
            <sz val="12"/>
            <color theme="1"/>
            <rFont val="Aptos Narrow"/>
            <family val="2"/>
            <scheme val="minor"/>
          </rPr>
          <t>was 7040
VNP40</t>
        </r>
      </text>
    </comment>
    <comment ref="B16" authorId="0" shapeId="0" xr:uid="{00000000-0006-0000-3B00-000018000000}">
      <text>
        <r>
          <rPr>
            <sz val="12"/>
            <color theme="1"/>
            <rFont val="Aptos Narrow"/>
            <family val="2"/>
            <scheme val="minor"/>
          </rPr>
          <t>was 14390</t>
        </r>
      </text>
    </comment>
    <comment ref="F16" authorId="3" shapeId="0" xr:uid="{00000000-0006-0000-3B00-000019000000}">
      <text>
        <r>
          <rPr>
            <sz val="12"/>
            <color theme="1"/>
            <rFont val="Aptos Narrow"/>
            <family val="2"/>
            <scheme val="minor"/>
          </rPr>
          <t>chit trang:
16.290k</t>
        </r>
      </text>
    </comment>
    <comment ref="F18" authorId="3" shapeId="0" xr:uid="{00000000-0006-0000-3B00-00001A000000}">
      <text>
        <r>
          <rPr>
            <sz val="12"/>
            <color theme="1"/>
            <rFont val="Aptos Narrow"/>
            <family val="2"/>
            <scheme val="minor"/>
          </rPr>
          <t>chit trang:
26.890k</t>
        </r>
      </text>
    </comment>
    <comment ref="B19" authorId="0" shapeId="0" xr:uid="{00000000-0006-0000-3B00-00001B000000}">
      <text>
        <r>
          <rPr>
            <sz val="12"/>
            <color theme="1"/>
            <rFont val="Aptos Narrow"/>
            <family val="2"/>
            <scheme val="minor"/>
          </rPr>
          <t>was 36640</t>
        </r>
      </text>
    </comment>
    <comment ref="D21" authorId="1" shapeId="0" xr:uid="{00000000-0006-0000-3B00-00001C000000}">
      <text>
        <r>
          <rPr>
            <sz val="12"/>
            <color theme="1"/>
            <rFont val="Aptos Narrow"/>
            <family val="2"/>
            <scheme val="minor"/>
          </rPr>
          <t>Việt Hoàng:
7.090.000</t>
        </r>
      </text>
    </comment>
    <comment ref="G21" authorId="4" shapeId="0" xr:uid="{00000000-0006-0000-3B00-00001D000000}">
      <text>
        <r>
          <rPr>
            <sz val="12"/>
            <color theme="1"/>
            <rFont val="Aptos Narrow"/>
            <family val="2"/>
            <scheme val="minor"/>
          </rPr>
          <t>Tran Dat:
6590</t>
        </r>
      </text>
    </comment>
    <comment ref="F22" authorId="3" shapeId="0" xr:uid="{00000000-0006-0000-3B00-00001E000000}">
      <text>
        <r>
          <rPr>
            <sz val="12"/>
            <color theme="1"/>
            <rFont val="Aptos Narrow"/>
            <family val="2"/>
            <scheme val="minor"/>
          </rPr>
          <t>chit trang:
5.990k</t>
        </r>
      </text>
    </comment>
    <comment ref="G23" authorId="4" shapeId="0" xr:uid="{00000000-0006-0000-3B00-00001F000000}">
      <text>
        <r>
          <rPr>
            <sz val="12"/>
            <color theme="1"/>
            <rFont val="Aptos Narrow"/>
            <family val="2"/>
            <scheme val="minor"/>
          </rPr>
          <t>Tran Dat:
7690</t>
        </r>
      </text>
    </comment>
    <comment ref="D26" authorId="1" shapeId="0" xr:uid="{00000000-0006-0000-3B00-000020000000}">
      <text>
        <r>
          <rPr>
            <sz val="12"/>
            <color theme="1"/>
            <rFont val="Aptos Narrow"/>
            <family val="2"/>
            <scheme val="minor"/>
          </rPr>
          <t>Việt Hoàng:
9.490.000</t>
        </r>
      </text>
    </comment>
    <comment ref="G26" authorId="4" shapeId="0" xr:uid="{00000000-0006-0000-3B00-000021000000}">
      <text>
        <r>
          <rPr>
            <sz val="12"/>
            <color theme="1"/>
            <rFont val="Aptos Narrow"/>
            <family val="2"/>
            <scheme val="minor"/>
          </rPr>
          <t>9190</t>
        </r>
      </text>
    </comment>
    <comment ref="B27" authorId="0" shapeId="0" xr:uid="{00000000-0006-0000-3B00-000022000000}">
      <text>
        <r>
          <rPr>
            <sz val="12"/>
            <color theme="1"/>
            <rFont val="Aptos Narrow"/>
            <family val="2"/>
            <scheme val="minor"/>
          </rPr>
          <t>was 13320
VNP100</t>
        </r>
      </text>
    </comment>
    <comment ref="B29" authorId="0" shapeId="0" xr:uid="{00000000-0006-0000-3B00-000023000000}">
      <text>
        <r>
          <rPr>
            <sz val="12"/>
            <color theme="1"/>
            <rFont val="Aptos Narrow"/>
            <family val="2"/>
            <scheme val="minor"/>
          </rPr>
          <t>was 5550
VNP40</t>
        </r>
      </text>
    </comment>
    <comment ref="D29" authorId="1" shapeId="0" xr:uid="{00000000-0006-0000-3B00-000024000000}">
      <text>
        <r>
          <rPr>
            <sz val="12"/>
            <color theme="1"/>
            <rFont val="Aptos Narrow"/>
            <family val="2"/>
            <scheme val="minor"/>
          </rPr>
          <t>Việt Hoàng:
5.390.000</t>
        </r>
      </text>
    </comment>
    <comment ref="F29" authorId="3" shapeId="0" xr:uid="{00000000-0006-0000-3B00-000025000000}">
      <text>
        <r>
          <rPr>
            <sz val="12"/>
            <color theme="1"/>
            <rFont val="Aptos Narrow"/>
            <family val="2"/>
            <scheme val="minor"/>
          </rPr>
          <t>chit trang:
5.390k</t>
        </r>
      </text>
    </comment>
    <comment ref="G29" authorId="4" shapeId="0" xr:uid="{00000000-0006-0000-3B00-000026000000}">
      <text>
        <r>
          <rPr>
            <sz val="12"/>
            <color theme="1"/>
            <rFont val="Aptos Narrow"/>
            <family val="2"/>
            <scheme val="minor"/>
          </rPr>
          <t>Tran Dat:
5590</t>
        </r>
      </text>
    </comment>
    <comment ref="B30" authorId="0" shapeId="0" xr:uid="{00000000-0006-0000-3B00-000027000000}">
      <text>
        <r>
          <rPr>
            <sz val="12"/>
            <color theme="1"/>
            <rFont val="Aptos Narrow"/>
            <family val="2"/>
            <scheme val="minor"/>
          </rPr>
          <t xml:space="preserve">was 4490
</t>
        </r>
      </text>
    </comment>
    <comment ref="D30" authorId="1" shapeId="0" xr:uid="{00000000-0006-0000-3B00-000028000000}">
      <text>
        <r>
          <rPr>
            <sz val="12"/>
            <color theme="1"/>
            <rFont val="Aptos Narrow"/>
            <family val="2"/>
            <scheme val="minor"/>
          </rPr>
          <t>Việt Hoàng:
4.390.000</t>
        </r>
      </text>
    </comment>
    <comment ref="F30" authorId="3" shapeId="0" xr:uid="{00000000-0006-0000-3B00-000029000000}">
      <text>
        <r>
          <rPr>
            <sz val="12"/>
            <color theme="1"/>
            <rFont val="Aptos Narrow"/>
            <family val="2"/>
            <scheme val="minor"/>
          </rPr>
          <t>chit trang:
4.390</t>
        </r>
      </text>
    </comment>
    <comment ref="G30" authorId="4" shapeId="0" xr:uid="{00000000-0006-0000-3B00-00002A000000}">
      <text>
        <r>
          <rPr>
            <sz val="12"/>
            <color theme="1"/>
            <rFont val="Aptos Narrow"/>
            <family val="2"/>
            <scheme val="minor"/>
          </rPr>
          <t>Tran Dat:
4390</t>
        </r>
      </text>
    </comment>
    <comment ref="B31" authorId="0" shapeId="0" xr:uid="{00000000-0006-0000-3B00-00002B000000}">
      <text>
        <r>
          <rPr>
            <sz val="12"/>
            <color theme="1"/>
            <rFont val="Aptos Narrow"/>
            <family val="2"/>
            <scheme val="minor"/>
          </rPr>
          <t>was 3190</t>
        </r>
      </text>
    </comment>
    <comment ref="D31" authorId="1" shapeId="0" xr:uid="{00000000-0006-0000-3B00-00002C000000}">
      <text>
        <r>
          <rPr>
            <sz val="12"/>
            <color theme="1"/>
            <rFont val="Aptos Narrow"/>
            <family val="2"/>
            <scheme val="minor"/>
          </rPr>
          <t>Việt Hoàng:
3.090.000</t>
        </r>
      </text>
    </comment>
    <comment ref="E31" authorId="0" shapeId="0" xr:uid="{00000000-0006-0000-3B00-00002D000000}">
      <text>
        <r>
          <rPr>
            <sz val="12"/>
            <color theme="1"/>
            <rFont val="Aptos Narrow"/>
            <family val="2"/>
            <scheme val="minor"/>
          </rPr>
          <t>was 2990</t>
        </r>
      </text>
    </comment>
    <comment ref="F31" authorId="3" shapeId="0" xr:uid="{00000000-0006-0000-3B00-00002E000000}">
      <text>
        <r>
          <rPr>
            <sz val="12"/>
            <color theme="1"/>
            <rFont val="Aptos Narrow"/>
            <family val="2"/>
            <scheme val="minor"/>
          </rPr>
          <t>chit trang:
3.090</t>
        </r>
      </text>
    </comment>
    <comment ref="G31" authorId="4" shapeId="0" xr:uid="{00000000-0006-0000-3B00-00002F000000}">
      <text>
        <r>
          <rPr>
            <sz val="12"/>
            <color theme="1"/>
            <rFont val="Aptos Narrow"/>
            <family val="2"/>
            <scheme val="minor"/>
          </rPr>
          <t>Tran Dat:
3190</t>
        </r>
      </text>
    </comment>
    <comment ref="B32" authorId="0" shapeId="0" xr:uid="{00000000-0006-0000-3B00-000030000000}">
      <text>
        <r>
          <rPr>
            <sz val="12"/>
            <color theme="1"/>
            <rFont val="Aptos Narrow"/>
            <family val="2"/>
            <scheme val="minor"/>
          </rPr>
          <t>was 18090
VNP100</t>
        </r>
      </text>
    </comment>
    <comment ref="D33" authorId="1" shapeId="0" xr:uid="{00000000-0006-0000-3B00-000031000000}">
      <text>
        <r>
          <rPr>
            <sz val="12"/>
            <color theme="1"/>
            <rFont val="Aptos Narrow"/>
            <family val="2"/>
            <scheme val="minor"/>
          </rPr>
          <t>Việt Hoàng:
21.090.000</t>
        </r>
      </text>
    </comment>
    <comment ref="F33" authorId="3" shapeId="0" xr:uid="{00000000-0006-0000-3B00-000032000000}">
      <text>
        <r>
          <rPr>
            <sz val="12"/>
            <color theme="1"/>
            <rFont val="Aptos Narrow"/>
            <family val="2"/>
            <scheme val="minor"/>
          </rPr>
          <t>chit trang:
20.890</t>
        </r>
      </text>
    </comment>
    <comment ref="B34" authorId="0" shapeId="0" xr:uid="{00000000-0006-0000-3B00-000033000000}">
      <text>
        <r>
          <rPr>
            <sz val="12"/>
            <color theme="1"/>
            <rFont val="Aptos Narrow"/>
            <family val="2"/>
            <scheme val="minor"/>
          </rPr>
          <t>was 26140
VNP150</t>
        </r>
      </text>
    </comment>
    <comment ref="C34" authorId="2" shapeId="0" xr:uid="{00000000-0006-0000-3B00-000034000000}">
      <text>
        <r>
          <rPr>
            <sz val="12"/>
            <color theme="1"/>
            <rFont val="Aptos Narrow"/>
            <family val="2"/>
            <scheme val="minor"/>
          </rPr>
          <t>W10 24190</t>
        </r>
      </text>
    </comment>
    <comment ref="G37" authorId="4" shapeId="0" xr:uid="{00000000-0006-0000-3B00-000035000000}">
      <text>
        <r>
          <rPr>
            <sz val="12"/>
            <color theme="1"/>
            <rFont val="Aptos Narrow"/>
            <family val="2"/>
            <scheme val="minor"/>
          </rPr>
          <t>Tran Dat:
39390</t>
        </r>
      </text>
    </comment>
  </commentList>
</comments>
</file>

<file path=xl/comments61.xml><?xml version="1.0" encoding="utf-8"?>
<comments xmlns="http://schemas.openxmlformats.org/spreadsheetml/2006/main" xmlns:mc="http://schemas.openxmlformats.org/markup-compatibility/2006" xmlns:xr="http://schemas.microsoft.com/office/spreadsheetml/2014/revision" mc:Ignorable="xr">
  <authors>
    <author>Microsoft Office User</author>
    <author>Người dùng Khách</author>
    <author>chit trang</author>
    <author>Duy</author>
    <author>Tran Dat</author>
    <author>Việt Hoàng</author>
  </authors>
  <commentList>
    <comment ref="E2" authorId="0" shapeId="0" xr:uid="{00000000-0006-0000-3C00-000001000000}">
      <text>
        <r>
          <rPr>
            <sz val="12"/>
            <color theme="1"/>
            <rFont val="Aptos Narrow"/>
            <family val="2"/>
            <scheme val="minor"/>
          </rPr>
          <t>giờ vàng</t>
        </r>
      </text>
    </comment>
    <comment ref="C3" authorId="1" shapeId="0" xr:uid="{00000000-0006-0000-3C00-000002000000}">
      <text>
        <r>
          <rPr>
            <sz val="12"/>
            <color theme="1"/>
            <rFont val="Aptos Narrow"/>
            <family val="2"/>
            <scheme val="minor"/>
          </rPr>
          <t>W11 19090</t>
        </r>
      </text>
    </comment>
    <comment ref="E3" authorId="0" shapeId="0" xr:uid="{00000000-0006-0000-3C00-000003000000}">
      <text>
        <r>
          <rPr>
            <sz val="12"/>
            <color theme="1"/>
            <rFont val="Aptos Narrow"/>
            <family val="2"/>
            <scheme val="minor"/>
          </rPr>
          <t>Giờ vàng</t>
        </r>
      </text>
    </comment>
    <comment ref="F3" authorId="2" shapeId="0" xr:uid="{00000000-0006-0000-3C00-000004000000}">
      <text>
        <r>
          <rPr>
            <sz val="12"/>
            <color theme="1"/>
            <rFont val="Aptos Narrow"/>
            <family val="2"/>
            <scheme val="minor"/>
          </rPr>
          <t>chit trang:
18.890</t>
        </r>
      </text>
    </comment>
    <comment ref="B4" authorId="0" shapeId="0" xr:uid="{00000000-0006-0000-3C00-000005000000}">
      <text>
        <r>
          <rPr>
            <sz val="12"/>
            <color theme="1"/>
            <rFont val="Aptos Narrow"/>
            <family val="2"/>
            <scheme val="minor"/>
          </rPr>
          <t>was 24640000
VNP150</t>
        </r>
      </text>
    </comment>
    <comment ref="E4" authorId="0" shapeId="0" xr:uid="{00000000-0006-0000-3C00-000006000000}">
      <text>
        <r>
          <rPr>
            <sz val="12"/>
            <color theme="1"/>
            <rFont val="Aptos Narrow"/>
            <family val="2"/>
            <scheme val="minor"/>
          </rPr>
          <t>Giờ vàng</t>
        </r>
      </text>
    </comment>
    <comment ref="E5" authorId="0" shapeId="0" xr:uid="{00000000-0006-0000-3C00-000007000000}">
      <text>
        <r>
          <rPr>
            <sz val="12"/>
            <color theme="1"/>
            <rFont val="Aptos Narrow"/>
            <family val="2"/>
            <scheme val="minor"/>
          </rPr>
          <t xml:space="preserve">Giờ vàng
</t>
        </r>
      </text>
    </comment>
    <comment ref="B6" authorId="0" shapeId="0" xr:uid="{00000000-0006-0000-3C00-000008000000}">
      <text>
        <r>
          <rPr>
            <sz val="12"/>
            <color theme="1"/>
            <rFont val="Aptos Narrow"/>
            <family val="2"/>
            <scheme val="minor"/>
          </rPr>
          <t>Tặng phiếu mua hàng mua AirPods và Apple Watch trị giá 500,000đ
 Phiếu mua hàng mua sản phẩm giá niêm yết từ 5 triệu thuộc các nhóm TAI NGHE - LOA hãng HARMAN KARDON, JBL,MONSTER, KLIPSCH, MARSHALL, SONY; Smartwatch hãng HUAWEI, GARMIN, SAMSUNG, IMOO, OPPO, AMAZFIT trị giá 500.000đ</t>
        </r>
      </text>
    </comment>
    <comment ref="E6" authorId="0" shapeId="0" xr:uid="{00000000-0006-0000-3C00-000009000000}">
      <text>
        <r>
          <rPr>
            <sz val="12"/>
            <color theme="1"/>
            <rFont val="Aptos Narrow"/>
            <family val="2"/>
            <scheme val="minor"/>
          </rPr>
          <t xml:space="preserve">Giờ vàng
</t>
        </r>
      </text>
    </comment>
    <comment ref="F6" authorId="2" shapeId="0" xr:uid="{00000000-0006-0000-3C00-00000A000000}">
      <text>
        <r>
          <rPr>
            <sz val="12"/>
            <color theme="1"/>
            <rFont val="Aptos Narrow"/>
            <family val="2"/>
            <scheme val="minor"/>
          </rPr>
          <t>chit trang:
30.290</t>
        </r>
      </text>
    </comment>
    <comment ref="C7" authorId="3" shapeId="0" xr:uid="{00000000-0006-0000-3C00-00000B000000}">
      <text>
        <r>
          <rPr>
            <sz val="12"/>
            <color theme="1"/>
            <rFont val="Aptos Narrow"/>
            <family val="2"/>
            <scheme val="minor"/>
          </rPr>
          <t>W11 15890</t>
        </r>
      </text>
    </comment>
    <comment ref="F7" authorId="2" shapeId="0" xr:uid="{00000000-0006-0000-3C00-00000C000000}">
      <text>
        <r>
          <rPr>
            <sz val="12"/>
            <color theme="1"/>
            <rFont val="Aptos Narrow"/>
            <family val="2"/>
            <scheme val="minor"/>
          </rPr>
          <t>chit trang:
15.590k</t>
        </r>
      </text>
    </comment>
    <comment ref="C8" authorId="3" shapeId="0" xr:uid="{00000000-0006-0000-3C00-00000D000000}">
      <text>
        <r>
          <rPr>
            <sz val="12"/>
            <color theme="1"/>
            <rFont val="Aptos Narrow"/>
            <family val="2"/>
            <scheme val="minor"/>
          </rPr>
          <t>W11 19390</t>
        </r>
      </text>
    </comment>
    <comment ref="F8" authorId="2" shapeId="0" xr:uid="{00000000-0006-0000-3C00-00000E000000}">
      <text>
        <r>
          <rPr>
            <sz val="12"/>
            <color theme="1"/>
            <rFont val="Aptos Narrow"/>
            <family val="2"/>
            <scheme val="minor"/>
          </rPr>
          <t>chit trang:
19.390k</t>
        </r>
      </text>
    </comment>
    <comment ref="B9" authorId="0" shapeId="0" xr:uid="{00000000-0006-0000-3C00-00000F000000}">
      <text>
        <r>
          <rPr>
            <sz val="12"/>
            <color theme="1"/>
            <rFont val="Aptos Narrow"/>
            <family val="2"/>
            <scheme val="minor"/>
          </rPr>
          <t>was 29140000
VNP150</t>
        </r>
      </text>
    </comment>
    <comment ref="F9" authorId="2" shapeId="0" xr:uid="{00000000-0006-0000-3C00-000010000000}">
      <text>
        <r>
          <rPr>
            <sz val="12"/>
            <color theme="1"/>
            <rFont val="Aptos Narrow"/>
            <family val="2"/>
            <scheme val="minor"/>
          </rPr>
          <t>chit trang:
28.790</t>
        </r>
      </text>
    </comment>
    <comment ref="B10" authorId="0" shapeId="0" xr:uid="{00000000-0006-0000-3C00-000011000000}">
      <text>
        <r>
          <rPr>
            <sz val="12"/>
            <color theme="1"/>
            <rFont val="Aptos Narrow"/>
            <family val="2"/>
            <scheme val="minor"/>
          </rPr>
          <t>was 18440</t>
        </r>
      </text>
    </comment>
    <comment ref="B12" authorId="0" shapeId="0" xr:uid="{00000000-0006-0000-3C00-000012000000}">
      <text>
        <r>
          <rPr>
            <sz val="12"/>
            <color theme="1"/>
            <rFont val="Aptos Narrow"/>
            <family val="2"/>
            <scheme val="minor"/>
          </rPr>
          <t>was 13190
VNP100</t>
        </r>
      </text>
    </comment>
    <comment ref="E12" authorId="0" shapeId="0" xr:uid="{00000000-0006-0000-3C00-000013000000}">
      <text>
        <r>
          <rPr>
            <sz val="12"/>
            <color theme="1"/>
            <rFont val="Aptos Narrow"/>
            <family val="2"/>
            <scheme val="minor"/>
          </rPr>
          <t>Giờ vàng</t>
        </r>
      </text>
    </comment>
    <comment ref="B15" authorId="0" shapeId="0" xr:uid="{00000000-0006-0000-3C00-000014000000}">
      <text>
        <r>
          <rPr>
            <sz val="12"/>
            <color theme="1"/>
            <rFont val="Aptos Narrow"/>
            <family val="2"/>
            <scheme val="minor"/>
          </rPr>
          <t>was 7040
VNP40</t>
        </r>
      </text>
    </comment>
    <comment ref="F15" authorId="2" shapeId="0" xr:uid="{00000000-0006-0000-3C00-000015000000}">
      <text>
        <r>
          <rPr>
            <sz val="12"/>
            <color theme="1"/>
            <rFont val="Aptos Narrow"/>
            <family val="2"/>
            <scheme val="minor"/>
          </rPr>
          <t>chit trang:
8.690</t>
        </r>
      </text>
    </comment>
    <comment ref="G15" authorId="4" shapeId="0" xr:uid="{00000000-0006-0000-3C00-000016000000}">
      <text>
        <r>
          <rPr>
            <sz val="12"/>
            <color theme="1"/>
            <rFont val="Aptos Narrow"/>
            <family val="2"/>
            <scheme val="minor"/>
          </rPr>
          <t>Tran Dat:
8390</t>
        </r>
      </text>
    </comment>
    <comment ref="B16" authorId="0" shapeId="0" xr:uid="{00000000-0006-0000-3C00-000017000000}">
      <text>
        <r>
          <rPr>
            <sz val="12"/>
            <color theme="1"/>
            <rFont val="Aptos Narrow"/>
            <family val="2"/>
            <scheme val="minor"/>
          </rPr>
          <t>was 14390</t>
        </r>
      </text>
    </comment>
    <comment ref="F16" authorId="2" shapeId="0" xr:uid="{00000000-0006-0000-3C00-000018000000}">
      <text>
        <r>
          <rPr>
            <sz val="12"/>
            <color theme="1"/>
            <rFont val="Aptos Narrow"/>
            <family val="2"/>
            <scheme val="minor"/>
          </rPr>
          <t>chit trang:
16.590k</t>
        </r>
      </text>
    </comment>
    <comment ref="G16" authorId="4" shapeId="0" xr:uid="{00000000-0006-0000-3C00-000019000000}">
      <text>
        <r>
          <rPr>
            <sz val="12"/>
            <color theme="1"/>
            <rFont val="Aptos Narrow"/>
            <family val="2"/>
            <scheme val="minor"/>
          </rPr>
          <t>Tran Dat:16390</t>
        </r>
      </text>
    </comment>
    <comment ref="B19" authorId="0" shapeId="0" xr:uid="{00000000-0006-0000-3C00-00001A000000}">
      <text>
        <r>
          <rPr>
            <sz val="12"/>
            <color theme="1"/>
            <rFont val="Aptos Narrow"/>
            <family val="2"/>
            <scheme val="minor"/>
          </rPr>
          <t>was 36640</t>
        </r>
      </text>
    </comment>
    <comment ref="F19" authorId="2" shapeId="0" xr:uid="{00000000-0006-0000-3C00-00001B000000}">
      <text>
        <r>
          <rPr>
            <sz val="12"/>
            <color theme="1"/>
            <rFont val="Aptos Narrow"/>
            <family val="2"/>
            <scheme val="minor"/>
          </rPr>
          <t>chit trang:
36.990k</t>
        </r>
      </text>
    </comment>
    <comment ref="C20" authorId="3" shapeId="0" xr:uid="{00000000-0006-0000-3C00-00001C000000}">
      <text>
        <r>
          <rPr>
            <sz val="12"/>
            <color theme="1"/>
            <rFont val="Aptos Narrow"/>
            <family val="2"/>
            <scheme val="minor"/>
          </rPr>
          <t>W11 5220</t>
        </r>
      </text>
    </comment>
    <comment ref="D20" authorId="5" shapeId="0" xr:uid="{00000000-0006-0000-3C00-00001D000000}">
      <text>
        <r>
          <rPr>
            <sz val="12"/>
            <color theme="1"/>
            <rFont val="Aptos Narrow"/>
            <family val="2"/>
            <scheme val="minor"/>
          </rPr>
          <t>Việt Hoàng:
5.090.000</t>
        </r>
      </text>
    </comment>
    <comment ref="E20" authorId="0" shapeId="0" xr:uid="{00000000-0006-0000-3C00-00001E000000}">
      <text>
        <r>
          <rPr>
            <sz val="12"/>
            <color theme="1"/>
            <rFont val="Aptos Narrow"/>
            <family val="2"/>
            <scheme val="minor"/>
          </rPr>
          <t xml:space="preserve">was 4940
vnp1%
</t>
        </r>
      </text>
    </comment>
    <comment ref="F20" authorId="2" shapeId="0" xr:uid="{00000000-0006-0000-3C00-00001F000000}">
      <text>
        <r>
          <rPr>
            <sz val="12"/>
            <color theme="1"/>
            <rFont val="Aptos Narrow"/>
            <family val="2"/>
            <scheme val="minor"/>
          </rPr>
          <t>chit trang:
5.090</t>
        </r>
      </text>
    </comment>
    <comment ref="G20" authorId="4" shapeId="0" xr:uid="{00000000-0006-0000-3C00-000020000000}">
      <text>
        <r>
          <rPr>
            <sz val="12"/>
            <color theme="1"/>
            <rFont val="Aptos Narrow"/>
            <family val="2"/>
            <scheme val="minor"/>
          </rPr>
          <t>Tran Dat:
5090</t>
        </r>
      </text>
    </comment>
    <comment ref="E21" authorId="0" shapeId="0" xr:uid="{00000000-0006-0000-3C00-000021000000}">
      <text>
        <r>
          <rPr>
            <sz val="12"/>
            <color theme="1"/>
            <rFont val="Aptos Narrow"/>
            <family val="2"/>
            <scheme val="minor"/>
          </rPr>
          <t>was 6425
vnp1%</t>
        </r>
      </text>
    </comment>
    <comment ref="C22" authorId="3" shapeId="0" xr:uid="{00000000-0006-0000-3C00-000022000000}">
      <text>
        <r>
          <rPr>
            <sz val="12"/>
            <color theme="1"/>
            <rFont val="Aptos Narrow"/>
            <family val="2"/>
            <scheme val="minor"/>
          </rPr>
          <t>W11 5820</t>
        </r>
      </text>
    </comment>
    <comment ref="D22" authorId="5" shapeId="0" xr:uid="{00000000-0006-0000-3C00-000023000000}">
      <text>
        <r>
          <rPr>
            <sz val="12"/>
            <color theme="1"/>
            <rFont val="Aptos Narrow"/>
            <family val="2"/>
            <scheme val="minor"/>
          </rPr>
          <t>Việt Hoàng:
5.790.000</t>
        </r>
      </text>
    </comment>
    <comment ref="E22" authorId="0" shapeId="0" xr:uid="{00000000-0006-0000-3C00-000024000000}">
      <text>
        <r>
          <rPr>
            <sz val="12"/>
            <color theme="1"/>
            <rFont val="Aptos Narrow"/>
            <family val="2"/>
            <scheme val="minor"/>
          </rPr>
          <t>was 5732
vnp1%</t>
        </r>
      </text>
    </comment>
    <comment ref="F22" authorId="2" shapeId="0" xr:uid="{00000000-0006-0000-3C00-000025000000}">
      <text>
        <r>
          <rPr>
            <sz val="12"/>
            <color theme="1"/>
            <rFont val="Aptos Narrow"/>
            <family val="2"/>
            <scheme val="minor"/>
          </rPr>
          <t>chit trang:
5.820</t>
        </r>
      </text>
    </comment>
    <comment ref="G22" authorId="4" shapeId="0" xr:uid="{00000000-0006-0000-3C00-000026000000}">
      <text>
        <r>
          <rPr>
            <sz val="12"/>
            <color theme="1"/>
            <rFont val="Aptos Narrow"/>
            <family val="2"/>
            <scheme val="minor"/>
          </rPr>
          <t>Tran Dat:
5890000</t>
        </r>
      </text>
    </comment>
    <comment ref="E23" authorId="0" shapeId="0" xr:uid="{00000000-0006-0000-3C00-000027000000}">
      <text>
        <r>
          <rPr>
            <sz val="12"/>
            <color theme="1"/>
            <rFont val="Aptos Narrow"/>
            <family val="2"/>
            <scheme val="minor"/>
          </rPr>
          <t>was 7217
vnp1%</t>
        </r>
      </text>
    </comment>
    <comment ref="G23" authorId="4" shapeId="0" xr:uid="{00000000-0006-0000-3C00-000028000000}">
      <text>
        <r>
          <rPr>
            <sz val="12"/>
            <color theme="1"/>
            <rFont val="Aptos Narrow"/>
            <family val="2"/>
            <scheme val="minor"/>
          </rPr>
          <t>Tran Dat:
7690</t>
        </r>
      </text>
    </comment>
    <comment ref="C24" authorId="3" shapeId="0" xr:uid="{00000000-0006-0000-3C00-000029000000}">
      <text>
        <r>
          <rPr>
            <sz val="12"/>
            <color theme="1"/>
            <rFont val="Aptos Narrow"/>
            <family val="2"/>
            <scheme val="minor"/>
          </rPr>
          <t>W11 8480</t>
        </r>
      </text>
    </comment>
    <comment ref="D24" authorId="5" shapeId="0" xr:uid="{00000000-0006-0000-3C00-00002A000000}">
      <text>
        <r>
          <rPr>
            <sz val="12"/>
            <color theme="1"/>
            <rFont val="Aptos Narrow"/>
            <family val="2"/>
            <scheme val="minor"/>
          </rPr>
          <t>Việt Hoàng:
8.390.000</t>
        </r>
      </text>
    </comment>
    <comment ref="E24" authorId="0" shapeId="0" xr:uid="{00000000-0006-0000-3C00-00002B000000}">
      <text>
        <r>
          <rPr>
            <sz val="12"/>
            <color theme="1"/>
            <rFont val="Aptos Narrow"/>
            <family val="2"/>
            <scheme val="minor"/>
          </rPr>
          <t>was 8405
vnp1%</t>
        </r>
      </text>
    </comment>
    <comment ref="F24" authorId="2" shapeId="0" xr:uid="{00000000-0006-0000-3C00-00002C000000}">
      <text>
        <r>
          <rPr>
            <sz val="12"/>
            <color theme="1"/>
            <rFont val="Aptos Narrow"/>
            <family val="2"/>
            <scheme val="minor"/>
          </rPr>
          <t>chit trang:
8.490</t>
        </r>
      </text>
    </comment>
    <comment ref="G24" authorId="4" shapeId="0" xr:uid="{00000000-0006-0000-3C00-00002D000000}">
      <text>
        <r>
          <rPr>
            <sz val="12"/>
            <color theme="1"/>
            <rFont val="Aptos Narrow"/>
            <family val="2"/>
            <scheme val="minor"/>
          </rPr>
          <t>Tran Dat:
8390000</t>
        </r>
      </text>
    </comment>
    <comment ref="E25" authorId="0" shapeId="0" xr:uid="{00000000-0006-0000-3C00-00002E000000}">
      <text>
        <r>
          <rPr>
            <sz val="12"/>
            <color theme="1"/>
            <rFont val="Aptos Narrow"/>
            <family val="2"/>
            <scheme val="minor"/>
          </rPr>
          <t>was 11870
vnp1%</t>
        </r>
      </text>
    </comment>
    <comment ref="C26" authorId="3" shapeId="0" xr:uid="{00000000-0006-0000-3C00-00002F000000}">
      <text>
        <r>
          <rPr>
            <sz val="12"/>
            <color theme="1"/>
            <rFont val="Aptos Narrow"/>
            <family val="2"/>
            <scheme val="minor"/>
          </rPr>
          <t>W11 9280</t>
        </r>
      </text>
    </comment>
    <comment ref="D26" authorId="5" shapeId="0" xr:uid="{00000000-0006-0000-3C00-000030000000}">
      <text>
        <r>
          <rPr>
            <sz val="12"/>
            <color theme="1"/>
            <rFont val="Aptos Narrow"/>
            <family val="2"/>
            <scheme val="minor"/>
          </rPr>
          <t>Việt Hoàng:
9.290.000</t>
        </r>
      </text>
    </comment>
    <comment ref="E26" authorId="0" shapeId="0" xr:uid="{00000000-0006-0000-3C00-000031000000}">
      <text>
        <r>
          <rPr>
            <sz val="12"/>
            <color theme="1"/>
            <rFont val="Aptos Narrow"/>
            <family val="2"/>
            <scheme val="minor"/>
          </rPr>
          <t>was 8900
vnp1%</t>
        </r>
      </text>
    </comment>
    <comment ref="F26" authorId="2" shapeId="0" xr:uid="{00000000-0006-0000-3C00-000032000000}">
      <text>
        <r>
          <rPr>
            <sz val="12"/>
            <color theme="1"/>
            <rFont val="Aptos Narrow"/>
            <family val="2"/>
            <scheme val="minor"/>
          </rPr>
          <t>chit trang:
9.490k</t>
        </r>
      </text>
    </comment>
    <comment ref="G26" authorId="4" shapeId="0" xr:uid="{00000000-0006-0000-3C00-000033000000}">
      <text>
        <r>
          <rPr>
            <sz val="12"/>
            <color theme="1"/>
            <rFont val="Aptos Narrow"/>
            <family val="2"/>
            <scheme val="minor"/>
          </rPr>
          <t>9080</t>
        </r>
      </text>
    </comment>
    <comment ref="B27" authorId="0" shapeId="0" xr:uid="{00000000-0006-0000-3C00-000034000000}">
      <text>
        <r>
          <rPr>
            <sz val="12"/>
            <color theme="1"/>
            <rFont val="Aptos Narrow"/>
            <family val="2"/>
            <scheme val="minor"/>
          </rPr>
          <t>was 13320
VNP100</t>
        </r>
      </text>
    </comment>
    <comment ref="E27" authorId="0" shapeId="0" xr:uid="{00000000-0006-0000-3C00-000035000000}">
      <text>
        <r>
          <rPr>
            <sz val="12"/>
            <color theme="1"/>
            <rFont val="Aptos Narrow"/>
            <family val="2"/>
            <scheme val="minor"/>
          </rPr>
          <t>was 12563
vnp1%</t>
        </r>
      </text>
    </comment>
    <comment ref="B29" authorId="0" shapeId="0" xr:uid="{00000000-0006-0000-3C00-000036000000}">
      <text>
        <r>
          <rPr>
            <sz val="12"/>
            <color theme="1"/>
            <rFont val="Aptos Narrow"/>
            <family val="2"/>
            <scheme val="minor"/>
          </rPr>
          <t>was 5550
VNP40</t>
        </r>
      </text>
    </comment>
    <comment ref="C29" authorId="3" shapeId="0" xr:uid="{00000000-0006-0000-3C00-000037000000}">
      <text>
        <r>
          <rPr>
            <sz val="12"/>
            <color theme="1"/>
            <rFont val="Aptos Narrow"/>
            <family val="2"/>
            <scheme val="minor"/>
          </rPr>
          <t>W11 5390</t>
        </r>
      </text>
    </comment>
    <comment ref="D29" authorId="5" shapeId="0" xr:uid="{00000000-0006-0000-3C00-000038000000}">
      <text>
        <r>
          <rPr>
            <sz val="12"/>
            <color theme="1"/>
            <rFont val="Aptos Narrow"/>
            <family val="2"/>
            <scheme val="minor"/>
          </rPr>
          <t>Việt Hoàng:
5.290.000</t>
        </r>
      </text>
    </comment>
    <comment ref="E29" authorId="0" shapeId="0" xr:uid="{00000000-0006-0000-3C00-000039000000}">
      <text>
        <r>
          <rPr>
            <sz val="12"/>
            <color theme="1"/>
            <rFont val="Aptos Narrow"/>
            <family val="2"/>
            <scheme val="minor"/>
          </rPr>
          <t>was 5138
vnp1%</t>
        </r>
      </text>
    </comment>
    <comment ref="F29" authorId="2" shapeId="0" xr:uid="{00000000-0006-0000-3C00-00003A000000}">
      <text>
        <r>
          <rPr>
            <sz val="12"/>
            <color theme="1"/>
            <rFont val="Aptos Narrow"/>
            <family val="2"/>
            <scheme val="minor"/>
          </rPr>
          <t>chit trang:
5.290k</t>
        </r>
      </text>
    </comment>
    <comment ref="G29" authorId="4" shapeId="0" xr:uid="{00000000-0006-0000-3C00-00003B000000}">
      <text>
        <r>
          <rPr>
            <sz val="12"/>
            <color theme="1"/>
            <rFont val="Aptos Narrow"/>
            <family val="2"/>
            <scheme val="minor"/>
          </rPr>
          <t>Tran Dat:
5390</t>
        </r>
      </text>
    </comment>
    <comment ref="B30" authorId="0" shapeId="0" xr:uid="{00000000-0006-0000-3C00-00003C000000}">
      <text>
        <r>
          <rPr>
            <sz val="12"/>
            <color theme="1"/>
            <rFont val="Aptos Narrow"/>
            <family val="2"/>
            <scheme val="minor"/>
          </rPr>
          <t xml:space="preserve">was 4490
</t>
        </r>
      </text>
    </comment>
    <comment ref="C30" authorId="3" shapeId="0" xr:uid="{00000000-0006-0000-3C00-00003D000000}">
      <text>
        <r>
          <rPr>
            <sz val="12"/>
            <color theme="1"/>
            <rFont val="Aptos Narrow"/>
            <family val="2"/>
            <scheme val="minor"/>
          </rPr>
          <t>W11 4590</t>
        </r>
      </text>
    </comment>
    <comment ref="D30" authorId="5" shapeId="0" xr:uid="{00000000-0006-0000-3C00-00003E000000}">
      <text>
        <r>
          <rPr>
            <sz val="12"/>
            <color theme="1"/>
            <rFont val="Aptos Narrow"/>
            <family val="2"/>
            <scheme val="minor"/>
          </rPr>
          <t>Việt Hoàng:
4.290.000</t>
        </r>
      </text>
    </comment>
    <comment ref="E30" authorId="0" shapeId="0" xr:uid="{00000000-0006-0000-3C00-00003F000000}">
      <text>
        <r>
          <rPr>
            <sz val="12"/>
            <color theme="1"/>
            <rFont val="Aptos Narrow"/>
            <family val="2"/>
            <scheme val="minor"/>
          </rPr>
          <t>was 4247
vnp1%</t>
        </r>
      </text>
    </comment>
    <comment ref="F30" authorId="2" shapeId="0" xr:uid="{00000000-0006-0000-3C00-000040000000}">
      <text>
        <r>
          <rPr>
            <sz val="12"/>
            <color theme="1"/>
            <rFont val="Aptos Narrow"/>
            <family val="2"/>
            <scheme val="minor"/>
          </rPr>
          <t>chit trang:
4.290</t>
        </r>
      </text>
    </comment>
    <comment ref="G30" authorId="4" shapeId="0" xr:uid="{00000000-0006-0000-3C00-000041000000}">
      <text>
        <r>
          <rPr>
            <sz val="12"/>
            <color theme="1"/>
            <rFont val="Aptos Narrow"/>
            <family val="2"/>
            <scheme val="minor"/>
          </rPr>
          <t>Tran Dat:
4290</t>
        </r>
      </text>
    </comment>
    <comment ref="B31" authorId="0" shapeId="0" xr:uid="{00000000-0006-0000-3C00-000042000000}">
      <text>
        <r>
          <rPr>
            <sz val="12"/>
            <color theme="1"/>
            <rFont val="Aptos Narrow"/>
            <family val="2"/>
            <scheme val="minor"/>
          </rPr>
          <t>was 3190</t>
        </r>
      </text>
    </comment>
    <comment ref="C31" authorId="3" shapeId="0" xr:uid="{00000000-0006-0000-3C00-000043000000}">
      <text>
        <r>
          <rPr>
            <sz val="12"/>
            <color theme="1"/>
            <rFont val="Aptos Narrow"/>
            <family val="2"/>
            <scheme val="minor"/>
          </rPr>
          <t>W11 3090</t>
        </r>
      </text>
    </comment>
    <comment ref="D31" authorId="5" shapeId="0" xr:uid="{00000000-0006-0000-3C00-000044000000}">
      <text>
        <r>
          <rPr>
            <sz val="12"/>
            <color theme="1"/>
            <rFont val="Aptos Narrow"/>
            <family val="2"/>
            <scheme val="minor"/>
          </rPr>
          <t>Việt Hoàng:
2.990.000</t>
        </r>
      </text>
    </comment>
    <comment ref="E31" authorId="0" shapeId="0" xr:uid="{00000000-0006-0000-3C00-000045000000}">
      <text>
        <r>
          <rPr>
            <sz val="12"/>
            <color theme="1"/>
            <rFont val="Aptos Narrow"/>
            <family val="2"/>
            <scheme val="minor"/>
          </rPr>
          <t>was 2890</t>
        </r>
      </text>
    </comment>
    <comment ref="F31" authorId="2" shapeId="0" xr:uid="{00000000-0006-0000-3C00-000046000000}">
      <text>
        <r>
          <rPr>
            <sz val="12"/>
            <color theme="1"/>
            <rFont val="Aptos Narrow"/>
            <family val="2"/>
            <scheme val="minor"/>
          </rPr>
          <t>chit trang:2.990</t>
        </r>
      </text>
    </comment>
    <comment ref="G31" authorId="4" shapeId="0" xr:uid="{00000000-0006-0000-3C00-000047000000}">
      <text>
        <r>
          <rPr>
            <sz val="12"/>
            <color theme="1"/>
            <rFont val="Aptos Narrow"/>
            <family val="2"/>
            <scheme val="minor"/>
          </rPr>
          <t>Tran Dat:
2990</t>
        </r>
      </text>
    </comment>
    <comment ref="B32" authorId="0" shapeId="0" xr:uid="{00000000-0006-0000-3C00-000048000000}">
      <text>
        <r>
          <rPr>
            <sz val="12"/>
            <color theme="1"/>
            <rFont val="Aptos Narrow"/>
            <family val="2"/>
            <scheme val="minor"/>
          </rPr>
          <t>was 18090
VNP100</t>
        </r>
      </text>
    </comment>
    <comment ref="G32" authorId="4" shapeId="0" xr:uid="{00000000-0006-0000-3C00-000049000000}">
      <text>
        <r>
          <rPr>
            <sz val="12"/>
            <color theme="1"/>
            <rFont val="Aptos Narrow"/>
            <family val="2"/>
            <scheme val="minor"/>
          </rPr>
          <t xml:space="preserve">Tran Dat:
1639000
</t>
        </r>
      </text>
    </comment>
    <comment ref="B34" authorId="0" shapeId="0" xr:uid="{00000000-0006-0000-3C00-00004A000000}">
      <text>
        <r>
          <rPr>
            <sz val="12"/>
            <color theme="1"/>
            <rFont val="Aptos Narrow"/>
            <family val="2"/>
            <scheme val="minor"/>
          </rPr>
          <t>was 26140
VNP150</t>
        </r>
      </text>
    </comment>
    <comment ref="F36" authorId="2" shapeId="0" xr:uid="{00000000-0006-0000-3C00-00004B000000}">
      <text>
        <r>
          <rPr>
            <sz val="12"/>
            <color theme="1"/>
            <rFont val="Aptos Narrow"/>
            <family val="2"/>
            <scheme val="minor"/>
          </rPr>
          <t>chit trang:
31.990</t>
        </r>
      </text>
    </comment>
    <comment ref="G36" authorId="4" shapeId="0" xr:uid="{00000000-0006-0000-3C00-00004C000000}">
      <text>
        <r>
          <rPr>
            <sz val="12"/>
            <color theme="1"/>
            <rFont val="Aptos Narrow"/>
            <family val="2"/>
            <scheme val="minor"/>
          </rPr>
          <t>Tran Dat:
31990</t>
        </r>
      </text>
    </comment>
  </commentList>
</comments>
</file>

<file path=xl/comments62.xml><?xml version="1.0" encoding="utf-8"?>
<comments xmlns="http://schemas.openxmlformats.org/spreadsheetml/2006/main" xmlns:mc="http://schemas.openxmlformats.org/markup-compatibility/2006" xmlns:xr="http://schemas.microsoft.com/office/spreadsheetml/2014/revision" mc:Ignorable="xr">
  <authors>
    <author>Microsoft Office User</author>
    <author>chit trang</author>
    <author>Duy</author>
    <author>Tran Dat</author>
    <author>Việt Hoàng</author>
  </authors>
  <commentList>
    <comment ref="E2" authorId="0" shapeId="0" xr:uid="{00000000-0006-0000-3D00-000001000000}">
      <text>
        <r>
          <rPr>
            <sz val="12"/>
            <color theme="1"/>
            <rFont val="Aptos Narrow"/>
            <family val="2"/>
            <scheme val="minor"/>
          </rPr>
          <t>giờ vàng</t>
        </r>
      </text>
    </comment>
    <comment ref="E3" authorId="0" shapeId="0" xr:uid="{00000000-0006-0000-3D00-000002000000}">
      <text>
        <r>
          <rPr>
            <sz val="12"/>
            <color theme="1"/>
            <rFont val="Aptos Narrow"/>
            <family val="2"/>
            <scheme val="minor"/>
          </rPr>
          <t>Giờ vàng</t>
        </r>
      </text>
    </comment>
    <comment ref="B4" authorId="0" shapeId="0" xr:uid="{00000000-0006-0000-3D00-000003000000}">
      <text>
        <r>
          <rPr>
            <sz val="12"/>
            <color theme="1"/>
            <rFont val="Aptos Narrow"/>
            <family val="2"/>
            <scheme val="minor"/>
          </rPr>
          <t>was 24640000
VNP150</t>
        </r>
      </text>
    </comment>
    <comment ref="E4" authorId="0" shapeId="0" xr:uid="{00000000-0006-0000-3D00-000004000000}">
      <text>
        <r>
          <rPr>
            <sz val="12"/>
            <color theme="1"/>
            <rFont val="Aptos Narrow"/>
            <family val="2"/>
            <scheme val="minor"/>
          </rPr>
          <t>Giờ vàng</t>
        </r>
      </text>
    </comment>
    <comment ref="E5" authorId="0" shapeId="0" xr:uid="{00000000-0006-0000-3D00-000005000000}">
      <text>
        <r>
          <rPr>
            <sz val="12"/>
            <color theme="1"/>
            <rFont val="Aptos Narrow"/>
            <family val="2"/>
            <scheme val="minor"/>
          </rPr>
          <t xml:space="preserve">Giờ vàng
</t>
        </r>
      </text>
    </comment>
    <comment ref="F5" authorId="1" shapeId="0" xr:uid="{00000000-0006-0000-3D00-000006000000}">
      <text>
        <r>
          <rPr>
            <sz val="12"/>
            <color theme="1"/>
            <rFont val="Aptos Narrow"/>
            <family val="2"/>
            <scheme val="minor"/>
          </rPr>
          <t xml:space="preserve">chit trang: 24.990k
</t>
        </r>
      </text>
    </comment>
    <comment ref="B6" authorId="0" shapeId="0" xr:uid="{00000000-0006-0000-3D00-000007000000}">
      <text>
        <r>
          <rPr>
            <sz val="12"/>
            <color theme="1"/>
            <rFont val="Aptos Narrow"/>
            <family val="2"/>
            <scheme val="minor"/>
          </rPr>
          <t>Tặng phiếu mua hàng mua AirPods và Apple Watch trị giá 500,000đ
 Phiếu mua hàng mua sản phẩm giá niêm yết từ 5 triệu thuộc các nhóm TAI NGHE - LOA hãng HARMAN KARDON, JBL,MONSTER, KLIPSCH, MARSHALL, SONY; Smartwatch hãng HUAWEI, GARMIN, SAMSUNG, IMOO, OPPO, AMAZFIT trị giá 500.000đ</t>
        </r>
      </text>
    </comment>
    <comment ref="C6" authorId="2" shapeId="0" xr:uid="{00000000-0006-0000-3D00-000008000000}">
      <text>
        <r>
          <rPr>
            <sz val="12"/>
            <color theme="1"/>
            <rFont val="Aptos Narrow"/>
            <family val="2"/>
            <scheme val="minor"/>
          </rPr>
          <t>W12 30590</t>
        </r>
      </text>
    </comment>
    <comment ref="E6" authorId="0" shapeId="0" xr:uid="{00000000-0006-0000-3D00-000009000000}">
      <text>
        <r>
          <rPr>
            <sz val="12"/>
            <color theme="1"/>
            <rFont val="Aptos Narrow"/>
            <family val="2"/>
            <scheme val="minor"/>
          </rPr>
          <t xml:space="preserve">Giờ vàng
</t>
        </r>
      </text>
    </comment>
    <comment ref="F6" authorId="1" shapeId="0" xr:uid="{00000000-0006-0000-3D00-00000A000000}">
      <text>
        <r>
          <rPr>
            <sz val="12"/>
            <color theme="1"/>
            <rFont val="Aptos Narrow"/>
            <family val="2"/>
            <scheme val="minor"/>
          </rPr>
          <t>chit trang:
30.390</t>
        </r>
      </text>
    </comment>
    <comment ref="G6" authorId="3" shapeId="0" xr:uid="{00000000-0006-0000-3D00-00000B000000}">
      <text>
        <r>
          <rPr>
            <sz val="12"/>
            <color theme="1"/>
            <rFont val="Aptos Narrow"/>
            <family val="2"/>
            <scheme val="minor"/>
          </rPr>
          <t>Tran Dat:
29.990</t>
        </r>
      </text>
    </comment>
    <comment ref="C7" authorId="2" shapeId="0" xr:uid="{00000000-0006-0000-3D00-00000C000000}">
      <text>
        <r>
          <rPr>
            <sz val="12"/>
            <color theme="1"/>
            <rFont val="Aptos Narrow"/>
            <family val="2"/>
            <scheme val="minor"/>
          </rPr>
          <t>W12 15990</t>
        </r>
      </text>
    </comment>
    <comment ref="F7" authorId="1" shapeId="0" xr:uid="{00000000-0006-0000-3D00-00000D000000}">
      <text>
        <r>
          <rPr>
            <sz val="12"/>
            <color theme="1"/>
            <rFont val="Aptos Narrow"/>
            <family val="2"/>
            <scheme val="minor"/>
          </rPr>
          <t>chit trang:
15.690k</t>
        </r>
      </text>
    </comment>
    <comment ref="C8" authorId="2" shapeId="0" xr:uid="{00000000-0006-0000-3D00-00000E000000}">
      <text>
        <r>
          <rPr>
            <sz val="12"/>
            <color theme="1"/>
            <rFont val="Aptos Narrow"/>
            <family val="2"/>
            <scheme val="minor"/>
          </rPr>
          <t>W11 19390</t>
        </r>
      </text>
    </comment>
    <comment ref="D8" authorId="4" shapeId="0" xr:uid="{00000000-0006-0000-3D00-00000F000000}">
      <text>
        <r>
          <rPr>
            <sz val="12"/>
            <color theme="1"/>
            <rFont val="Aptos Narrow"/>
            <family val="2"/>
            <scheme val="minor"/>
          </rPr>
          <t>Việt Hoàng:
19.390.000</t>
        </r>
      </text>
    </comment>
    <comment ref="F8" authorId="1" shapeId="0" xr:uid="{00000000-0006-0000-3D00-000010000000}">
      <text>
        <r>
          <rPr>
            <sz val="12"/>
            <color theme="1"/>
            <rFont val="Aptos Narrow"/>
            <family val="2"/>
            <scheme val="minor"/>
          </rPr>
          <t>chit trang:
19.390k</t>
        </r>
      </text>
    </comment>
    <comment ref="B9" authorId="0" shapeId="0" xr:uid="{00000000-0006-0000-3D00-000011000000}">
      <text>
        <r>
          <rPr>
            <sz val="12"/>
            <color theme="1"/>
            <rFont val="Aptos Narrow"/>
            <family val="2"/>
            <scheme val="minor"/>
          </rPr>
          <t>was 29140000
VNP150</t>
        </r>
      </text>
    </comment>
    <comment ref="F9" authorId="1" shapeId="0" xr:uid="{00000000-0006-0000-3D00-000012000000}">
      <text>
        <r>
          <rPr>
            <sz val="12"/>
            <color theme="1"/>
            <rFont val="Aptos Narrow"/>
            <family val="2"/>
            <scheme val="minor"/>
          </rPr>
          <t>chit trang:
28.690</t>
        </r>
      </text>
    </comment>
    <comment ref="B10" authorId="0" shapeId="0" xr:uid="{00000000-0006-0000-3D00-000013000000}">
      <text>
        <r>
          <rPr>
            <sz val="12"/>
            <color theme="1"/>
            <rFont val="Aptos Narrow"/>
            <family val="2"/>
            <scheme val="minor"/>
          </rPr>
          <t>was 18440</t>
        </r>
      </text>
    </comment>
    <comment ref="B12" authorId="0" shapeId="0" xr:uid="{00000000-0006-0000-3D00-000014000000}">
      <text>
        <r>
          <rPr>
            <sz val="12"/>
            <color theme="1"/>
            <rFont val="Aptos Narrow"/>
            <family val="2"/>
            <scheme val="minor"/>
          </rPr>
          <t>was 13190
VNP100</t>
        </r>
      </text>
    </comment>
    <comment ref="E12" authorId="0" shapeId="0" xr:uid="{00000000-0006-0000-3D00-000015000000}">
      <text>
        <r>
          <rPr>
            <sz val="12"/>
            <color theme="1"/>
            <rFont val="Aptos Narrow"/>
            <family val="2"/>
            <scheme val="minor"/>
          </rPr>
          <t>Giờ vàng</t>
        </r>
      </text>
    </comment>
    <comment ref="C14" authorId="2" shapeId="0" xr:uid="{00000000-0006-0000-3D00-000016000000}">
      <text>
        <r>
          <rPr>
            <sz val="12"/>
            <color theme="1"/>
            <rFont val="Aptos Narrow"/>
            <family val="2"/>
            <scheme val="minor"/>
          </rPr>
          <t>W12 11790</t>
        </r>
      </text>
    </comment>
    <comment ref="B15" authorId="0" shapeId="0" xr:uid="{00000000-0006-0000-3D00-000017000000}">
      <text>
        <r>
          <rPr>
            <sz val="12"/>
            <color theme="1"/>
            <rFont val="Aptos Narrow"/>
            <family val="2"/>
            <scheme val="minor"/>
          </rPr>
          <t>was 7040
VNP40</t>
        </r>
      </text>
    </comment>
    <comment ref="C15" authorId="2" shapeId="0" xr:uid="{00000000-0006-0000-3D00-000018000000}">
      <text>
        <r>
          <rPr>
            <sz val="12"/>
            <color theme="1"/>
            <rFont val="Aptos Narrow"/>
            <family val="2"/>
            <scheme val="minor"/>
          </rPr>
          <t>W12 8690</t>
        </r>
      </text>
    </comment>
    <comment ref="D15" authorId="4" shapeId="0" xr:uid="{00000000-0006-0000-3D00-000019000000}">
      <text>
        <r>
          <rPr>
            <sz val="12"/>
            <color theme="1"/>
            <rFont val="Aptos Narrow"/>
            <family val="2"/>
            <scheme val="minor"/>
          </rPr>
          <t>Việt Hoàng:
8.690.000</t>
        </r>
      </text>
    </comment>
    <comment ref="E15" authorId="0" shapeId="0" xr:uid="{00000000-0006-0000-3D00-00001A000000}">
      <text>
        <r>
          <rPr>
            <sz val="12"/>
            <color theme="1"/>
            <rFont val="Aptos Narrow"/>
            <family val="2"/>
            <scheme val="minor"/>
          </rPr>
          <t>was 8405
vnp 1%</t>
        </r>
      </text>
    </comment>
    <comment ref="F15" authorId="1" shapeId="0" xr:uid="{00000000-0006-0000-3D00-00001B000000}">
      <text>
        <r>
          <rPr>
            <sz val="12"/>
            <color theme="1"/>
            <rFont val="Aptos Narrow"/>
            <family val="2"/>
            <scheme val="minor"/>
          </rPr>
          <t>chit trang:
8.490</t>
        </r>
      </text>
    </comment>
    <comment ref="G15" authorId="3" shapeId="0" xr:uid="{00000000-0006-0000-3D00-00001C000000}">
      <text>
        <r>
          <rPr>
            <sz val="12"/>
            <color theme="1"/>
            <rFont val="Aptos Narrow"/>
            <family val="2"/>
            <scheme val="minor"/>
          </rPr>
          <t>Tran Dat:
8690</t>
        </r>
      </text>
    </comment>
    <comment ref="B16" authorId="0" shapeId="0" xr:uid="{00000000-0006-0000-3D00-00001D000000}">
      <text>
        <r>
          <rPr>
            <sz val="12"/>
            <color theme="1"/>
            <rFont val="Aptos Narrow"/>
            <family val="2"/>
            <scheme val="minor"/>
          </rPr>
          <t>was 14390</t>
        </r>
      </text>
    </comment>
    <comment ref="D18" authorId="4" shapeId="0" xr:uid="{00000000-0006-0000-3D00-00001E000000}">
      <text>
        <r>
          <rPr>
            <sz val="12"/>
            <color theme="1"/>
            <rFont val="Aptos Narrow"/>
            <family val="2"/>
            <scheme val="minor"/>
          </rPr>
          <t>Việt Hoàng:
26.690.000</t>
        </r>
      </text>
    </comment>
    <comment ref="F18" authorId="1" shapeId="0" xr:uid="{00000000-0006-0000-3D00-00001F000000}">
      <text>
        <r>
          <rPr>
            <sz val="12"/>
            <color theme="1"/>
            <rFont val="Aptos Narrow"/>
            <family val="2"/>
            <scheme val="minor"/>
          </rPr>
          <t>chit trang:
26.990</t>
        </r>
      </text>
    </comment>
    <comment ref="B19" authorId="0" shapeId="0" xr:uid="{00000000-0006-0000-3D00-000020000000}">
      <text>
        <r>
          <rPr>
            <sz val="12"/>
            <color theme="1"/>
            <rFont val="Aptos Narrow"/>
            <family val="2"/>
            <scheme val="minor"/>
          </rPr>
          <t>was 36640</t>
        </r>
      </text>
    </comment>
    <comment ref="D19" authorId="4" shapeId="0" xr:uid="{00000000-0006-0000-3D00-000021000000}">
      <text>
        <r>
          <rPr>
            <sz val="12"/>
            <color theme="1"/>
            <rFont val="Aptos Narrow"/>
            <family val="2"/>
            <scheme val="minor"/>
          </rPr>
          <t>Việt Hoàng:
36.490.000</t>
        </r>
      </text>
    </comment>
    <comment ref="G21" authorId="3" shapeId="0" xr:uid="{00000000-0006-0000-3D00-000022000000}">
      <text>
        <r>
          <rPr>
            <sz val="12"/>
            <color theme="1"/>
            <rFont val="Aptos Narrow"/>
            <family val="2"/>
            <scheme val="minor"/>
          </rPr>
          <t>Tran Dat:
7.190</t>
        </r>
      </text>
    </comment>
    <comment ref="E22" authorId="0" shapeId="0" xr:uid="{00000000-0006-0000-3D00-000023000000}">
      <text>
        <r>
          <rPr>
            <sz val="12"/>
            <color theme="1"/>
            <rFont val="Aptos Narrow"/>
            <family val="2"/>
            <scheme val="minor"/>
          </rPr>
          <t>was 6425
vnp1%</t>
        </r>
      </text>
    </comment>
    <comment ref="E25" authorId="0" shapeId="0" xr:uid="{00000000-0006-0000-3D00-000024000000}">
      <text>
        <r>
          <rPr>
            <sz val="12"/>
            <color theme="1"/>
            <rFont val="Aptos Narrow"/>
            <family val="2"/>
            <scheme val="minor"/>
          </rPr>
          <t>was 12860
vnp1%</t>
        </r>
      </text>
    </comment>
    <comment ref="B27" authorId="0" shapeId="0" xr:uid="{00000000-0006-0000-3D00-000025000000}">
      <text>
        <r>
          <rPr>
            <sz val="12"/>
            <color theme="1"/>
            <rFont val="Aptos Narrow"/>
            <family val="2"/>
            <scheme val="minor"/>
          </rPr>
          <t>was 13320
VNP100</t>
        </r>
      </text>
    </comment>
    <comment ref="E27" authorId="0" shapeId="0" xr:uid="{00000000-0006-0000-3D00-000026000000}">
      <text>
        <r>
          <rPr>
            <sz val="12"/>
            <color theme="1"/>
            <rFont val="Aptos Narrow"/>
            <family val="2"/>
            <scheme val="minor"/>
          </rPr>
          <t>was 13553
vnp1%</t>
        </r>
      </text>
    </comment>
    <comment ref="B29" authorId="0" shapeId="0" xr:uid="{00000000-0006-0000-3D00-000027000000}">
      <text>
        <r>
          <rPr>
            <sz val="12"/>
            <color theme="1"/>
            <rFont val="Aptos Narrow"/>
            <family val="2"/>
            <scheme val="minor"/>
          </rPr>
          <t>was 5550
VNP40</t>
        </r>
      </text>
    </comment>
    <comment ref="D29" authorId="4" shapeId="0" xr:uid="{00000000-0006-0000-3D00-000028000000}">
      <text>
        <r>
          <rPr>
            <sz val="12"/>
            <color theme="1"/>
            <rFont val="Aptos Narrow"/>
            <family val="2"/>
            <scheme val="minor"/>
          </rPr>
          <t>Việt Hoàng:
5.690.000</t>
        </r>
      </text>
    </comment>
    <comment ref="F29" authorId="1" shapeId="0" xr:uid="{00000000-0006-0000-3D00-000029000000}">
      <text>
        <r>
          <rPr>
            <sz val="12"/>
            <color theme="1"/>
            <rFont val="Aptos Narrow"/>
            <family val="2"/>
            <scheme val="minor"/>
          </rPr>
          <t>chit trang:
5.690k</t>
        </r>
      </text>
    </comment>
    <comment ref="G29" authorId="3" shapeId="0" xr:uid="{00000000-0006-0000-3D00-00002A000000}">
      <text>
        <r>
          <rPr>
            <sz val="12"/>
            <color theme="1"/>
            <rFont val="Aptos Narrow"/>
            <family val="2"/>
            <scheme val="minor"/>
          </rPr>
          <t>Tran Dat:
5690</t>
        </r>
      </text>
    </comment>
    <comment ref="B30" authorId="0" shapeId="0" xr:uid="{00000000-0006-0000-3D00-00002B000000}">
      <text>
        <r>
          <rPr>
            <sz val="12"/>
            <color theme="1"/>
            <rFont val="Aptos Narrow"/>
            <family val="2"/>
            <scheme val="minor"/>
          </rPr>
          <t xml:space="preserve">was 4490
</t>
        </r>
      </text>
    </comment>
    <comment ref="D30" authorId="4" shapeId="0" xr:uid="{00000000-0006-0000-3D00-00002C000000}">
      <text>
        <r>
          <rPr>
            <sz val="12"/>
            <color theme="1"/>
            <rFont val="Aptos Narrow"/>
            <family val="2"/>
            <scheme val="minor"/>
          </rPr>
          <t>Việt Hoàng:
4.590.000</t>
        </r>
      </text>
    </comment>
    <comment ref="F30" authorId="1" shapeId="0" xr:uid="{00000000-0006-0000-3D00-00002D000000}">
      <text>
        <r>
          <rPr>
            <sz val="12"/>
            <color theme="1"/>
            <rFont val="Aptos Narrow"/>
            <family val="2"/>
            <scheme val="minor"/>
          </rPr>
          <t>chit trang:
4.590</t>
        </r>
      </text>
    </comment>
    <comment ref="G30" authorId="3" shapeId="0" xr:uid="{00000000-0006-0000-3D00-00002E000000}">
      <text>
        <r>
          <rPr>
            <sz val="12"/>
            <color theme="1"/>
            <rFont val="Aptos Narrow"/>
            <family val="2"/>
            <scheme val="minor"/>
          </rPr>
          <t>Tran Dat:
4290</t>
        </r>
      </text>
    </comment>
    <comment ref="B31" authorId="0" shapeId="0" xr:uid="{00000000-0006-0000-3D00-00002F000000}">
      <text>
        <r>
          <rPr>
            <sz val="12"/>
            <color theme="1"/>
            <rFont val="Aptos Narrow"/>
            <family val="2"/>
            <scheme val="minor"/>
          </rPr>
          <t>was 3190</t>
        </r>
      </text>
    </comment>
    <comment ref="D31" authorId="4" shapeId="0" xr:uid="{00000000-0006-0000-3D00-000030000000}">
      <text>
        <r>
          <rPr>
            <sz val="12"/>
            <color theme="1"/>
            <rFont val="Aptos Narrow"/>
            <family val="2"/>
            <scheme val="minor"/>
          </rPr>
          <t>Việt Hoàng:
3.390.000</t>
        </r>
      </text>
    </comment>
    <comment ref="F31" authorId="1" shapeId="0" xr:uid="{00000000-0006-0000-3D00-000031000000}">
      <text>
        <r>
          <rPr>
            <sz val="12"/>
            <color theme="1"/>
            <rFont val="Aptos Narrow"/>
            <family val="2"/>
            <scheme val="minor"/>
          </rPr>
          <t>3.350k</t>
        </r>
      </text>
    </comment>
    <comment ref="G31" authorId="3" shapeId="0" xr:uid="{00000000-0006-0000-3D00-000032000000}">
      <text>
        <r>
          <rPr>
            <sz val="12"/>
            <color theme="1"/>
            <rFont val="Aptos Narrow"/>
            <family val="2"/>
            <scheme val="minor"/>
          </rPr>
          <t>Tran Dat:
3.350</t>
        </r>
      </text>
    </comment>
    <comment ref="B32" authorId="0" shapeId="0" xr:uid="{00000000-0006-0000-3D00-000033000000}">
      <text>
        <r>
          <rPr>
            <sz val="12"/>
            <color theme="1"/>
            <rFont val="Aptos Narrow"/>
            <family val="2"/>
            <scheme val="minor"/>
          </rPr>
          <t>was 18090
VNP100</t>
        </r>
      </text>
    </comment>
    <comment ref="D33" authorId="4" shapeId="0" xr:uid="{00000000-0006-0000-3D00-000034000000}">
      <text>
        <r>
          <rPr>
            <sz val="12"/>
            <color theme="1"/>
            <rFont val="Aptos Narrow"/>
            <family val="2"/>
            <scheme val="minor"/>
          </rPr>
          <t>Việt Hoàng:
20.990.000</t>
        </r>
      </text>
    </comment>
    <comment ref="B34" authorId="0" shapeId="0" xr:uid="{00000000-0006-0000-3D00-000035000000}">
      <text>
        <r>
          <rPr>
            <sz val="12"/>
            <color theme="1"/>
            <rFont val="Aptos Narrow"/>
            <family val="2"/>
            <scheme val="minor"/>
          </rPr>
          <t>was 26140
VNP150</t>
        </r>
      </text>
    </comment>
    <comment ref="D35" authorId="4" shapeId="0" xr:uid="{00000000-0006-0000-3D00-000036000000}">
      <text>
        <r>
          <rPr>
            <sz val="12"/>
            <color theme="1"/>
            <rFont val="Aptos Narrow"/>
            <family val="2"/>
            <scheme val="minor"/>
          </rPr>
          <t>Việt Hoàng:
26.490.000</t>
        </r>
      </text>
    </comment>
    <comment ref="F35" authorId="1" shapeId="0" xr:uid="{00000000-0006-0000-3D00-000037000000}">
      <text>
        <r>
          <rPr>
            <sz val="12"/>
            <color theme="1"/>
            <rFont val="Aptos Narrow"/>
            <family val="2"/>
            <scheme val="minor"/>
          </rPr>
          <t>chit trang:
25.990k</t>
        </r>
      </text>
    </comment>
    <comment ref="G35" authorId="3" shapeId="0" xr:uid="{00000000-0006-0000-3D00-000038000000}">
      <text>
        <r>
          <rPr>
            <sz val="12"/>
            <color theme="1"/>
            <rFont val="Aptos Narrow"/>
            <family val="2"/>
            <scheme val="minor"/>
          </rPr>
          <t>Tran Dat:
25.890</t>
        </r>
      </text>
    </comment>
  </commentList>
</comments>
</file>

<file path=xl/comments63.xml><?xml version="1.0" encoding="utf-8"?>
<comments xmlns="http://schemas.openxmlformats.org/spreadsheetml/2006/main" xmlns:mc="http://schemas.openxmlformats.org/markup-compatibility/2006" xmlns:xr="http://schemas.microsoft.com/office/spreadsheetml/2014/revision" mc:Ignorable="xr">
  <authors>
    <author>Microsoft Office User</author>
    <author>chit trang</author>
    <author>Việt Hoàng</author>
    <author>Tran Dat</author>
    <author>Duy</author>
  </authors>
  <commentList>
    <comment ref="E2" authorId="0" shapeId="0" xr:uid="{00000000-0006-0000-3E00-000001000000}">
      <text>
        <r>
          <rPr>
            <sz val="12"/>
            <color theme="1"/>
            <rFont val="Aptos Narrow"/>
            <family val="2"/>
            <scheme val="minor"/>
          </rPr>
          <t>giờ vàng</t>
        </r>
      </text>
    </comment>
    <comment ref="E3" authorId="0" shapeId="0" xr:uid="{00000000-0006-0000-3E00-000002000000}">
      <text>
        <r>
          <rPr>
            <sz val="12"/>
            <color theme="1"/>
            <rFont val="Aptos Narrow"/>
            <family val="2"/>
            <scheme val="minor"/>
          </rPr>
          <t>Giờ vàng</t>
        </r>
      </text>
    </comment>
    <comment ref="F3" authorId="1" shapeId="0" xr:uid="{00000000-0006-0000-3E00-000003000000}">
      <text>
        <r>
          <rPr>
            <sz val="12"/>
            <color theme="1"/>
            <rFont val="Aptos Narrow"/>
            <family val="2"/>
            <scheme val="minor"/>
          </rPr>
          <t>chit trang:
18.790k</t>
        </r>
      </text>
    </comment>
    <comment ref="B4" authorId="0" shapeId="0" xr:uid="{00000000-0006-0000-3E00-000004000000}">
      <text>
        <r>
          <rPr>
            <sz val="12"/>
            <color theme="1"/>
            <rFont val="Aptos Narrow"/>
            <family val="2"/>
            <scheme val="minor"/>
          </rPr>
          <t>was 24640000
VNP150</t>
        </r>
      </text>
    </comment>
    <comment ref="E4" authorId="0" shapeId="0" xr:uid="{00000000-0006-0000-3E00-000005000000}">
      <text>
        <r>
          <rPr>
            <sz val="12"/>
            <color theme="1"/>
            <rFont val="Aptos Narrow"/>
            <family val="2"/>
            <scheme val="minor"/>
          </rPr>
          <t>Giờ vàng</t>
        </r>
      </text>
    </comment>
    <comment ref="F4" authorId="1" shapeId="0" xr:uid="{00000000-0006-0000-3E00-000006000000}">
      <text>
        <r>
          <rPr>
            <sz val="12"/>
            <color theme="1"/>
            <rFont val="Aptos Narrow"/>
            <family val="2"/>
            <scheme val="minor"/>
          </rPr>
          <t>chit trang:
21.890</t>
        </r>
      </text>
    </comment>
    <comment ref="D5" authorId="2" shapeId="0" xr:uid="{00000000-0006-0000-3E00-000007000000}">
      <text>
        <r>
          <rPr>
            <sz val="12"/>
            <color theme="1"/>
            <rFont val="Aptos Narrow"/>
            <family val="2"/>
            <scheme val="minor"/>
          </rPr>
          <t>Việt Hoàng:
24.990.000</t>
        </r>
      </text>
    </comment>
    <comment ref="E5" authorId="0" shapeId="0" xr:uid="{00000000-0006-0000-3E00-000008000000}">
      <text>
        <r>
          <rPr>
            <sz val="12"/>
            <color theme="1"/>
            <rFont val="Aptos Narrow"/>
            <family val="2"/>
            <scheme val="minor"/>
          </rPr>
          <t xml:space="preserve">Giờ vàng
</t>
        </r>
      </text>
    </comment>
    <comment ref="F5" authorId="1" shapeId="0" xr:uid="{00000000-0006-0000-3E00-000009000000}">
      <text>
        <r>
          <rPr>
            <sz val="12"/>
            <color theme="1"/>
            <rFont val="Aptos Narrow"/>
            <family val="2"/>
            <scheme val="minor"/>
          </rPr>
          <t xml:space="preserve">chit trang: 24.890k
</t>
        </r>
      </text>
    </comment>
    <comment ref="G5" authorId="3" shapeId="0" xr:uid="{00000000-0006-0000-3E00-00000A000000}">
      <text>
        <r>
          <rPr>
            <sz val="12"/>
            <color theme="1"/>
            <rFont val="Aptos Narrow"/>
            <family val="2"/>
            <scheme val="minor"/>
          </rPr>
          <t>Tran Dat:
24.650</t>
        </r>
      </text>
    </comment>
    <comment ref="B6" authorId="0" shapeId="0" xr:uid="{00000000-0006-0000-3E00-00000B000000}">
      <text>
        <r>
          <rPr>
            <sz val="12"/>
            <color theme="1"/>
            <rFont val="Aptos Narrow"/>
            <family val="2"/>
            <scheme val="minor"/>
          </rPr>
          <t>Tặng phiếu mua hàng mua AirPods và Apple Watch trị giá 500,000đ
 Phiếu mua hàng mua sản phẩm giá niêm yết từ 5 triệu thuộc các nhóm TAI NGHE - LOA hãng HARMAN KARDON, JBL,MONSTER, KLIPSCH, MARSHALL, SONY; Smartwatch hãng HUAWEI, GARMIN, SAMSUNG, IMOO, OPPO, AMAZFIT trị giá 500.000đ</t>
        </r>
      </text>
    </comment>
    <comment ref="C6" authorId="4" shapeId="0" xr:uid="{00000000-0006-0000-3E00-00000C000000}">
      <text>
        <r>
          <rPr>
            <sz val="12"/>
            <color theme="1"/>
            <rFont val="Aptos Narrow"/>
            <family val="2"/>
            <scheme val="minor"/>
          </rPr>
          <t>W13 30490</t>
        </r>
      </text>
    </comment>
    <comment ref="D6" authorId="2" shapeId="0" xr:uid="{00000000-0006-0000-3E00-00000D000000}">
      <text>
        <r>
          <rPr>
            <sz val="12"/>
            <color theme="1"/>
            <rFont val="Aptos Narrow"/>
            <family val="2"/>
            <scheme val="minor"/>
          </rPr>
          <t>Việt Hoàng:
30.490.000</t>
        </r>
      </text>
    </comment>
    <comment ref="E6" authorId="0" shapeId="0" xr:uid="{00000000-0006-0000-3E00-00000E000000}">
      <text>
        <r>
          <rPr>
            <sz val="12"/>
            <color theme="1"/>
            <rFont val="Aptos Narrow"/>
            <family val="2"/>
            <scheme val="minor"/>
          </rPr>
          <t xml:space="preserve">Giờ vàng
</t>
        </r>
      </text>
    </comment>
    <comment ref="F6" authorId="1" shapeId="0" xr:uid="{00000000-0006-0000-3E00-00000F000000}">
      <text>
        <r>
          <rPr>
            <sz val="12"/>
            <color theme="1"/>
            <rFont val="Aptos Narrow"/>
            <family val="2"/>
            <scheme val="minor"/>
          </rPr>
          <t>chit trang:
30.290</t>
        </r>
      </text>
    </comment>
    <comment ref="C7" authorId="4" shapeId="0" xr:uid="{00000000-0006-0000-3E00-000010000000}">
      <text>
        <r>
          <rPr>
            <sz val="12"/>
            <color theme="1"/>
            <rFont val="Aptos Narrow"/>
            <family val="2"/>
            <scheme val="minor"/>
          </rPr>
          <t>W13 15790</t>
        </r>
      </text>
    </comment>
    <comment ref="D7" authorId="2" shapeId="0" xr:uid="{00000000-0006-0000-3E00-000011000000}">
      <text>
        <r>
          <rPr>
            <sz val="12"/>
            <color theme="1"/>
            <rFont val="Aptos Narrow"/>
            <family val="2"/>
            <scheme val="minor"/>
          </rPr>
          <t>Việt Hoàng:
15.790.000</t>
        </r>
      </text>
    </comment>
    <comment ref="F7" authorId="1" shapeId="0" xr:uid="{00000000-0006-0000-3E00-000012000000}">
      <text>
        <r>
          <rPr>
            <sz val="12"/>
            <color theme="1"/>
            <rFont val="Aptos Narrow"/>
            <family val="2"/>
            <scheme val="minor"/>
          </rPr>
          <t>chit trang:
15.590k</t>
        </r>
      </text>
    </comment>
    <comment ref="G7" authorId="3" shapeId="0" xr:uid="{00000000-0006-0000-3E00-000013000000}">
      <text>
        <r>
          <rPr>
            <sz val="12"/>
            <color theme="1"/>
            <rFont val="Aptos Narrow"/>
            <family val="2"/>
            <scheme val="minor"/>
          </rPr>
          <t>Tran Dat:
15.490</t>
        </r>
      </text>
    </comment>
    <comment ref="F8" authorId="1" shapeId="0" xr:uid="{00000000-0006-0000-3E00-000014000000}">
      <text>
        <r>
          <rPr>
            <sz val="12"/>
            <color theme="1"/>
            <rFont val="Aptos Narrow"/>
            <family val="2"/>
            <scheme val="minor"/>
          </rPr>
          <t>chit trang:
19.290k</t>
        </r>
      </text>
    </comment>
    <comment ref="B9" authorId="0" shapeId="0" xr:uid="{00000000-0006-0000-3E00-000015000000}">
      <text>
        <r>
          <rPr>
            <sz val="12"/>
            <color theme="1"/>
            <rFont val="Aptos Narrow"/>
            <family val="2"/>
            <scheme val="minor"/>
          </rPr>
          <t>was 29140000
VNP150</t>
        </r>
      </text>
    </comment>
    <comment ref="C9" authorId="4" shapeId="0" xr:uid="{00000000-0006-0000-3E00-000016000000}">
      <text>
        <r>
          <rPr>
            <sz val="12"/>
            <color theme="1"/>
            <rFont val="Aptos Narrow"/>
            <family val="2"/>
            <scheme val="minor"/>
          </rPr>
          <t>W13 29.990</t>
        </r>
      </text>
    </comment>
    <comment ref="F9" authorId="1" shapeId="0" xr:uid="{00000000-0006-0000-3E00-000017000000}">
      <text>
        <r>
          <rPr>
            <sz val="12"/>
            <color theme="1"/>
            <rFont val="Aptos Narrow"/>
            <family val="2"/>
            <scheme val="minor"/>
          </rPr>
          <t>chit trang:
28.290</t>
        </r>
      </text>
    </comment>
    <comment ref="B10" authorId="0" shapeId="0" xr:uid="{00000000-0006-0000-3E00-000018000000}">
      <text>
        <r>
          <rPr>
            <sz val="12"/>
            <color theme="1"/>
            <rFont val="Aptos Narrow"/>
            <family val="2"/>
            <scheme val="minor"/>
          </rPr>
          <t>was 18440</t>
        </r>
      </text>
    </comment>
    <comment ref="C11" authorId="4" shapeId="0" xr:uid="{00000000-0006-0000-3E00-000019000000}">
      <text>
        <r>
          <rPr>
            <sz val="12"/>
            <color theme="1"/>
            <rFont val="Aptos Narrow"/>
            <family val="2"/>
            <scheme val="minor"/>
          </rPr>
          <t>W13 12.790</t>
        </r>
      </text>
    </comment>
    <comment ref="D11" authorId="2" shapeId="0" xr:uid="{00000000-0006-0000-3E00-00001A000000}">
      <text>
        <r>
          <rPr>
            <sz val="12"/>
            <color theme="1"/>
            <rFont val="Aptos Narrow"/>
            <family val="2"/>
            <scheme val="minor"/>
          </rPr>
          <t>Việt Hoàng:
12.690.000</t>
        </r>
      </text>
    </comment>
    <comment ref="G11" authorId="3" shapeId="0" xr:uid="{00000000-0006-0000-3E00-00001B000000}">
      <text>
        <r>
          <rPr>
            <sz val="12"/>
            <color theme="1"/>
            <rFont val="Aptos Narrow"/>
            <family val="2"/>
            <scheme val="minor"/>
          </rPr>
          <t>Tran Dat:
12590</t>
        </r>
      </text>
    </comment>
    <comment ref="B12" authorId="0" shapeId="0" xr:uid="{00000000-0006-0000-3E00-00001C000000}">
      <text>
        <r>
          <rPr>
            <sz val="12"/>
            <color theme="1"/>
            <rFont val="Aptos Narrow"/>
            <family val="2"/>
            <scheme val="minor"/>
          </rPr>
          <t>was 13190
VNP100</t>
        </r>
      </text>
    </comment>
    <comment ref="C12" authorId="4" shapeId="0" xr:uid="{00000000-0006-0000-3E00-00001D000000}">
      <text>
        <r>
          <rPr>
            <sz val="12"/>
            <color theme="1"/>
            <rFont val="Aptos Narrow"/>
            <family val="2"/>
            <scheme val="minor"/>
          </rPr>
          <t>W13 11.790</t>
        </r>
      </text>
    </comment>
    <comment ref="E12" authorId="0" shapeId="0" xr:uid="{00000000-0006-0000-3E00-00001E000000}">
      <text>
        <r>
          <rPr>
            <sz val="12"/>
            <color theme="1"/>
            <rFont val="Aptos Narrow"/>
            <family val="2"/>
            <scheme val="minor"/>
          </rPr>
          <t>Giờ vàng</t>
        </r>
      </text>
    </comment>
    <comment ref="C14" authorId="4" shapeId="0" xr:uid="{00000000-0006-0000-3E00-00001F000000}">
      <text>
        <r>
          <rPr>
            <sz val="12"/>
            <color theme="1"/>
            <rFont val="Aptos Narrow"/>
            <family val="2"/>
            <scheme val="minor"/>
          </rPr>
          <t>W12 11790</t>
        </r>
      </text>
    </comment>
    <comment ref="B15" authorId="0" shapeId="0" xr:uid="{00000000-0006-0000-3E00-000020000000}">
      <text>
        <r>
          <rPr>
            <sz val="12"/>
            <color theme="1"/>
            <rFont val="Aptos Narrow"/>
            <family val="2"/>
            <scheme val="minor"/>
          </rPr>
          <t>was 7040
VNP40</t>
        </r>
      </text>
    </comment>
    <comment ref="C15" authorId="4" shapeId="0" xr:uid="{00000000-0006-0000-3E00-000021000000}">
      <text>
        <r>
          <rPr>
            <sz val="12"/>
            <color theme="1"/>
            <rFont val="Aptos Narrow"/>
            <family val="2"/>
            <scheme val="minor"/>
          </rPr>
          <t>W12 8690</t>
        </r>
      </text>
    </comment>
    <comment ref="D15" authorId="2" shapeId="0" xr:uid="{00000000-0006-0000-3E00-000022000000}">
      <text>
        <r>
          <rPr>
            <sz val="12"/>
            <color theme="1"/>
            <rFont val="Aptos Narrow"/>
            <family val="2"/>
            <scheme val="minor"/>
          </rPr>
          <t>Việt Hoàng:
9.890.000</t>
        </r>
      </text>
    </comment>
    <comment ref="B16" authorId="0" shapeId="0" xr:uid="{00000000-0006-0000-3E00-000023000000}">
      <text>
        <r>
          <rPr>
            <sz val="12"/>
            <color theme="1"/>
            <rFont val="Aptos Narrow"/>
            <family val="2"/>
            <scheme val="minor"/>
          </rPr>
          <t>was 14390</t>
        </r>
      </text>
    </comment>
    <comment ref="G16" authorId="3" shapeId="0" xr:uid="{00000000-0006-0000-3E00-000024000000}">
      <text>
        <r>
          <rPr>
            <sz val="12"/>
            <color theme="1"/>
            <rFont val="Aptos Narrow"/>
            <family val="2"/>
            <scheme val="minor"/>
          </rPr>
          <t>Tran Dat:
16.050</t>
        </r>
      </text>
    </comment>
    <comment ref="D17" authorId="2" shapeId="0" xr:uid="{00000000-0006-0000-3E00-000025000000}">
      <text>
        <r>
          <rPr>
            <sz val="12"/>
            <color theme="1"/>
            <rFont val="Aptos Narrow"/>
            <family val="2"/>
            <scheme val="minor"/>
          </rPr>
          <t>Việt Hoàng:
22.390.000</t>
        </r>
      </text>
    </comment>
    <comment ref="D18" authorId="2" shapeId="0" xr:uid="{00000000-0006-0000-3E00-000026000000}">
      <text>
        <r>
          <rPr>
            <sz val="12"/>
            <color theme="1"/>
            <rFont val="Aptos Narrow"/>
            <family val="2"/>
            <scheme val="minor"/>
          </rPr>
          <t>Việt Hoàng:
27.690.000</t>
        </r>
      </text>
    </comment>
    <comment ref="F18" authorId="1" shapeId="0" xr:uid="{00000000-0006-0000-3E00-000027000000}">
      <text>
        <r>
          <rPr>
            <sz val="12"/>
            <color theme="1"/>
            <rFont val="Aptos Narrow"/>
            <family val="2"/>
            <scheme val="minor"/>
          </rPr>
          <t>chit trang:
26.990</t>
        </r>
      </text>
    </comment>
    <comment ref="B19" authorId="0" shapeId="0" xr:uid="{00000000-0006-0000-3E00-000028000000}">
      <text>
        <r>
          <rPr>
            <sz val="12"/>
            <color theme="1"/>
            <rFont val="Aptos Narrow"/>
            <family val="2"/>
            <scheme val="minor"/>
          </rPr>
          <t>was 36640</t>
        </r>
      </text>
    </comment>
    <comment ref="D19" authorId="2" shapeId="0" xr:uid="{00000000-0006-0000-3E00-000029000000}">
      <text>
        <r>
          <rPr>
            <sz val="12"/>
            <color theme="1"/>
            <rFont val="Aptos Narrow"/>
            <family val="2"/>
            <scheme val="minor"/>
          </rPr>
          <t>Việt Hoàng:
36.690.000</t>
        </r>
      </text>
    </comment>
    <comment ref="D20" authorId="2" shapeId="0" xr:uid="{00000000-0006-0000-3E00-00002A000000}">
      <text>
        <r>
          <rPr>
            <sz val="12"/>
            <color theme="1"/>
            <rFont val="Aptos Narrow"/>
            <family val="2"/>
            <scheme val="minor"/>
          </rPr>
          <t>Việt Hoàng:
5.790.000</t>
        </r>
      </text>
    </comment>
    <comment ref="D21" authorId="2" shapeId="0" xr:uid="{00000000-0006-0000-3E00-00002B000000}">
      <text>
        <r>
          <rPr>
            <sz val="12"/>
            <color theme="1"/>
            <rFont val="Aptos Narrow"/>
            <family val="2"/>
            <scheme val="minor"/>
          </rPr>
          <t>Việt Hoàng:
6.690.000</t>
        </r>
      </text>
    </comment>
    <comment ref="F21" authorId="1" shapeId="0" xr:uid="{00000000-0006-0000-3E00-00002C000000}">
      <text>
        <r>
          <rPr>
            <sz val="12"/>
            <color theme="1"/>
            <rFont val="Aptos Narrow"/>
            <family val="2"/>
            <scheme val="minor"/>
          </rPr>
          <t>chit trang:
6.690</t>
        </r>
      </text>
    </comment>
    <comment ref="D22" authorId="2" shapeId="0" xr:uid="{00000000-0006-0000-3E00-00002D000000}">
      <text>
        <r>
          <rPr>
            <sz val="12"/>
            <color theme="1"/>
            <rFont val="Aptos Narrow"/>
            <family val="2"/>
            <scheme val="minor"/>
          </rPr>
          <t>Việt Hoàng:
6.590.000</t>
        </r>
      </text>
    </comment>
    <comment ref="D23" authorId="2" shapeId="0" xr:uid="{00000000-0006-0000-3E00-00002E000000}">
      <text>
        <r>
          <rPr>
            <sz val="12"/>
            <color theme="1"/>
            <rFont val="Aptos Narrow"/>
            <family val="2"/>
            <scheme val="minor"/>
          </rPr>
          <t>Việt Hoàng:
7.890.000</t>
        </r>
      </text>
    </comment>
    <comment ref="D24" authorId="2" shapeId="0" xr:uid="{00000000-0006-0000-3E00-00002F000000}">
      <text>
        <r>
          <rPr>
            <sz val="12"/>
            <color theme="1"/>
            <rFont val="Aptos Narrow"/>
            <family val="2"/>
            <scheme val="minor"/>
          </rPr>
          <t>Việt Hoàng:
10.690.000</t>
        </r>
      </text>
    </comment>
    <comment ref="F24" authorId="1" shapeId="0" xr:uid="{00000000-0006-0000-3E00-000030000000}">
      <text>
        <r>
          <rPr>
            <sz val="12"/>
            <color theme="1"/>
            <rFont val="Aptos Narrow"/>
            <family val="2"/>
            <scheme val="minor"/>
          </rPr>
          <t>chit trang:
10.590k</t>
        </r>
      </text>
    </comment>
    <comment ref="D25" authorId="2" shapeId="0" xr:uid="{00000000-0006-0000-3E00-000031000000}">
      <text>
        <r>
          <rPr>
            <sz val="12"/>
            <color theme="1"/>
            <rFont val="Aptos Narrow"/>
            <family val="2"/>
            <scheme val="minor"/>
          </rPr>
          <t>Việt Hoàng:
12.690.000</t>
        </r>
      </text>
    </comment>
    <comment ref="E25" authorId="0" shapeId="0" xr:uid="{00000000-0006-0000-3E00-000032000000}">
      <text>
        <r>
          <rPr>
            <sz val="12"/>
            <color theme="1"/>
            <rFont val="Aptos Narrow"/>
            <family val="2"/>
            <scheme val="minor"/>
          </rPr>
          <t>was 12563
vnp1%</t>
        </r>
      </text>
    </comment>
    <comment ref="D26" authorId="2" shapeId="0" xr:uid="{00000000-0006-0000-3E00-000033000000}">
      <text>
        <r>
          <rPr>
            <sz val="12"/>
            <color theme="1"/>
            <rFont val="Aptos Narrow"/>
            <family val="2"/>
            <scheme val="minor"/>
          </rPr>
          <t>Việt Hoàng:
11.490.000</t>
        </r>
      </text>
    </comment>
    <comment ref="B27" authorId="0" shapeId="0" xr:uid="{00000000-0006-0000-3E00-000034000000}">
      <text>
        <r>
          <rPr>
            <sz val="12"/>
            <color theme="1"/>
            <rFont val="Aptos Narrow"/>
            <family val="2"/>
            <scheme val="minor"/>
          </rPr>
          <t>was 13320
VNP100</t>
        </r>
      </text>
    </comment>
    <comment ref="E27" authorId="0" shapeId="0" xr:uid="{00000000-0006-0000-3E00-000035000000}">
      <text>
        <r>
          <rPr>
            <sz val="12"/>
            <color theme="1"/>
            <rFont val="Aptos Narrow"/>
            <family val="2"/>
            <scheme val="minor"/>
          </rPr>
          <t>was 13256
vnp1%</t>
        </r>
      </text>
    </comment>
    <comment ref="D28" authorId="2" shapeId="0" xr:uid="{00000000-0006-0000-3E00-000036000000}">
      <text>
        <r>
          <rPr>
            <sz val="12"/>
            <color theme="1"/>
            <rFont val="Aptos Narrow"/>
            <family val="2"/>
            <scheme val="minor"/>
          </rPr>
          <t>Việt Hoàng:
21.990.000</t>
        </r>
      </text>
    </comment>
    <comment ref="B29" authorId="0" shapeId="0" xr:uid="{00000000-0006-0000-3E00-000037000000}">
      <text>
        <r>
          <rPr>
            <sz val="12"/>
            <color theme="1"/>
            <rFont val="Aptos Narrow"/>
            <family val="2"/>
            <scheme val="minor"/>
          </rPr>
          <t>was 5550
VNP40</t>
        </r>
      </text>
    </comment>
    <comment ref="D29" authorId="2" shapeId="0" xr:uid="{00000000-0006-0000-3E00-000038000000}">
      <text>
        <r>
          <rPr>
            <sz val="12"/>
            <color theme="1"/>
            <rFont val="Aptos Narrow"/>
            <family val="2"/>
            <scheme val="minor"/>
          </rPr>
          <t>Việt Hoàng:
5.640.000</t>
        </r>
      </text>
    </comment>
    <comment ref="B30" authorId="0" shapeId="0" xr:uid="{00000000-0006-0000-3E00-000039000000}">
      <text>
        <r>
          <rPr>
            <sz val="12"/>
            <color theme="1"/>
            <rFont val="Aptos Narrow"/>
            <family val="2"/>
            <scheme val="minor"/>
          </rPr>
          <t xml:space="preserve">was 4490
</t>
        </r>
      </text>
    </comment>
    <comment ref="B31" authorId="0" shapeId="0" xr:uid="{00000000-0006-0000-3E00-00003A000000}">
      <text>
        <r>
          <rPr>
            <sz val="12"/>
            <color theme="1"/>
            <rFont val="Aptos Narrow"/>
            <family val="2"/>
            <scheme val="minor"/>
          </rPr>
          <t>was 3190</t>
        </r>
      </text>
    </comment>
    <comment ref="E31" authorId="0" shapeId="0" xr:uid="{00000000-0006-0000-3E00-00003B000000}">
      <text>
        <r>
          <rPr>
            <sz val="12"/>
            <color theme="1"/>
            <rFont val="Aptos Narrow"/>
            <family val="2"/>
            <scheme val="minor"/>
          </rPr>
          <t>was 3190</t>
        </r>
      </text>
    </comment>
    <comment ref="B32" authorId="0" shapeId="0" xr:uid="{00000000-0006-0000-3E00-00003C000000}">
      <text>
        <r>
          <rPr>
            <sz val="12"/>
            <color theme="1"/>
            <rFont val="Aptos Narrow"/>
            <family val="2"/>
            <scheme val="minor"/>
          </rPr>
          <t>was 18090
VNP100</t>
        </r>
      </text>
    </comment>
    <comment ref="D33" authorId="2" shapeId="0" xr:uid="{00000000-0006-0000-3E00-00003D000000}">
      <text>
        <r>
          <rPr>
            <sz val="12"/>
            <color theme="1"/>
            <rFont val="Aptos Narrow"/>
            <family val="2"/>
            <scheme val="minor"/>
          </rPr>
          <t>Việt Hoàng:
20.790.000</t>
        </r>
      </text>
    </comment>
    <comment ref="F33" authorId="1" shapeId="0" xr:uid="{00000000-0006-0000-3E00-00003E000000}">
      <text>
        <r>
          <rPr>
            <sz val="12"/>
            <color theme="1"/>
            <rFont val="Aptos Narrow"/>
            <family val="2"/>
            <scheme val="minor"/>
          </rPr>
          <t>chit trang:
20.790</t>
        </r>
      </text>
    </comment>
    <comment ref="B34" authorId="0" shapeId="0" xr:uid="{00000000-0006-0000-3E00-00003F000000}">
      <text>
        <r>
          <rPr>
            <sz val="12"/>
            <color theme="1"/>
            <rFont val="Aptos Narrow"/>
            <family val="2"/>
            <scheme val="minor"/>
          </rPr>
          <t>was 26140
VNP150</t>
        </r>
      </text>
    </comment>
    <comment ref="D35" authorId="2" shapeId="0" xr:uid="{00000000-0006-0000-3E00-000040000000}">
      <text>
        <r>
          <rPr>
            <sz val="12"/>
            <color theme="1"/>
            <rFont val="Aptos Narrow"/>
            <family val="2"/>
            <scheme val="minor"/>
          </rPr>
          <t>Việt Hoàng:
26.290.000</t>
        </r>
      </text>
    </comment>
    <comment ref="D36" authorId="2" shapeId="0" xr:uid="{00000000-0006-0000-3E00-000041000000}">
      <text>
        <r>
          <rPr>
            <sz val="12"/>
            <color theme="1"/>
            <rFont val="Aptos Narrow"/>
            <family val="2"/>
            <scheme val="minor"/>
          </rPr>
          <t>Việt Hoàng:
31.890.000</t>
        </r>
      </text>
    </comment>
    <comment ref="D37" authorId="2" shapeId="0" xr:uid="{00000000-0006-0000-3E00-000042000000}">
      <text>
        <r>
          <rPr>
            <sz val="12"/>
            <color theme="1"/>
            <rFont val="Aptos Narrow"/>
            <family val="2"/>
            <scheme val="minor"/>
          </rPr>
          <t>Việt Hoàng:
39.590.000</t>
        </r>
      </text>
    </comment>
  </commentList>
</comments>
</file>

<file path=xl/comments64.xml><?xml version="1.0" encoding="utf-8"?>
<comments xmlns="http://schemas.openxmlformats.org/spreadsheetml/2006/main" xmlns:mc="http://schemas.openxmlformats.org/markup-compatibility/2006" xmlns:xr="http://schemas.microsoft.com/office/spreadsheetml/2014/revision" mc:Ignorable="xr">
  <authors>
    <author>Microsoft Office User</author>
    <author>chit trang</author>
    <author>Tran Dat</author>
    <author>Duy</author>
    <author>Việt Hoàng</author>
  </authors>
  <commentList>
    <comment ref="E2" authorId="0" shapeId="0" xr:uid="{00000000-0006-0000-3F00-000001000000}">
      <text>
        <r>
          <rPr>
            <sz val="12"/>
            <color theme="1"/>
            <rFont val="Aptos Narrow"/>
            <family val="2"/>
            <scheme val="minor"/>
          </rPr>
          <t>giờ vàng</t>
        </r>
      </text>
    </comment>
    <comment ref="F2" authorId="1" shapeId="0" xr:uid="{00000000-0006-0000-3F00-000002000000}">
      <text>
        <r>
          <rPr>
            <sz val="12"/>
            <color theme="1"/>
            <rFont val="Aptos Narrow"/>
            <family val="2"/>
            <scheme val="minor"/>
          </rPr>
          <t>chit trang:
16.190</t>
        </r>
      </text>
    </comment>
    <comment ref="E3" authorId="0" shapeId="0" xr:uid="{00000000-0006-0000-3F00-000003000000}">
      <text>
        <r>
          <rPr>
            <sz val="12"/>
            <color theme="1"/>
            <rFont val="Aptos Narrow"/>
            <family val="2"/>
            <scheme val="minor"/>
          </rPr>
          <t>Giờ vàng</t>
        </r>
      </text>
    </comment>
    <comment ref="F3" authorId="1" shapeId="0" xr:uid="{00000000-0006-0000-3F00-000004000000}">
      <text>
        <r>
          <rPr>
            <sz val="12"/>
            <color theme="1"/>
            <rFont val="Aptos Narrow"/>
            <family val="2"/>
            <scheme val="minor"/>
          </rPr>
          <t>chit trang:
18.690k</t>
        </r>
      </text>
    </comment>
    <comment ref="G3" authorId="2" shapeId="0" xr:uid="{00000000-0006-0000-3F00-000005000000}">
      <text>
        <r>
          <rPr>
            <sz val="12"/>
            <color theme="1"/>
            <rFont val="Aptos Narrow"/>
            <family val="2"/>
            <scheme val="minor"/>
          </rPr>
          <t>Tran Dat:
18690</t>
        </r>
      </text>
    </comment>
    <comment ref="B4" authorId="0" shapeId="0" xr:uid="{00000000-0006-0000-3F00-000006000000}">
      <text>
        <r>
          <rPr>
            <sz val="12"/>
            <color theme="1"/>
            <rFont val="Aptos Narrow"/>
            <family val="2"/>
            <scheme val="minor"/>
          </rPr>
          <t>was 24640000
VNP150</t>
        </r>
      </text>
    </comment>
    <comment ref="E4" authorId="0" shapeId="0" xr:uid="{00000000-0006-0000-3F00-000007000000}">
      <text>
        <r>
          <rPr>
            <sz val="12"/>
            <color theme="1"/>
            <rFont val="Aptos Narrow"/>
            <family val="2"/>
            <scheme val="minor"/>
          </rPr>
          <t>Giờ vàng</t>
        </r>
      </text>
    </comment>
    <comment ref="F4" authorId="1" shapeId="0" xr:uid="{00000000-0006-0000-3F00-000008000000}">
      <text>
        <r>
          <rPr>
            <sz val="12"/>
            <color theme="1"/>
            <rFont val="Aptos Narrow"/>
            <family val="2"/>
            <scheme val="minor"/>
          </rPr>
          <t>chit trang:
21.990</t>
        </r>
      </text>
    </comment>
    <comment ref="E5" authorId="0" shapeId="0" xr:uid="{00000000-0006-0000-3F00-000009000000}">
      <text>
        <r>
          <rPr>
            <sz val="12"/>
            <color theme="1"/>
            <rFont val="Aptos Narrow"/>
            <family val="2"/>
            <scheme val="minor"/>
          </rPr>
          <t xml:space="preserve">Giờ vàng
</t>
        </r>
      </text>
    </comment>
    <comment ref="B6" authorId="0" shapeId="0" xr:uid="{00000000-0006-0000-3F00-00000A000000}">
      <text>
        <r>
          <rPr>
            <sz val="12"/>
            <color theme="1"/>
            <rFont val="Aptos Narrow"/>
            <family val="2"/>
            <scheme val="minor"/>
          </rPr>
          <t>Tặng phiếu mua hàng mua AirPods và Apple Watch trị giá 500,000đ
 Phiếu mua hàng mua sản phẩm giá niêm yết từ 5 triệu thuộc các nhóm TAI NGHE - LOA hãng HARMAN KARDON, JBL,MONSTER, KLIPSCH, MARSHALL, SONY; Smartwatch hãng HUAWEI, GARMIN, SAMSUNG, IMOO, OPPO, AMAZFIT trị giá 500.000đ</t>
        </r>
      </text>
    </comment>
    <comment ref="C6" authorId="3" shapeId="0" xr:uid="{00000000-0006-0000-3F00-00000B000000}">
      <text>
        <r>
          <rPr>
            <sz val="12"/>
            <color theme="1"/>
            <rFont val="Aptos Narrow"/>
            <family val="2"/>
            <scheme val="minor"/>
          </rPr>
          <t>W13 30490</t>
        </r>
      </text>
    </comment>
    <comment ref="E6" authorId="0" shapeId="0" xr:uid="{00000000-0006-0000-3F00-00000C000000}">
      <text>
        <r>
          <rPr>
            <sz val="12"/>
            <color theme="1"/>
            <rFont val="Aptos Narrow"/>
            <family val="2"/>
            <scheme val="minor"/>
          </rPr>
          <t xml:space="preserve">Giờ vàng
</t>
        </r>
      </text>
    </comment>
    <comment ref="F6" authorId="1" shapeId="0" xr:uid="{00000000-0006-0000-3F00-00000D000000}">
      <text>
        <r>
          <rPr>
            <sz val="12"/>
            <color theme="1"/>
            <rFont val="Aptos Narrow"/>
            <family val="2"/>
            <scheme val="minor"/>
          </rPr>
          <t>chit trang:
30.090</t>
        </r>
      </text>
    </comment>
    <comment ref="G6" authorId="2" shapeId="0" xr:uid="{00000000-0006-0000-3F00-00000E000000}">
      <text>
        <r>
          <rPr>
            <sz val="12"/>
            <color theme="1"/>
            <rFont val="Aptos Narrow"/>
            <family val="2"/>
            <scheme val="minor"/>
          </rPr>
          <t>Tran Dat:
29.890</t>
        </r>
      </text>
    </comment>
    <comment ref="C7" authorId="3" shapeId="0" xr:uid="{00000000-0006-0000-3F00-00000F000000}">
      <text>
        <r>
          <rPr>
            <sz val="12"/>
            <color theme="1"/>
            <rFont val="Aptos Narrow"/>
            <family val="2"/>
            <scheme val="minor"/>
          </rPr>
          <t>W13 15790</t>
        </r>
      </text>
    </comment>
    <comment ref="F8" authorId="1" shapeId="0" xr:uid="{00000000-0006-0000-3F00-000010000000}">
      <text>
        <r>
          <rPr>
            <sz val="12"/>
            <color theme="1"/>
            <rFont val="Aptos Narrow"/>
            <family val="2"/>
            <scheme val="minor"/>
          </rPr>
          <t>chit trang:
19.190k</t>
        </r>
      </text>
    </comment>
    <comment ref="B9" authorId="0" shapeId="0" xr:uid="{00000000-0006-0000-3F00-000011000000}">
      <text>
        <r>
          <rPr>
            <sz val="12"/>
            <color theme="1"/>
            <rFont val="Aptos Narrow"/>
            <family val="2"/>
            <scheme val="minor"/>
          </rPr>
          <t>was 29140000
VNP150</t>
        </r>
      </text>
    </comment>
    <comment ref="C9" authorId="3" shapeId="0" xr:uid="{00000000-0006-0000-3F00-000012000000}">
      <text>
        <r>
          <rPr>
            <sz val="12"/>
            <color theme="1"/>
            <rFont val="Aptos Narrow"/>
            <family val="2"/>
            <scheme val="minor"/>
          </rPr>
          <t>W13 29.990</t>
        </r>
      </text>
    </comment>
    <comment ref="F9" authorId="1" shapeId="0" xr:uid="{00000000-0006-0000-3F00-000013000000}">
      <text>
        <r>
          <rPr>
            <sz val="12"/>
            <color theme="1"/>
            <rFont val="Aptos Narrow"/>
            <family val="2"/>
            <scheme val="minor"/>
          </rPr>
          <t>chit trang:
28.650</t>
        </r>
      </text>
    </comment>
    <comment ref="B10" authorId="0" shapeId="0" xr:uid="{00000000-0006-0000-3F00-000014000000}">
      <text>
        <r>
          <rPr>
            <sz val="12"/>
            <color theme="1"/>
            <rFont val="Aptos Narrow"/>
            <family val="2"/>
            <scheme val="minor"/>
          </rPr>
          <t>was 18440</t>
        </r>
      </text>
    </comment>
    <comment ref="C11" authorId="3" shapeId="0" xr:uid="{00000000-0006-0000-3F00-000015000000}">
      <text>
        <r>
          <rPr>
            <sz val="12"/>
            <color theme="1"/>
            <rFont val="Aptos Narrow"/>
            <family val="2"/>
            <scheme val="minor"/>
          </rPr>
          <t>W13 12.790</t>
        </r>
      </text>
    </comment>
    <comment ref="D11" authorId="4" shapeId="0" xr:uid="{00000000-0006-0000-3F00-000016000000}">
      <text>
        <r>
          <rPr>
            <sz val="12"/>
            <color theme="1"/>
            <rFont val="Aptos Narrow"/>
            <family val="2"/>
            <scheme val="minor"/>
          </rPr>
          <t>Việt Hoàng:
12.790.000</t>
        </r>
      </text>
    </comment>
    <comment ref="B12" authorId="0" shapeId="0" xr:uid="{00000000-0006-0000-3F00-000017000000}">
      <text>
        <r>
          <rPr>
            <sz val="12"/>
            <color theme="1"/>
            <rFont val="Aptos Narrow"/>
            <family val="2"/>
            <scheme val="minor"/>
          </rPr>
          <t>was 13190
VNP100</t>
        </r>
      </text>
    </comment>
    <comment ref="C12" authorId="3" shapeId="0" xr:uid="{00000000-0006-0000-3F00-000018000000}">
      <text>
        <r>
          <rPr>
            <sz val="12"/>
            <color theme="1"/>
            <rFont val="Aptos Narrow"/>
            <family val="2"/>
            <scheme val="minor"/>
          </rPr>
          <t>W13 11.790</t>
        </r>
      </text>
    </comment>
    <comment ref="E12" authorId="0" shapeId="0" xr:uid="{00000000-0006-0000-3F00-000019000000}">
      <text>
        <r>
          <rPr>
            <sz val="12"/>
            <color theme="1"/>
            <rFont val="Aptos Narrow"/>
            <family val="2"/>
            <scheme val="minor"/>
          </rPr>
          <t>Giờ vàng</t>
        </r>
      </text>
    </comment>
    <comment ref="G12" authorId="2" shapeId="0" xr:uid="{00000000-0006-0000-3F00-00001A000000}">
      <text>
        <r>
          <rPr>
            <sz val="12"/>
            <color theme="1"/>
            <rFont val="Aptos Narrow"/>
            <family val="2"/>
            <scheme val="minor"/>
          </rPr>
          <t>Tran Dat:
11590</t>
        </r>
      </text>
    </comment>
    <comment ref="C14" authorId="3" shapeId="0" xr:uid="{00000000-0006-0000-3F00-00001B000000}">
      <text>
        <r>
          <rPr>
            <sz val="12"/>
            <color theme="1"/>
            <rFont val="Aptos Narrow"/>
            <family val="2"/>
            <scheme val="minor"/>
          </rPr>
          <t>W12 11790</t>
        </r>
      </text>
    </comment>
    <comment ref="F14" authorId="1" shapeId="0" xr:uid="{00000000-0006-0000-3F00-00001C000000}">
      <text>
        <r>
          <rPr>
            <sz val="12"/>
            <color theme="1"/>
            <rFont val="Aptos Narrow"/>
            <family val="2"/>
            <scheme val="minor"/>
          </rPr>
          <t>chit trang:
13,790</t>
        </r>
      </text>
    </comment>
    <comment ref="B15" authorId="0" shapeId="0" xr:uid="{00000000-0006-0000-3F00-00001D000000}">
      <text>
        <r>
          <rPr>
            <sz val="12"/>
            <color theme="1"/>
            <rFont val="Aptos Narrow"/>
            <family val="2"/>
            <scheme val="minor"/>
          </rPr>
          <t>was 7040
VNP40</t>
        </r>
      </text>
    </comment>
    <comment ref="C15" authorId="3" shapeId="0" xr:uid="{00000000-0006-0000-3F00-00001E000000}">
      <text>
        <r>
          <rPr>
            <sz val="12"/>
            <color theme="1"/>
            <rFont val="Aptos Narrow"/>
            <family val="2"/>
            <scheme val="minor"/>
          </rPr>
          <t>W12 8690</t>
        </r>
      </text>
    </comment>
    <comment ref="G15" authorId="2" shapeId="0" xr:uid="{00000000-0006-0000-3F00-00001F000000}">
      <text>
        <r>
          <rPr>
            <sz val="12"/>
            <color theme="1"/>
            <rFont val="Aptos Narrow"/>
            <family val="2"/>
            <scheme val="minor"/>
          </rPr>
          <t>Tran Dat:
9590</t>
        </r>
      </text>
    </comment>
    <comment ref="B16" authorId="0" shapeId="0" xr:uid="{00000000-0006-0000-3F00-000020000000}">
      <text>
        <r>
          <rPr>
            <sz val="12"/>
            <color theme="1"/>
            <rFont val="Aptos Narrow"/>
            <family val="2"/>
            <scheme val="minor"/>
          </rPr>
          <t>was 14390</t>
        </r>
      </text>
    </comment>
    <comment ref="E16" authorId="0" shapeId="0" xr:uid="{00000000-0006-0000-3F00-000021000000}">
      <text>
        <r>
          <rPr>
            <sz val="12"/>
            <color theme="1"/>
            <rFont val="Aptos Narrow"/>
            <family val="2"/>
            <scheme val="minor"/>
          </rPr>
          <t>was 16127
vnp1%</t>
        </r>
      </text>
    </comment>
    <comment ref="G16" authorId="2" shapeId="0" xr:uid="{00000000-0006-0000-3F00-000022000000}">
      <text>
        <r>
          <rPr>
            <sz val="12"/>
            <color theme="1"/>
            <rFont val="Aptos Narrow"/>
            <family val="2"/>
            <scheme val="minor"/>
          </rPr>
          <t>Tran Dat:
16.190</t>
        </r>
      </text>
    </comment>
    <comment ref="F17" authorId="1" shapeId="0" xr:uid="{00000000-0006-0000-3F00-000023000000}">
      <text>
        <r>
          <rPr>
            <sz val="12"/>
            <color theme="1"/>
            <rFont val="Aptos Narrow"/>
            <family val="2"/>
            <scheme val="minor"/>
          </rPr>
          <t>chit trang:
21.990k</t>
        </r>
      </text>
    </comment>
    <comment ref="G18" authorId="2" shapeId="0" xr:uid="{00000000-0006-0000-3F00-000024000000}">
      <text>
        <r>
          <rPr>
            <sz val="12"/>
            <color theme="1"/>
            <rFont val="Aptos Narrow"/>
            <family val="2"/>
            <scheme val="minor"/>
          </rPr>
          <t>Tran Dat:
26590</t>
        </r>
      </text>
    </comment>
    <comment ref="B19" authorId="0" shapeId="0" xr:uid="{00000000-0006-0000-3F00-000025000000}">
      <text>
        <r>
          <rPr>
            <sz val="12"/>
            <color theme="1"/>
            <rFont val="Aptos Narrow"/>
            <family val="2"/>
            <scheme val="minor"/>
          </rPr>
          <t>was 36640</t>
        </r>
      </text>
    </comment>
    <comment ref="D20" authorId="4" shapeId="0" xr:uid="{00000000-0006-0000-3F00-000026000000}">
      <text>
        <r>
          <rPr>
            <sz val="12"/>
            <color theme="1"/>
            <rFont val="Aptos Narrow"/>
            <family val="2"/>
            <scheme val="minor"/>
          </rPr>
          <t>Việt Hoàng:
5.890.000</t>
        </r>
      </text>
    </comment>
    <comment ref="E20" authorId="0" shapeId="0" xr:uid="{00000000-0006-0000-3F00-000027000000}">
      <text>
        <r>
          <rPr>
            <sz val="12"/>
            <color theme="1"/>
            <rFont val="Aptos Narrow"/>
            <family val="2"/>
            <scheme val="minor"/>
          </rPr>
          <t>was 5732
vnp1%</t>
        </r>
      </text>
    </comment>
    <comment ref="F20" authorId="1" shapeId="0" xr:uid="{00000000-0006-0000-3F00-000028000000}">
      <text>
        <r>
          <rPr>
            <sz val="12"/>
            <color theme="1"/>
            <rFont val="Aptos Narrow"/>
            <family val="2"/>
            <scheme val="minor"/>
          </rPr>
          <t>chit trang:
5.790k</t>
        </r>
      </text>
    </comment>
    <comment ref="G20" authorId="2" shapeId="0" xr:uid="{00000000-0006-0000-3F00-000029000000}">
      <text>
        <r>
          <rPr>
            <sz val="12"/>
            <color theme="1"/>
            <rFont val="Aptos Narrow"/>
            <family val="2"/>
            <scheme val="minor"/>
          </rPr>
          <t>Tran Dat:
5790</t>
        </r>
      </text>
    </comment>
    <comment ref="F21" authorId="1" shapeId="0" xr:uid="{00000000-0006-0000-3F00-00002A000000}">
      <text>
        <r>
          <rPr>
            <sz val="12"/>
            <color theme="1"/>
            <rFont val="Aptos Narrow"/>
            <family val="2"/>
            <scheme val="minor"/>
          </rPr>
          <t>chit trang:
6.590</t>
        </r>
      </text>
    </comment>
    <comment ref="D22" authorId="4" shapeId="0" xr:uid="{00000000-0006-0000-3F00-00002B000000}">
      <text>
        <r>
          <rPr>
            <sz val="12"/>
            <color theme="1"/>
            <rFont val="Aptos Narrow"/>
            <family val="2"/>
            <scheme val="minor"/>
          </rPr>
          <t>Việt Hoàng:
6.490.000</t>
        </r>
      </text>
    </comment>
    <comment ref="E22" authorId="0" shapeId="0" xr:uid="{00000000-0006-0000-3F00-00002C000000}">
      <text>
        <r>
          <rPr>
            <sz val="12"/>
            <color theme="1"/>
            <rFont val="Aptos Narrow"/>
            <family val="2"/>
            <scheme val="minor"/>
          </rPr>
          <t>was 6128
vnp1%</t>
        </r>
      </text>
    </comment>
    <comment ref="F22" authorId="1" shapeId="0" xr:uid="{00000000-0006-0000-3F00-00002D000000}">
      <text>
        <r>
          <rPr>
            <sz val="12"/>
            <color theme="1"/>
            <rFont val="Aptos Narrow"/>
            <family val="2"/>
            <scheme val="minor"/>
          </rPr>
          <t>chit trang:
6.590</t>
        </r>
      </text>
    </comment>
    <comment ref="G22" authorId="2" shapeId="0" xr:uid="{00000000-0006-0000-3F00-00002E000000}">
      <text>
        <r>
          <rPr>
            <sz val="12"/>
            <color theme="1"/>
            <rFont val="Aptos Narrow"/>
            <family val="2"/>
            <scheme val="minor"/>
          </rPr>
          <t>Tran Dat:
6590</t>
        </r>
      </text>
    </comment>
    <comment ref="D24" authorId="4" shapeId="0" xr:uid="{00000000-0006-0000-3F00-00002F000000}">
      <text>
        <r>
          <rPr>
            <sz val="12"/>
            <color theme="1"/>
            <rFont val="Aptos Narrow"/>
            <family val="2"/>
            <scheme val="minor"/>
          </rPr>
          <t>Việt Hoàng:
10.590.000</t>
        </r>
      </text>
    </comment>
    <comment ref="E24" authorId="0" shapeId="0" xr:uid="{00000000-0006-0000-3F00-000030000000}">
      <text>
        <r>
          <rPr>
            <sz val="12"/>
            <color theme="1"/>
            <rFont val="Aptos Narrow"/>
            <family val="2"/>
            <scheme val="minor"/>
          </rPr>
          <t>was 10187
vnp1%</t>
        </r>
      </text>
    </comment>
    <comment ref="F24" authorId="1" shapeId="0" xr:uid="{00000000-0006-0000-3F00-000031000000}">
      <text>
        <r>
          <rPr>
            <sz val="12"/>
            <color theme="1"/>
            <rFont val="Aptos Narrow"/>
            <family val="2"/>
            <scheme val="minor"/>
          </rPr>
          <t>chit trang:
10.790</t>
        </r>
      </text>
    </comment>
    <comment ref="G24" authorId="2" shapeId="0" xr:uid="{00000000-0006-0000-3F00-000032000000}">
      <text>
        <r>
          <rPr>
            <sz val="12"/>
            <color theme="1"/>
            <rFont val="Aptos Narrow"/>
            <family val="2"/>
            <scheme val="minor"/>
          </rPr>
          <t>Tran Dat:
10590</t>
        </r>
      </text>
    </comment>
    <comment ref="D26" authorId="4" shapeId="0" xr:uid="{00000000-0006-0000-3F00-000033000000}">
      <text>
        <r>
          <rPr>
            <sz val="12"/>
            <color theme="1"/>
            <rFont val="Aptos Narrow"/>
            <family val="2"/>
            <scheme val="minor"/>
          </rPr>
          <t>Việt Hoàng:
11.390.000</t>
        </r>
      </text>
    </comment>
    <comment ref="E26" authorId="0" shapeId="0" xr:uid="{00000000-0006-0000-3F00-000034000000}">
      <text>
        <r>
          <rPr>
            <sz val="12"/>
            <color theme="1"/>
            <rFont val="Aptos Narrow"/>
            <family val="2"/>
            <scheme val="minor"/>
          </rPr>
          <t>was 10880</t>
        </r>
      </text>
    </comment>
    <comment ref="F26" authorId="1" shapeId="0" xr:uid="{00000000-0006-0000-3F00-000035000000}">
      <text>
        <r>
          <rPr>
            <sz val="12"/>
            <color theme="1"/>
            <rFont val="Aptos Narrow"/>
            <family val="2"/>
            <scheme val="minor"/>
          </rPr>
          <t xml:space="preserve">chit trang:
</t>
        </r>
      </text>
    </comment>
    <comment ref="G26" authorId="2" shapeId="0" xr:uid="{00000000-0006-0000-3F00-000036000000}">
      <text>
        <r>
          <rPr>
            <sz val="12"/>
            <color theme="1"/>
            <rFont val="Aptos Narrow"/>
            <family val="2"/>
            <scheme val="minor"/>
          </rPr>
          <t xml:space="preserve">Tran Dat:
11290
</t>
        </r>
      </text>
    </comment>
    <comment ref="B27" authorId="0" shapeId="0" xr:uid="{00000000-0006-0000-3F00-000037000000}">
      <text>
        <r>
          <rPr>
            <sz val="12"/>
            <color theme="1"/>
            <rFont val="Aptos Narrow"/>
            <family val="2"/>
            <scheme val="minor"/>
          </rPr>
          <t>was 13320
VNP100</t>
        </r>
      </text>
    </comment>
    <comment ref="F28" authorId="1" shapeId="0" xr:uid="{00000000-0006-0000-3F00-000038000000}">
      <text>
        <r>
          <rPr>
            <sz val="12"/>
            <color theme="1"/>
            <rFont val="Aptos Narrow"/>
            <family val="2"/>
            <scheme val="minor"/>
          </rPr>
          <t>chit trang:
21.990.000</t>
        </r>
      </text>
    </comment>
    <comment ref="B29" authorId="0" shapeId="0" xr:uid="{00000000-0006-0000-3F00-000039000000}">
      <text>
        <r>
          <rPr>
            <sz val="12"/>
            <color theme="1"/>
            <rFont val="Aptos Narrow"/>
            <family val="2"/>
            <scheme val="minor"/>
          </rPr>
          <t>was 5550
VNP40</t>
        </r>
      </text>
    </comment>
    <comment ref="D29" authorId="4" shapeId="0" xr:uid="{00000000-0006-0000-3F00-00003A000000}">
      <text>
        <r>
          <rPr>
            <sz val="12"/>
            <color theme="1"/>
            <rFont val="Aptos Narrow"/>
            <family val="2"/>
            <scheme val="minor"/>
          </rPr>
          <t>Việt Hoàng:
5.500.000</t>
        </r>
      </text>
    </comment>
    <comment ref="E29" authorId="0" shapeId="0" xr:uid="{00000000-0006-0000-3F00-00003B000000}">
      <text>
        <r>
          <rPr>
            <sz val="12"/>
            <color theme="1"/>
            <rFont val="Aptos Narrow"/>
            <family val="2"/>
            <scheme val="minor"/>
          </rPr>
          <t>was 5633
vnp1%</t>
        </r>
      </text>
    </comment>
    <comment ref="F29" authorId="1" shapeId="0" xr:uid="{00000000-0006-0000-3F00-00003C000000}">
      <text>
        <r>
          <rPr>
            <sz val="12"/>
            <color theme="1"/>
            <rFont val="Aptos Narrow"/>
            <family val="2"/>
            <scheme val="minor"/>
          </rPr>
          <t>chit trang:
5.590</t>
        </r>
      </text>
    </comment>
    <comment ref="G29" authorId="2" shapeId="0" xr:uid="{00000000-0006-0000-3F00-00003D000000}">
      <text>
        <r>
          <rPr>
            <sz val="12"/>
            <color theme="1"/>
            <rFont val="Aptos Narrow"/>
            <family val="2"/>
            <scheme val="minor"/>
          </rPr>
          <t>Tran Dat:
5590</t>
        </r>
      </text>
    </comment>
    <comment ref="B30" authorId="0" shapeId="0" xr:uid="{00000000-0006-0000-3F00-00003E000000}">
      <text>
        <r>
          <rPr>
            <sz val="12"/>
            <color theme="1"/>
            <rFont val="Aptos Narrow"/>
            <family val="2"/>
            <scheme val="minor"/>
          </rPr>
          <t xml:space="preserve">was 4490
</t>
        </r>
      </text>
    </comment>
    <comment ref="D30" authorId="4" shapeId="0" xr:uid="{00000000-0006-0000-3F00-00003F000000}">
      <text>
        <r>
          <rPr>
            <sz val="12"/>
            <color theme="1"/>
            <rFont val="Aptos Narrow"/>
            <family val="2"/>
            <scheme val="minor"/>
          </rPr>
          <t>Việt Hoàng:
4.540.000</t>
        </r>
      </text>
    </comment>
    <comment ref="E30" authorId="0" shapeId="0" xr:uid="{00000000-0006-0000-3F00-000040000000}">
      <text>
        <r>
          <rPr>
            <sz val="12"/>
            <color theme="1"/>
            <rFont val="Aptos Narrow"/>
            <family val="2"/>
            <scheme val="minor"/>
          </rPr>
          <t>was 4445
vnp1%</t>
        </r>
      </text>
    </comment>
    <comment ref="G30" authorId="2" shapeId="0" xr:uid="{00000000-0006-0000-3F00-000041000000}">
      <text>
        <r>
          <rPr>
            <sz val="12"/>
            <color theme="1"/>
            <rFont val="Aptos Narrow"/>
            <family val="2"/>
            <scheme val="minor"/>
          </rPr>
          <t xml:space="preserve">Tran Dat:
4590
</t>
        </r>
      </text>
    </comment>
    <comment ref="B31" authorId="0" shapeId="0" xr:uid="{00000000-0006-0000-3F00-000042000000}">
      <text>
        <r>
          <rPr>
            <sz val="12"/>
            <color theme="1"/>
            <rFont val="Aptos Narrow"/>
            <family val="2"/>
            <scheme val="minor"/>
          </rPr>
          <t>was 3190</t>
        </r>
      </text>
    </comment>
    <comment ref="D31" authorId="4" shapeId="0" xr:uid="{00000000-0006-0000-3F00-000043000000}">
      <text>
        <r>
          <rPr>
            <sz val="12"/>
            <color theme="1"/>
            <rFont val="Aptos Narrow"/>
            <family val="2"/>
            <scheme val="minor"/>
          </rPr>
          <t>Việt Hoàng:
3.290.000</t>
        </r>
      </text>
    </comment>
    <comment ref="E31" authorId="0" shapeId="0" xr:uid="{00000000-0006-0000-3F00-000044000000}">
      <text>
        <r>
          <rPr>
            <sz val="12"/>
            <color theme="1"/>
            <rFont val="Aptos Narrow"/>
            <family val="2"/>
            <scheme val="minor"/>
          </rPr>
          <t xml:space="preserve">was 3290
</t>
        </r>
      </text>
    </comment>
    <comment ref="F31" authorId="1" shapeId="0" xr:uid="{00000000-0006-0000-3F00-000045000000}">
      <text>
        <r>
          <rPr>
            <sz val="12"/>
            <color theme="1"/>
            <rFont val="Aptos Narrow"/>
            <family val="2"/>
            <scheme val="minor"/>
          </rPr>
          <t>chit trang:
3.290</t>
        </r>
      </text>
    </comment>
    <comment ref="G31" authorId="2" shapeId="0" xr:uid="{00000000-0006-0000-3F00-000046000000}">
      <text>
        <r>
          <rPr>
            <sz val="12"/>
            <color theme="1"/>
            <rFont val="Aptos Narrow"/>
            <family val="2"/>
            <scheme val="minor"/>
          </rPr>
          <t>Tran Dat:
3290</t>
        </r>
      </text>
    </comment>
    <comment ref="B32" authorId="0" shapeId="0" xr:uid="{00000000-0006-0000-3F00-000047000000}">
      <text>
        <r>
          <rPr>
            <sz val="12"/>
            <color theme="1"/>
            <rFont val="Aptos Narrow"/>
            <family val="2"/>
            <scheme val="minor"/>
          </rPr>
          <t>was 18090
VNP100</t>
        </r>
      </text>
    </comment>
    <comment ref="G32" authorId="2" shapeId="0" xr:uid="{00000000-0006-0000-3F00-000048000000}">
      <text>
        <r>
          <rPr>
            <sz val="12"/>
            <color theme="1"/>
            <rFont val="Aptos Narrow"/>
            <family val="2"/>
            <scheme val="minor"/>
          </rPr>
          <t>Tran Dat:
16490</t>
        </r>
      </text>
    </comment>
    <comment ref="D33" authorId="4" shapeId="0" xr:uid="{00000000-0006-0000-3F00-000049000000}">
      <text>
        <r>
          <rPr>
            <sz val="12"/>
            <color theme="1"/>
            <rFont val="Aptos Narrow"/>
            <family val="2"/>
            <scheme val="minor"/>
          </rPr>
          <t>Việt Hoàng:
20.090.000</t>
        </r>
      </text>
    </comment>
    <comment ref="F33" authorId="1" shapeId="0" xr:uid="{00000000-0006-0000-3F00-00004A000000}">
      <text>
        <r>
          <rPr>
            <sz val="12"/>
            <color theme="1"/>
            <rFont val="Aptos Narrow"/>
            <family val="2"/>
            <scheme val="minor"/>
          </rPr>
          <t>chit trang:
20.290</t>
        </r>
      </text>
    </comment>
    <comment ref="G33" authorId="2" shapeId="0" xr:uid="{00000000-0006-0000-3F00-00004B000000}">
      <text>
        <r>
          <rPr>
            <sz val="12"/>
            <color theme="1"/>
            <rFont val="Aptos Narrow"/>
            <family val="2"/>
            <scheme val="minor"/>
          </rPr>
          <t>Tran Dat:
20590</t>
        </r>
      </text>
    </comment>
    <comment ref="B34" authorId="0" shapeId="0" xr:uid="{00000000-0006-0000-3F00-00004C000000}">
      <text>
        <r>
          <rPr>
            <sz val="12"/>
            <color theme="1"/>
            <rFont val="Aptos Narrow"/>
            <family val="2"/>
            <scheme val="minor"/>
          </rPr>
          <t>was 26140
VNP150</t>
        </r>
      </text>
    </comment>
    <comment ref="F35" authorId="1" shapeId="0" xr:uid="{00000000-0006-0000-3F00-00004D000000}">
      <text>
        <r>
          <rPr>
            <sz val="12"/>
            <color theme="1"/>
            <rFont val="Aptos Narrow"/>
            <family val="2"/>
            <scheme val="minor"/>
          </rPr>
          <t>chit trang:
25.890</t>
        </r>
      </text>
    </comment>
    <comment ref="G35" authorId="2" shapeId="0" xr:uid="{00000000-0006-0000-3F00-00004E000000}">
      <text>
        <r>
          <rPr>
            <sz val="12"/>
            <color theme="1"/>
            <rFont val="Aptos Narrow"/>
            <family val="2"/>
            <scheme val="minor"/>
          </rPr>
          <t xml:space="preserve">Tran Dat:
25690
</t>
        </r>
      </text>
    </comment>
    <comment ref="G36" authorId="2" shapeId="0" xr:uid="{00000000-0006-0000-3F00-00004F000000}">
      <text>
        <r>
          <rPr>
            <sz val="12"/>
            <color theme="1"/>
            <rFont val="Aptos Narrow"/>
            <family val="2"/>
            <scheme val="minor"/>
          </rPr>
          <t xml:space="preserve">Tran Dat:
31290000
</t>
        </r>
      </text>
    </comment>
    <comment ref="D37" authorId="4" shapeId="0" xr:uid="{00000000-0006-0000-3F00-000050000000}">
      <text>
        <r>
          <rPr>
            <sz val="12"/>
            <color theme="1"/>
            <rFont val="Aptos Narrow"/>
            <family val="2"/>
            <scheme val="minor"/>
          </rPr>
          <t>Việt Hoàng:
39.990.000</t>
        </r>
      </text>
    </comment>
    <comment ref="F37" authorId="1" shapeId="0" xr:uid="{00000000-0006-0000-3F00-000051000000}">
      <text>
        <r>
          <rPr>
            <sz val="12"/>
            <color theme="1"/>
            <rFont val="Aptos Narrow"/>
            <family val="2"/>
            <scheme val="minor"/>
          </rPr>
          <t>chit trang:
39.290</t>
        </r>
      </text>
    </comment>
    <comment ref="G37" authorId="2" shapeId="0" xr:uid="{00000000-0006-0000-3F00-000052000000}">
      <text>
        <r>
          <rPr>
            <sz val="12"/>
            <color theme="1"/>
            <rFont val="Aptos Narrow"/>
            <family val="2"/>
            <scheme val="minor"/>
          </rPr>
          <t>Tran Dat:
38990</t>
        </r>
      </text>
    </comment>
  </commentList>
</comments>
</file>

<file path=xl/comments65.xml><?xml version="1.0" encoding="utf-8"?>
<comments xmlns="http://schemas.openxmlformats.org/spreadsheetml/2006/main" xmlns:mc="http://schemas.openxmlformats.org/markup-compatibility/2006" xmlns:xr="http://schemas.microsoft.com/office/spreadsheetml/2014/revision" mc:Ignorable="xr">
  <authors>
    <author>Duy</author>
    <author>Việt Hoàng</author>
    <author>Microsoft Office User</author>
    <author>chit trang</author>
    <author>Tran Dat</author>
  </authors>
  <commentList>
    <comment ref="C2" authorId="0" shapeId="0" xr:uid="{00000000-0006-0000-4000-000001000000}">
      <text>
        <r>
          <rPr>
            <sz val="12"/>
            <color theme="1"/>
            <rFont val="Aptos Narrow"/>
            <family val="2"/>
            <scheme val="minor"/>
          </rPr>
          <t>W2 16290</t>
        </r>
      </text>
    </comment>
    <comment ref="D2" authorId="1" shapeId="0" xr:uid="{00000000-0006-0000-4000-000002000000}">
      <text>
        <r>
          <rPr>
            <sz val="12"/>
            <color theme="1"/>
            <rFont val="Aptos Narrow"/>
            <family val="2"/>
            <scheme val="minor"/>
          </rPr>
          <t>Việt Hoàng:
16.190.000</t>
        </r>
      </text>
    </comment>
    <comment ref="E2" authorId="2" shapeId="0" xr:uid="{00000000-0006-0000-4000-000003000000}">
      <text>
        <r>
          <rPr>
            <sz val="12"/>
            <color theme="1"/>
            <rFont val="Aptos Narrow"/>
            <family val="2"/>
            <scheme val="minor"/>
          </rPr>
          <t>giờ vàng</t>
        </r>
      </text>
    </comment>
    <comment ref="D3" authorId="1" shapeId="0" xr:uid="{00000000-0006-0000-4000-000004000000}">
      <text>
        <r>
          <rPr>
            <sz val="12"/>
            <color theme="1"/>
            <rFont val="Aptos Narrow"/>
            <family val="2"/>
            <scheme val="minor"/>
          </rPr>
          <t>Việt Hoàng:
18.890.000</t>
        </r>
      </text>
    </comment>
    <comment ref="E3" authorId="2" shapeId="0" xr:uid="{00000000-0006-0000-4000-000005000000}">
      <text>
        <r>
          <rPr>
            <sz val="12"/>
            <color theme="1"/>
            <rFont val="Aptos Narrow"/>
            <family val="2"/>
            <scheme val="minor"/>
          </rPr>
          <t>Giờ vàng</t>
        </r>
      </text>
    </comment>
    <comment ref="B4" authorId="2" shapeId="0" xr:uid="{00000000-0006-0000-4000-000006000000}">
      <text>
        <r>
          <rPr>
            <sz val="12"/>
            <color theme="1"/>
            <rFont val="Aptos Narrow"/>
            <family val="2"/>
            <scheme val="minor"/>
          </rPr>
          <t>was 24640000
VNP150</t>
        </r>
      </text>
    </comment>
    <comment ref="E4" authorId="2" shapeId="0" xr:uid="{00000000-0006-0000-4000-000007000000}">
      <text>
        <r>
          <rPr>
            <sz val="12"/>
            <color theme="1"/>
            <rFont val="Aptos Narrow"/>
            <family val="2"/>
            <scheme val="minor"/>
          </rPr>
          <t>Giờ vàng</t>
        </r>
      </text>
    </comment>
    <comment ref="E5" authorId="2" shapeId="0" xr:uid="{00000000-0006-0000-4000-000008000000}">
      <text>
        <r>
          <rPr>
            <sz val="12"/>
            <color theme="1"/>
            <rFont val="Aptos Narrow"/>
            <family val="2"/>
            <scheme val="minor"/>
          </rPr>
          <t xml:space="preserve">Giờ vàng
</t>
        </r>
      </text>
    </comment>
    <comment ref="B6" authorId="2" shapeId="0" xr:uid="{00000000-0006-0000-4000-000009000000}">
      <text>
        <r>
          <rPr>
            <sz val="12"/>
            <color theme="1"/>
            <rFont val="Aptos Narrow"/>
            <family val="2"/>
            <scheme val="minor"/>
          </rPr>
          <t>Tặng phiếu mua hàng mua AirPods và Apple Watch trị giá 500,000đ
 Phiếu mua hàng mua sản phẩm giá niêm yết từ 5 triệu thuộc các nhóm TAI NGHE - LOA hãng HARMAN KARDON, JBL,MONSTER, KLIPSCH, MARSHALL, SONY; Smartwatch hãng HUAWEI, GARMIN, SAMSUNG, IMOO, OPPO, AMAZFIT trị giá 500.000đ</t>
        </r>
      </text>
    </comment>
    <comment ref="C6" authorId="0" shapeId="0" xr:uid="{00000000-0006-0000-4000-00000A000000}">
      <text>
        <r>
          <rPr>
            <sz val="12"/>
            <color theme="1"/>
            <rFont val="Aptos Narrow"/>
            <family val="2"/>
            <scheme val="minor"/>
          </rPr>
          <t>W13 30290</t>
        </r>
      </text>
    </comment>
    <comment ref="D6" authorId="1" shapeId="0" xr:uid="{00000000-0006-0000-4000-00000B000000}">
      <text>
        <r>
          <rPr>
            <sz val="12"/>
            <color theme="1"/>
            <rFont val="Aptos Narrow"/>
            <family val="2"/>
            <scheme val="minor"/>
          </rPr>
          <t>Việt Hoàng:
30.290.000</t>
        </r>
      </text>
    </comment>
    <comment ref="E6" authorId="2" shapeId="0" xr:uid="{00000000-0006-0000-4000-00000C000000}">
      <text>
        <r>
          <rPr>
            <sz val="12"/>
            <color theme="1"/>
            <rFont val="Aptos Narrow"/>
            <family val="2"/>
            <scheme val="minor"/>
          </rPr>
          <t xml:space="preserve">Giờ vàng
</t>
        </r>
      </text>
    </comment>
    <comment ref="F6" authorId="3" shapeId="0" xr:uid="{00000000-0006-0000-4000-00000D000000}">
      <text>
        <r>
          <rPr>
            <sz val="12"/>
            <color theme="1"/>
            <rFont val="Aptos Narrow"/>
            <family val="2"/>
            <scheme val="minor"/>
          </rPr>
          <t>chit trang:
29950</t>
        </r>
      </text>
    </comment>
    <comment ref="G6" authorId="4" shapeId="0" xr:uid="{00000000-0006-0000-4000-00000E000000}">
      <text>
        <r>
          <rPr>
            <sz val="12"/>
            <color theme="1"/>
            <rFont val="Aptos Narrow"/>
            <family val="2"/>
            <scheme val="minor"/>
          </rPr>
          <t>Tran Dat:
29.890</t>
        </r>
      </text>
    </comment>
    <comment ref="D7" authorId="1" shapeId="0" xr:uid="{00000000-0006-0000-4000-00000F000000}">
      <text>
        <r>
          <rPr>
            <sz val="12"/>
            <color theme="1"/>
            <rFont val="Aptos Narrow"/>
            <family val="2"/>
            <scheme val="minor"/>
          </rPr>
          <t>Việt Hoàng:
15.590.000</t>
        </r>
      </text>
    </comment>
    <comment ref="F7" authorId="3" shapeId="0" xr:uid="{00000000-0006-0000-4000-000010000000}">
      <text>
        <r>
          <rPr>
            <sz val="12"/>
            <color theme="1"/>
            <rFont val="Aptos Narrow"/>
            <family val="2"/>
            <scheme val="minor"/>
          </rPr>
          <t>chit trang:
15.390</t>
        </r>
      </text>
    </comment>
    <comment ref="C8" authorId="0" shapeId="0" xr:uid="{00000000-0006-0000-4000-000011000000}">
      <text>
        <r>
          <rPr>
            <sz val="12"/>
            <color theme="1"/>
            <rFont val="Aptos Narrow"/>
            <family val="2"/>
            <scheme val="minor"/>
          </rPr>
          <t>W2 19290</t>
        </r>
      </text>
    </comment>
    <comment ref="D8" authorId="1" shapeId="0" xr:uid="{00000000-0006-0000-4000-000012000000}">
      <text>
        <r>
          <rPr>
            <sz val="12"/>
            <color theme="1"/>
            <rFont val="Aptos Narrow"/>
            <family val="2"/>
            <scheme val="minor"/>
          </rPr>
          <t>Việt Hoàng:
19.290.000</t>
        </r>
      </text>
    </comment>
    <comment ref="F8" authorId="3" shapeId="0" xr:uid="{00000000-0006-0000-4000-000013000000}">
      <text>
        <r>
          <rPr>
            <sz val="12"/>
            <color theme="1"/>
            <rFont val="Aptos Narrow"/>
            <family val="2"/>
            <scheme val="minor"/>
          </rPr>
          <t>chit trang:
18990k</t>
        </r>
      </text>
    </comment>
    <comment ref="B9" authorId="2" shapeId="0" xr:uid="{00000000-0006-0000-4000-000014000000}">
      <text>
        <r>
          <rPr>
            <sz val="12"/>
            <color theme="1"/>
            <rFont val="Aptos Narrow"/>
            <family val="2"/>
            <scheme val="minor"/>
          </rPr>
          <t>was 29140000
VNP150</t>
        </r>
      </text>
    </comment>
    <comment ref="C9" authorId="0" shapeId="0" xr:uid="{00000000-0006-0000-4000-000015000000}">
      <text>
        <r>
          <rPr>
            <sz val="12"/>
            <color theme="1"/>
            <rFont val="Aptos Narrow"/>
            <family val="2"/>
            <scheme val="minor"/>
          </rPr>
          <t>W13 29.990</t>
        </r>
      </text>
    </comment>
    <comment ref="F9" authorId="3" shapeId="0" xr:uid="{00000000-0006-0000-4000-000016000000}">
      <text>
        <r>
          <rPr>
            <sz val="12"/>
            <color theme="1"/>
            <rFont val="Aptos Narrow"/>
            <family val="2"/>
            <scheme val="minor"/>
          </rPr>
          <t>chit trang:
28.290</t>
        </r>
      </text>
    </comment>
    <comment ref="B10" authorId="2" shapeId="0" xr:uid="{00000000-0006-0000-4000-000017000000}">
      <text>
        <r>
          <rPr>
            <sz val="12"/>
            <color theme="1"/>
            <rFont val="Aptos Narrow"/>
            <family val="2"/>
            <scheme val="minor"/>
          </rPr>
          <t>was 18440</t>
        </r>
      </text>
    </comment>
    <comment ref="E10" authorId="2" shapeId="0" xr:uid="{00000000-0006-0000-4000-000018000000}">
      <text>
        <r>
          <rPr>
            <sz val="12"/>
            <color theme="1"/>
            <rFont val="Aptos Narrow"/>
            <family val="2"/>
            <scheme val="minor"/>
          </rPr>
          <t>was 18990</t>
        </r>
      </text>
    </comment>
    <comment ref="D11" authorId="1" shapeId="0" xr:uid="{00000000-0006-0000-4000-000019000000}">
      <text>
        <r>
          <rPr>
            <sz val="12"/>
            <color theme="1"/>
            <rFont val="Aptos Narrow"/>
            <family val="2"/>
            <scheme val="minor"/>
          </rPr>
          <t>Việt Hoàng:
12.890.000</t>
        </r>
      </text>
    </comment>
    <comment ref="B12" authorId="2" shapeId="0" xr:uid="{00000000-0006-0000-4000-00001A000000}">
      <text>
        <r>
          <rPr>
            <sz val="12"/>
            <color theme="1"/>
            <rFont val="Aptos Narrow"/>
            <family val="2"/>
            <scheme val="minor"/>
          </rPr>
          <t>was 13190
VNP100</t>
        </r>
      </text>
    </comment>
    <comment ref="E12" authorId="2" shapeId="0" xr:uid="{00000000-0006-0000-4000-00001B000000}">
      <text>
        <r>
          <rPr>
            <sz val="12"/>
            <color theme="1"/>
            <rFont val="Aptos Narrow"/>
            <family val="2"/>
            <scheme val="minor"/>
          </rPr>
          <t>Giờ vàng</t>
        </r>
      </text>
    </comment>
    <comment ref="C14" authorId="0" shapeId="0" xr:uid="{00000000-0006-0000-4000-00001C000000}">
      <text>
        <r>
          <rPr>
            <sz val="12"/>
            <color theme="1"/>
            <rFont val="Aptos Narrow"/>
            <family val="2"/>
            <scheme val="minor"/>
          </rPr>
          <t>W2 13590</t>
        </r>
      </text>
    </comment>
    <comment ref="D14" authorId="1" shapeId="0" xr:uid="{00000000-0006-0000-4000-00001D000000}">
      <text>
        <r>
          <rPr>
            <sz val="12"/>
            <color theme="1"/>
            <rFont val="Aptos Narrow"/>
            <family val="2"/>
            <scheme val="minor"/>
          </rPr>
          <t>Việt Hoàng:
13.590.000</t>
        </r>
      </text>
    </comment>
    <comment ref="F14" authorId="3" shapeId="0" xr:uid="{00000000-0006-0000-4000-00001E000000}">
      <text>
        <r>
          <rPr>
            <sz val="12"/>
            <color theme="1"/>
            <rFont val="Aptos Narrow"/>
            <family val="2"/>
            <scheme val="minor"/>
          </rPr>
          <t>chit trang:
13590</t>
        </r>
      </text>
    </comment>
    <comment ref="G14" authorId="4" shapeId="0" xr:uid="{00000000-0006-0000-4000-00001F000000}">
      <text>
        <r>
          <rPr>
            <sz val="12"/>
            <color theme="1"/>
            <rFont val="Aptos Narrow"/>
            <family val="2"/>
            <scheme val="minor"/>
          </rPr>
          <t>Tran Dat:
13690</t>
        </r>
      </text>
    </comment>
    <comment ref="B15" authorId="2" shapeId="0" xr:uid="{00000000-0006-0000-4000-000020000000}">
      <text>
        <r>
          <rPr>
            <sz val="12"/>
            <color theme="1"/>
            <rFont val="Aptos Narrow"/>
            <family val="2"/>
            <scheme val="minor"/>
          </rPr>
          <t>was 7040
VNP40</t>
        </r>
      </text>
    </comment>
    <comment ref="C15" authorId="0" shapeId="0" xr:uid="{00000000-0006-0000-4000-000021000000}">
      <text>
        <r>
          <rPr>
            <sz val="12"/>
            <color theme="1"/>
            <rFont val="Aptos Narrow"/>
            <family val="2"/>
            <scheme val="minor"/>
          </rPr>
          <t>W2 9790</t>
        </r>
      </text>
    </comment>
    <comment ref="D15" authorId="1" shapeId="0" xr:uid="{00000000-0006-0000-4000-000022000000}">
      <text>
        <r>
          <rPr>
            <sz val="12"/>
            <color theme="1"/>
            <rFont val="Aptos Narrow"/>
            <family val="2"/>
            <scheme val="minor"/>
          </rPr>
          <t>Việt Hoàng:
9.750.000</t>
        </r>
      </text>
    </comment>
    <comment ref="E15" authorId="2" shapeId="0" xr:uid="{00000000-0006-0000-4000-000023000000}">
      <text>
        <r>
          <rPr>
            <sz val="12"/>
            <color theme="1"/>
            <rFont val="Aptos Narrow"/>
            <family val="2"/>
            <scheme val="minor"/>
          </rPr>
          <t>was 9395
vnp1%</t>
        </r>
      </text>
    </comment>
    <comment ref="F15" authorId="3" shapeId="0" xr:uid="{00000000-0006-0000-4000-000024000000}">
      <text>
        <r>
          <rPr>
            <sz val="12"/>
            <color theme="1"/>
            <rFont val="Aptos Narrow"/>
            <family val="2"/>
            <scheme val="minor"/>
          </rPr>
          <t>chit trang:
9.590</t>
        </r>
      </text>
    </comment>
    <comment ref="G15" authorId="4" shapeId="0" xr:uid="{00000000-0006-0000-4000-000025000000}">
      <text>
        <r>
          <rPr>
            <sz val="12"/>
            <color theme="1"/>
            <rFont val="Aptos Narrow"/>
            <family val="2"/>
            <scheme val="minor"/>
          </rPr>
          <t>Tran Dat:
9490</t>
        </r>
      </text>
    </comment>
    <comment ref="B16" authorId="2" shapeId="0" xr:uid="{00000000-0006-0000-4000-000026000000}">
      <text>
        <r>
          <rPr>
            <sz val="12"/>
            <color theme="1"/>
            <rFont val="Aptos Narrow"/>
            <family val="2"/>
            <scheme val="minor"/>
          </rPr>
          <t>was 14390</t>
        </r>
      </text>
    </comment>
    <comment ref="C16" authorId="0" shapeId="0" xr:uid="{00000000-0006-0000-4000-000027000000}">
      <text>
        <r>
          <rPr>
            <sz val="12"/>
            <color theme="1"/>
            <rFont val="Aptos Narrow"/>
            <family val="2"/>
            <scheme val="minor"/>
          </rPr>
          <t>W2 16490</t>
        </r>
      </text>
    </comment>
    <comment ref="D16" authorId="1" shapeId="0" xr:uid="{00000000-0006-0000-4000-000028000000}">
      <text>
        <r>
          <rPr>
            <sz val="12"/>
            <color theme="1"/>
            <rFont val="Aptos Narrow"/>
            <family val="2"/>
            <scheme val="minor"/>
          </rPr>
          <t>Việt Hoàng:
16.490.000</t>
        </r>
      </text>
    </comment>
    <comment ref="E16" authorId="2" shapeId="0" xr:uid="{00000000-0006-0000-4000-000029000000}">
      <text>
        <r>
          <rPr>
            <sz val="12"/>
            <color theme="1"/>
            <rFont val="Aptos Narrow"/>
            <family val="2"/>
            <scheme val="minor"/>
          </rPr>
          <t>was 16028
vnp1%</t>
        </r>
      </text>
    </comment>
    <comment ref="F16" authorId="3" shapeId="0" xr:uid="{00000000-0006-0000-4000-00002A000000}">
      <text>
        <r>
          <rPr>
            <sz val="12"/>
            <color theme="1"/>
            <rFont val="Aptos Narrow"/>
            <family val="2"/>
            <scheme val="minor"/>
          </rPr>
          <t>chit trang:
15.990</t>
        </r>
      </text>
    </comment>
    <comment ref="G16" authorId="4" shapeId="0" xr:uid="{00000000-0006-0000-4000-00002B000000}">
      <text>
        <r>
          <rPr>
            <sz val="12"/>
            <color theme="1"/>
            <rFont val="Aptos Narrow"/>
            <family val="2"/>
            <scheme val="minor"/>
          </rPr>
          <t>Tran Dat:
15990</t>
        </r>
      </text>
    </comment>
    <comment ref="C17" authorId="0" shapeId="0" xr:uid="{00000000-0006-0000-4000-00002C000000}">
      <text>
        <r>
          <rPr>
            <sz val="12"/>
            <color theme="1"/>
            <rFont val="Aptos Narrow"/>
            <family val="2"/>
            <scheme val="minor"/>
          </rPr>
          <t>W2 21990</t>
        </r>
      </text>
    </comment>
    <comment ref="D17" authorId="1" shapeId="0" xr:uid="{00000000-0006-0000-4000-00002D000000}">
      <text>
        <r>
          <rPr>
            <sz val="12"/>
            <color theme="1"/>
            <rFont val="Aptos Narrow"/>
            <family val="2"/>
            <scheme val="minor"/>
          </rPr>
          <t>Việt Hoàng:
21.990.000</t>
        </r>
      </text>
    </comment>
    <comment ref="F17" authorId="3" shapeId="0" xr:uid="{00000000-0006-0000-4000-00002E000000}">
      <text>
        <r>
          <rPr>
            <sz val="12"/>
            <color theme="1"/>
            <rFont val="Aptos Narrow"/>
            <family val="2"/>
            <scheme val="minor"/>
          </rPr>
          <t>chit trang:
21.490</t>
        </r>
      </text>
    </comment>
    <comment ref="C18" authorId="0" shapeId="0" xr:uid="{00000000-0006-0000-4000-00002F000000}">
      <text>
        <r>
          <rPr>
            <sz val="12"/>
            <color theme="1"/>
            <rFont val="Aptos Narrow"/>
            <family val="2"/>
            <scheme val="minor"/>
          </rPr>
          <t>W2 27490</t>
        </r>
      </text>
    </comment>
    <comment ref="D18" authorId="1" shapeId="0" xr:uid="{00000000-0006-0000-4000-000030000000}">
      <text>
        <r>
          <rPr>
            <sz val="12"/>
            <color theme="1"/>
            <rFont val="Aptos Narrow"/>
            <family val="2"/>
            <scheme val="minor"/>
          </rPr>
          <t>Việt Hoàng:
27.490.000</t>
        </r>
      </text>
    </comment>
    <comment ref="F18" authorId="3" shapeId="0" xr:uid="{00000000-0006-0000-4000-000031000000}">
      <text>
        <r>
          <rPr>
            <sz val="12"/>
            <color theme="1"/>
            <rFont val="Aptos Narrow"/>
            <family val="2"/>
            <scheme val="minor"/>
          </rPr>
          <t>chit trang:
227.690</t>
        </r>
      </text>
    </comment>
    <comment ref="G18" authorId="4" shapeId="0" xr:uid="{00000000-0006-0000-4000-000032000000}">
      <text>
        <r>
          <rPr>
            <sz val="12"/>
            <color theme="1"/>
            <rFont val="Aptos Narrow"/>
            <family val="2"/>
            <scheme val="minor"/>
          </rPr>
          <t xml:space="preserve">27290
</t>
        </r>
      </text>
    </comment>
    <comment ref="B19" authorId="2" shapeId="0" xr:uid="{00000000-0006-0000-4000-000033000000}">
      <text>
        <r>
          <rPr>
            <sz val="12"/>
            <color theme="1"/>
            <rFont val="Aptos Narrow"/>
            <family val="2"/>
            <scheme val="minor"/>
          </rPr>
          <t>was 36640</t>
        </r>
      </text>
    </comment>
    <comment ref="C19" authorId="0" shapeId="0" xr:uid="{00000000-0006-0000-4000-000034000000}">
      <text>
        <r>
          <rPr>
            <sz val="12"/>
            <color theme="1"/>
            <rFont val="Aptos Narrow"/>
            <family val="2"/>
            <scheme val="minor"/>
          </rPr>
          <t>W2 36290</t>
        </r>
      </text>
    </comment>
    <comment ref="D19" authorId="1" shapeId="0" xr:uid="{00000000-0006-0000-4000-000035000000}">
      <text>
        <r>
          <rPr>
            <sz val="12"/>
            <color theme="1"/>
            <rFont val="Aptos Narrow"/>
            <family val="2"/>
            <scheme val="minor"/>
          </rPr>
          <t>Việt Hoàng:
36.290.000</t>
        </r>
      </text>
    </comment>
    <comment ref="D20" authorId="1" shapeId="0" xr:uid="{00000000-0006-0000-4000-000036000000}">
      <text>
        <r>
          <rPr>
            <sz val="12"/>
            <color theme="1"/>
            <rFont val="Aptos Narrow"/>
            <family val="2"/>
            <scheme val="minor"/>
          </rPr>
          <t>Việt Hoàng:
4.990.000</t>
        </r>
      </text>
    </comment>
    <comment ref="C24" authorId="0" shapeId="0" xr:uid="{00000000-0006-0000-4000-000037000000}">
      <text>
        <r>
          <rPr>
            <sz val="12"/>
            <color theme="1"/>
            <rFont val="Aptos Narrow"/>
            <family val="2"/>
            <scheme val="minor"/>
          </rPr>
          <t>W2 8390</t>
        </r>
      </text>
    </comment>
    <comment ref="F24" authorId="3" shapeId="0" xr:uid="{00000000-0006-0000-4000-000038000000}">
      <text>
        <r>
          <rPr>
            <sz val="12"/>
            <color theme="1"/>
            <rFont val="Aptos Narrow"/>
            <family val="2"/>
            <scheme val="minor"/>
          </rPr>
          <t>chit trang:
8.390</t>
        </r>
      </text>
    </comment>
    <comment ref="F26" authorId="3" shapeId="0" xr:uid="{00000000-0006-0000-4000-000039000000}">
      <text>
        <r>
          <rPr>
            <sz val="12"/>
            <color theme="1"/>
            <rFont val="Aptos Narrow"/>
            <family val="2"/>
            <scheme val="minor"/>
          </rPr>
          <t>chit trang:
9.190</t>
        </r>
      </text>
    </comment>
    <comment ref="B27" authorId="2" shapeId="0" xr:uid="{00000000-0006-0000-4000-00003A000000}">
      <text>
        <r>
          <rPr>
            <sz val="12"/>
            <color theme="1"/>
            <rFont val="Aptos Narrow"/>
            <family val="2"/>
            <scheme val="minor"/>
          </rPr>
          <t>was 13320
VNP100</t>
        </r>
      </text>
    </comment>
    <comment ref="B29" authorId="2" shapeId="0" xr:uid="{00000000-0006-0000-4000-00003B000000}">
      <text>
        <r>
          <rPr>
            <sz val="12"/>
            <color theme="1"/>
            <rFont val="Aptos Narrow"/>
            <family val="2"/>
            <scheme val="minor"/>
          </rPr>
          <t>was 5550
VNP40</t>
        </r>
      </text>
    </comment>
    <comment ref="F29" authorId="3" shapeId="0" xr:uid="{00000000-0006-0000-4000-00003C000000}">
      <text>
        <r>
          <rPr>
            <sz val="12"/>
            <color theme="1"/>
            <rFont val="Aptos Narrow"/>
            <family val="2"/>
            <scheme val="minor"/>
          </rPr>
          <t>chit trang:
5.490</t>
        </r>
      </text>
    </comment>
    <comment ref="B30" authorId="2" shapeId="0" xr:uid="{00000000-0006-0000-4000-00003D000000}">
      <text>
        <r>
          <rPr>
            <sz val="12"/>
            <color theme="1"/>
            <rFont val="Aptos Narrow"/>
            <family val="2"/>
            <scheme val="minor"/>
          </rPr>
          <t xml:space="preserve">was 4490
</t>
        </r>
      </text>
    </comment>
    <comment ref="B31" authorId="2" shapeId="0" xr:uid="{00000000-0006-0000-4000-00003E000000}">
      <text>
        <r>
          <rPr>
            <sz val="12"/>
            <color theme="1"/>
            <rFont val="Aptos Narrow"/>
            <family val="2"/>
            <scheme val="minor"/>
          </rPr>
          <t>was 3190</t>
        </r>
      </text>
    </comment>
    <comment ref="B32" authorId="2" shapeId="0" xr:uid="{00000000-0006-0000-4000-00003F000000}">
      <text>
        <r>
          <rPr>
            <sz val="12"/>
            <color theme="1"/>
            <rFont val="Aptos Narrow"/>
            <family val="2"/>
            <scheme val="minor"/>
          </rPr>
          <t>was 18090
VNP100</t>
        </r>
      </text>
    </comment>
    <comment ref="C32" authorId="0" shapeId="0" xr:uid="{00000000-0006-0000-4000-000040000000}">
      <text>
        <r>
          <rPr>
            <sz val="12"/>
            <color theme="1"/>
            <rFont val="Aptos Narrow"/>
            <family val="2"/>
            <scheme val="minor"/>
          </rPr>
          <t>W2 17090</t>
        </r>
      </text>
    </comment>
    <comment ref="G32" authorId="4" shapeId="0" xr:uid="{00000000-0006-0000-4000-000041000000}">
      <text>
        <r>
          <rPr>
            <sz val="12"/>
            <color theme="1"/>
            <rFont val="Aptos Narrow"/>
            <family val="2"/>
            <scheme val="minor"/>
          </rPr>
          <t>Tran Dat:
16490</t>
        </r>
      </text>
    </comment>
    <comment ref="D33" authorId="1" shapeId="0" xr:uid="{00000000-0006-0000-4000-000042000000}">
      <text>
        <r>
          <rPr>
            <sz val="12"/>
            <color theme="1"/>
            <rFont val="Aptos Narrow"/>
            <family val="2"/>
            <scheme val="minor"/>
          </rPr>
          <t>Việt Hoàng:
19.800.000</t>
        </r>
      </text>
    </comment>
    <comment ref="F33" authorId="3" shapeId="0" xr:uid="{00000000-0006-0000-4000-000043000000}">
      <text>
        <r>
          <rPr>
            <sz val="12"/>
            <color theme="1"/>
            <rFont val="Aptos Narrow"/>
            <family val="2"/>
            <scheme val="minor"/>
          </rPr>
          <t>chit trang:
19.790</t>
        </r>
      </text>
    </comment>
    <comment ref="G33" authorId="4" shapeId="0" xr:uid="{00000000-0006-0000-4000-000044000000}">
      <text>
        <r>
          <rPr>
            <sz val="12"/>
            <color theme="1"/>
            <rFont val="Aptos Narrow"/>
            <family val="2"/>
            <scheme val="minor"/>
          </rPr>
          <t>Tran Dat:
20590</t>
        </r>
      </text>
    </comment>
    <comment ref="B34" authorId="2" shapeId="0" xr:uid="{00000000-0006-0000-4000-000045000000}">
      <text>
        <r>
          <rPr>
            <sz val="12"/>
            <color theme="1"/>
            <rFont val="Aptos Narrow"/>
            <family val="2"/>
            <scheme val="minor"/>
          </rPr>
          <t>was 26140
VNP150</t>
        </r>
      </text>
    </comment>
    <comment ref="F34" authorId="3" shapeId="0" xr:uid="{00000000-0006-0000-4000-000046000000}">
      <text>
        <r>
          <rPr>
            <sz val="12"/>
            <color theme="1"/>
            <rFont val="Aptos Narrow"/>
            <family val="2"/>
            <scheme val="minor"/>
          </rPr>
          <t>chit trang:
24.690</t>
        </r>
      </text>
    </comment>
    <comment ref="D35" authorId="1" shapeId="0" xr:uid="{00000000-0006-0000-4000-000047000000}">
      <text>
        <r>
          <rPr>
            <sz val="12"/>
            <color theme="1"/>
            <rFont val="Aptos Narrow"/>
            <family val="2"/>
            <scheme val="minor"/>
          </rPr>
          <t>Việt Hoàng:
25.790.000</t>
        </r>
      </text>
    </comment>
    <comment ref="F35" authorId="3" shapeId="0" xr:uid="{00000000-0006-0000-4000-000048000000}">
      <text>
        <r>
          <rPr>
            <sz val="12"/>
            <color theme="1"/>
            <rFont val="Aptos Narrow"/>
            <family val="2"/>
            <scheme val="minor"/>
          </rPr>
          <t>chit trang:
25.590</t>
        </r>
      </text>
    </comment>
    <comment ref="G35" authorId="4" shapeId="0" xr:uid="{00000000-0006-0000-4000-000049000000}">
      <text>
        <r>
          <rPr>
            <sz val="12"/>
            <color theme="1"/>
            <rFont val="Aptos Narrow"/>
            <family val="2"/>
            <scheme val="minor"/>
          </rPr>
          <t xml:space="preserve">Tran Dat:
25490
</t>
        </r>
      </text>
    </comment>
    <comment ref="D36" authorId="1" shapeId="0" xr:uid="{00000000-0006-0000-4000-00004A000000}">
      <text>
        <r>
          <rPr>
            <sz val="12"/>
            <color theme="1"/>
            <rFont val="Aptos Narrow"/>
            <family val="2"/>
            <scheme val="minor"/>
          </rPr>
          <t>Việt Hoàng:
31.290.000</t>
        </r>
      </text>
    </comment>
    <comment ref="F36" authorId="3" shapeId="0" xr:uid="{00000000-0006-0000-4000-00004B000000}">
      <text>
        <r>
          <rPr>
            <sz val="12"/>
            <color theme="1"/>
            <rFont val="Aptos Narrow"/>
            <family val="2"/>
            <scheme val="minor"/>
          </rPr>
          <t>chit trang:
31.390</t>
        </r>
      </text>
    </comment>
    <comment ref="G36" authorId="4" shapeId="0" xr:uid="{00000000-0006-0000-4000-00004C000000}">
      <text>
        <r>
          <rPr>
            <sz val="12"/>
            <color theme="1"/>
            <rFont val="Aptos Narrow"/>
            <family val="2"/>
            <scheme val="minor"/>
          </rPr>
          <t>30.990</t>
        </r>
      </text>
    </comment>
    <comment ref="F37" authorId="3" shapeId="0" xr:uid="{00000000-0006-0000-4000-00004D000000}">
      <text>
        <r>
          <rPr>
            <sz val="12"/>
            <color theme="1"/>
            <rFont val="Aptos Narrow"/>
            <family val="2"/>
            <scheme val="minor"/>
          </rPr>
          <t>chit trang:
39.990</t>
        </r>
      </text>
    </comment>
    <comment ref="G37" authorId="4" shapeId="0" xr:uid="{00000000-0006-0000-4000-00004E000000}">
      <text>
        <r>
          <rPr>
            <sz val="12"/>
            <color theme="1"/>
            <rFont val="Aptos Narrow"/>
            <family val="2"/>
            <scheme val="minor"/>
          </rPr>
          <t>Tran Dat:
38990</t>
        </r>
      </text>
    </comment>
  </commentList>
</comments>
</file>

<file path=xl/comments66.xml><?xml version="1.0" encoding="utf-8"?>
<comments xmlns="http://schemas.openxmlformats.org/spreadsheetml/2006/main" xmlns:mc="http://schemas.openxmlformats.org/markup-compatibility/2006" xmlns:xr="http://schemas.microsoft.com/office/spreadsheetml/2014/revision" mc:Ignorable="xr">
  <authors>
    <author>Duy</author>
    <author>Microsoft Office User</author>
    <author>Việt Hoàng</author>
    <author>Tran Dat</author>
    <author>chit trang</author>
  </authors>
  <commentList>
    <comment ref="C2" authorId="0" shapeId="0" xr:uid="{00000000-0006-0000-4100-000001000000}">
      <text>
        <r>
          <rPr>
            <sz val="12"/>
            <color theme="1"/>
            <rFont val="Aptos Narrow"/>
            <family val="2"/>
            <scheme val="minor"/>
          </rPr>
          <t>W2 16090</t>
        </r>
      </text>
    </comment>
    <comment ref="E2" authorId="1" shapeId="0" xr:uid="{00000000-0006-0000-4100-000002000000}">
      <text>
        <r>
          <rPr>
            <sz val="12"/>
            <color theme="1"/>
            <rFont val="Aptos Narrow"/>
            <family val="2"/>
            <scheme val="minor"/>
          </rPr>
          <t>giờ vàng</t>
        </r>
      </text>
    </comment>
    <comment ref="C3" authorId="2" shapeId="0" xr:uid="{00000000-0006-0000-4100-000003000000}">
      <text>
        <r>
          <rPr>
            <sz val="12"/>
            <color theme="1"/>
            <rFont val="Aptos Narrow"/>
            <family val="2"/>
            <scheme val="minor"/>
          </rPr>
          <t>Việt Hoàng:
18.990.000</t>
        </r>
      </text>
    </comment>
    <comment ref="E3" authorId="1" shapeId="0" xr:uid="{00000000-0006-0000-4100-000004000000}">
      <text>
        <r>
          <rPr>
            <sz val="12"/>
            <color theme="1"/>
            <rFont val="Aptos Narrow"/>
            <family val="2"/>
            <scheme val="minor"/>
          </rPr>
          <t>Giờ vàng</t>
        </r>
      </text>
    </comment>
    <comment ref="B4" authorId="1" shapeId="0" xr:uid="{00000000-0006-0000-4100-000005000000}">
      <text>
        <r>
          <rPr>
            <sz val="12"/>
            <color theme="1"/>
            <rFont val="Aptos Narrow"/>
            <family val="2"/>
            <scheme val="minor"/>
          </rPr>
          <t>was 24640000
VNP150</t>
        </r>
      </text>
    </comment>
    <comment ref="E4" authorId="1" shapeId="0" xr:uid="{00000000-0006-0000-4100-000006000000}">
      <text>
        <r>
          <rPr>
            <sz val="12"/>
            <color theme="1"/>
            <rFont val="Aptos Narrow"/>
            <family val="2"/>
            <scheme val="minor"/>
          </rPr>
          <t>Giờ vàng</t>
        </r>
      </text>
    </comment>
    <comment ref="G4" authorId="3" shapeId="0" xr:uid="{00000000-0006-0000-4100-000007000000}">
      <text>
        <r>
          <rPr>
            <sz val="12"/>
            <color theme="1"/>
            <rFont val="Aptos Narrow"/>
            <family val="2"/>
            <scheme val="minor"/>
          </rPr>
          <t xml:space="preserve">Tran Dat:
21890
</t>
        </r>
      </text>
    </comment>
    <comment ref="E5" authorId="1" shapeId="0" xr:uid="{00000000-0006-0000-4100-000008000000}">
      <text>
        <r>
          <rPr>
            <sz val="12"/>
            <color theme="1"/>
            <rFont val="Aptos Narrow"/>
            <family val="2"/>
            <scheme val="minor"/>
          </rPr>
          <t xml:space="preserve">Giờ vàng
</t>
        </r>
      </text>
    </comment>
    <comment ref="F5" authorId="4" shapeId="0" xr:uid="{00000000-0006-0000-4100-000009000000}">
      <text>
        <r>
          <rPr>
            <sz val="12"/>
            <color theme="1"/>
            <rFont val="Aptos Narrow"/>
            <family val="2"/>
            <scheme val="minor"/>
          </rPr>
          <t>chit trang:
24.790</t>
        </r>
      </text>
    </comment>
    <comment ref="B6" authorId="1" shapeId="0" xr:uid="{00000000-0006-0000-4100-00000A000000}">
      <text>
        <r>
          <rPr>
            <sz val="12"/>
            <color theme="1"/>
            <rFont val="Aptos Narrow"/>
            <family val="2"/>
            <scheme val="minor"/>
          </rPr>
          <t>Tặng phiếu mua hàng mua AirPods và Apple Watch trị giá 500,000đ
 Phiếu mua hàng mua sản phẩm giá niêm yết từ 5 triệu thuộc các nhóm TAI NGHE - LOA hãng HARMAN KARDON, JBL,MONSTER, KLIPSCH, MARSHALL, SONY; Smartwatch hãng HUAWEI, GARMIN, SAMSUNG, IMOO, OPPO, AMAZFIT trị giá 500.000đ</t>
        </r>
      </text>
    </comment>
    <comment ref="E6" authorId="1" shapeId="0" xr:uid="{00000000-0006-0000-4100-00000B000000}">
      <text>
        <r>
          <rPr>
            <sz val="12"/>
            <color theme="1"/>
            <rFont val="Aptos Narrow"/>
            <family val="2"/>
            <scheme val="minor"/>
          </rPr>
          <t xml:space="preserve">Giờ vàng
</t>
        </r>
      </text>
    </comment>
    <comment ref="F6" authorId="4" shapeId="0" xr:uid="{00000000-0006-0000-4100-00000C000000}">
      <text>
        <r>
          <rPr>
            <sz val="12"/>
            <color theme="1"/>
            <rFont val="Aptos Narrow"/>
            <family val="2"/>
            <scheme val="minor"/>
          </rPr>
          <t>chit trang:
29890</t>
        </r>
      </text>
    </comment>
    <comment ref="G6" authorId="3" shapeId="0" xr:uid="{00000000-0006-0000-4100-00000D000000}">
      <text>
        <r>
          <rPr>
            <sz val="12"/>
            <color theme="1"/>
            <rFont val="Aptos Narrow"/>
            <family val="2"/>
            <scheme val="minor"/>
          </rPr>
          <t>Tran Dat:
29.690</t>
        </r>
      </text>
    </comment>
    <comment ref="C7" authorId="2" shapeId="0" xr:uid="{00000000-0006-0000-4100-00000E000000}">
      <text>
        <r>
          <rPr>
            <sz val="12"/>
            <color theme="1"/>
            <rFont val="Aptos Narrow"/>
            <family val="2"/>
            <scheme val="minor"/>
          </rPr>
          <t>Việt Hoàng:
15.490.000</t>
        </r>
      </text>
    </comment>
    <comment ref="D7" authorId="2" shapeId="0" xr:uid="{00000000-0006-0000-4100-00000F000000}">
      <text>
        <r>
          <rPr>
            <sz val="12"/>
            <color theme="1"/>
            <rFont val="Aptos Narrow"/>
            <family val="2"/>
            <scheme val="minor"/>
          </rPr>
          <t>Việt Hoàng:
15.490.000</t>
        </r>
      </text>
    </comment>
    <comment ref="F7" authorId="4" shapeId="0" xr:uid="{00000000-0006-0000-4100-000010000000}">
      <text>
        <r>
          <rPr>
            <sz val="12"/>
            <color theme="1"/>
            <rFont val="Aptos Narrow"/>
            <family val="2"/>
            <scheme val="minor"/>
          </rPr>
          <t>chit trang:
15.290</t>
        </r>
      </text>
    </comment>
    <comment ref="G7" authorId="3" shapeId="0" xr:uid="{00000000-0006-0000-4100-000011000000}">
      <text>
        <r>
          <rPr>
            <sz val="12"/>
            <color theme="1"/>
            <rFont val="Aptos Narrow"/>
            <family val="2"/>
            <scheme val="minor"/>
          </rPr>
          <t>Tran Dat:
15.290</t>
        </r>
      </text>
    </comment>
    <comment ref="C8" authorId="0" shapeId="0" xr:uid="{00000000-0006-0000-4100-000012000000}">
      <text>
        <r>
          <rPr>
            <sz val="12"/>
            <color theme="1"/>
            <rFont val="Aptos Narrow"/>
            <family val="2"/>
            <scheme val="minor"/>
          </rPr>
          <t>W2 19090</t>
        </r>
      </text>
    </comment>
    <comment ref="F8" authorId="4" shapeId="0" xr:uid="{00000000-0006-0000-4100-000013000000}">
      <text>
        <r>
          <rPr>
            <sz val="12"/>
            <color theme="1"/>
            <rFont val="Aptos Narrow"/>
            <family val="2"/>
            <scheme val="minor"/>
          </rPr>
          <t>chit trang:
19.190k</t>
        </r>
      </text>
    </comment>
    <comment ref="G8" authorId="3" shapeId="0" xr:uid="{00000000-0006-0000-4100-000014000000}">
      <text>
        <r>
          <rPr>
            <sz val="12"/>
            <color theme="1"/>
            <rFont val="Aptos Narrow"/>
            <family val="2"/>
            <scheme val="minor"/>
          </rPr>
          <t>Tran Dat:
18890</t>
        </r>
      </text>
    </comment>
    <comment ref="B9" authorId="1" shapeId="0" xr:uid="{00000000-0006-0000-4100-000015000000}">
      <text>
        <r>
          <rPr>
            <sz val="12"/>
            <color theme="1"/>
            <rFont val="Aptos Narrow"/>
            <family val="2"/>
            <scheme val="minor"/>
          </rPr>
          <t>was 29140000
VNP150</t>
        </r>
      </text>
    </comment>
    <comment ref="B10" authorId="1" shapeId="0" xr:uid="{00000000-0006-0000-4100-000016000000}">
      <text>
        <r>
          <rPr>
            <sz val="12"/>
            <color theme="1"/>
            <rFont val="Aptos Narrow"/>
            <family val="2"/>
            <scheme val="minor"/>
          </rPr>
          <t>was 18440</t>
        </r>
      </text>
    </comment>
    <comment ref="C11" authorId="2" shapeId="0" xr:uid="{00000000-0006-0000-4100-000017000000}">
      <text>
        <r>
          <rPr>
            <sz val="12"/>
            <color theme="1"/>
            <rFont val="Aptos Narrow"/>
            <family val="2"/>
            <scheme val="minor"/>
          </rPr>
          <t>Việt Hoàng:
12.790.000</t>
        </r>
      </text>
    </comment>
    <comment ref="D11" authorId="2" shapeId="0" xr:uid="{00000000-0006-0000-4100-000018000000}">
      <text>
        <r>
          <rPr>
            <sz val="12"/>
            <color theme="1"/>
            <rFont val="Aptos Narrow"/>
            <family val="2"/>
            <scheme val="minor"/>
          </rPr>
          <t>Việt Hoàng:
12.790.000</t>
        </r>
      </text>
    </comment>
    <comment ref="G11" authorId="3" shapeId="0" xr:uid="{00000000-0006-0000-4100-000019000000}">
      <text>
        <r>
          <rPr>
            <sz val="12"/>
            <color theme="1"/>
            <rFont val="Aptos Narrow"/>
            <family val="2"/>
            <scheme val="minor"/>
          </rPr>
          <t>Tran Dat:
12.490</t>
        </r>
      </text>
    </comment>
    <comment ref="B12" authorId="1" shapeId="0" xr:uid="{00000000-0006-0000-4100-00001A000000}">
      <text>
        <r>
          <rPr>
            <sz val="12"/>
            <color theme="1"/>
            <rFont val="Aptos Narrow"/>
            <family val="2"/>
            <scheme val="minor"/>
          </rPr>
          <t>was 13190
VNP100</t>
        </r>
      </text>
    </comment>
    <comment ref="D12" authorId="2" shapeId="0" xr:uid="{00000000-0006-0000-4100-00001B000000}">
      <text>
        <r>
          <rPr>
            <sz val="12"/>
            <color theme="1"/>
            <rFont val="Aptos Narrow"/>
            <family val="2"/>
            <scheme val="minor"/>
          </rPr>
          <t>Việt Hoàng:
11.690.000</t>
        </r>
      </text>
    </comment>
    <comment ref="E12" authorId="1" shapeId="0" xr:uid="{00000000-0006-0000-4100-00001C000000}">
      <text>
        <r>
          <rPr>
            <sz val="12"/>
            <color theme="1"/>
            <rFont val="Aptos Narrow"/>
            <family val="2"/>
            <scheme val="minor"/>
          </rPr>
          <t>Giờ vàng</t>
        </r>
      </text>
    </comment>
    <comment ref="F12" authorId="4" shapeId="0" xr:uid="{00000000-0006-0000-4100-00001D000000}">
      <text>
        <r>
          <rPr>
            <sz val="12"/>
            <color theme="1"/>
            <rFont val="Aptos Narrow"/>
            <family val="2"/>
            <scheme val="minor"/>
          </rPr>
          <t>chit trang:
13.590</t>
        </r>
      </text>
    </comment>
    <comment ref="G12" authorId="3" shapeId="0" xr:uid="{00000000-0006-0000-4100-00001E000000}">
      <text>
        <r>
          <rPr>
            <sz val="12"/>
            <color theme="1"/>
            <rFont val="Aptos Narrow"/>
            <family val="2"/>
            <scheme val="minor"/>
          </rPr>
          <t>Tran Dat:
11490</t>
        </r>
      </text>
    </comment>
    <comment ref="E13" authorId="1" shapeId="0" xr:uid="{00000000-0006-0000-4100-00001F000000}">
      <text>
        <r>
          <rPr>
            <sz val="12"/>
            <color theme="1"/>
            <rFont val="Aptos Narrow"/>
            <family val="2"/>
            <scheme val="minor"/>
          </rPr>
          <t>was 13652
vnp1%</t>
        </r>
      </text>
    </comment>
    <comment ref="B14" authorId="1" shapeId="0" xr:uid="{00000000-0006-0000-4100-000020000000}">
      <text>
        <r>
          <rPr>
            <sz val="12"/>
            <color theme="1"/>
            <rFont val="Aptos Narrow"/>
            <family val="2"/>
            <scheme val="minor"/>
          </rPr>
          <t>was 7040
VNP40</t>
        </r>
      </text>
    </comment>
    <comment ref="D14" authorId="2" shapeId="0" xr:uid="{00000000-0006-0000-4100-000021000000}">
      <text>
        <r>
          <rPr>
            <sz val="12"/>
            <color theme="1"/>
            <rFont val="Aptos Narrow"/>
            <family val="2"/>
            <scheme val="minor"/>
          </rPr>
          <t>Việt Hoàng:
8.490.000</t>
        </r>
      </text>
    </comment>
    <comment ref="E14" authorId="1" shapeId="0" xr:uid="{00000000-0006-0000-4100-000022000000}">
      <text>
        <r>
          <rPr>
            <sz val="12"/>
            <color theme="1"/>
            <rFont val="Aptos Narrow"/>
            <family val="2"/>
            <scheme val="minor"/>
          </rPr>
          <t>was 8801
vnp1%</t>
        </r>
      </text>
    </comment>
    <comment ref="F14" authorId="4" shapeId="0" xr:uid="{00000000-0006-0000-4100-000023000000}">
      <text>
        <r>
          <rPr>
            <sz val="12"/>
            <color theme="1"/>
            <rFont val="Aptos Narrow"/>
            <family val="2"/>
            <scheme val="minor"/>
          </rPr>
          <t>chit trang:
8990</t>
        </r>
      </text>
    </comment>
    <comment ref="G14" authorId="3" shapeId="0" xr:uid="{00000000-0006-0000-4100-000024000000}">
      <text>
        <r>
          <rPr>
            <sz val="12"/>
            <color theme="1"/>
            <rFont val="Aptos Narrow"/>
            <family val="2"/>
            <scheme val="minor"/>
          </rPr>
          <t>Tran Dat:
8690</t>
        </r>
      </text>
    </comment>
    <comment ref="B15" authorId="1" shapeId="0" xr:uid="{00000000-0006-0000-4100-000025000000}">
      <text>
        <r>
          <rPr>
            <sz val="12"/>
            <color theme="1"/>
            <rFont val="Aptos Narrow"/>
            <family val="2"/>
            <scheme val="minor"/>
          </rPr>
          <t>was 14390</t>
        </r>
      </text>
    </comment>
    <comment ref="E15" authorId="1" shapeId="0" xr:uid="{00000000-0006-0000-4100-000026000000}">
      <text>
        <r>
          <rPr>
            <sz val="12"/>
            <color theme="1"/>
            <rFont val="Aptos Narrow"/>
            <family val="2"/>
            <scheme val="minor"/>
          </rPr>
          <t>was 14543
vnp1%</t>
        </r>
      </text>
    </comment>
    <comment ref="F15" authorId="4" shapeId="0" xr:uid="{00000000-0006-0000-4100-000027000000}">
      <text>
        <r>
          <rPr>
            <sz val="12"/>
            <color theme="1"/>
            <rFont val="Aptos Narrow"/>
            <family val="2"/>
            <scheme val="minor"/>
          </rPr>
          <t>chit trang:
14890</t>
        </r>
      </text>
    </comment>
    <comment ref="G15" authorId="3" shapeId="0" xr:uid="{00000000-0006-0000-4100-000028000000}">
      <text>
        <r>
          <rPr>
            <sz val="12"/>
            <color theme="1"/>
            <rFont val="Aptos Narrow"/>
            <family val="2"/>
            <scheme val="minor"/>
          </rPr>
          <t>Tran Dat:
14790</t>
        </r>
      </text>
    </comment>
    <comment ref="C16" authorId="0" shapeId="0" xr:uid="{00000000-0006-0000-4100-000029000000}">
      <text>
        <r>
          <rPr>
            <sz val="12"/>
            <color theme="1"/>
            <rFont val="Aptos Narrow"/>
            <family val="2"/>
            <scheme val="minor"/>
          </rPr>
          <t>W2 20790</t>
        </r>
      </text>
    </comment>
    <comment ref="F16" authorId="4" shapeId="0" xr:uid="{00000000-0006-0000-4100-00002A000000}">
      <text>
        <r>
          <rPr>
            <sz val="12"/>
            <color theme="1"/>
            <rFont val="Aptos Narrow"/>
            <family val="2"/>
            <scheme val="minor"/>
          </rPr>
          <t>chit trang:
20.290</t>
        </r>
      </text>
    </comment>
    <comment ref="G16" authorId="3" shapeId="0" xr:uid="{00000000-0006-0000-4100-00002B000000}">
      <text>
        <r>
          <rPr>
            <sz val="12"/>
            <color theme="1"/>
            <rFont val="Aptos Narrow"/>
            <family val="2"/>
            <scheme val="minor"/>
          </rPr>
          <t xml:space="preserve">Tran Dat:
21790
</t>
        </r>
      </text>
    </comment>
    <comment ref="C17" authorId="0" shapeId="0" xr:uid="{00000000-0006-0000-4100-00002C000000}">
      <text>
        <r>
          <rPr>
            <sz val="12"/>
            <color theme="1"/>
            <rFont val="Aptos Narrow"/>
            <family val="2"/>
            <scheme val="minor"/>
          </rPr>
          <t>W2 26590</t>
        </r>
      </text>
    </comment>
    <comment ref="D17" authorId="2" shapeId="0" xr:uid="{00000000-0006-0000-4100-00002D000000}">
      <text>
        <r>
          <rPr>
            <sz val="12"/>
            <color theme="1"/>
            <rFont val="Aptos Narrow"/>
            <family val="2"/>
            <scheme val="minor"/>
          </rPr>
          <t>Việt Hoàng:
26.890.000</t>
        </r>
      </text>
    </comment>
    <comment ref="F17" authorId="4" shapeId="0" xr:uid="{00000000-0006-0000-4100-00002E000000}">
      <text>
        <r>
          <rPr>
            <sz val="12"/>
            <color theme="1"/>
            <rFont val="Aptos Narrow"/>
            <family val="2"/>
            <scheme val="minor"/>
          </rPr>
          <t>chit trang:
26.690</t>
        </r>
      </text>
    </comment>
    <comment ref="B18" authorId="1" shapeId="0" xr:uid="{00000000-0006-0000-4100-00002F000000}">
      <text>
        <r>
          <rPr>
            <sz val="12"/>
            <color theme="1"/>
            <rFont val="Aptos Narrow"/>
            <family val="2"/>
            <scheme val="minor"/>
          </rPr>
          <t>was 36640</t>
        </r>
      </text>
    </comment>
    <comment ref="F18" authorId="4" shapeId="0" xr:uid="{00000000-0006-0000-4100-000030000000}">
      <text>
        <r>
          <rPr>
            <sz val="12"/>
            <color theme="1"/>
            <rFont val="Aptos Narrow"/>
            <family val="2"/>
            <scheme val="minor"/>
          </rPr>
          <t>chit trang:
36.690</t>
        </r>
      </text>
    </comment>
    <comment ref="G18" authorId="3" shapeId="0" xr:uid="{00000000-0006-0000-4100-000031000000}">
      <text>
        <r>
          <rPr>
            <sz val="12"/>
            <color theme="1"/>
            <rFont val="Aptos Narrow"/>
            <family val="2"/>
            <scheme val="minor"/>
          </rPr>
          <t>Tran Dat:
36.490</t>
        </r>
      </text>
    </comment>
    <comment ref="D19" authorId="2" shapeId="0" xr:uid="{00000000-0006-0000-4100-000032000000}">
      <text>
        <r>
          <rPr>
            <sz val="12"/>
            <color theme="1"/>
            <rFont val="Aptos Narrow"/>
            <family val="2"/>
            <scheme val="minor"/>
          </rPr>
          <t>Việt Hoàng:
5.190.000</t>
        </r>
      </text>
    </comment>
    <comment ref="F19" authorId="4" shapeId="0" xr:uid="{00000000-0006-0000-4100-000033000000}">
      <text>
        <r>
          <rPr>
            <sz val="12"/>
            <color theme="1"/>
            <rFont val="Aptos Narrow"/>
            <family val="2"/>
            <scheme val="minor"/>
          </rPr>
          <t>chit trang:
5.090</t>
        </r>
      </text>
    </comment>
    <comment ref="E21" authorId="1" shapeId="0" xr:uid="{00000000-0006-0000-4100-000034000000}">
      <text>
        <r>
          <rPr>
            <sz val="12"/>
            <color theme="1"/>
            <rFont val="Aptos Narrow"/>
            <family val="2"/>
            <scheme val="minor"/>
          </rPr>
          <t>was 5732
vnp1%</t>
        </r>
      </text>
    </comment>
    <comment ref="C23" authorId="0" shapeId="0" xr:uid="{00000000-0006-0000-4100-000035000000}">
      <text>
        <r>
          <rPr>
            <sz val="12"/>
            <color theme="1"/>
            <rFont val="Aptos Narrow"/>
            <family val="2"/>
            <scheme val="minor"/>
          </rPr>
          <t>W2 8590</t>
        </r>
      </text>
    </comment>
    <comment ref="F23" authorId="4" shapeId="0" xr:uid="{00000000-0006-0000-4100-000036000000}">
      <text>
        <r>
          <rPr>
            <sz val="12"/>
            <color theme="1"/>
            <rFont val="Aptos Narrow"/>
            <family val="2"/>
            <scheme val="minor"/>
          </rPr>
          <t>chit trang:
8.590</t>
        </r>
      </text>
    </comment>
    <comment ref="E24" authorId="1" shapeId="0" xr:uid="{00000000-0006-0000-4100-000037000000}">
      <text>
        <r>
          <rPr>
            <sz val="12"/>
            <color theme="1"/>
            <rFont val="Aptos Narrow"/>
            <family val="2"/>
            <scheme val="minor"/>
          </rPr>
          <t>was 12860
vnp1%</t>
        </r>
      </text>
    </comment>
    <comment ref="F25" authorId="4" shapeId="0" xr:uid="{00000000-0006-0000-4100-000038000000}">
      <text>
        <r>
          <rPr>
            <sz val="12"/>
            <color theme="1"/>
            <rFont val="Aptos Narrow"/>
            <family val="2"/>
            <scheme val="minor"/>
          </rPr>
          <t>chit trang:8.990</t>
        </r>
      </text>
    </comment>
    <comment ref="B26" authorId="1" shapeId="0" xr:uid="{00000000-0006-0000-4100-000039000000}">
      <text>
        <r>
          <rPr>
            <sz val="12"/>
            <color theme="1"/>
            <rFont val="Aptos Narrow"/>
            <family val="2"/>
            <scheme val="minor"/>
          </rPr>
          <t>was 13320
VNP100</t>
        </r>
      </text>
    </comment>
    <comment ref="C26" authorId="2" shapeId="0" xr:uid="{00000000-0006-0000-4100-00003A000000}">
      <text>
        <r>
          <rPr>
            <sz val="12"/>
            <color theme="1"/>
            <rFont val="Aptos Narrow"/>
            <family val="2"/>
            <scheme val="minor"/>
          </rPr>
          <t>Việt Hoàng:
13.690.000</t>
        </r>
      </text>
    </comment>
    <comment ref="D26" authorId="2" shapeId="0" xr:uid="{00000000-0006-0000-4100-00003B000000}">
      <text>
        <r>
          <rPr>
            <sz val="12"/>
            <color theme="1"/>
            <rFont val="Aptos Narrow"/>
            <family val="2"/>
            <scheme val="minor"/>
          </rPr>
          <t>Việt Hoàng:
13.690.000</t>
        </r>
      </text>
    </comment>
    <comment ref="F27" authorId="4" shapeId="0" xr:uid="{00000000-0006-0000-4100-00003C000000}">
      <text>
        <r>
          <rPr>
            <sz val="12"/>
            <color theme="1"/>
            <rFont val="Aptos Narrow"/>
            <family val="2"/>
            <scheme val="minor"/>
          </rPr>
          <t>chit trang:
21.790</t>
        </r>
      </text>
    </comment>
    <comment ref="B28" authorId="1" shapeId="0" xr:uid="{00000000-0006-0000-4100-00003D000000}">
      <text>
        <r>
          <rPr>
            <sz val="12"/>
            <color theme="1"/>
            <rFont val="Aptos Narrow"/>
            <family val="2"/>
            <scheme val="minor"/>
          </rPr>
          <t>was 5550
VNP40</t>
        </r>
      </text>
    </comment>
    <comment ref="B29" authorId="1" shapeId="0" xr:uid="{00000000-0006-0000-4100-00003E000000}">
      <text>
        <r>
          <rPr>
            <sz val="12"/>
            <color theme="1"/>
            <rFont val="Aptos Narrow"/>
            <family val="2"/>
            <scheme val="minor"/>
          </rPr>
          <t xml:space="preserve">was 4490
</t>
        </r>
      </text>
    </comment>
    <comment ref="B30" authorId="1" shapeId="0" xr:uid="{00000000-0006-0000-4100-00003F000000}">
      <text>
        <r>
          <rPr>
            <sz val="12"/>
            <color theme="1"/>
            <rFont val="Aptos Narrow"/>
            <family val="2"/>
            <scheme val="minor"/>
          </rPr>
          <t>was 3190</t>
        </r>
      </text>
    </comment>
    <comment ref="C30" authorId="2" shapeId="0" xr:uid="{00000000-0006-0000-4100-000040000000}">
      <text>
        <r>
          <rPr>
            <sz val="12"/>
            <color theme="1"/>
            <rFont val="Aptos Narrow"/>
            <family val="2"/>
            <scheme val="minor"/>
          </rPr>
          <t>Việt Hoàng:
3.090.000</t>
        </r>
      </text>
    </comment>
    <comment ref="E30" authorId="1" shapeId="0" xr:uid="{00000000-0006-0000-4100-000041000000}">
      <text>
        <r>
          <rPr>
            <sz val="12"/>
            <color theme="1"/>
            <rFont val="Aptos Narrow"/>
            <family val="2"/>
            <scheme val="minor"/>
          </rPr>
          <t>was 2990</t>
        </r>
      </text>
    </comment>
    <comment ref="F30" authorId="4" shapeId="0" xr:uid="{00000000-0006-0000-4100-000042000000}">
      <text>
        <r>
          <rPr>
            <sz val="12"/>
            <color theme="1"/>
            <rFont val="Aptos Narrow"/>
            <family val="2"/>
            <scheme val="minor"/>
          </rPr>
          <t>chit trang:
3.190</t>
        </r>
      </text>
    </comment>
    <comment ref="B31" authorId="1" shapeId="0" xr:uid="{00000000-0006-0000-4100-000043000000}">
      <text>
        <r>
          <rPr>
            <sz val="12"/>
            <color theme="1"/>
            <rFont val="Aptos Narrow"/>
            <family val="2"/>
            <scheme val="minor"/>
          </rPr>
          <t>was 18090
VNP100</t>
        </r>
      </text>
    </comment>
    <comment ref="G31" authorId="3" shapeId="0" xr:uid="{00000000-0006-0000-4100-000044000000}">
      <text>
        <r>
          <rPr>
            <sz val="12"/>
            <color theme="1"/>
            <rFont val="Aptos Narrow"/>
            <family val="2"/>
            <scheme val="minor"/>
          </rPr>
          <t>Tran Dat:
16490</t>
        </r>
      </text>
    </comment>
    <comment ref="F32" authorId="4" shapeId="0" xr:uid="{00000000-0006-0000-4100-000045000000}">
      <text>
        <r>
          <rPr>
            <sz val="12"/>
            <color theme="1"/>
            <rFont val="Aptos Narrow"/>
            <family val="2"/>
            <scheme val="minor"/>
          </rPr>
          <t>chit trang:
19.990</t>
        </r>
      </text>
    </comment>
    <comment ref="G32" authorId="3" shapeId="0" xr:uid="{00000000-0006-0000-4100-000046000000}">
      <text>
        <r>
          <rPr>
            <sz val="12"/>
            <color theme="1"/>
            <rFont val="Aptos Narrow"/>
            <family val="2"/>
            <scheme val="minor"/>
          </rPr>
          <t xml:space="preserve">Tran Dat:
19790
</t>
        </r>
      </text>
    </comment>
    <comment ref="B33" authorId="1" shapeId="0" xr:uid="{00000000-0006-0000-4100-000047000000}">
      <text>
        <r>
          <rPr>
            <sz val="12"/>
            <color theme="1"/>
            <rFont val="Aptos Narrow"/>
            <family val="2"/>
            <scheme val="minor"/>
          </rPr>
          <t>was 26140
VNP150</t>
        </r>
      </text>
    </comment>
    <comment ref="G33" authorId="3" shapeId="0" xr:uid="{00000000-0006-0000-4100-000048000000}">
      <text>
        <r>
          <rPr>
            <sz val="12"/>
            <color theme="1"/>
            <rFont val="Aptos Narrow"/>
            <family val="2"/>
            <scheme val="minor"/>
          </rPr>
          <t>Tran Dat:
25290</t>
        </r>
      </text>
    </comment>
    <comment ref="C34" authorId="2" shapeId="0" xr:uid="{00000000-0006-0000-4100-000049000000}">
      <text>
        <r>
          <rPr>
            <sz val="12"/>
            <color theme="1"/>
            <rFont val="Aptos Narrow"/>
            <family val="2"/>
            <scheme val="minor"/>
          </rPr>
          <t>Việt Hoàng:
25.790.000</t>
        </r>
      </text>
    </comment>
    <comment ref="D34" authorId="2" shapeId="0" xr:uid="{00000000-0006-0000-4100-00004A000000}">
      <text>
        <r>
          <rPr>
            <sz val="12"/>
            <color theme="1"/>
            <rFont val="Aptos Narrow"/>
            <family val="2"/>
            <scheme val="minor"/>
          </rPr>
          <t>Việt Hoàng:
25.490.000</t>
        </r>
      </text>
    </comment>
    <comment ref="G34" authorId="3" shapeId="0" xr:uid="{00000000-0006-0000-4100-00004B000000}">
      <text>
        <r>
          <rPr>
            <sz val="12"/>
            <color theme="1"/>
            <rFont val="Aptos Narrow"/>
            <family val="2"/>
            <scheme val="minor"/>
          </rPr>
          <t xml:space="preserve">Tran Dat:
25490
</t>
        </r>
      </text>
    </comment>
    <comment ref="G35" authorId="3" shapeId="0" xr:uid="{00000000-0006-0000-4100-00004C000000}">
      <text>
        <r>
          <rPr>
            <sz val="12"/>
            <color theme="1"/>
            <rFont val="Aptos Narrow"/>
            <family val="2"/>
            <scheme val="minor"/>
          </rPr>
          <t>30.990</t>
        </r>
      </text>
    </comment>
    <comment ref="C36" authorId="2" shapeId="0" xr:uid="{00000000-0006-0000-4100-00004D000000}">
      <text>
        <r>
          <rPr>
            <sz val="12"/>
            <color theme="1"/>
            <rFont val="Aptos Narrow"/>
            <family val="2"/>
            <scheme val="minor"/>
          </rPr>
          <t>Việt Hoàng:
38.890.000</t>
        </r>
      </text>
    </comment>
    <comment ref="D36" authorId="2" shapeId="0" xr:uid="{00000000-0006-0000-4100-00004E000000}">
      <text>
        <r>
          <rPr>
            <sz val="12"/>
            <color theme="1"/>
            <rFont val="Aptos Narrow"/>
            <family val="2"/>
            <scheme val="minor"/>
          </rPr>
          <t>Việt Hoàng:
38.890.000</t>
        </r>
      </text>
    </comment>
    <comment ref="F36" authorId="4" shapeId="0" xr:uid="{00000000-0006-0000-4100-00004F000000}">
      <text>
        <r>
          <rPr>
            <sz val="12"/>
            <color theme="1"/>
            <rFont val="Aptos Narrow"/>
            <family val="2"/>
            <scheme val="minor"/>
          </rPr>
          <t>chit trang:
39.690</t>
        </r>
      </text>
    </comment>
    <comment ref="G36" authorId="3" shapeId="0" xr:uid="{00000000-0006-0000-4100-000050000000}">
      <text>
        <r>
          <rPr>
            <sz val="12"/>
            <color theme="1"/>
            <rFont val="Aptos Narrow"/>
            <family val="2"/>
            <scheme val="minor"/>
          </rPr>
          <t>Tran Dat:
38990</t>
        </r>
      </text>
    </comment>
  </commentList>
</comments>
</file>

<file path=xl/comments67.xml><?xml version="1.0" encoding="utf-8"?>
<comments xmlns="http://schemas.openxmlformats.org/spreadsheetml/2006/main" xmlns:mc="http://schemas.openxmlformats.org/markup-compatibility/2006" xmlns:xr="http://schemas.microsoft.com/office/spreadsheetml/2014/revision" mc:Ignorable="xr">
  <authors>
    <author>Duy</author>
    <author>Microsoft Office User</author>
    <author>chit trang</author>
    <author>Việt Hoàng</author>
    <author>Tran Dat</author>
  </authors>
  <commentList>
    <comment ref="C2" authorId="0" shapeId="0" xr:uid="{00000000-0006-0000-4200-000001000000}">
      <text>
        <r>
          <rPr>
            <sz val="12"/>
            <color theme="1"/>
            <rFont val="Aptos Narrow"/>
            <family val="2"/>
            <scheme val="minor"/>
          </rPr>
          <t>W2 16090</t>
        </r>
      </text>
    </comment>
    <comment ref="E2" authorId="1" shapeId="0" xr:uid="{00000000-0006-0000-4200-000002000000}">
      <text>
        <r>
          <rPr>
            <sz val="12"/>
            <color theme="1"/>
            <rFont val="Aptos Narrow"/>
            <family val="2"/>
            <scheme val="minor"/>
          </rPr>
          <t>giờ vàng</t>
        </r>
      </text>
    </comment>
    <comment ref="F2" authorId="2" shapeId="0" xr:uid="{00000000-0006-0000-4200-000003000000}">
      <text>
        <r>
          <rPr>
            <sz val="12"/>
            <color theme="1"/>
            <rFont val="Aptos Narrow"/>
            <family val="2"/>
            <scheme val="minor"/>
          </rPr>
          <t>chit trang:
15.590</t>
        </r>
      </text>
    </comment>
    <comment ref="C3" authorId="3" shapeId="0" xr:uid="{00000000-0006-0000-4200-000004000000}">
      <text>
        <r>
          <rPr>
            <sz val="12"/>
            <color theme="1"/>
            <rFont val="Aptos Narrow"/>
            <family val="2"/>
            <scheme val="minor"/>
          </rPr>
          <t>Việt Hoàng:
18.990.000</t>
        </r>
      </text>
    </comment>
    <comment ref="E3" authorId="1" shapeId="0" xr:uid="{00000000-0006-0000-4200-000005000000}">
      <text>
        <r>
          <rPr>
            <sz val="12"/>
            <color theme="1"/>
            <rFont val="Aptos Narrow"/>
            <family val="2"/>
            <scheme val="minor"/>
          </rPr>
          <t>Giờ vàng</t>
        </r>
      </text>
    </comment>
    <comment ref="F3" authorId="2" shapeId="0" xr:uid="{00000000-0006-0000-4200-000006000000}">
      <text>
        <r>
          <rPr>
            <sz val="12"/>
            <color theme="1"/>
            <rFont val="Aptos Narrow"/>
            <family val="2"/>
            <scheme val="minor"/>
          </rPr>
          <t>chit trang:
18.590</t>
        </r>
      </text>
    </comment>
    <comment ref="B4" authorId="1" shapeId="0" xr:uid="{00000000-0006-0000-4200-000007000000}">
      <text>
        <r>
          <rPr>
            <sz val="12"/>
            <color theme="1"/>
            <rFont val="Aptos Narrow"/>
            <family val="2"/>
            <scheme val="minor"/>
          </rPr>
          <t>was 24640000
VNP150</t>
        </r>
      </text>
    </comment>
    <comment ref="E4" authorId="1" shapeId="0" xr:uid="{00000000-0006-0000-4200-000008000000}">
      <text>
        <r>
          <rPr>
            <sz val="12"/>
            <color theme="1"/>
            <rFont val="Aptos Narrow"/>
            <family val="2"/>
            <scheme val="minor"/>
          </rPr>
          <t>Giờ vàng</t>
        </r>
      </text>
    </comment>
    <comment ref="E5" authorId="1" shapeId="0" xr:uid="{00000000-0006-0000-4200-000009000000}">
      <text>
        <r>
          <rPr>
            <sz val="12"/>
            <color theme="1"/>
            <rFont val="Aptos Narrow"/>
            <family val="2"/>
            <scheme val="minor"/>
          </rPr>
          <t xml:space="preserve">Giờ vàng
</t>
        </r>
      </text>
    </comment>
    <comment ref="F5" authorId="2" shapeId="0" xr:uid="{00000000-0006-0000-4200-00000A000000}">
      <text>
        <r>
          <rPr>
            <sz val="12"/>
            <color theme="1"/>
            <rFont val="Aptos Narrow"/>
            <family val="2"/>
            <scheme val="minor"/>
          </rPr>
          <t>chit trang:
24.890</t>
        </r>
      </text>
    </comment>
    <comment ref="B6" authorId="1" shapeId="0" xr:uid="{00000000-0006-0000-4200-00000B000000}">
      <text>
        <r>
          <rPr>
            <sz val="12"/>
            <color theme="1"/>
            <rFont val="Aptos Narrow"/>
            <family val="2"/>
            <scheme val="minor"/>
          </rPr>
          <t>Tặng phiếu mua hàng mua AirPods và Apple Watch trị giá 500,000đ
 Phiếu mua hàng mua sản phẩm giá niêm yết từ 5 triệu thuộc các nhóm TAI NGHE - LOA hãng HARMAN KARDON, JBL,MONSTER, KLIPSCH, MARSHALL, SONY; Smartwatch hãng HUAWEI, GARMIN, SAMSUNG, IMOO, OPPO, AMAZFIT trị giá 500.000đ</t>
        </r>
      </text>
    </comment>
    <comment ref="E6" authorId="1" shapeId="0" xr:uid="{00000000-0006-0000-4200-00000C000000}">
      <text>
        <r>
          <rPr>
            <sz val="12"/>
            <color theme="1"/>
            <rFont val="Aptos Narrow"/>
            <family val="2"/>
            <scheme val="minor"/>
          </rPr>
          <t xml:space="preserve">Giờ vàng
</t>
        </r>
      </text>
    </comment>
    <comment ref="F6" authorId="2" shapeId="0" xr:uid="{00000000-0006-0000-4200-00000D000000}">
      <text>
        <r>
          <rPr>
            <sz val="12"/>
            <color theme="1"/>
            <rFont val="Aptos Narrow"/>
            <family val="2"/>
            <scheme val="minor"/>
          </rPr>
          <t>chit trang:
29690</t>
        </r>
      </text>
    </comment>
    <comment ref="C7" authorId="3" shapeId="0" xr:uid="{00000000-0006-0000-4200-00000E000000}">
      <text>
        <r>
          <rPr>
            <sz val="12"/>
            <color theme="1"/>
            <rFont val="Aptos Narrow"/>
            <family val="2"/>
            <scheme val="minor"/>
          </rPr>
          <t>Việt Hoàng:
15.490.000</t>
        </r>
      </text>
    </comment>
    <comment ref="D7" authorId="3" shapeId="0" xr:uid="{00000000-0006-0000-4200-00000F000000}">
      <text>
        <r>
          <rPr>
            <sz val="12"/>
            <color theme="1"/>
            <rFont val="Aptos Narrow"/>
            <family val="2"/>
            <scheme val="minor"/>
          </rPr>
          <t>Việt Hoàng:
15.490.000</t>
        </r>
      </text>
    </comment>
    <comment ref="E7" authorId="1" shapeId="0" xr:uid="{00000000-0006-0000-4200-000010000000}">
      <text>
        <r>
          <rPr>
            <sz val="12"/>
            <color theme="1"/>
            <rFont val="Aptos Narrow"/>
            <family val="2"/>
            <scheme val="minor"/>
          </rPr>
          <t>was 15490</t>
        </r>
      </text>
    </comment>
    <comment ref="F7" authorId="2" shapeId="0" xr:uid="{00000000-0006-0000-4200-000011000000}">
      <text>
        <r>
          <rPr>
            <sz val="12"/>
            <color theme="1"/>
            <rFont val="Aptos Narrow"/>
            <family val="2"/>
            <scheme val="minor"/>
          </rPr>
          <t>chit trang:
15.190</t>
        </r>
      </text>
    </comment>
    <comment ref="C8" authorId="0" shapeId="0" xr:uid="{00000000-0006-0000-4200-000012000000}">
      <text>
        <r>
          <rPr>
            <sz val="12"/>
            <color theme="1"/>
            <rFont val="Aptos Narrow"/>
            <family val="2"/>
            <scheme val="minor"/>
          </rPr>
          <t>W2 19090</t>
        </r>
      </text>
    </comment>
    <comment ref="E8" authorId="1" shapeId="0" xr:uid="{00000000-0006-0000-4200-000013000000}">
      <text>
        <r>
          <rPr>
            <sz val="12"/>
            <color theme="1"/>
            <rFont val="Aptos Narrow"/>
            <family val="2"/>
            <scheme val="minor"/>
          </rPr>
          <t xml:space="preserve">was 18990
</t>
        </r>
      </text>
    </comment>
    <comment ref="B9" authorId="1" shapeId="0" xr:uid="{00000000-0006-0000-4200-000014000000}">
      <text>
        <r>
          <rPr>
            <sz val="12"/>
            <color theme="1"/>
            <rFont val="Aptos Narrow"/>
            <family val="2"/>
            <scheme val="minor"/>
          </rPr>
          <t>was 29140000
VNP150</t>
        </r>
      </text>
    </comment>
    <comment ref="F9" authorId="2" shapeId="0" xr:uid="{00000000-0006-0000-4200-000015000000}">
      <text>
        <r>
          <rPr>
            <sz val="12"/>
            <color theme="1"/>
            <rFont val="Aptos Narrow"/>
            <family val="2"/>
            <scheme val="minor"/>
          </rPr>
          <t>chit trang:
28.690k</t>
        </r>
      </text>
    </comment>
    <comment ref="G9" authorId="4" shapeId="0" xr:uid="{00000000-0006-0000-4200-000016000000}">
      <text>
        <r>
          <rPr>
            <sz val="12"/>
            <color theme="1"/>
            <rFont val="Aptos Narrow"/>
            <family val="2"/>
            <scheme val="minor"/>
          </rPr>
          <t>Tran Dat:
27890</t>
        </r>
      </text>
    </comment>
    <comment ref="B10" authorId="1" shapeId="0" xr:uid="{00000000-0006-0000-4200-000017000000}">
      <text>
        <r>
          <rPr>
            <sz val="12"/>
            <color theme="1"/>
            <rFont val="Aptos Narrow"/>
            <family val="2"/>
            <scheme val="minor"/>
          </rPr>
          <t>was 18440</t>
        </r>
      </text>
    </comment>
    <comment ref="C11" authorId="3" shapeId="0" xr:uid="{00000000-0006-0000-4200-000018000000}">
      <text>
        <r>
          <rPr>
            <sz val="12"/>
            <color theme="1"/>
            <rFont val="Aptos Narrow"/>
            <family val="2"/>
            <scheme val="minor"/>
          </rPr>
          <t>Việt Hoàng:
12.790.000</t>
        </r>
      </text>
    </comment>
    <comment ref="D11" authorId="3" shapeId="0" xr:uid="{00000000-0006-0000-4200-000019000000}">
      <text>
        <r>
          <rPr>
            <sz val="12"/>
            <color theme="1"/>
            <rFont val="Aptos Narrow"/>
            <family val="2"/>
            <scheme val="minor"/>
          </rPr>
          <t>Việt Hoàng:
12.790.000</t>
        </r>
      </text>
    </comment>
    <comment ref="F11" authorId="2" shapeId="0" xr:uid="{00000000-0006-0000-4200-00001A000000}">
      <text>
        <r>
          <rPr>
            <sz val="12"/>
            <color theme="1"/>
            <rFont val="Aptos Narrow"/>
            <family val="2"/>
            <scheme val="minor"/>
          </rPr>
          <t>chit trang:
12.490</t>
        </r>
      </text>
    </comment>
    <comment ref="B12" authorId="1" shapeId="0" xr:uid="{00000000-0006-0000-4200-00001B000000}">
      <text>
        <r>
          <rPr>
            <sz val="12"/>
            <color theme="1"/>
            <rFont val="Aptos Narrow"/>
            <family val="2"/>
            <scheme val="minor"/>
          </rPr>
          <t>was 13190
VNP100</t>
        </r>
      </text>
    </comment>
    <comment ref="D12" authorId="3" shapeId="0" xr:uid="{00000000-0006-0000-4200-00001C000000}">
      <text>
        <r>
          <rPr>
            <sz val="12"/>
            <color theme="1"/>
            <rFont val="Aptos Narrow"/>
            <family val="2"/>
            <scheme val="minor"/>
          </rPr>
          <t>Việt Hoàng:
11.690.000</t>
        </r>
      </text>
    </comment>
    <comment ref="E12" authorId="1" shapeId="0" xr:uid="{00000000-0006-0000-4200-00001D000000}">
      <text>
        <r>
          <rPr>
            <sz val="12"/>
            <color theme="1"/>
            <rFont val="Aptos Narrow"/>
            <family val="2"/>
            <scheme val="minor"/>
          </rPr>
          <t>Giờ vàng</t>
        </r>
      </text>
    </comment>
    <comment ref="F12" authorId="2" shapeId="0" xr:uid="{00000000-0006-0000-4200-00001E000000}">
      <text>
        <r>
          <rPr>
            <sz val="12"/>
            <color theme="1"/>
            <rFont val="Aptos Narrow"/>
            <family val="2"/>
            <scheme val="minor"/>
          </rPr>
          <t>chit trang:
13.390</t>
        </r>
      </text>
    </comment>
    <comment ref="B14" authorId="1" shapeId="0" xr:uid="{00000000-0006-0000-4200-00001F000000}">
      <text>
        <r>
          <rPr>
            <sz val="12"/>
            <color theme="1"/>
            <rFont val="Aptos Narrow"/>
            <family val="2"/>
            <scheme val="minor"/>
          </rPr>
          <t>was 7040
VNP40</t>
        </r>
      </text>
    </comment>
    <comment ref="D14" authorId="3" shapeId="0" xr:uid="{00000000-0006-0000-4200-000020000000}">
      <text>
        <r>
          <rPr>
            <sz val="12"/>
            <color theme="1"/>
            <rFont val="Aptos Narrow"/>
            <family val="2"/>
            <scheme val="minor"/>
          </rPr>
          <t>Việt Hoàng:
8.490.000</t>
        </r>
      </text>
    </comment>
    <comment ref="E14" authorId="1" shapeId="0" xr:uid="{00000000-0006-0000-4200-000021000000}">
      <text>
        <r>
          <rPr>
            <sz val="12"/>
            <color theme="1"/>
            <rFont val="Aptos Narrow"/>
            <family val="2"/>
            <scheme val="minor"/>
          </rPr>
          <t>was 8690
vnp1%</t>
        </r>
      </text>
    </comment>
    <comment ref="F14" authorId="2" shapeId="0" xr:uid="{00000000-0006-0000-4200-000022000000}">
      <text>
        <r>
          <rPr>
            <sz val="12"/>
            <color theme="1"/>
            <rFont val="Aptos Narrow"/>
            <family val="2"/>
            <scheme val="minor"/>
          </rPr>
          <t>chit trang:
8790</t>
        </r>
      </text>
    </comment>
    <comment ref="B15" authorId="1" shapeId="0" xr:uid="{00000000-0006-0000-4200-000023000000}">
      <text>
        <r>
          <rPr>
            <sz val="12"/>
            <color theme="1"/>
            <rFont val="Aptos Narrow"/>
            <family val="2"/>
            <scheme val="minor"/>
          </rPr>
          <t>was 14390</t>
        </r>
      </text>
    </comment>
    <comment ref="E15" authorId="1" shapeId="0" xr:uid="{00000000-0006-0000-4200-000024000000}">
      <text>
        <r>
          <rPr>
            <sz val="12"/>
            <color theme="1"/>
            <rFont val="Aptos Narrow"/>
            <family val="2"/>
            <scheme val="minor"/>
          </rPr>
          <t>was 14246
vnp1%</t>
        </r>
      </text>
    </comment>
    <comment ref="C16" authorId="0" shapeId="0" xr:uid="{00000000-0006-0000-4200-000025000000}">
      <text>
        <r>
          <rPr>
            <sz val="12"/>
            <color theme="1"/>
            <rFont val="Aptos Narrow"/>
            <family val="2"/>
            <scheme val="minor"/>
          </rPr>
          <t>W2 20790</t>
        </r>
      </text>
    </comment>
    <comment ref="E16" authorId="1" shapeId="0" xr:uid="{00000000-0006-0000-4200-000026000000}">
      <text>
        <r>
          <rPr>
            <sz val="12"/>
            <color theme="1"/>
            <rFont val="Aptos Narrow"/>
            <family val="2"/>
            <scheme val="minor"/>
          </rPr>
          <t>was 21290
vnp1%</t>
        </r>
      </text>
    </comment>
    <comment ref="F16" authorId="2" shapeId="0" xr:uid="{00000000-0006-0000-4200-000027000000}">
      <text>
        <r>
          <rPr>
            <sz val="12"/>
            <color theme="1"/>
            <rFont val="Aptos Narrow"/>
            <family val="2"/>
            <scheme val="minor"/>
          </rPr>
          <t>chit trang:
20.790</t>
        </r>
      </text>
    </comment>
    <comment ref="C17" authorId="0" shapeId="0" xr:uid="{00000000-0006-0000-4200-000028000000}">
      <text>
        <r>
          <rPr>
            <sz val="12"/>
            <color theme="1"/>
            <rFont val="Aptos Narrow"/>
            <family val="2"/>
            <scheme val="minor"/>
          </rPr>
          <t>W2 26590</t>
        </r>
      </text>
    </comment>
    <comment ref="D17" authorId="3" shapeId="0" xr:uid="{00000000-0006-0000-4200-000029000000}">
      <text>
        <r>
          <rPr>
            <sz val="12"/>
            <color theme="1"/>
            <rFont val="Aptos Narrow"/>
            <family val="2"/>
            <scheme val="minor"/>
          </rPr>
          <t>Việt Hoàng:
26.890.000</t>
        </r>
      </text>
    </comment>
    <comment ref="E17" authorId="1" shapeId="0" xr:uid="{00000000-0006-0000-4200-00002A000000}">
      <text>
        <r>
          <rPr>
            <sz val="12"/>
            <color theme="1"/>
            <rFont val="Aptos Narrow"/>
            <family val="2"/>
            <scheme val="minor"/>
          </rPr>
          <t>was 26990</t>
        </r>
      </text>
    </comment>
    <comment ref="G17" authorId="4" shapeId="0" xr:uid="{00000000-0006-0000-4200-00002B000000}">
      <text>
        <r>
          <rPr>
            <sz val="12"/>
            <color theme="1"/>
            <rFont val="Aptos Narrow"/>
            <family val="2"/>
            <scheme val="minor"/>
          </rPr>
          <t>Tran Dat:
26690</t>
        </r>
      </text>
    </comment>
    <comment ref="B18" authorId="1" shapeId="0" xr:uid="{00000000-0006-0000-4200-00002C000000}">
      <text>
        <r>
          <rPr>
            <sz val="12"/>
            <color theme="1"/>
            <rFont val="Aptos Narrow"/>
            <family val="2"/>
            <scheme val="minor"/>
          </rPr>
          <t>was 36640</t>
        </r>
      </text>
    </comment>
    <comment ref="E18" authorId="1" shapeId="0" xr:uid="{00000000-0006-0000-4200-00002D000000}">
      <text>
        <r>
          <rPr>
            <sz val="12"/>
            <color theme="1"/>
            <rFont val="Aptos Narrow"/>
            <family val="2"/>
            <scheme val="minor"/>
          </rPr>
          <t>was 35990</t>
        </r>
      </text>
    </comment>
    <comment ref="D19" authorId="3" shapeId="0" xr:uid="{00000000-0006-0000-4200-00002E000000}">
      <text>
        <r>
          <rPr>
            <sz val="12"/>
            <color theme="1"/>
            <rFont val="Aptos Narrow"/>
            <family val="2"/>
            <scheme val="minor"/>
          </rPr>
          <t>Việt Hoàng:
5.190.000</t>
        </r>
      </text>
    </comment>
    <comment ref="E19" authorId="1" shapeId="0" xr:uid="{00000000-0006-0000-4200-00002F000000}">
      <text>
        <r>
          <rPr>
            <sz val="12"/>
            <color theme="1"/>
            <rFont val="Aptos Narrow"/>
            <family val="2"/>
            <scheme val="minor"/>
          </rPr>
          <t>was 4940
vnp1%</t>
        </r>
      </text>
    </comment>
    <comment ref="F19" authorId="2" shapeId="0" xr:uid="{00000000-0006-0000-4200-000030000000}">
      <text>
        <r>
          <rPr>
            <sz val="12"/>
            <color theme="1"/>
            <rFont val="Aptos Narrow"/>
            <family val="2"/>
            <scheme val="minor"/>
          </rPr>
          <t>chit trang:4,990</t>
        </r>
      </text>
    </comment>
    <comment ref="E21" authorId="1" shapeId="0" xr:uid="{00000000-0006-0000-4200-000031000000}">
      <text>
        <r>
          <rPr>
            <sz val="12"/>
            <color theme="1"/>
            <rFont val="Aptos Narrow"/>
            <family val="2"/>
            <scheme val="minor"/>
          </rPr>
          <t>was 5435
vnp1%</t>
        </r>
      </text>
    </comment>
    <comment ref="F21" authorId="2" shapeId="0" xr:uid="{00000000-0006-0000-4200-000032000000}">
      <text>
        <r>
          <rPr>
            <sz val="12"/>
            <color theme="1"/>
            <rFont val="Aptos Narrow"/>
            <family val="2"/>
            <scheme val="minor"/>
          </rPr>
          <t>chit trang:
5.790</t>
        </r>
      </text>
    </comment>
    <comment ref="G21" authorId="4" shapeId="0" xr:uid="{00000000-0006-0000-4200-000033000000}">
      <text>
        <r>
          <rPr>
            <sz val="12"/>
            <color theme="1"/>
            <rFont val="Aptos Narrow"/>
            <family val="2"/>
            <scheme val="minor"/>
          </rPr>
          <t>Tran Dat:
5950</t>
        </r>
      </text>
    </comment>
    <comment ref="C23" authorId="0" shapeId="0" xr:uid="{00000000-0006-0000-4200-000034000000}">
      <text>
        <r>
          <rPr>
            <sz val="12"/>
            <color theme="1"/>
            <rFont val="Aptos Narrow"/>
            <family val="2"/>
            <scheme val="minor"/>
          </rPr>
          <t>W2 8590</t>
        </r>
      </text>
    </comment>
    <comment ref="E23" authorId="1" shapeId="0" xr:uid="{00000000-0006-0000-4200-000035000000}">
      <text>
        <r>
          <rPr>
            <sz val="12"/>
            <color theme="1"/>
            <rFont val="Aptos Narrow"/>
            <family val="2"/>
            <scheme val="minor"/>
          </rPr>
          <t>was 8207
vnp1%</t>
        </r>
      </text>
    </comment>
    <comment ref="F23" authorId="2" shapeId="0" xr:uid="{00000000-0006-0000-4200-000036000000}">
      <text>
        <r>
          <rPr>
            <sz val="12"/>
            <color theme="1"/>
            <rFont val="Aptos Narrow"/>
            <family val="2"/>
            <scheme val="minor"/>
          </rPr>
          <t>chit trang:
8390</t>
        </r>
      </text>
    </comment>
    <comment ref="G23" authorId="4" shapeId="0" xr:uid="{00000000-0006-0000-4200-000037000000}">
      <text>
        <r>
          <rPr>
            <sz val="12"/>
            <color theme="1"/>
            <rFont val="Aptos Narrow"/>
            <family val="2"/>
            <scheme val="minor"/>
          </rPr>
          <t>Tran Dat:
8350</t>
        </r>
      </text>
    </comment>
    <comment ref="E24" authorId="1" shapeId="0" xr:uid="{00000000-0006-0000-4200-000038000000}">
      <text>
        <r>
          <rPr>
            <sz val="12"/>
            <color theme="1"/>
            <rFont val="Aptos Narrow"/>
            <family val="2"/>
            <scheme val="minor"/>
          </rPr>
          <t>was 12464
vnp1%</t>
        </r>
      </text>
    </comment>
    <comment ref="F24" authorId="2" shapeId="0" xr:uid="{00000000-0006-0000-4200-000039000000}">
      <text>
        <r>
          <rPr>
            <sz val="12"/>
            <color theme="1"/>
            <rFont val="Aptos Narrow"/>
            <family val="2"/>
            <scheme val="minor"/>
          </rPr>
          <t>chit trang:
13.190</t>
        </r>
      </text>
    </comment>
    <comment ref="E25" authorId="1" shapeId="0" xr:uid="{00000000-0006-0000-4200-00003A000000}">
      <text>
        <r>
          <rPr>
            <sz val="12"/>
            <color theme="1"/>
            <rFont val="Aptos Narrow"/>
            <family val="2"/>
            <scheme val="minor"/>
          </rPr>
          <t>was 8900
vnp1%</t>
        </r>
      </text>
    </comment>
    <comment ref="F25" authorId="2" shapeId="0" xr:uid="{00000000-0006-0000-4200-00003B000000}">
      <text>
        <r>
          <rPr>
            <sz val="12"/>
            <color theme="1"/>
            <rFont val="Aptos Narrow"/>
            <family val="2"/>
            <scheme val="minor"/>
          </rPr>
          <t>chit trang: 9190</t>
        </r>
      </text>
    </comment>
    <comment ref="G25" authorId="4" shapeId="0" xr:uid="{00000000-0006-0000-4200-00003C000000}">
      <text>
        <r>
          <rPr>
            <sz val="12"/>
            <color theme="1"/>
            <rFont val="Aptos Narrow"/>
            <family val="2"/>
            <scheme val="minor"/>
          </rPr>
          <t>Tran Dat:
8890</t>
        </r>
      </text>
    </comment>
    <comment ref="B26" authorId="1" shapeId="0" xr:uid="{00000000-0006-0000-4200-00003D000000}">
      <text>
        <r>
          <rPr>
            <sz val="12"/>
            <color theme="1"/>
            <rFont val="Aptos Narrow"/>
            <family val="2"/>
            <scheme val="minor"/>
          </rPr>
          <t>was 13320
VNP100</t>
        </r>
      </text>
    </comment>
    <comment ref="C26" authorId="3" shapeId="0" xr:uid="{00000000-0006-0000-4200-00003E000000}">
      <text>
        <r>
          <rPr>
            <sz val="12"/>
            <color theme="1"/>
            <rFont val="Aptos Narrow"/>
            <family val="2"/>
            <scheme val="minor"/>
          </rPr>
          <t>Việt Hoàng:
13.690.000</t>
        </r>
      </text>
    </comment>
    <comment ref="D26" authorId="3" shapeId="0" xr:uid="{00000000-0006-0000-4200-00003F000000}">
      <text>
        <r>
          <rPr>
            <sz val="12"/>
            <color theme="1"/>
            <rFont val="Aptos Narrow"/>
            <family val="2"/>
            <scheme val="minor"/>
          </rPr>
          <t>Việt Hoàng:
13.690.000</t>
        </r>
      </text>
    </comment>
    <comment ref="B28" authorId="1" shapeId="0" xr:uid="{00000000-0006-0000-4200-000040000000}">
      <text>
        <r>
          <rPr>
            <sz val="12"/>
            <color theme="1"/>
            <rFont val="Aptos Narrow"/>
            <family val="2"/>
            <scheme val="minor"/>
          </rPr>
          <t>was 5550
VNP40</t>
        </r>
      </text>
    </comment>
    <comment ref="E28" authorId="1" shapeId="0" xr:uid="{00000000-0006-0000-4200-000041000000}">
      <text>
        <r>
          <rPr>
            <sz val="12"/>
            <color theme="1"/>
            <rFont val="Aptos Narrow"/>
            <family val="2"/>
            <scheme val="minor"/>
          </rPr>
          <t>was 5138
vnp1%</t>
        </r>
      </text>
    </comment>
    <comment ref="F28" authorId="2" shapeId="0" xr:uid="{00000000-0006-0000-4200-000042000000}">
      <text>
        <r>
          <rPr>
            <sz val="12"/>
            <color theme="1"/>
            <rFont val="Aptos Narrow"/>
            <family val="2"/>
            <scheme val="minor"/>
          </rPr>
          <t>chit trang:
5.290</t>
        </r>
      </text>
    </comment>
    <comment ref="G28" authorId="4" shapeId="0" xr:uid="{00000000-0006-0000-4200-000043000000}">
      <text>
        <r>
          <rPr>
            <sz val="12"/>
            <color theme="1"/>
            <rFont val="Aptos Narrow"/>
            <family val="2"/>
            <scheme val="minor"/>
          </rPr>
          <t>Tran Dat:
5390</t>
        </r>
      </text>
    </comment>
    <comment ref="B29" authorId="1" shapeId="0" xr:uid="{00000000-0006-0000-4200-000044000000}">
      <text>
        <r>
          <rPr>
            <sz val="12"/>
            <color theme="1"/>
            <rFont val="Aptos Narrow"/>
            <family val="2"/>
            <scheme val="minor"/>
          </rPr>
          <t xml:space="preserve">was 4490
</t>
        </r>
      </text>
    </comment>
    <comment ref="E29" authorId="1" shapeId="0" xr:uid="{00000000-0006-0000-4200-000045000000}">
      <text>
        <r>
          <rPr>
            <sz val="12"/>
            <color theme="1"/>
            <rFont val="Aptos Narrow"/>
            <family val="2"/>
            <scheme val="minor"/>
          </rPr>
          <t>was 4247
vnp1%</t>
        </r>
      </text>
    </comment>
    <comment ref="B30" authorId="1" shapeId="0" xr:uid="{00000000-0006-0000-4200-000046000000}">
      <text>
        <r>
          <rPr>
            <sz val="12"/>
            <color theme="1"/>
            <rFont val="Aptos Narrow"/>
            <family val="2"/>
            <scheme val="minor"/>
          </rPr>
          <t>was 3190</t>
        </r>
      </text>
    </comment>
    <comment ref="C30" authorId="3" shapeId="0" xr:uid="{00000000-0006-0000-4200-000047000000}">
      <text>
        <r>
          <rPr>
            <sz val="12"/>
            <color theme="1"/>
            <rFont val="Aptos Narrow"/>
            <family val="2"/>
            <scheme val="minor"/>
          </rPr>
          <t>Việt Hoàng:
3.090.000</t>
        </r>
      </text>
    </comment>
    <comment ref="E30" authorId="1" shapeId="0" xr:uid="{00000000-0006-0000-4200-000048000000}">
      <text>
        <r>
          <rPr>
            <sz val="12"/>
            <color theme="1"/>
            <rFont val="Aptos Narrow"/>
            <family val="2"/>
            <scheme val="minor"/>
          </rPr>
          <t>was 2890</t>
        </r>
      </text>
    </comment>
    <comment ref="F30" authorId="2" shapeId="0" xr:uid="{00000000-0006-0000-4200-000049000000}">
      <text>
        <r>
          <rPr>
            <sz val="12"/>
            <color theme="1"/>
            <rFont val="Aptos Narrow"/>
            <family val="2"/>
            <scheme val="minor"/>
          </rPr>
          <t>chit trang:
3.090</t>
        </r>
      </text>
    </comment>
    <comment ref="B31" authorId="1" shapeId="0" xr:uid="{00000000-0006-0000-4200-00004A000000}">
      <text>
        <r>
          <rPr>
            <sz val="12"/>
            <color theme="1"/>
            <rFont val="Aptos Narrow"/>
            <family val="2"/>
            <scheme val="minor"/>
          </rPr>
          <t>was 18090
VNP100</t>
        </r>
      </text>
    </comment>
    <comment ref="F32" authorId="2" shapeId="0" xr:uid="{00000000-0006-0000-4200-00004B000000}">
      <text>
        <r>
          <rPr>
            <sz val="12"/>
            <color theme="1"/>
            <rFont val="Aptos Narrow"/>
            <family val="2"/>
            <scheme val="minor"/>
          </rPr>
          <t>chit trang:
19.890</t>
        </r>
      </text>
    </comment>
    <comment ref="B33" authorId="1" shapeId="0" xr:uid="{00000000-0006-0000-4200-00004C000000}">
      <text>
        <r>
          <rPr>
            <sz val="12"/>
            <color theme="1"/>
            <rFont val="Aptos Narrow"/>
            <family val="2"/>
            <scheme val="minor"/>
          </rPr>
          <t>was 26140
VNP150</t>
        </r>
      </text>
    </comment>
    <comment ref="C34" authorId="3" shapeId="0" xr:uid="{00000000-0006-0000-4200-00004D000000}">
      <text>
        <r>
          <rPr>
            <sz val="12"/>
            <color theme="1"/>
            <rFont val="Aptos Narrow"/>
            <family val="2"/>
            <scheme val="minor"/>
          </rPr>
          <t>Việt Hoàng:
25.790.000</t>
        </r>
      </text>
    </comment>
    <comment ref="D34" authorId="3" shapeId="0" xr:uid="{00000000-0006-0000-4200-00004E000000}">
      <text>
        <r>
          <rPr>
            <sz val="12"/>
            <color theme="1"/>
            <rFont val="Aptos Narrow"/>
            <family val="2"/>
            <scheme val="minor"/>
          </rPr>
          <t>Việt Hoàng:
25.490.000</t>
        </r>
      </text>
    </comment>
    <comment ref="F34" authorId="2" shapeId="0" xr:uid="{00000000-0006-0000-4200-00004F000000}">
      <text>
        <r>
          <rPr>
            <sz val="12"/>
            <color theme="1"/>
            <rFont val="Aptos Narrow"/>
            <family val="2"/>
            <scheme val="minor"/>
          </rPr>
          <t>chit trang:
24.990</t>
        </r>
      </text>
    </comment>
    <comment ref="G34" authorId="4" shapeId="0" xr:uid="{00000000-0006-0000-4200-000050000000}">
      <text>
        <r>
          <rPr>
            <sz val="12"/>
            <color theme="1"/>
            <rFont val="Aptos Narrow"/>
            <family val="2"/>
            <scheme val="minor"/>
          </rPr>
          <t>Tran Dat:
24890</t>
        </r>
      </text>
    </comment>
    <comment ref="F35" authorId="2" shapeId="0" xr:uid="{00000000-0006-0000-4200-000051000000}">
      <text>
        <r>
          <rPr>
            <sz val="12"/>
            <color theme="1"/>
            <rFont val="Aptos Narrow"/>
            <family val="2"/>
            <scheme val="minor"/>
          </rPr>
          <t>chit trang:
29.490</t>
        </r>
      </text>
    </comment>
    <comment ref="C36" authorId="3" shapeId="0" xr:uid="{00000000-0006-0000-4200-000052000000}">
      <text>
        <r>
          <rPr>
            <sz val="12"/>
            <color theme="1"/>
            <rFont val="Aptos Narrow"/>
            <family val="2"/>
            <scheme val="minor"/>
          </rPr>
          <t>Việt Hoàng:
38.890.000</t>
        </r>
      </text>
    </comment>
    <comment ref="D36" authorId="3" shapeId="0" xr:uid="{00000000-0006-0000-4200-000053000000}">
      <text>
        <r>
          <rPr>
            <sz val="12"/>
            <color theme="1"/>
            <rFont val="Aptos Narrow"/>
            <family val="2"/>
            <scheme val="minor"/>
          </rPr>
          <t>Việt Hoàng:
38.890.000</t>
        </r>
      </text>
    </comment>
    <comment ref="F36" authorId="2" shapeId="0" xr:uid="{00000000-0006-0000-4200-000054000000}">
      <text>
        <r>
          <rPr>
            <sz val="12"/>
            <color theme="1"/>
            <rFont val="Aptos Narrow"/>
            <family val="2"/>
            <scheme val="minor"/>
          </rPr>
          <t>chit trang:
38.890</t>
        </r>
      </text>
    </comment>
    <comment ref="G36" authorId="4" shapeId="0" xr:uid="{00000000-0006-0000-4200-000055000000}">
      <text>
        <r>
          <rPr>
            <sz val="12"/>
            <color theme="1"/>
            <rFont val="Aptos Narrow"/>
            <family val="2"/>
            <scheme val="minor"/>
          </rPr>
          <t>Tran Dat:
38590</t>
        </r>
      </text>
    </comment>
  </commentList>
</comments>
</file>

<file path=xl/comments68.xml><?xml version="1.0" encoding="utf-8"?>
<comments xmlns="http://schemas.openxmlformats.org/spreadsheetml/2006/main" xmlns:mc="http://schemas.openxmlformats.org/markup-compatibility/2006" xmlns:xr="http://schemas.microsoft.com/office/spreadsheetml/2014/revision" mc:Ignorable="xr">
  <authors>
    <author>Việt Hoàng</author>
    <author>Microsoft Office User</author>
    <author>chit trang</author>
    <author>Duy</author>
    <author>Tran Dat</author>
  </authors>
  <commentList>
    <comment ref="D2" authorId="0" shapeId="0" xr:uid="{00000000-0006-0000-4300-000001000000}">
      <text>
        <r>
          <rPr>
            <sz val="12"/>
            <color theme="1"/>
            <rFont val="Aptos Narrow"/>
            <family val="2"/>
            <scheme val="minor"/>
          </rPr>
          <t>Việt Hoàng:
15.790.000</t>
        </r>
      </text>
    </comment>
    <comment ref="E2" authorId="1" shapeId="0" xr:uid="{00000000-0006-0000-4300-000002000000}">
      <text>
        <r>
          <rPr>
            <sz val="12"/>
            <color theme="1"/>
            <rFont val="Aptos Narrow"/>
            <family val="2"/>
            <scheme val="minor"/>
          </rPr>
          <t>giờ vàng</t>
        </r>
      </text>
    </comment>
    <comment ref="F2" authorId="2" shapeId="0" xr:uid="{00000000-0006-0000-4300-000003000000}">
      <text>
        <r>
          <rPr>
            <sz val="12"/>
            <color theme="1"/>
            <rFont val="Aptos Narrow"/>
            <family val="2"/>
            <scheme val="minor"/>
          </rPr>
          <t>chit trang:
15.790</t>
        </r>
      </text>
    </comment>
    <comment ref="D3" authorId="0" shapeId="0" xr:uid="{00000000-0006-0000-4300-000004000000}">
      <text>
        <r>
          <rPr>
            <sz val="12"/>
            <color theme="1"/>
            <rFont val="Aptos Narrow"/>
            <family val="2"/>
            <scheme val="minor"/>
          </rPr>
          <t>Việt Hoàng:
18.890.000</t>
        </r>
      </text>
    </comment>
    <comment ref="E3" authorId="1" shapeId="0" xr:uid="{00000000-0006-0000-4300-000005000000}">
      <text>
        <r>
          <rPr>
            <sz val="12"/>
            <color theme="1"/>
            <rFont val="Aptos Narrow"/>
            <family val="2"/>
            <scheme val="minor"/>
          </rPr>
          <t>Giờ vàng</t>
        </r>
      </text>
    </comment>
    <comment ref="B4" authorId="1" shapeId="0" xr:uid="{00000000-0006-0000-4300-000006000000}">
      <text>
        <r>
          <rPr>
            <sz val="12"/>
            <color theme="1"/>
            <rFont val="Aptos Narrow"/>
            <family val="2"/>
            <scheme val="minor"/>
          </rPr>
          <t>was 24640000
VNP150</t>
        </r>
      </text>
    </comment>
    <comment ref="E4" authorId="1" shapeId="0" xr:uid="{00000000-0006-0000-4300-000007000000}">
      <text>
        <r>
          <rPr>
            <sz val="12"/>
            <color theme="1"/>
            <rFont val="Aptos Narrow"/>
            <family val="2"/>
            <scheme val="minor"/>
          </rPr>
          <t>Giờ vàng</t>
        </r>
      </text>
    </comment>
    <comment ref="E5" authorId="1" shapeId="0" xr:uid="{00000000-0006-0000-4300-000008000000}">
      <text>
        <r>
          <rPr>
            <sz val="12"/>
            <color theme="1"/>
            <rFont val="Aptos Narrow"/>
            <family val="2"/>
            <scheme val="minor"/>
          </rPr>
          <t xml:space="preserve">Giờ vàng
</t>
        </r>
      </text>
    </comment>
    <comment ref="F5" authorId="2" shapeId="0" xr:uid="{00000000-0006-0000-4300-000009000000}">
      <text>
        <r>
          <rPr>
            <sz val="12"/>
            <color theme="1"/>
            <rFont val="Aptos Narrow"/>
            <family val="2"/>
            <scheme val="minor"/>
          </rPr>
          <t>chit trang:
25090</t>
        </r>
      </text>
    </comment>
    <comment ref="B6" authorId="1" shapeId="0" xr:uid="{00000000-0006-0000-4300-00000A000000}">
      <text>
        <r>
          <rPr>
            <sz val="12"/>
            <color theme="1"/>
            <rFont val="Aptos Narrow"/>
            <family val="2"/>
            <scheme val="minor"/>
          </rPr>
          <t>Tặng phiếu mua hàng mua AirPods và Apple Watch trị giá 500,000đ
 Phiếu mua hàng mua sản phẩm giá niêm yết từ 5 triệu thuộc các nhóm TAI NGHE - LOA hãng HARMAN KARDON, JBL,MONSTER, KLIPSCH, MARSHALL, SONY; Smartwatch hãng HUAWEI, GARMIN, SAMSUNG, IMOO, OPPO, AMAZFIT trị giá 500.000đ</t>
        </r>
      </text>
    </comment>
    <comment ref="E6" authorId="1" shapeId="0" xr:uid="{00000000-0006-0000-4300-00000B000000}">
      <text>
        <r>
          <rPr>
            <sz val="12"/>
            <color theme="1"/>
            <rFont val="Aptos Narrow"/>
            <family val="2"/>
            <scheme val="minor"/>
          </rPr>
          <t xml:space="preserve">Giờ vàng
</t>
        </r>
      </text>
    </comment>
    <comment ref="F6" authorId="2" shapeId="0" xr:uid="{00000000-0006-0000-4300-00000C000000}">
      <text>
        <r>
          <rPr>
            <sz val="12"/>
            <color theme="1"/>
            <rFont val="Aptos Narrow"/>
            <family val="2"/>
            <scheme val="minor"/>
          </rPr>
          <t>chit trang:
29.990</t>
        </r>
      </text>
    </comment>
    <comment ref="C7" authorId="0" shapeId="0" xr:uid="{00000000-0006-0000-4300-00000D000000}">
      <text>
        <r>
          <rPr>
            <sz val="12"/>
            <color theme="1"/>
            <rFont val="Aptos Narrow"/>
            <family val="2"/>
            <scheme val="minor"/>
          </rPr>
          <t>W5 15.390</t>
        </r>
      </text>
    </comment>
    <comment ref="D7" authorId="0" shapeId="0" xr:uid="{00000000-0006-0000-4300-00000E000000}">
      <text>
        <r>
          <rPr>
            <sz val="12"/>
            <color theme="1"/>
            <rFont val="Aptos Narrow"/>
            <family val="2"/>
            <scheme val="minor"/>
          </rPr>
          <t>Việt Hoàng:
15.290.000</t>
        </r>
      </text>
    </comment>
    <comment ref="F7" authorId="2" shapeId="0" xr:uid="{00000000-0006-0000-4300-00000F000000}">
      <text>
        <r>
          <rPr>
            <sz val="12"/>
            <color theme="1"/>
            <rFont val="Aptos Narrow"/>
            <family val="2"/>
            <scheme val="minor"/>
          </rPr>
          <t>chit trang:
15.390</t>
        </r>
      </text>
    </comment>
    <comment ref="C8" authorId="3" shapeId="0" xr:uid="{00000000-0006-0000-4300-000010000000}">
      <text>
        <r>
          <rPr>
            <sz val="12"/>
            <color theme="1"/>
            <rFont val="Aptos Narrow"/>
            <family val="2"/>
            <scheme val="minor"/>
          </rPr>
          <t>W2 19090</t>
        </r>
      </text>
    </comment>
    <comment ref="D8" authorId="0" shapeId="0" xr:uid="{00000000-0006-0000-4300-000011000000}">
      <text>
        <r>
          <rPr>
            <sz val="12"/>
            <color theme="1"/>
            <rFont val="Aptos Narrow"/>
            <family val="2"/>
            <scheme val="minor"/>
          </rPr>
          <t>Việt Hoàng:
18.990.000</t>
        </r>
      </text>
    </comment>
    <comment ref="F8" authorId="2" shapeId="0" xr:uid="{00000000-0006-0000-4300-000012000000}">
      <text>
        <r>
          <rPr>
            <sz val="12"/>
            <color theme="1"/>
            <rFont val="Aptos Narrow"/>
            <family val="2"/>
            <scheme val="minor"/>
          </rPr>
          <t>chit trang:
18.990</t>
        </r>
      </text>
    </comment>
    <comment ref="B9" authorId="1" shapeId="0" xr:uid="{00000000-0006-0000-4300-000013000000}">
      <text>
        <r>
          <rPr>
            <sz val="12"/>
            <color theme="1"/>
            <rFont val="Aptos Narrow"/>
            <family val="2"/>
            <scheme val="minor"/>
          </rPr>
          <t>was 29140000
VNP150</t>
        </r>
      </text>
    </comment>
    <comment ref="C9" authorId="3" shapeId="0" xr:uid="{00000000-0006-0000-4300-000014000000}">
      <text>
        <r>
          <rPr>
            <sz val="12"/>
            <color theme="1"/>
            <rFont val="Aptos Narrow"/>
            <family val="2"/>
            <scheme val="minor"/>
          </rPr>
          <t>W3 27.690</t>
        </r>
      </text>
    </comment>
    <comment ref="F9" authorId="2" shapeId="0" xr:uid="{00000000-0006-0000-4300-000015000000}">
      <text>
        <r>
          <rPr>
            <sz val="12"/>
            <color theme="1"/>
            <rFont val="Aptos Narrow"/>
            <family val="2"/>
            <scheme val="minor"/>
          </rPr>
          <t>chit trang:
28.690k</t>
        </r>
      </text>
    </comment>
    <comment ref="B10" authorId="1" shapeId="0" xr:uid="{00000000-0006-0000-4300-000016000000}">
      <text>
        <r>
          <rPr>
            <sz val="12"/>
            <color theme="1"/>
            <rFont val="Aptos Narrow"/>
            <family val="2"/>
            <scheme val="minor"/>
          </rPr>
          <t>was 18440</t>
        </r>
      </text>
    </comment>
    <comment ref="F11" authorId="2" shapeId="0" xr:uid="{00000000-0006-0000-4300-000017000000}">
      <text>
        <r>
          <rPr>
            <sz val="12"/>
            <color theme="1"/>
            <rFont val="Aptos Narrow"/>
            <family val="2"/>
            <scheme val="minor"/>
          </rPr>
          <t>chit trang:
12.590</t>
        </r>
      </text>
    </comment>
    <comment ref="B12" authorId="1" shapeId="0" xr:uid="{00000000-0006-0000-4300-000018000000}">
      <text>
        <r>
          <rPr>
            <sz val="12"/>
            <color theme="1"/>
            <rFont val="Aptos Narrow"/>
            <family val="2"/>
            <scheme val="minor"/>
          </rPr>
          <t>was 13190
VNP100</t>
        </r>
      </text>
    </comment>
    <comment ref="D12" authorId="0" shapeId="0" xr:uid="{00000000-0006-0000-4300-000019000000}">
      <text>
        <r>
          <rPr>
            <sz val="12"/>
            <color theme="1"/>
            <rFont val="Aptos Narrow"/>
            <family val="2"/>
            <scheme val="minor"/>
          </rPr>
          <t>Việt Hoàng:
11.190.000</t>
        </r>
      </text>
    </comment>
    <comment ref="E12" authorId="1" shapeId="0" xr:uid="{00000000-0006-0000-4300-00001A000000}">
      <text>
        <r>
          <rPr>
            <sz val="12"/>
            <color theme="1"/>
            <rFont val="Aptos Narrow"/>
            <family val="2"/>
            <scheme val="minor"/>
          </rPr>
          <t>Giờ vàng</t>
        </r>
      </text>
    </comment>
    <comment ref="C13" authorId="3" shapeId="0" xr:uid="{00000000-0006-0000-4300-00001B000000}">
      <text>
        <r>
          <rPr>
            <sz val="12"/>
            <color theme="1"/>
            <rFont val="Aptos Narrow"/>
            <family val="2"/>
            <scheme val="minor"/>
          </rPr>
          <t>W5 11.790</t>
        </r>
      </text>
    </comment>
    <comment ref="D13" authorId="0" shapeId="0" xr:uid="{00000000-0006-0000-4300-00001C000000}">
      <text>
        <r>
          <rPr>
            <sz val="12"/>
            <color theme="1"/>
            <rFont val="Aptos Narrow"/>
            <family val="2"/>
            <scheme val="minor"/>
          </rPr>
          <t>Việt Hoàng:
11.790.000</t>
        </r>
      </text>
    </comment>
    <comment ref="E13" authorId="1" shapeId="0" xr:uid="{00000000-0006-0000-4300-00001D000000}">
      <text>
        <r>
          <rPr>
            <sz val="12"/>
            <color theme="1"/>
            <rFont val="Aptos Narrow"/>
            <family val="2"/>
            <scheme val="minor"/>
          </rPr>
          <t>was 11672
vnp1%</t>
        </r>
      </text>
    </comment>
    <comment ref="B14" authorId="1" shapeId="0" xr:uid="{00000000-0006-0000-4300-00001E000000}">
      <text>
        <r>
          <rPr>
            <sz val="12"/>
            <color theme="1"/>
            <rFont val="Aptos Narrow"/>
            <family val="2"/>
            <scheme val="minor"/>
          </rPr>
          <t>was 7040
VNP40</t>
        </r>
      </text>
    </comment>
    <comment ref="C14" authorId="3" shapeId="0" xr:uid="{00000000-0006-0000-4300-00001F000000}">
      <text>
        <r>
          <rPr>
            <sz val="12"/>
            <color theme="1"/>
            <rFont val="Aptos Narrow"/>
            <family val="2"/>
            <scheme val="minor"/>
          </rPr>
          <t>W5 8890</t>
        </r>
      </text>
    </comment>
    <comment ref="D14" authorId="0" shapeId="0" xr:uid="{00000000-0006-0000-4300-000020000000}">
      <text>
        <r>
          <rPr>
            <sz val="12"/>
            <color theme="1"/>
            <rFont val="Aptos Narrow"/>
            <family val="2"/>
            <scheme val="minor"/>
          </rPr>
          <t>Việt Hoàng:
8.690.000</t>
        </r>
      </text>
    </comment>
    <comment ref="E14" authorId="1" shapeId="0" xr:uid="{00000000-0006-0000-4300-000021000000}">
      <text>
        <r>
          <rPr>
            <sz val="12"/>
            <color theme="1"/>
            <rFont val="Aptos Narrow"/>
            <family val="2"/>
            <scheme val="minor"/>
          </rPr>
          <t>was 8801
vnp1%</t>
        </r>
      </text>
    </comment>
    <comment ref="F14" authorId="2" shapeId="0" xr:uid="{00000000-0006-0000-4300-000022000000}">
      <text>
        <r>
          <rPr>
            <sz val="12"/>
            <color theme="1"/>
            <rFont val="Aptos Narrow"/>
            <family val="2"/>
            <scheme val="minor"/>
          </rPr>
          <t>chit trang:
8.690</t>
        </r>
      </text>
    </comment>
    <comment ref="G14" authorId="4" shapeId="0" xr:uid="{00000000-0006-0000-4300-000023000000}">
      <text>
        <r>
          <rPr>
            <sz val="12"/>
            <color theme="1"/>
            <rFont val="Aptos Narrow"/>
            <family val="2"/>
            <scheme val="minor"/>
          </rPr>
          <t>Tran Dat:
8.490</t>
        </r>
      </text>
    </comment>
    <comment ref="B15" authorId="1" shapeId="0" xr:uid="{00000000-0006-0000-4300-000024000000}">
      <text>
        <r>
          <rPr>
            <sz val="12"/>
            <color theme="1"/>
            <rFont val="Aptos Narrow"/>
            <family val="2"/>
            <scheme val="minor"/>
          </rPr>
          <t>was 14390</t>
        </r>
      </text>
    </comment>
    <comment ref="C15" authorId="3" shapeId="0" xr:uid="{00000000-0006-0000-4300-000025000000}">
      <text>
        <r>
          <rPr>
            <sz val="12"/>
            <color theme="1"/>
            <rFont val="Aptos Narrow"/>
            <family val="2"/>
            <scheme val="minor"/>
          </rPr>
          <t>W5 14.790</t>
        </r>
      </text>
    </comment>
    <comment ref="D15" authorId="0" shapeId="0" xr:uid="{00000000-0006-0000-4300-000026000000}">
      <text>
        <r>
          <rPr>
            <sz val="12"/>
            <color theme="1"/>
            <rFont val="Aptos Narrow"/>
            <family val="2"/>
            <scheme val="minor"/>
          </rPr>
          <t>Việt Hoàng:
14.790.000</t>
        </r>
      </text>
    </comment>
    <comment ref="E15" authorId="1" shapeId="0" xr:uid="{00000000-0006-0000-4300-000027000000}">
      <text>
        <r>
          <rPr>
            <sz val="12"/>
            <color theme="1"/>
            <rFont val="Aptos Narrow"/>
            <family val="2"/>
            <scheme val="minor"/>
          </rPr>
          <t>was 14543
vnp1%</t>
        </r>
      </text>
    </comment>
    <comment ref="F15" authorId="2" shapeId="0" xr:uid="{00000000-0006-0000-4300-000028000000}">
      <text>
        <r>
          <rPr>
            <sz val="12"/>
            <color theme="1"/>
            <rFont val="Aptos Narrow"/>
            <family val="2"/>
            <scheme val="minor"/>
          </rPr>
          <t>chit trang:
14.790</t>
        </r>
      </text>
    </comment>
    <comment ref="G15" authorId="4" shapeId="0" xr:uid="{00000000-0006-0000-4300-000029000000}">
      <text>
        <r>
          <rPr>
            <sz val="12"/>
            <color theme="1"/>
            <rFont val="Aptos Narrow"/>
            <family val="2"/>
            <scheme val="minor"/>
          </rPr>
          <t>Tran Dat:
14.590</t>
        </r>
      </text>
    </comment>
    <comment ref="C16" authorId="3" shapeId="0" xr:uid="{00000000-0006-0000-4300-00002A000000}">
      <text>
        <r>
          <rPr>
            <sz val="12"/>
            <color theme="1"/>
            <rFont val="Aptos Narrow"/>
            <family val="2"/>
            <scheme val="minor"/>
          </rPr>
          <t>W5 20.890</t>
        </r>
      </text>
    </comment>
    <comment ref="D16" authorId="0" shapeId="0" xr:uid="{00000000-0006-0000-4300-00002B000000}">
      <text>
        <r>
          <rPr>
            <sz val="12"/>
            <color theme="1"/>
            <rFont val="Aptos Narrow"/>
            <family val="2"/>
            <scheme val="minor"/>
          </rPr>
          <t>Việt Hoàng:
20.990.000</t>
        </r>
      </text>
    </comment>
    <comment ref="F16" authorId="2" shapeId="0" xr:uid="{00000000-0006-0000-4300-00002C000000}">
      <text>
        <r>
          <rPr>
            <sz val="12"/>
            <color theme="1"/>
            <rFont val="Aptos Narrow"/>
            <family val="2"/>
            <scheme val="minor"/>
          </rPr>
          <t>chit trang:
20.590</t>
        </r>
      </text>
    </comment>
    <comment ref="C17" authorId="3" shapeId="0" xr:uid="{00000000-0006-0000-4300-00002D000000}">
      <text>
        <r>
          <rPr>
            <sz val="12"/>
            <color theme="1"/>
            <rFont val="Aptos Narrow"/>
            <family val="2"/>
            <scheme val="minor"/>
          </rPr>
          <t>W5 25.990</t>
        </r>
      </text>
    </comment>
    <comment ref="D17" authorId="0" shapeId="0" xr:uid="{00000000-0006-0000-4300-00002E000000}">
      <text>
        <r>
          <rPr>
            <sz val="12"/>
            <color theme="1"/>
            <rFont val="Aptos Narrow"/>
            <family val="2"/>
            <scheme val="minor"/>
          </rPr>
          <t>Việt Hoàng:
26.390.000</t>
        </r>
      </text>
    </comment>
    <comment ref="F17" authorId="2" shapeId="0" xr:uid="{00000000-0006-0000-4300-00002F000000}">
      <text>
        <r>
          <rPr>
            <sz val="12"/>
            <color theme="1"/>
            <rFont val="Aptos Narrow"/>
            <family val="2"/>
            <scheme val="minor"/>
          </rPr>
          <t>chit trang:
25.990</t>
        </r>
      </text>
    </comment>
    <comment ref="B18" authorId="1" shapeId="0" xr:uid="{00000000-0006-0000-4300-000030000000}">
      <text>
        <r>
          <rPr>
            <sz val="12"/>
            <color theme="1"/>
            <rFont val="Aptos Narrow"/>
            <family val="2"/>
            <scheme val="minor"/>
          </rPr>
          <t>was 36640</t>
        </r>
      </text>
    </comment>
    <comment ref="C18" authorId="3" shapeId="0" xr:uid="{00000000-0006-0000-4300-000031000000}">
      <text>
        <r>
          <rPr>
            <sz val="12"/>
            <color theme="1"/>
            <rFont val="Aptos Narrow"/>
            <family val="2"/>
            <scheme val="minor"/>
          </rPr>
          <t>W5 33.990</t>
        </r>
      </text>
    </comment>
    <comment ref="D18" authorId="0" shapeId="0" xr:uid="{00000000-0006-0000-4300-000032000000}">
      <text>
        <r>
          <rPr>
            <sz val="12"/>
            <color theme="1"/>
            <rFont val="Aptos Narrow"/>
            <family val="2"/>
            <scheme val="minor"/>
          </rPr>
          <t>Việt Hoàng:
33.990.000</t>
        </r>
      </text>
    </comment>
    <comment ref="F18" authorId="2" shapeId="0" xr:uid="{00000000-0006-0000-4300-000033000000}">
      <text>
        <r>
          <rPr>
            <sz val="12"/>
            <color theme="1"/>
            <rFont val="Aptos Narrow"/>
            <family val="2"/>
            <scheme val="minor"/>
          </rPr>
          <t>chit trang:
33.990k</t>
        </r>
      </text>
    </comment>
    <comment ref="G18" authorId="4" shapeId="0" xr:uid="{00000000-0006-0000-4300-000034000000}">
      <text>
        <r>
          <rPr>
            <sz val="12"/>
            <color theme="1"/>
            <rFont val="Aptos Narrow"/>
            <family val="2"/>
            <scheme val="minor"/>
          </rPr>
          <t>Tran Dat:
34990</t>
        </r>
      </text>
    </comment>
    <comment ref="G19" authorId="4" shapeId="0" xr:uid="{00000000-0006-0000-4300-000035000000}">
      <text>
        <r>
          <rPr>
            <sz val="12"/>
            <color theme="1"/>
            <rFont val="Aptos Narrow"/>
            <family val="2"/>
            <scheme val="minor"/>
          </rPr>
          <t xml:space="preserve">Tran Dat:
5090
</t>
        </r>
      </text>
    </comment>
    <comment ref="B26" authorId="1" shapeId="0" xr:uid="{00000000-0006-0000-4300-000036000000}">
      <text>
        <r>
          <rPr>
            <sz val="12"/>
            <color theme="1"/>
            <rFont val="Aptos Narrow"/>
            <family val="2"/>
            <scheme val="minor"/>
          </rPr>
          <t>was 13320
VNP100</t>
        </r>
      </text>
    </comment>
    <comment ref="B28" authorId="1" shapeId="0" xr:uid="{00000000-0006-0000-4300-000037000000}">
      <text>
        <r>
          <rPr>
            <sz val="12"/>
            <color theme="1"/>
            <rFont val="Aptos Narrow"/>
            <family val="2"/>
            <scheme val="minor"/>
          </rPr>
          <t>was 5550
VNP40</t>
        </r>
      </text>
    </comment>
    <comment ref="D28" authorId="0" shapeId="0" xr:uid="{00000000-0006-0000-4300-000038000000}">
      <text>
        <r>
          <rPr>
            <sz val="12"/>
            <color theme="1"/>
            <rFont val="Aptos Narrow"/>
            <family val="2"/>
            <scheme val="minor"/>
          </rPr>
          <t>Việt Hoàng:
5.550.000</t>
        </r>
      </text>
    </comment>
    <comment ref="B29" authorId="1" shapeId="0" xr:uid="{00000000-0006-0000-4300-000039000000}">
      <text>
        <r>
          <rPr>
            <sz val="12"/>
            <color theme="1"/>
            <rFont val="Aptos Narrow"/>
            <family val="2"/>
            <scheme val="minor"/>
          </rPr>
          <t xml:space="preserve">was 4490
</t>
        </r>
      </text>
    </comment>
    <comment ref="B30" authorId="1" shapeId="0" xr:uid="{00000000-0006-0000-4300-00003A000000}">
      <text>
        <r>
          <rPr>
            <sz val="12"/>
            <color theme="1"/>
            <rFont val="Aptos Narrow"/>
            <family val="2"/>
            <scheme val="minor"/>
          </rPr>
          <t>was 3190</t>
        </r>
      </text>
    </comment>
    <comment ref="C30" authorId="0" shapeId="0" xr:uid="{00000000-0006-0000-4300-00003B000000}">
      <text>
        <r>
          <rPr>
            <sz val="12"/>
            <color theme="1"/>
            <rFont val="Aptos Narrow"/>
            <family val="2"/>
            <scheme val="minor"/>
          </rPr>
          <t>W5 3150</t>
        </r>
      </text>
    </comment>
    <comment ref="D30" authorId="0" shapeId="0" xr:uid="{00000000-0006-0000-4300-00003C000000}">
      <text>
        <r>
          <rPr>
            <sz val="12"/>
            <color theme="1"/>
            <rFont val="Aptos Narrow"/>
            <family val="2"/>
            <scheme val="minor"/>
          </rPr>
          <t>Việt Hoàng:
3.190.000</t>
        </r>
      </text>
    </comment>
    <comment ref="B31" authorId="1" shapeId="0" xr:uid="{00000000-0006-0000-4300-00003D000000}">
      <text>
        <r>
          <rPr>
            <sz val="12"/>
            <color theme="1"/>
            <rFont val="Aptos Narrow"/>
            <family val="2"/>
            <scheme val="minor"/>
          </rPr>
          <t>was 18090
VNP100</t>
        </r>
      </text>
    </comment>
    <comment ref="C32" authorId="3" shapeId="0" xr:uid="{00000000-0006-0000-4300-00003E000000}">
      <text>
        <r>
          <rPr>
            <sz val="12"/>
            <color theme="1"/>
            <rFont val="Aptos Narrow"/>
            <family val="2"/>
            <scheme val="minor"/>
          </rPr>
          <t>W5 19.890</t>
        </r>
      </text>
    </comment>
    <comment ref="B33" authorId="1" shapeId="0" xr:uid="{00000000-0006-0000-4300-00003F000000}">
      <text>
        <r>
          <rPr>
            <sz val="12"/>
            <color theme="1"/>
            <rFont val="Aptos Narrow"/>
            <family val="2"/>
            <scheme val="minor"/>
          </rPr>
          <t>was 26140
VNP150</t>
        </r>
      </text>
    </comment>
    <comment ref="C34" authorId="0" shapeId="0" xr:uid="{00000000-0006-0000-4300-000040000000}">
      <text>
        <r>
          <rPr>
            <sz val="12"/>
            <color theme="1"/>
            <rFont val="Aptos Narrow"/>
            <family val="2"/>
            <scheme val="minor"/>
          </rPr>
          <t>W5 25.190</t>
        </r>
      </text>
    </comment>
    <comment ref="D34" authorId="0" shapeId="0" xr:uid="{00000000-0006-0000-4300-000041000000}">
      <text>
        <r>
          <rPr>
            <sz val="12"/>
            <color theme="1"/>
            <rFont val="Aptos Narrow"/>
            <family val="2"/>
            <scheme val="minor"/>
          </rPr>
          <t>Việt Hoàng:
24.790.000</t>
        </r>
      </text>
    </comment>
    <comment ref="F34" authorId="2" shapeId="0" xr:uid="{00000000-0006-0000-4300-000042000000}">
      <text>
        <r>
          <rPr>
            <sz val="12"/>
            <color theme="1"/>
            <rFont val="Aptos Narrow"/>
            <family val="2"/>
            <scheme val="minor"/>
          </rPr>
          <t>chit trang:
24.790</t>
        </r>
      </text>
    </comment>
    <comment ref="C35" authorId="3" shapeId="0" xr:uid="{00000000-0006-0000-4300-000043000000}">
      <text>
        <r>
          <rPr>
            <sz val="12"/>
            <color theme="1"/>
            <rFont val="Aptos Narrow"/>
            <family val="2"/>
            <scheme val="minor"/>
          </rPr>
          <t>W5 29.790</t>
        </r>
      </text>
    </comment>
    <comment ref="D35" authorId="0" shapeId="0" xr:uid="{00000000-0006-0000-4300-000044000000}">
      <text>
        <r>
          <rPr>
            <sz val="12"/>
            <color theme="1"/>
            <rFont val="Aptos Narrow"/>
            <family val="2"/>
            <scheme val="minor"/>
          </rPr>
          <t>Việt Hoàng:
29.790.000</t>
        </r>
      </text>
    </comment>
    <comment ref="F35" authorId="2" shapeId="0" xr:uid="{00000000-0006-0000-4300-000045000000}">
      <text>
        <r>
          <rPr>
            <sz val="12"/>
            <color theme="1"/>
            <rFont val="Aptos Narrow"/>
            <family val="2"/>
            <scheme val="minor"/>
          </rPr>
          <t>chit trang:
29.490</t>
        </r>
      </text>
    </comment>
    <comment ref="G35" authorId="4" shapeId="0" xr:uid="{00000000-0006-0000-4300-000046000000}">
      <text>
        <r>
          <rPr>
            <sz val="12"/>
            <color theme="1"/>
            <rFont val="Aptos Narrow"/>
            <family val="2"/>
            <scheme val="minor"/>
          </rPr>
          <t>Tran Dat:
29290</t>
        </r>
      </text>
    </comment>
    <comment ref="D36" authorId="0" shapeId="0" xr:uid="{00000000-0006-0000-4300-000047000000}">
      <text>
        <r>
          <rPr>
            <sz val="12"/>
            <color theme="1"/>
            <rFont val="Aptos Narrow"/>
            <family val="2"/>
            <scheme val="minor"/>
          </rPr>
          <t>Việt Hoàng:
37.990.000</t>
        </r>
      </text>
    </comment>
    <comment ref="F36" authorId="2" shapeId="0" xr:uid="{00000000-0006-0000-4300-000048000000}">
      <text>
        <r>
          <rPr>
            <sz val="12"/>
            <color theme="1"/>
            <rFont val="Aptos Narrow"/>
            <family val="2"/>
            <scheme val="minor"/>
          </rPr>
          <t>chit trang:
37.990</t>
        </r>
      </text>
    </comment>
  </commentList>
</comments>
</file>

<file path=xl/comments69.xml><?xml version="1.0" encoding="utf-8"?>
<comments xmlns="http://schemas.openxmlformats.org/spreadsheetml/2006/main" xmlns:mc="http://schemas.openxmlformats.org/markup-compatibility/2006" xmlns:xr="http://schemas.microsoft.com/office/spreadsheetml/2014/revision" mc:Ignorable="xr">
  <authors>
    <author>Duy</author>
    <author>Việt Hoàng</author>
    <author>Microsoft Office User</author>
    <author>chit trang</author>
    <author>Tran Dat</author>
  </authors>
  <commentList>
    <comment ref="C2" authorId="0" shapeId="0" xr:uid="{00000000-0006-0000-4400-000001000000}">
      <text>
        <r>
          <rPr>
            <sz val="12"/>
            <color theme="1"/>
            <rFont val="Aptos Narrow"/>
            <family val="2"/>
            <scheme val="minor"/>
          </rPr>
          <t>W6 16.290</t>
        </r>
      </text>
    </comment>
    <comment ref="D2" authorId="1" shapeId="0" xr:uid="{00000000-0006-0000-4400-000002000000}">
      <text>
        <r>
          <rPr>
            <sz val="12"/>
            <color theme="1"/>
            <rFont val="Aptos Narrow"/>
            <family val="2"/>
            <scheme val="minor"/>
          </rPr>
          <t>Việt Hoàng:
15.790.000</t>
        </r>
      </text>
    </comment>
    <comment ref="E2" authorId="2" shapeId="0" xr:uid="{00000000-0006-0000-4400-000003000000}">
      <text>
        <r>
          <rPr>
            <sz val="12"/>
            <color theme="1"/>
            <rFont val="Aptos Narrow"/>
            <family val="2"/>
            <scheme val="minor"/>
          </rPr>
          <t>giờ vàng</t>
        </r>
      </text>
    </comment>
    <comment ref="F2" authorId="3" shapeId="0" xr:uid="{00000000-0006-0000-4400-000004000000}">
      <text>
        <r>
          <rPr>
            <sz val="12"/>
            <color theme="1"/>
            <rFont val="Aptos Narrow"/>
            <family val="2"/>
            <scheme val="minor"/>
          </rPr>
          <t>chit trang:
15.590</t>
        </r>
      </text>
    </comment>
    <comment ref="D3" authorId="1" shapeId="0" xr:uid="{00000000-0006-0000-4400-000005000000}">
      <text>
        <r>
          <rPr>
            <sz val="12"/>
            <color theme="1"/>
            <rFont val="Aptos Narrow"/>
            <family val="2"/>
            <scheme val="minor"/>
          </rPr>
          <t>Việt Hoàng:
18.990.000</t>
        </r>
      </text>
    </comment>
    <comment ref="E3" authorId="2" shapeId="0" xr:uid="{00000000-0006-0000-4400-000006000000}">
      <text>
        <r>
          <rPr>
            <sz val="12"/>
            <color theme="1"/>
            <rFont val="Aptos Narrow"/>
            <family val="2"/>
            <scheme val="minor"/>
          </rPr>
          <t>Giờ vàng</t>
        </r>
      </text>
    </comment>
    <comment ref="F3" authorId="3" shapeId="0" xr:uid="{00000000-0006-0000-4400-000007000000}">
      <text>
        <r>
          <rPr>
            <sz val="12"/>
            <color theme="1"/>
            <rFont val="Aptos Narrow"/>
            <family val="2"/>
            <scheme val="minor"/>
          </rPr>
          <t>chit trang:
18.890</t>
        </r>
      </text>
    </comment>
    <comment ref="B4" authorId="2" shapeId="0" xr:uid="{00000000-0006-0000-4400-000008000000}">
      <text>
        <r>
          <rPr>
            <sz val="12"/>
            <color theme="1"/>
            <rFont val="Aptos Narrow"/>
            <family val="2"/>
            <scheme val="minor"/>
          </rPr>
          <t>was 24640000
VNP150</t>
        </r>
      </text>
    </comment>
    <comment ref="E4" authorId="2" shapeId="0" xr:uid="{00000000-0006-0000-4400-000009000000}">
      <text>
        <r>
          <rPr>
            <sz val="12"/>
            <color theme="1"/>
            <rFont val="Aptos Narrow"/>
            <family val="2"/>
            <scheme val="minor"/>
          </rPr>
          <t>Giờ vàng</t>
        </r>
      </text>
    </comment>
    <comment ref="F4" authorId="3" shapeId="0" xr:uid="{00000000-0006-0000-4400-00000A000000}">
      <text>
        <r>
          <rPr>
            <sz val="12"/>
            <color theme="1"/>
            <rFont val="Aptos Narrow"/>
            <family val="2"/>
            <scheme val="minor"/>
          </rPr>
          <t>chit trang:
21.890</t>
        </r>
      </text>
    </comment>
    <comment ref="E5" authorId="2" shapeId="0" xr:uid="{00000000-0006-0000-4400-00000B000000}">
      <text>
        <r>
          <rPr>
            <sz val="12"/>
            <color theme="1"/>
            <rFont val="Aptos Narrow"/>
            <family val="2"/>
            <scheme val="minor"/>
          </rPr>
          <t xml:space="preserve">Giờ vàng
</t>
        </r>
      </text>
    </comment>
    <comment ref="F5" authorId="3" shapeId="0" xr:uid="{00000000-0006-0000-4400-00000C000000}">
      <text>
        <r>
          <rPr>
            <sz val="12"/>
            <color theme="1"/>
            <rFont val="Aptos Narrow"/>
            <family val="2"/>
            <scheme val="minor"/>
          </rPr>
          <t>chit trang:
24990</t>
        </r>
      </text>
    </comment>
    <comment ref="G5" authorId="4" shapeId="0" xr:uid="{00000000-0006-0000-4400-00000D000000}">
      <text>
        <r>
          <rPr>
            <sz val="12"/>
            <color theme="1"/>
            <rFont val="Aptos Narrow"/>
            <family val="2"/>
            <scheme val="minor"/>
          </rPr>
          <t>Tran Dat:
24450</t>
        </r>
      </text>
    </comment>
    <comment ref="B6" authorId="2" shapeId="0" xr:uid="{00000000-0006-0000-4400-00000E000000}">
      <text>
        <r>
          <rPr>
            <sz val="12"/>
            <color theme="1"/>
            <rFont val="Aptos Narrow"/>
            <family val="2"/>
            <scheme val="minor"/>
          </rPr>
          <t>Tặng phiếu mua hàng mua AirPods và Apple Watch trị giá 500,000đ
 Phiếu mua hàng mua sản phẩm giá niêm yết từ 5 triệu thuộc các nhóm TAI NGHE - LOA hãng HARMAN KARDON, JBL,MONSTER, KLIPSCH, MARSHALL, SONY; Smartwatch hãng HUAWEI, GARMIN, SAMSUNG, IMOO, OPPO, AMAZFIT trị giá 500.000đ</t>
        </r>
      </text>
    </comment>
    <comment ref="E6" authorId="2" shapeId="0" xr:uid="{00000000-0006-0000-4400-00000F000000}">
      <text>
        <r>
          <rPr>
            <sz val="12"/>
            <color theme="1"/>
            <rFont val="Aptos Narrow"/>
            <family val="2"/>
            <scheme val="minor"/>
          </rPr>
          <t xml:space="preserve">Giờ vàng
</t>
        </r>
      </text>
    </comment>
    <comment ref="F6" authorId="3" shapeId="0" xr:uid="{00000000-0006-0000-4400-000010000000}">
      <text>
        <r>
          <rPr>
            <sz val="12"/>
            <color theme="1"/>
            <rFont val="Aptos Narrow"/>
            <family val="2"/>
            <scheme val="minor"/>
          </rPr>
          <t>chit trang:
29.990</t>
        </r>
      </text>
    </comment>
    <comment ref="C7" authorId="1" shapeId="0" xr:uid="{00000000-0006-0000-4400-000011000000}">
      <text>
        <r>
          <rPr>
            <sz val="12"/>
            <color theme="1"/>
            <rFont val="Aptos Narrow"/>
            <family val="2"/>
            <scheme val="minor"/>
          </rPr>
          <t>W6 15.590</t>
        </r>
      </text>
    </comment>
    <comment ref="D7" authorId="1" shapeId="0" xr:uid="{00000000-0006-0000-4400-000012000000}">
      <text>
        <r>
          <rPr>
            <sz val="12"/>
            <color theme="1"/>
            <rFont val="Aptos Narrow"/>
            <family val="2"/>
            <scheme val="minor"/>
          </rPr>
          <t>Việt Hoàng:
15.590.000</t>
        </r>
      </text>
    </comment>
    <comment ref="F7" authorId="3" shapeId="0" xr:uid="{00000000-0006-0000-4400-000013000000}">
      <text>
        <r>
          <rPr>
            <sz val="12"/>
            <color theme="1"/>
            <rFont val="Aptos Narrow"/>
            <family val="2"/>
            <scheme val="minor"/>
          </rPr>
          <t>chit trang:
15.290</t>
        </r>
      </text>
    </comment>
    <comment ref="D8" authorId="1" shapeId="0" xr:uid="{00000000-0006-0000-4400-000014000000}">
      <text>
        <r>
          <rPr>
            <sz val="12"/>
            <color theme="1"/>
            <rFont val="Aptos Narrow"/>
            <family val="2"/>
            <scheme val="minor"/>
          </rPr>
          <t>Việt Hoàng:
19.190.000</t>
        </r>
      </text>
    </comment>
    <comment ref="F8" authorId="3" shapeId="0" xr:uid="{00000000-0006-0000-4400-000015000000}">
      <text>
        <r>
          <rPr>
            <sz val="12"/>
            <color theme="1"/>
            <rFont val="Aptos Narrow"/>
            <family val="2"/>
            <scheme val="minor"/>
          </rPr>
          <t>chit trang:
19.190</t>
        </r>
      </text>
    </comment>
    <comment ref="B9" authorId="2" shapeId="0" xr:uid="{00000000-0006-0000-4400-000016000000}">
      <text>
        <r>
          <rPr>
            <sz val="12"/>
            <color theme="1"/>
            <rFont val="Aptos Narrow"/>
            <family val="2"/>
            <scheme val="minor"/>
          </rPr>
          <t>was 29140000
VNP150</t>
        </r>
      </text>
    </comment>
    <comment ref="D9" authorId="4" shapeId="0" xr:uid="{00000000-0006-0000-4400-000017000000}">
      <text>
        <r>
          <rPr>
            <sz val="12"/>
            <color theme="1"/>
            <rFont val="Aptos Narrow"/>
            <family val="2"/>
            <scheme val="minor"/>
          </rPr>
          <t>Tran Dat:
28.490</t>
        </r>
      </text>
    </comment>
    <comment ref="G9" authorId="4" shapeId="0" xr:uid="{00000000-0006-0000-4400-000018000000}">
      <text>
        <r>
          <rPr>
            <sz val="12"/>
            <color theme="1"/>
            <rFont val="Aptos Narrow"/>
            <family val="2"/>
            <scheme val="minor"/>
          </rPr>
          <t>Tran Dat:
27690</t>
        </r>
      </text>
    </comment>
    <comment ref="B10" authorId="2" shapeId="0" xr:uid="{00000000-0006-0000-4400-000019000000}">
      <text>
        <r>
          <rPr>
            <sz val="12"/>
            <color theme="1"/>
            <rFont val="Aptos Narrow"/>
            <family val="2"/>
            <scheme val="minor"/>
          </rPr>
          <t>was 18440</t>
        </r>
      </text>
    </comment>
    <comment ref="C11" authorId="0" shapeId="0" xr:uid="{00000000-0006-0000-4400-00001A000000}">
      <text>
        <r>
          <rPr>
            <sz val="12"/>
            <color theme="1"/>
            <rFont val="Aptos Narrow"/>
            <family val="2"/>
            <scheme val="minor"/>
          </rPr>
          <t>W6 12.690</t>
        </r>
      </text>
    </comment>
    <comment ref="D11" authorId="4" shapeId="0" xr:uid="{00000000-0006-0000-4400-00001B000000}">
      <text>
        <r>
          <rPr>
            <sz val="12"/>
            <color theme="1"/>
            <rFont val="Aptos Narrow"/>
            <family val="2"/>
            <scheme val="minor"/>
          </rPr>
          <t>Tran Dat:
12490</t>
        </r>
      </text>
    </comment>
    <comment ref="G11" authorId="4" shapeId="0" xr:uid="{00000000-0006-0000-4400-00001C000000}">
      <text>
        <r>
          <rPr>
            <sz val="12"/>
            <color theme="1"/>
            <rFont val="Aptos Narrow"/>
            <family val="2"/>
            <scheme val="minor"/>
          </rPr>
          <t xml:space="preserve">Tran Dat:
12290000
</t>
        </r>
      </text>
    </comment>
    <comment ref="B12" authorId="2" shapeId="0" xr:uid="{00000000-0006-0000-4400-00001D000000}">
      <text>
        <r>
          <rPr>
            <sz val="12"/>
            <color theme="1"/>
            <rFont val="Aptos Narrow"/>
            <family val="2"/>
            <scheme val="minor"/>
          </rPr>
          <t>was 13190
VNP100</t>
        </r>
      </text>
    </comment>
    <comment ref="E12" authorId="2" shapeId="0" xr:uid="{00000000-0006-0000-4400-00001E000000}">
      <text>
        <r>
          <rPr>
            <sz val="12"/>
            <color theme="1"/>
            <rFont val="Aptos Narrow"/>
            <family val="2"/>
            <scheme val="minor"/>
          </rPr>
          <t>Giờ vàng</t>
        </r>
      </text>
    </comment>
    <comment ref="F12" authorId="3" shapeId="0" xr:uid="{00000000-0006-0000-4400-00001F000000}">
      <text>
        <r>
          <rPr>
            <sz val="12"/>
            <color theme="1"/>
            <rFont val="Aptos Narrow"/>
            <family val="2"/>
            <scheme val="minor"/>
          </rPr>
          <t>chit trang:
11.290</t>
        </r>
      </text>
    </comment>
    <comment ref="G12" authorId="4" shapeId="0" xr:uid="{00000000-0006-0000-4400-000020000000}">
      <text>
        <r>
          <rPr>
            <sz val="12"/>
            <color theme="1"/>
            <rFont val="Aptos Narrow"/>
            <family val="2"/>
            <scheme val="minor"/>
          </rPr>
          <t xml:space="preserve">Tran Dat:
11190000
</t>
        </r>
      </text>
    </comment>
    <comment ref="B14" authorId="2" shapeId="0" xr:uid="{00000000-0006-0000-4400-000021000000}">
      <text>
        <r>
          <rPr>
            <sz val="12"/>
            <color theme="1"/>
            <rFont val="Aptos Narrow"/>
            <family val="2"/>
            <scheme val="minor"/>
          </rPr>
          <t>was 7040
VNP40</t>
        </r>
      </text>
    </comment>
    <comment ref="C14" authorId="0" shapeId="0" xr:uid="{00000000-0006-0000-4400-000022000000}">
      <text>
        <r>
          <rPr>
            <sz val="12"/>
            <color theme="1"/>
            <rFont val="Aptos Narrow"/>
            <family val="2"/>
            <scheme val="minor"/>
          </rPr>
          <t>W6 9790</t>
        </r>
      </text>
    </comment>
    <comment ref="F14" authorId="3" shapeId="0" xr:uid="{00000000-0006-0000-4400-000023000000}">
      <text>
        <r>
          <rPr>
            <sz val="12"/>
            <color theme="1"/>
            <rFont val="Aptos Narrow"/>
            <family val="2"/>
            <scheme val="minor"/>
          </rPr>
          <t>chit trang:
9690</t>
        </r>
      </text>
    </comment>
    <comment ref="G14" authorId="4" shapeId="0" xr:uid="{00000000-0006-0000-4400-000024000000}">
      <text>
        <r>
          <rPr>
            <sz val="12"/>
            <color theme="1"/>
            <rFont val="Aptos Narrow"/>
            <family val="2"/>
            <scheme val="minor"/>
          </rPr>
          <t>Tran Dat:
9.490</t>
        </r>
      </text>
    </comment>
    <comment ref="B15" authorId="2" shapeId="0" xr:uid="{00000000-0006-0000-4400-000025000000}">
      <text>
        <r>
          <rPr>
            <sz val="12"/>
            <color theme="1"/>
            <rFont val="Aptos Narrow"/>
            <family val="2"/>
            <scheme val="minor"/>
          </rPr>
          <t>was 14390</t>
        </r>
      </text>
    </comment>
    <comment ref="C15" authorId="0" shapeId="0" xr:uid="{00000000-0006-0000-4400-000026000000}">
      <text>
        <r>
          <rPr>
            <sz val="12"/>
            <color theme="1"/>
            <rFont val="Aptos Narrow"/>
            <family val="2"/>
            <scheme val="minor"/>
          </rPr>
          <t>W6 16.190</t>
        </r>
      </text>
    </comment>
    <comment ref="F15" authorId="3" shapeId="0" xr:uid="{00000000-0006-0000-4400-000027000000}">
      <text>
        <r>
          <rPr>
            <sz val="12"/>
            <color theme="1"/>
            <rFont val="Aptos Narrow"/>
            <family val="2"/>
            <scheme val="minor"/>
          </rPr>
          <t>chit trang:
16.290</t>
        </r>
      </text>
    </comment>
    <comment ref="G15" authorId="4" shapeId="0" xr:uid="{00000000-0006-0000-4400-000028000000}">
      <text>
        <r>
          <rPr>
            <sz val="12"/>
            <color theme="1"/>
            <rFont val="Aptos Narrow"/>
            <family val="2"/>
            <scheme val="minor"/>
          </rPr>
          <t>Tran Dat:
16490</t>
        </r>
      </text>
    </comment>
    <comment ref="C16" authorId="0" shapeId="0" xr:uid="{00000000-0006-0000-4400-000029000000}">
      <text>
        <r>
          <rPr>
            <sz val="12"/>
            <color theme="1"/>
            <rFont val="Aptos Narrow"/>
            <family val="2"/>
            <scheme val="minor"/>
          </rPr>
          <t>W6 21.790</t>
        </r>
      </text>
    </comment>
    <comment ref="G16" authorId="4" shapeId="0" xr:uid="{00000000-0006-0000-4400-00002A000000}">
      <text>
        <r>
          <rPr>
            <sz val="12"/>
            <color theme="1"/>
            <rFont val="Aptos Narrow"/>
            <family val="2"/>
            <scheme val="minor"/>
          </rPr>
          <t>Tran Dat:
20590</t>
        </r>
      </text>
    </comment>
    <comment ref="C17" authorId="0" shapeId="0" xr:uid="{00000000-0006-0000-4400-00002B000000}">
      <text>
        <r>
          <rPr>
            <sz val="12"/>
            <color theme="1"/>
            <rFont val="Aptos Narrow"/>
            <family val="2"/>
            <scheme val="minor"/>
          </rPr>
          <t>W6 27.490</t>
        </r>
      </text>
    </comment>
    <comment ref="F17" authorId="3" shapeId="0" xr:uid="{00000000-0006-0000-4400-00002C000000}">
      <text>
        <r>
          <rPr>
            <sz val="12"/>
            <color theme="1"/>
            <rFont val="Aptos Narrow"/>
            <family val="2"/>
            <scheme val="minor"/>
          </rPr>
          <t>chit trang:
27290</t>
        </r>
      </text>
    </comment>
    <comment ref="B18" authorId="2" shapeId="0" xr:uid="{00000000-0006-0000-4400-00002D000000}">
      <text>
        <r>
          <rPr>
            <sz val="12"/>
            <color theme="1"/>
            <rFont val="Aptos Narrow"/>
            <family val="2"/>
            <scheme val="minor"/>
          </rPr>
          <t>was 36640</t>
        </r>
      </text>
    </comment>
    <comment ref="C18" authorId="0" shapeId="0" xr:uid="{00000000-0006-0000-4400-00002E000000}">
      <text>
        <r>
          <rPr>
            <sz val="12"/>
            <color theme="1"/>
            <rFont val="Aptos Narrow"/>
            <family val="2"/>
            <scheme val="minor"/>
          </rPr>
          <t>W6 36.290</t>
        </r>
      </text>
    </comment>
    <comment ref="C19" authorId="0" shapeId="0" xr:uid="{00000000-0006-0000-4400-00002F000000}">
      <text>
        <r>
          <rPr>
            <sz val="12"/>
            <color theme="1"/>
            <rFont val="Aptos Narrow"/>
            <family val="2"/>
            <scheme val="minor"/>
          </rPr>
          <t>W6 5890</t>
        </r>
      </text>
    </comment>
    <comment ref="D19" authorId="4" shapeId="0" xr:uid="{00000000-0006-0000-4400-000030000000}">
      <text>
        <r>
          <rPr>
            <sz val="12"/>
            <color theme="1"/>
            <rFont val="Aptos Narrow"/>
            <family val="2"/>
            <scheme val="minor"/>
          </rPr>
          <t>Tran Dat:
5690</t>
        </r>
      </text>
    </comment>
    <comment ref="E19" authorId="2" shapeId="0" xr:uid="{00000000-0006-0000-4400-000031000000}">
      <text>
        <r>
          <rPr>
            <sz val="12"/>
            <color theme="1"/>
            <rFont val="Aptos Narrow"/>
            <family val="2"/>
            <scheme val="minor"/>
          </rPr>
          <t xml:space="preserve">was 5732
vnp1%
</t>
        </r>
      </text>
    </comment>
    <comment ref="F19" authorId="3" shapeId="0" xr:uid="{00000000-0006-0000-4400-000032000000}">
      <text>
        <r>
          <rPr>
            <sz val="12"/>
            <color theme="1"/>
            <rFont val="Aptos Narrow"/>
            <family val="2"/>
            <scheme val="minor"/>
          </rPr>
          <t>chit trang:
5.690</t>
        </r>
      </text>
    </comment>
    <comment ref="C21" authorId="0" shapeId="0" xr:uid="{00000000-0006-0000-4400-000033000000}">
      <text>
        <r>
          <rPr>
            <sz val="12"/>
            <color theme="1"/>
            <rFont val="Aptos Narrow"/>
            <family val="2"/>
            <scheme val="minor"/>
          </rPr>
          <t>W6 6490</t>
        </r>
      </text>
    </comment>
    <comment ref="D21" authorId="4" shapeId="0" xr:uid="{00000000-0006-0000-4400-000034000000}">
      <text>
        <r>
          <rPr>
            <sz val="12"/>
            <color theme="1"/>
            <rFont val="Aptos Narrow"/>
            <family val="2"/>
            <scheme val="minor"/>
          </rPr>
          <t>Tran Dat:
6490</t>
        </r>
      </text>
    </comment>
    <comment ref="E21" authorId="2" shapeId="0" xr:uid="{00000000-0006-0000-4400-000035000000}">
      <text>
        <r>
          <rPr>
            <sz val="12"/>
            <color theme="1"/>
            <rFont val="Aptos Narrow"/>
            <family val="2"/>
            <scheme val="minor"/>
          </rPr>
          <t>was 6128
vnp1%</t>
        </r>
      </text>
    </comment>
    <comment ref="F21" authorId="3" shapeId="0" xr:uid="{00000000-0006-0000-4400-000036000000}">
      <text>
        <r>
          <rPr>
            <sz val="12"/>
            <color theme="1"/>
            <rFont val="Aptos Narrow"/>
            <family val="2"/>
            <scheme val="minor"/>
          </rPr>
          <t>chit trang:
6.490</t>
        </r>
      </text>
    </comment>
    <comment ref="G21" authorId="4" shapeId="0" xr:uid="{00000000-0006-0000-4400-000037000000}">
      <text>
        <r>
          <rPr>
            <sz val="12"/>
            <color theme="1"/>
            <rFont val="Aptos Narrow"/>
            <family val="2"/>
            <scheme val="minor"/>
          </rPr>
          <t xml:space="preserve">Tran Dat:
6490000
</t>
        </r>
      </text>
    </comment>
    <comment ref="D22" authorId="4" shapeId="0" xr:uid="{00000000-0006-0000-4400-000038000000}">
      <text>
        <r>
          <rPr>
            <sz val="12"/>
            <color theme="1"/>
            <rFont val="Aptos Narrow"/>
            <family val="2"/>
            <scheme val="minor"/>
          </rPr>
          <t>Tran Dat:
7790</t>
        </r>
      </text>
    </comment>
    <comment ref="C23" authorId="0" shapeId="0" xr:uid="{00000000-0006-0000-4400-000039000000}">
      <text>
        <r>
          <rPr>
            <sz val="12"/>
            <color theme="1"/>
            <rFont val="Aptos Narrow"/>
            <family val="2"/>
            <scheme val="minor"/>
          </rPr>
          <t>W6 10.590</t>
        </r>
      </text>
    </comment>
    <comment ref="D23" authorId="4" shapeId="0" xr:uid="{00000000-0006-0000-4400-00003A000000}">
      <text>
        <r>
          <rPr>
            <sz val="12"/>
            <color theme="1"/>
            <rFont val="Aptos Narrow"/>
            <family val="2"/>
            <scheme val="minor"/>
          </rPr>
          <t>Tran Dat:
10490</t>
        </r>
      </text>
    </comment>
    <comment ref="E23" authorId="2" shapeId="0" xr:uid="{00000000-0006-0000-4400-00003B000000}">
      <text>
        <r>
          <rPr>
            <sz val="12"/>
            <color theme="1"/>
            <rFont val="Aptos Narrow"/>
            <family val="2"/>
            <scheme val="minor"/>
          </rPr>
          <t>was 10187
vnp1</t>
        </r>
      </text>
    </comment>
    <comment ref="F23" authorId="3" shapeId="0" xr:uid="{00000000-0006-0000-4400-00003C000000}">
      <text>
        <r>
          <rPr>
            <sz val="12"/>
            <color theme="1"/>
            <rFont val="Aptos Narrow"/>
            <family val="2"/>
            <scheme val="minor"/>
          </rPr>
          <t>chit trang:
10.590</t>
        </r>
      </text>
    </comment>
    <comment ref="G23" authorId="4" shapeId="0" xr:uid="{00000000-0006-0000-4400-00003D000000}">
      <text>
        <r>
          <rPr>
            <sz val="12"/>
            <color theme="1"/>
            <rFont val="Aptos Narrow"/>
            <family val="2"/>
            <scheme val="minor"/>
          </rPr>
          <t>Tran Dat:
10490</t>
        </r>
      </text>
    </comment>
    <comment ref="C25" authorId="0" shapeId="0" xr:uid="{00000000-0006-0000-4400-00003E000000}">
      <text>
        <r>
          <rPr>
            <sz val="12"/>
            <color theme="1"/>
            <rFont val="Aptos Narrow"/>
            <family val="2"/>
            <scheme val="minor"/>
          </rPr>
          <t>W6 11.390</t>
        </r>
      </text>
    </comment>
    <comment ref="D25" authorId="4" shapeId="0" xr:uid="{00000000-0006-0000-4400-00003F000000}">
      <text>
        <r>
          <rPr>
            <sz val="12"/>
            <color theme="1"/>
            <rFont val="Aptos Narrow"/>
            <family val="2"/>
            <scheme val="minor"/>
          </rPr>
          <t>Tran Dat:
11290</t>
        </r>
      </text>
    </comment>
    <comment ref="E25" authorId="2" shapeId="0" xr:uid="{00000000-0006-0000-4400-000040000000}">
      <text>
        <r>
          <rPr>
            <sz val="12"/>
            <color theme="1"/>
            <rFont val="Aptos Narrow"/>
            <family val="2"/>
            <scheme val="minor"/>
          </rPr>
          <t>was 10880
vnp1%</t>
        </r>
      </text>
    </comment>
    <comment ref="F25" authorId="3" shapeId="0" xr:uid="{00000000-0006-0000-4400-000041000000}">
      <text>
        <r>
          <rPr>
            <sz val="12"/>
            <color theme="1"/>
            <rFont val="Aptos Narrow"/>
            <family val="2"/>
            <scheme val="minor"/>
          </rPr>
          <t>chit trang:
11.390</t>
        </r>
      </text>
    </comment>
    <comment ref="G25" authorId="4" shapeId="0" xr:uid="{00000000-0006-0000-4400-000042000000}">
      <text>
        <r>
          <rPr>
            <sz val="12"/>
            <color theme="1"/>
            <rFont val="Aptos Narrow"/>
            <family val="2"/>
            <scheme val="minor"/>
          </rPr>
          <t>Tran Dat:
11290</t>
        </r>
      </text>
    </comment>
    <comment ref="B26" authorId="2" shapeId="0" xr:uid="{00000000-0006-0000-4400-000043000000}">
      <text>
        <r>
          <rPr>
            <sz val="12"/>
            <color theme="1"/>
            <rFont val="Aptos Narrow"/>
            <family val="2"/>
            <scheme val="minor"/>
          </rPr>
          <t>was 13320
VNP100</t>
        </r>
      </text>
    </comment>
    <comment ref="C26" authorId="0" shapeId="0" xr:uid="{00000000-0006-0000-4400-000044000000}">
      <text>
        <r>
          <rPr>
            <sz val="12"/>
            <color theme="1"/>
            <rFont val="Aptos Narrow"/>
            <family val="2"/>
            <scheme val="minor"/>
          </rPr>
          <t>W6 13.890</t>
        </r>
      </text>
    </comment>
    <comment ref="B28" authorId="2" shapeId="0" xr:uid="{00000000-0006-0000-4400-000045000000}">
      <text>
        <r>
          <rPr>
            <sz val="12"/>
            <color theme="1"/>
            <rFont val="Aptos Narrow"/>
            <family val="2"/>
            <scheme val="minor"/>
          </rPr>
          <t>was 5550
VNP40</t>
        </r>
      </text>
    </comment>
    <comment ref="C28" authorId="0" shapeId="0" xr:uid="{00000000-0006-0000-4400-000046000000}">
      <text>
        <r>
          <rPr>
            <sz val="12"/>
            <color theme="1"/>
            <rFont val="Aptos Narrow"/>
            <family val="2"/>
            <scheme val="minor"/>
          </rPr>
          <t>W6 5590</t>
        </r>
      </text>
    </comment>
    <comment ref="E28" authorId="2" shapeId="0" xr:uid="{00000000-0006-0000-4400-000047000000}">
      <text>
        <r>
          <rPr>
            <sz val="12"/>
            <color theme="1"/>
            <rFont val="Aptos Narrow"/>
            <family val="2"/>
            <scheme val="minor"/>
          </rPr>
          <t>was 5534
vnp1%</t>
        </r>
      </text>
    </comment>
    <comment ref="F28" authorId="3" shapeId="0" xr:uid="{00000000-0006-0000-4400-000048000000}">
      <text>
        <r>
          <rPr>
            <sz val="12"/>
            <color theme="1"/>
            <rFont val="Aptos Narrow"/>
            <family val="2"/>
            <scheme val="minor"/>
          </rPr>
          <t>chit trang:
5.590</t>
        </r>
      </text>
    </comment>
    <comment ref="G28" authorId="4" shapeId="0" xr:uid="{00000000-0006-0000-4400-000049000000}">
      <text>
        <r>
          <rPr>
            <sz val="12"/>
            <color theme="1"/>
            <rFont val="Aptos Narrow"/>
            <family val="2"/>
            <scheme val="minor"/>
          </rPr>
          <t>Tran Dat:
5590</t>
        </r>
      </text>
    </comment>
    <comment ref="B29" authorId="2" shapeId="0" xr:uid="{00000000-0006-0000-4400-00004A000000}">
      <text>
        <r>
          <rPr>
            <sz val="12"/>
            <color theme="1"/>
            <rFont val="Aptos Narrow"/>
            <family val="2"/>
            <scheme val="minor"/>
          </rPr>
          <t xml:space="preserve">was 4490
</t>
        </r>
      </text>
    </comment>
    <comment ref="C29" authorId="0" shapeId="0" xr:uid="{00000000-0006-0000-4400-00004B000000}">
      <text>
        <r>
          <rPr>
            <sz val="12"/>
            <color theme="1"/>
            <rFont val="Aptos Narrow"/>
            <family val="2"/>
            <scheme val="minor"/>
          </rPr>
          <t>W6 4590</t>
        </r>
      </text>
    </comment>
    <comment ref="E29" authorId="2" shapeId="0" xr:uid="{00000000-0006-0000-4400-00004C000000}">
      <text>
        <r>
          <rPr>
            <sz val="12"/>
            <color theme="1"/>
            <rFont val="Aptos Narrow"/>
            <family val="2"/>
            <scheme val="minor"/>
          </rPr>
          <t>was 4346
vnp1%</t>
        </r>
      </text>
    </comment>
    <comment ref="F29" authorId="3" shapeId="0" xr:uid="{00000000-0006-0000-4400-00004D000000}">
      <text>
        <r>
          <rPr>
            <sz val="12"/>
            <color theme="1"/>
            <rFont val="Aptos Narrow"/>
            <family val="2"/>
            <scheme val="minor"/>
          </rPr>
          <t>chit trang:
4.490</t>
        </r>
      </text>
    </comment>
    <comment ref="G29" authorId="4" shapeId="0" xr:uid="{00000000-0006-0000-4400-00004E000000}">
      <text>
        <r>
          <rPr>
            <sz val="12"/>
            <color theme="1"/>
            <rFont val="Aptos Narrow"/>
            <family val="2"/>
            <scheme val="minor"/>
          </rPr>
          <t>Tran Dat:
4490</t>
        </r>
      </text>
    </comment>
    <comment ref="B30" authorId="2" shapeId="0" xr:uid="{00000000-0006-0000-4400-00004F000000}">
      <text>
        <r>
          <rPr>
            <sz val="12"/>
            <color theme="1"/>
            <rFont val="Aptos Narrow"/>
            <family val="2"/>
            <scheme val="minor"/>
          </rPr>
          <t>was 3190</t>
        </r>
      </text>
    </comment>
    <comment ref="C30" authorId="1" shapeId="0" xr:uid="{00000000-0006-0000-4400-000050000000}">
      <text>
        <r>
          <rPr>
            <sz val="12"/>
            <color theme="1"/>
            <rFont val="Aptos Narrow"/>
            <family val="2"/>
            <scheme val="minor"/>
          </rPr>
          <t>W6 3290</t>
        </r>
      </text>
    </comment>
    <comment ref="E30" authorId="2" shapeId="0" xr:uid="{00000000-0006-0000-4400-000051000000}">
      <text>
        <r>
          <rPr>
            <sz val="12"/>
            <color theme="1"/>
            <rFont val="Aptos Narrow"/>
            <family val="2"/>
            <scheme val="minor"/>
          </rPr>
          <t xml:space="preserve">was 3190
</t>
        </r>
      </text>
    </comment>
    <comment ref="F30" authorId="3" shapeId="0" xr:uid="{00000000-0006-0000-4400-000052000000}">
      <text>
        <r>
          <rPr>
            <sz val="12"/>
            <color theme="1"/>
            <rFont val="Aptos Narrow"/>
            <family val="2"/>
            <scheme val="minor"/>
          </rPr>
          <t>chit trang:
3.190</t>
        </r>
      </text>
    </comment>
    <comment ref="G30" authorId="4" shapeId="0" xr:uid="{00000000-0006-0000-4400-000053000000}">
      <text>
        <r>
          <rPr>
            <sz val="12"/>
            <color theme="1"/>
            <rFont val="Aptos Narrow"/>
            <family val="2"/>
            <scheme val="minor"/>
          </rPr>
          <t>Tran Dat:
3190</t>
        </r>
      </text>
    </comment>
    <comment ref="B31" authorId="2" shapeId="0" xr:uid="{00000000-0006-0000-4400-000054000000}">
      <text>
        <r>
          <rPr>
            <sz val="12"/>
            <color theme="1"/>
            <rFont val="Aptos Narrow"/>
            <family val="2"/>
            <scheme val="minor"/>
          </rPr>
          <t>was 18090
VNP100</t>
        </r>
      </text>
    </comment>
    <comment ref="C31" authorId="0" shapeId="0" xr:uid="{00000000-0006-0000-4400-000055000000}">
      <text>
        <r>
          <rPr>
            <sz val="12"/>
            <color theme="1"/>
            <rFont val="Aptos Narrow"/>
            <family val="2"/>
            <scheme val="minor"/>
          </rPr>
          <t>W6 16.990</t>
        </r>
      </text>
    </comment>
    <comment ref="C32" authorId="0" shapeId="0" xr:uid="{00000000-0006-0000-4400-000056000000}">
      <text>
        <r>
          <rPr>
            <sz val="12"/>
            <color theme="1"/>
            <rFont val="Aptos Narrow"/>
            <family val="2"/>
            <scheme val="minor"/>
          </rPr>
          <t>W6 19.790</t>
        </r>
      </text>
    </comment>
    <comment ref="D32" authorId="4" shapeId="0" xr:uid="{00000000-0006-0000-4400-000057000000}">
      <text>
        <r>
          <rPr>
            <sz val="12"/>
            <color theme="1"/>
            <rFont val="Aptos Narrow"/>
            <family val="2"/>
            <scheme val="minor"/>
          </rPr>
          <t>19690</t>
        </r>
      </text>
    </comment>
    <comment ref="F32" authorId="3" shapeId="0" xr:uid="{00000000-0006-0000-4400-000058000000}">
      <text>
        <r>
          <rPr>
            <sz val="12"/>
            <color theme="1"/>
            <rFont val="Aptos Narrow"/>
            <family val="2"/>
            <scheme val="minor"/>
          </rPr>
          <t>chit trang:
19.690</t>
        </r>
      </text>
    </comment>
    <comment ref="B33" authorId="2" shapeId="0" xr:uid="{00000000-0006-0000-4400-000059000000}">
      <text>
        <r>
          <rPr>
            <sz val="12"/>
            <color theme="1"/>
            <rFont val="Aptos Narrow"/>
            <family val="2"/>
            <scheme val="minor"/>
          </rPr>
          <t>was 26140
VNP150</t>
        </r>
      </text>
    </comment>
    <comment ref="C34" authorId="1" shapeId="0" xr:uid="{00000000-0006-0000-4400-00005A000000}">
      <text>
        <r>
          <rPr>
            <sz val="12"/>
            <color theme="1"/>
            <rFont val="Aptos Narrow"/>
            <family val="2"/>
            <scheme val="minor"/>
          </rPr>
          <t>W6 25.290</t>
        </r>
      </text>
    </comment>
    <comment ref="F34" authorId="3" shapeId="0" xr:uid="{00000000-0006-0000-4400-00005B000000}">
      <text>
        <r>
          <rPr>
            <sz val="12"/>
            <color theme="1"/>
            <rFont val="Aptos Narrow"/>
            <family val="2"/>
            <scheme val="minor"/>
          </rPr>
          <t>chit trang:
25.190</t>
        </r>
      </text>
    </comment>
    <comment ref="C36" authorId="0" shapeId="0" xr:uid="{00000000-0006-0000-4400-00005C000000}">
      <text>
        <r>
          <rPr>
            <sz val="12"/>
            <color theme="1"/>
            <rFont val="Aptos Narrow"/>
            <family val="2"/>
            <scheme val="minor"/>
          </rPr>
          <t>W6 38.790</t>
        </r>
      </text>
    </comment>
    <comment ref="F36" authorId="3" shapeId="0" xr:uid="{00000000-0006-0000-4400-00005D000000}">
      <text>
        <r>
          <rPr>
            <sz val="12"/>
            <color theme="1"/>
            <rFont val="Aptos Narrow"/>
            <family val="2"/>
            <scheme val="minor"/>
          </rPr>
          <t>chit trang:
38.290</t>
        </r>
      </text>
    </comment>
  </commentList>
</comments>
</file>

<file path=xl/comments70.xml><?xml version="1.0" encoding="utf-8"?>
<comments xmlns="http://schemas.openxmlformats.org/spreadsheetml/2006/main" xmlns:mc="http://schemas.openxmlformats.org/markup-compatibility/2006" xmlns:xr="http://schemas.microsoft.com/office/spreadsheetml/2014/revision" mc:Ignorable="xr">
  <authors>
    <author>Duy</author>
    <author>Microsoft Office User</author>
    <author>chit trang</author>
    <author>Tran Dat</author>
    <author>Việt Hoàng</author>
  </authors>
  <commentList>
    <comment ref="C2" authorId="0" shapeId="0" xr:uid="{00000000-0006-0000-4500-000001000000}">
      <text>
        <r>
          <rPr>
            <sz val="12"/>
            <color theme="1"/>
            <rFont val="Aptos Narrow"/>
            <family val="2"/>
            <scheme val="minor"/>
          </rPr>
          <t>W7 15.290</t>
        </r>
      </text>
    </comment>
    <comment ref="E2" authorId="1" shapeId="0" xr:uid="{00000000-0006-0000-4500-000002000000}">
      <text>
        <r>
          <rPr>
            <sz val="12"/>
            <color theme="1"/>
            <rFont val="Aptos Narrow"/>
            <family val="2"/>
            <scheme val="minor"/>
          </rPr>
          <t>giờ vàng</t>
        </r>
      </text>
    </comment>
    <comment ref="F2" authorId="2" shapeId="0" xr:uid="{00000000-0006-0000-4500-000003000000}">
      <text>
        <r>
          <rPr>
            <sz val="12"/>
            <color theme="1"/>
            <rFont val="Aptos Narrow"/>
            <family val="2"/>
            <scheme val="minor"/>
          </rPr>
          <t>chit trang:
15.490</t>
        </r>
      </text>
    </comment>
    <comment ref="C3" authorId="0" shapeId="0" xr:uid="{00000000-0006-0000-4500-000004000000}">
      <text>
        <r>
          <rPr>
            <sz val="12"/>
            <color theme="1"/>
            <rFont val="Aptos Narrow"/>
            <family val="2"/>
            <scheme val="minor"/>
          </rPr>
          <t>W7 19.090</t>
        </r>
      </text>
    </comment>
    <comment ref="E3" authorId="1" shapeId="0" xr:uid="{00000000-0006-0000-4500-000005000000}">
      <text>
        <r>
          <rPr>
            <sz val="12"/>
            <color theme="1"/>
            <rFont val="Aptos Narrow"/>
            <family val="2"/>
            <scheme val="minor"/>
          </rPr>
          <t>Giờ vàng</t>
        </r>
      </text>
    </comment>
    <comment ref="B4" authorId="1" shapeId="0" xr:uid="{00000000-0006-0000-4500-000006000000}">
      <text>
        <r>
          <rPr>
            <sz val="12"/>
            <color theme="1"/>
            <rFont val="Aptos Narrow"/>
            <family val="2"/>
            <scheme val="minor"/>
          </rPr>
          <t>was 24640000
VNP150</t>
        </r>
      </text>
    </comment>
    <comment ref="E4" authorId="1" shapeId="0" xr:uid="{00000000-0006-0000-4500-000007000000}">
      <text>
        <r>
          <rPr>
            <sz val="12"/>
            <color theme="1"/>
            <rFont val="Aptos Narrow"/>
            <family val="2"/>
            <scheme val="minor"/>
          </rPr>
          <t>Giờ vàng</t>
        </r>
      </text>
    </comment>
    <comment ref="F4" authorId="2" shapeId="0" xr:uid="{00000000-0006-0000-4500-000008000000}">
      <text>
        <r>
          <rPr>
            <sz val="12"/>
            <color theme="1"/>
            <rFont val="Aptos Narrow"/>
            <family val="2"/>
            <scheme val="minor"/>
          </rPr>
          <t>chit trang:
21.990</t>
        </r>
      </text>
    </comment>
    <comment ref="E5" authorId="1" shapeId="0" xr:uid="{00000000-0006-0000-4500-000009000000}">
      <text>
        <r>
          <rPr>
            <sz val="12"/>
            <color theme="1"/>
            <rFont val="Aptos Narrow"/>
            <family val="2"/>
            <scheme val="minor"/>
          </rPr>
          <t xml:space="preserve">Giờ vàng
</t>
        </r>
      </text>
    </comment>
    <comment ref="F5" authorId="2" shapeId="0" xr:uid="{00000000-0006-0000-4500-00000A000000}">
      <text>
        <r>
          <rPr>
            <sz val="12"/>
            <color theme="1"/>
            <rFont val="Aptos Narrow"/>
            <family val="2"/>
            <scheme val="minor"/>
          </rPr>
          <t>chit trang:
24790</t>
        </r>
      </text>
    </comment>
    <comment ref="G5" authorId="3" shapeId="0" xr:uid="{00000000-0006-0000-4500-00000B000000}">
      <text>
        <r>
          <rPr>
            <sz val="12"/>
            <color theme="1"/>
            <rFont val="Aptos Narrow"/>
            <family val="2"/>
            <scheme val="minor"/>
          </rPr>
          <t>Tran Dat:
24390</t>
        </r>
      </text>
    </comment>
    <comment ref="B6" authorId="1" shapeId="0" xr:uid="{00000000-0006-0000-4500-00000C000000}">
      <text>
        <r>
          <rPr>
            <sz val="12"/>
            <color theme="1"/>
            <rFont val="Aptos Narrow"/>
            <family val="2"/>
            <scheme val="minor"/>
          </rPr>
          <t>Tặng phiếu mua hàng mua AirPods và Apple Watch trị giá 500,000đ
 Phiếu mua hàng mua sản phẩm giá niêm yết từ 5 triệu thuộc các nhóm TAI NGHE - LOA hãng HARMAN KARDON, JBL,MONSTER, KLIPSCH, MARSHALL, SONY; Smartwatch hãng HUAWEI, GARMIN, SAMSUNG, IMOO, OPPO, AMAZFIT trị giá 500.000đ</t>
        </r>
      </text>
    </comment>
    <comment ref="E6" authorId="1" shapeId="0" xr:uid="{00000000-0006-0000-4500-00000D000000}">
      <text>
        <r>
          <rPr>
            <sz val="12"/>
            <color theme="1"/>
            <rFont val="Aptos Narrow"/>
            <family val="2"/>
            <scheme val="minor"/>
          </rPr>
          <t xml:space="preserve">Giờ vàng
</t>
        </r>
      </text>
    </comment>
    <comment ref="F6" authorId="2" shapeId="0" xr:uid="{00000000-0006-0000-4500-00000E000000}">
      <text>
        <r>
          <rPr>
            <sz val="12"/>
            <color theme="1"/>
            <rFont val="Aptos Narrow"/>
            <family val="2"/>
            <scheme val="minor"/>
          </rPr>
          <t>chit trang:
29.690</t>
        </r>
      </text>
    </comment>
    <comment ref="G6" authorId="3" shapeId="0" xr:uid="{00000000-0006-0000-4500-00000F000000}">
      <text>
        <r>
          <rPr>
            <sz val="12"/>
            <color theme="1"/>
            <rFont val="Aptos Narrow"/>
            <family val="2"/>
            <scheme val="minor"/>
          </rPr>
          <t>Tran Dat:
29490</t>
        </r>
      </text>
    </comment>
    <comment ref="C7" authorId="4" shapeId="0" xr:uid="{00000000-0006-0000-4500-000010000000}">
      <text>
        <r>
          <rPr>
            <sz val="12"/>
            <color theme="1"/>
            <rFont val="Aptos Narrow"/>
            <family val="2"/>
            <scheme val="minor"/>
          </rPr>
          <t>W7 15.490</t>
        </r>
      </text>
    </comment>
    <comment ref="F7" authorId="2" shapeId="0" xr:uid="{00000000-0006-0000-4500-000011000000}">
      <text>
        <r>
          <rPr>
            <sz val="12"/>
            <color theme="1"/>
            <rFont val="Aptos Narrow"/>
            <family val="2"/>
            <scheme val="minor"/>
          </rPr>
          <t>chit trang:
15.290</t>
        </r>
      </text>
    </comment>
    <comment ref="C8" authorId="0" shapeId="0" xr:uid="{00000000-0006-0000-4500-000012000000}">
      <text>
        <r>
          <rPr>
            <sz val="12"/>
            <color theme="1"/>
            <rFont val="Aptos Narrow"/>
            <family val="2"/>
            <scheme val="minor"/>
          </rPr>
          <t>W7 19.290</t>
        </r>
      </text>
    </comment>
    <comment ref="F8" authorId="2" shapeId="0" xr:uid="{00000000-0006-0000-4500-000013000000}">
      <text>
        <r>
          <rPr>
            <sz val="12"/>
            <color theme="1"/>
            <rFont val="Aptos Narrow"/>
            <family val="2"/>
            <scheme val="minor"/>
          </rPr>
          <t>chit trang:
18.990</t>
        </r>
      </text>
    </comment>
    <comment ref="G8" authorId="3" shapeId="0" xr:uid="{00000000-0006-0000-4500-000014000000}">
      <text>
        <r>
          <rPr>
            <sz val="12"/>
            <color theme="1"/>
            <rFont val="Aptos Narrow"/>
            <family val="2"/>
            <scheme val="minor"/>
          </rPr>
          <t>Tran Dat:
18690</t>
        </r>
      </text>
    </comment>
    <comment ref="B9" authorId="1" shapeId="0" xr:uid="{00000000-0006-0000-4500-000015000000}">
      <text>
        <r>
          <rPr>
            <sz val="12"/>
            <color theme="1"/>
            <rFont val="Aptos Narrow"/>
            <family val="2"/>
            <scheme val="minor"/>
          </rPr>
          <t>was 29140000
VNP150</t>
        </r>
      </text>
    </comment>
    <comment ref="C9" authorId="0" shapeId="0" xr:uid="{00000000-0006-0000-4500-000016000000}">
      <text>
        <r>
          <rPr>
            <sz val="12"/>
            <color theme="1"/>
            <rFont val="Aptos Narrow"/>
            <family val="2"/>
            <scheme val="minor"/>
          </rPr>
          <t>W7 27390</t>
        </r>
      </text>
    </comment>
    <comment ref="B10" authorId="1" shapeId="0" xr:uid="{00000000-0006-0000-4500-000017000000}">
      <text>
        <r>
          <rPr>
            <sz val="12"/>
            <color theme="1"/>
            <rFont val="Aptos Narrow"/>
            <family val="2"/>
            <scheme val="minor"/>
          </rPr>
          <t>was 18440</t>
        </r>
      </text>
    </comment>
    <comment ref="C11" authorId="0" shapeId="0" xr:uid="{00000000-0006-0000-4500-000018000000}">
      <text>
        <r>
          <rPr>
            <sz val="12"/>
            <color theme="1"/>
            <rFont val="Aptos Narrow"/>
            <family val="2"/>
            <scheme val="minor"/>
          </rPr>
          <t>W7 13.190</t>
        </r>
      </text>
    </comment>
    <comment ref="D11" authorId="3" shapeId="0" xr:uid="{00000000-0006-0000-4500-000019000000}">
      <text>
        <r>
          <rPr>
            <sz val="12"/>
            <color theme="1"/>
            <rFont val="Aptos Narrow"/>
            <family val="2"/>
            <scheme val="minor"/>
          </rPr>
          <t>12.590.000</t>
        </r>
      </text>
    </comment>
    <comment ref="G11" authorId="3" shapeId="0" xr:uid="{00000000-0006-0000-4500-00001A000000}">
      <text>
        <r>
          <rPr>
            <sz val="12"/>
            <color theme="1"/>
            <rFont val="Aptos Narrow"/>
            <family val="2"/>
            <scheme val="minor"/>
          </rPr>
          <t xml:space="preserve">Tran Dat:
12390000
</t>
        </r>
      </text>
    </comment>
    <comment ref="B12" authorId="1" shapeId="0" xr:uid="{00000000-0006-0000-4500-00001B000000}">
      <text>
        <r>
          <rPr>
            <sz val="12"/>
            <color theme="1"/>
            <rFont val="Aptos Narrow"/>
            <family val="2"/>
            <scheme val="minor"/>
          </rPr>
          <t>was 13190
VNP100</t>
        </r>
      </text>
    </comment>
    <comment ref="D12" authorId="4" shapeId="0" xr:uid="{00000000-0006-0000-4500-00001C000000}">
      <text>
        <r>
          <rPr>
            <sz val="12"/>
            <color theme="1"/>
            <rFont val="Aptos Narrow"/>
            <family val="2"/>
            <scheme val="minor"/>
          </rPr>
          <t>Việt Hoàng:
11.390.000</t>
        </r>
      </text>
    </comment>
    <comment ref="E12" authorId="1" shapeId="0" xr:uid="{00000000-0006-0000-4500-00001D000000}">
      <text>
        <r>
          <rPr>
            <sz val="12"/>
            <color theme="1"/>
            <rFont val="Aptos Narrow"/>
            <family val="2"/>
            <scheme val="minor"/>
          </rPr>
          <t>Giờ vàng</t>
        </r>
      </text>
    </comment>
    <comment ref="F12" authorId="2" shapeId="0" xr:uid="{00000000-0006-0000-4500-00001E000000}">
      <text>
        <r>
          <rPr>
            <sz val="12"/>
            <color theme="1"/>
            <rFont val="Aptos Narrow"/>
            <family val="2"/>
            <scheme val="minor"/>
          </rPr>
          <t>chit trang:
10.990</t>
        </r>
      </text>
    </comment>
    <comment ref="G12" authorId="3" shapeId="0" xr:uid="{00000000-0006-0000-4500-00001F000000}">
      <text>
        <r>
          <rPr>
            <sz val="12"/>
            <color theme="1"/>
            <rFont val="Aptos Narrow"/>
            <family val="2"/>
            <scheme val="minor"/>
          </rPr>
          <t xml:space="preserve">Tran Dat:
11190000
</t>
        </r>
      </text>
    </comment>
    <comment ref="C13" authorId="0" shapeId="0" xr:uid="{00000000-0006-0000-4500-000020000000}">
      <text>
        <r>
          <rPr>
            <sz val="12"/>
            <color theme="1"/>
            <rFont val="Aptos Narrow"/>
            <family val="2"/>
            <scheme val="minor"/>
          </rPr>
          <t>W7 13.590</t>
        </r>
      </text>
    </comment>
    <comment ref="D13" authorId="4" shapeId="0" xr:uid="{00000000-0006-0000-4500-000021000000}">
      <text>
        <r>
          <rPr>
            <sz val="12"/>
            <color theme="1"/>
            <rFont val="Aptos Narrow"/>
            <family val="2"/>
            <scheme val="minor"/>
          </rPr>
          <t>Việt Hoàng:
13.590.000</t>
        </r>
      </text>
    </comment>
    <comment ref="E13" authorId="1" shapeId="0" xr:uid="{00000000-0006-0000-4500-000022000000}">
      <text>
        <r>
          <rPr>
            <sz val="12"/>
            <color theme="1"/>
            <rFont val="Aptos Narrow"/>
            <family val="2"/>
            <scheme val="minor"/>
          </rPr>
          <t>was 13652
vnp1%</t>
        </r>
      </text>
    </comment>
    <comment ref="B14" authorId="1" shapeId="0" xr:uid="{00000000-0006-0000-4500-000023000000}">
      <text>
        <r>
          <rPr>
            <sz val="12"/>
            <color theme="1"/>
            <rFont val="Aptos Narrow"/>
            <family val="2"/>
            <scheme val="minor"/>
          </rPr>
          <t>was 7040
VNP40</t>
        </r>
      </text>
    </comment>
    <comment ref="C14" authorId="0" shapeId="0" xr:uid="{00000000-0006-0000-4500-000024000000}">
      <text>
        <r>
          <rPr>
            <sz val="12"/>
            <color theme="1"/>
            <rFont val="Aptos Narrow"/>
            <family val="2"/>
            <scheme val="minor"/>
          </rPr>
          <t>W7 9590</t>
        </r>
      </text>
    </comment>
    <comment ref="D14" authorId="4" shapeId="0" xr:uid="{00000000-0006-0000-4500-000025000000}">
      <text>
        <r>
          <rPr>
            <sz val="12"/>
            <color theme="1"/>
            <rFont val="Aptos Narrow"/>
            <family val="2"/>
            <scheme val="minor"/>
          </rPr>
          <t>Việt Hoàng:
9.690.000</t>
        </r>
      </text>
    </comment>
    <comment ref="E14" authorId="1" shapeId="0" xr:uid="{00000000-0006-0000-4500-000026000000}">
      <text>
        <r>
          <rPr>
            <sz val="12"/>
            <color theme="1"/>
            <rFont val="Aptos Narrow"/>
            <family val="2"/>
            <scheme val="minor"/>
          </rPr>
          <t>was 9296
vnp1%</t>
        </r>
      </text>
    </comment>
    <comment ref="F14" authorId="2" shapeId="0" xr:uid="{00000000-0006-0000-4500-000027000000}">
      <text>
        <r>
          <rPr>
            <sz val="12"/>
            <color theme="1"/>
            <rFont val="Aptos Narrow"/>
            <family val="2"/>
            <scheme val="minor"/>
          </rPr>
          <t>chit trang:
9.290</t>
        </r>
      </text>
    </comment>
    <comment ref="G14" authorId="3" shapeId="0" xr:uid="{00000000-0006-0000-4500-000028000000}">
      <text>
        <r>
          <rPr>
            <sz val="12"/>
            <color theme="1"/>
            <rFont val="Aptos Narrow"/>
            <family val="2"/>
            <scheme val="minor"/>
          </rPr>
          <t>Tran Dat:
9.290</t>
        </r>
      </text>
    </comment>
    <comment ref="B15" authorId="1" shapeId="0" xr:uid="{00000000-0006-0000-4500-000029000000}">
      <text>
        <r>
          <rPr>
            <sz val="12"/>
            <color theme="1"/>
            <rFont val="Aptos Narrow"/>
            <family val="2"/>
            <scheme val="minor"/>
          </rPr>
          <t>was 14390</t>
        </r>
      </text>
    </comment>
    <comment ref="C15" authorId="0" shapeId="0" xr:uid="{00000000-0006-0000-4500-00002A000000}">
      <text>
        <r>
          <rPr>
            <sz val="12"/>
            <color theme="1"/>
            <rFont val="Aptos Narrow"/>
            <family val="2"/>
            <scheme val="minor"/>
          </rPr>
          <t>W7 15890</t>
        </r>
      </text>
    </comment>
    <comment ref="D15" authorId="4" shapeId="0" xr:uid="{00000000-0006-0000-4500-00002B000000}">
      <text>
        <r>
          <rPr>
            <sz val="12"/>
            <color theme="1"/>
            <rFont val="Aptos Narrow"/>
            <family val="2"/>
            <scheme val="minor"/>
          </rPr>
          <t>Việt Hoàng:
16.190.000</t>
        </r>
      </text>
    </comment>
    <comment ref="E15" authorId="1" shapeId="0" xr:uid="{00000000-0006-0000-4500-00002C000000}">
      <text>
        <r>
          <rPr>
            <sz val="12"/>
            <color theme="1"/>
            <rFont val="Aptos Narrow"/>
            <family val="2"/>
            <scheme val="minor"/>
          </rPr>
          <t>was 15830
vnp1%</t>
        </r>
      </text>
    </comment>
    <comment ref="F15" authorId="2" shapeId="0" xr:uid="{00000000-0006-0000-4500-00002D000000}">
      <text>
        <r>
          <rPr>
            <sz val="12"/>
            <color theme="1"/>
            <rFont val="Aptos Narrow"/>
            <family val="2"/>
            <scheme val="minor"/>
          </rPr>
          <t>chit trang:
15.990</t>
        </r>
      </text>
    </comment>
    <comment ref="G15" authorId="3" shapeId="0" xr:uid="{00000000-0006-0000-4500-00002E000000}">
      <text>
        <r>
          <rPr>
            <sz val="12"/>
            <color theme="1"/>
            <rFont val="Aptos Narrow"/>
            <family val="2"/>
            <scheme val="minor"/>
          </rPr>
          <t>Tran Dat:
15990</t>
        </r>
      </text>
    </comment>
    <comment ref="C16" authorId="0" shapeId="0" xr:uid="{00000000-0006-0000-4500-00002F000000}">
      <text>
        <r>
          <rPr>
            <sz val="12"/>
            <color theme="1"/>
            <rFont val="Aptos Narrow"/>
            <family val="2"/>
            <scheme val="minor"/>
          </rPr>
          <t>W7 21590</t>
        </r>
      </text>
    </comment>
    <comment ref="D16" authorId="4" shapeId="0" xr:uid="{00000000-0006-0000-4500-000030000000}">
      <text>
        <r>
          <rPr>
            <sz val="12"/>
            <color theme="1"/>
            <rFont val="Aptos Narrow"/>
            <family val="2"/>
            <scheme val="minor"/>
          </rPr>
          <t>Việt Hoàng:
21.690.000</t>
        </r>
      </text>
    </comment>
    <comment ref="F16" authorId="2" shapeId="0" xr:uid="{00000000-0006-0000-4500-000031000000}">
      <text>
        <r>
          <rPr>
            <sz val="12"/>
            <color theme="1"/>
            <rFont val="Aptos Narrow"/>
            <family val="2"/>
            <scheme val="minor"/>
          </rPr>
          <t>chit trang:
21.690</t>
        </r>
      </text>
    </comment>
    <comment ref="G16" authorId="3" shapeId="0" xr:uid="{00000000-0006-0000-4500-000032000000}">
      <text>
        <r>
          <rPr>
            <sz val="12"/>
            <color theme="1"/>
            <rFont val="Aptos Narrow"/>
            <family val="2"/>
            <scheme val="minor"/>
          </rPr>
          <t>Tran Dat:
21590</t>
        </r>
      </text>
    </comment>
    <comment ref="C17" authorId="0" shapeId="0" xr:uid="{00000000-0006-0000-4500-000033000000}">
      <text>
        <r>
          <rPr>
            <sz val="12"/>
            <color theme="1"/>
            <rFont val="Aptos Narrow"/>
            <family val="2"/>
            <scheme val="minor"/>
          </rPr>
          <t>W7 26990</t>
        </r>
      </text>
    </comment>
    <comment ref="D17" authorId="4" shapeId="0" xr:uid="{00000000-0006-0000-4500-000034000000}">
      <text>
        <r>
          <rPr>
            <sz val="12"/>
            <color theme="1"/>
            <rFont val="Aptos Narrow"/>
            <family val="2"/>
            <scheme val="minor"/>
          </rPr>
          <t>Việt Hoàng:
27.290.000</t>
        </r>
      </text>
    </comment>
    <comment ref="F17" authorId="2" shapeId="0" xr:uid="{00000000-0006-0000-4500-000035000000}">
      <text>
        <r>
          <rPr>
            <sz val="12"/>
            <color theme="1"/>
            <rFont val="Aptos Narrow"/>
            <family val="2"/>
            <scheme val="minor"/>
          </rPr>
          <t>chit trang:
26.890</t>
        </r>
      </text>
    </comment>
    <comment ref="B18" authorId="1" shapeId="0" xr:uid="{00000000-0006-0000-4500-000036000000}">
      <text>
        <r>
          <rPr>
            <sz val="12"/>
            <color theme="1"/>
            <rFont val="Aptos Narrow"/>
            <family val="2"/>
            <scheme val="minor"/>
          </rPr>
          <t>was 36640</t>
        </r>
      </text>
    </comment>
    <comment ref="C18" authorId="0" shapeId="0" xr:uid="{00000000-0006-0000-4500-000037000000}">
      <text>
        <r>
          <rPr>
            <sz val="12"/>
            <color theme="1"/>
            <rFont val="Aptos Narrow"/>
            <family val="2"/>
            <scheme val="minor"/>
          </rPr>
          <t>W7 35790</t>
        </r>
      </text>
    </comment>
    <comment ref="D18" authorId="4" shapeId="0" xr:uid="{00000000-0006-0000-4500-000038000000}">
      <text>
        <r>
          <rPr>
            <sz val="12"/>
            <color theme="1"/>
            <rFont val="Aptos Narrow"/>
            <family val="2"/>
            <scheme val="minor"/>
          </rPr>
          <t>Việt Hoàng:
35.990.000</t>
        </r>
      </text>
    </comment>
    <comment ref="F18" authorId="2" shapeId="0" xr:uid="{00000000-0006-0000-4500-000039000000}">
      <text>
        <r>
          <rPr>
            <sz val="12"/>
            <color theme="1"/>
            <rFont val="Aptos Narrow"/>
            <family val="2"/>
            <scheme val="minor"/>
          </rPr>
          <t>chit trang:
35.990</t>
        </r>
      </text>
    </comment>
    <comment ref="D19" authorId="3" shapeId="0" xr:uid="{00000000-0006-0000-4500-00003A000000}">
      <text>
        <r>
          <rPr>
            <sz val="12"/>
            <color theme="1"/>
            <rFont val="Aptos Narrow"/>
            <family val="2"/>
            <scheme val="minor"/>
          </rPr>
          <t>4.990.000</t>
        </r>
      </text>
    </comment>
    <comment ref="D21" authorId="3" shapeId="0" xr:uid="{00000000-0006-0000-4500-00003B000000}">
      <text>
        <r>
          <rPr>
            <sz val="12"/>
            <color theme="1"/>
            <rFont val="Aptos Narrow"/>
            <family val="2"/>
            <scheme val="minor"/>
          </rPr>
          <t>Tran Dat:6990.000</t>
        </r>
      </text>
    </comment>
    <comment ref="F21" authorId="2" shapeId="0" xr:uid="{00000000-0006-0000-4500-00003C000000}">
      <text>
        <r>
          <rPr>
            <sz val="12"/>
            <color theme="1"/>
            <rFont val="Aptos Narrow"/>
            <family val="2"/>
            <scheme val="minor"/>
          </rPr>
          <t>chit trang:
6.490</t>
        </r>
      </text>
    </comment>
    <comment ref="D22" authorId="3" shapeId="0" xr:uid="{00000000-0006-0000-4500-00003D000000}">
      <text>
        <r>
          <rPr>
            <sz val="12"/>
            <color theme="1"/>
            <rFont val="Aptos Narrow"/>
            <family val="2"/>
            <scheme val="minor"/>
          </rPr>
          <t>Tran Dat:
7.590.000</t>
        </r>
      </text>
    </comment>
    <comment ref="F23" authorId="2" shapeId="0" xr:uid="{00000000-0006-0000-4500-00003E000000}">
      <text>
        <r>
          <rPr>
            <sz val="12"/>
            <color theme="1"/>
            <rFont val="Aptos Narrow"/>
            <family val="2"/>
            <scheme val="minor"/>
          </rPr>
          <t>chit trang:
8.290</t>
        </r>
      </text>
    </comment>
    <comment ref="B26" authorId="1" shapeId="0" xr:uid="{00000000-0006-0000-4500-00003F000000}">
      <text>
        <r>
          <rPr>
            <sz val="12"/>
            <color theme="1"/>
            <rFont val="Aptos Narrow"/>
            <family val="2"/>
            <scheme val="minor"/>
          </rPr>
          <t>was 13320
VNP100</t>
        </r>
      </text>
    </comment>
    <comment ref="C26" authorId="0" shapeId="0" xr:uid="{00000000-0006-0000-4500-000040000000}">
      <text>
        <r>
          <rPr>
            <sz val="12"/>
            <color theme="1"/>
            <rFont val="Aptos Narrow"/>
            <family val="2"/>
            <scheme val="minor"/>
          </rPr>
          <t>W7 13.690</t>
        </r>
      </text>
    </comment>
    <comment ref="B28" authorId="1" shapeId="0" xr:uid="{00000000-0006-0000-4500-000041000000}">
      <text>
        <r>
          <rPr>
            <sz val="12"/>
            <color theme="1"/>
            <rFont val="Aptos Narrow"/>
            <family val="2"/>
            <scheme val="minor"/>
          </rPr>
          <t>was 5550
VNP40</t>
        </r>
      </text>
    </comment>
    <comment ref="B29" authorId="1" shapeId="0" xr:uid="{00000000-0006-0000-4500-000042000000}">
      <text>
        <r>
          <rPr>
            <sz val="12"/>
            <color theme="1"/>
            <rFont val="Aptos Narrow"/>
            <family val="2"/>
            <scheme val="minor"/>
          </rPr>
          <t xml:space="preserve">was 4490
</t>
        </r>
      </text>
    </comment>
    <comment ref="D29" authorId="4" shapeId="0" xr:uid="{00000000-0006-0000-4500-000043000000}">
      <text>
        <r>
          <rPr>
            <sz val="12"/>
            <color theme="1"/>
            <rFont val="Aptos Narrow"/>
            <family val="2"/>
            <scheme val="minor"/>
          </rPr>
          <t>Việt Hoàng:
4.450.000</t>
        </r>
      </text>
    </comment>
    <comment ref="G29" authorId="3" shapeId="0" xr:uid="{00000000-0006-0000-4500-000044000000}">
      <text>
        <r>
          <rPr>
            <sz val="12"/>
            <color theme="1"/>
            <rFont val="Aptos Narrow"/>
            <family val="2"/>
            <scheme val="minor"/>
          </rPr>
          <t>Tran Dat:
4390</t>
        </r>
      </text>
    </comment>
    <comment ref="B30" authorId="1" shapeId="0" xr:uid="{00000000-0006-0000-4500-000045000000}">
      <text>
        <r>
          <rPr>
            <sz val="12"/>
            <color theme="1"/>
            <rFont val="Aptos Narrow"/>
            <family val="2"/>
            <scheme val="minor"/>
          </rPr>
          <t>was 3190</t>
        </r>
      </text>
    </comment>
    <comment ref="C30" authorId="4" shapeId="0" xr:uid="{00000000-0006-0000-4500-000046000000}">
      <text>
        <r>
          <rPr>
            <sz val="12"/>
            <color theme="1"/>
            <rFont val="Aptos Narrow"/>
            <family val="2"/>
            <scheme val="minor"/>
          </rPr>
          <t>W7 3190</t>
        </r>
      </text>
    </comment>
    <comment ref="G30" authorId="3" shapeId="0" xr:uid="{00000000-0006-0000-4500-000047000000}">
      <text>
        <r>
          <rPr>
            <sz val="12"/>
            <color theme="1"/>
            <rFont val="Aptos Narrow"/>
            <family val="2"/>
            <scheme val="minor"/>
          </rPr>
          <t>Tran Dat:
5390</t>
        </r>
      </text>
    </comment>
    <comment ref="B31" authorId="1" shapeId="0" xr:uid="{00000000-0006-0000-4500-000048000000}">
      <text>
        <r>
          <rPr>
            <sz val="12"/>
            <color theme="1"/>
            <rFont val="Aptos Narrow"/>
            <family val="2"/>
            <scheme val="minor"/>
          </rPr>
          <t>was 18090
VNP100</t>
        </r>
      </text>
    </comment>
    <comment ref="C31" authorId="0" shapeId="0" xr:uid="{00000000-0006-0000-4500-000049000000}">
      <text>
        <r>
          <rPr>
            <sz val="12"/>
            <color theme="1"/>
            <rFont val="Aptos Narrow"/>
            <family val="2"/>
            <scheme val="minor"/>
          </rPr>
          <t>W7 17190</t>
        </r>
      </text>
    </comment>
    <comment ref="D32" authorId="3" shapeId="0" xr:uid="{00000000-0006-0000-4500-00004A000000}">
      <text>
        <r>
          <rPr>
            <sz val="12"/>
            <color theme="1"/>
            <rFont val="Aptos Narrow"/>
            <family val="2"/>
            <scheme val="minor"/>
          </rPr>
          <t>20.990.000</t>
        </r>
      </text>
    </comment>
    <comment ref="B33" authorId="1" shapeId="0" xr:uid="{00000000-0006-0000-4500-00004B000000}">
      <text>
        <r>
          <rPr>
            <sz val="12"/>
            <color theme="1"/>
            <rFont val="Aptos Narrow"/>
            <family val="2"/>
            <scheme val="minor"/>
          </rPr>
          <t>was 26140
VNP150</t>
        </r>
      </text>
    </comment>
    <comment ref="C34" authorId="4" shapeId="0" xr:uid="{00000000-0006-0000-4500-00004C000000}">
      <text>
        <r>
          <rPr>
            <sz val="12"/>
            <color theme="1"/>
            <rFont val="Aptos Narrow"/>
            <family val="2"/>
            <scheme val="minor"/>
          </rPr>
          <t>W7 25090</t>
        </r>
      </text>
    </comment>
    <comment ref="D34" authorId="4" shapeId="0" xr:uid="{00000000-0006-0000-4500-00004D000000}">
      <text>
        <r>
          <rPr>
            <sz val="12"/>
            <color theme="1"/>
            <rFont val="Aptos Narrow"/>
            <family val="2"/>
            <scheme val="minor"/>
          </rPr>
          <t>Việt Hoàng:
25.190.000</t>
        </r>
      </text>
    </comment>
    <comment ref="F34" authorId="2" shapeId="0" xr:uid="{00000000-0006-0000-4500-00004E000000}">
      <text>
        <r>
          <rPr>
            <sz val="12"/>
            <color theme="1"/>
            <rFont val="Aptos Narrow"/>
            <family val="2"/>
            <scheme val="minor"/>
          </rPr>
          <t>chit trang:
24.990</t>
        </r>
      </text>
    </comment>
    <comment ref="G34" authorId="3" shapeId="0" xr:uid="{00000000-0006-0000-4500-00004F000000}">
      <text>
        <r>
          <rPr>
            <sz val="12"/>
            <color theme="1"/>
            <rFont val="Aptos Narrow"/>
            <family val="2"/>
            <scheme val="minor"/>
          </rPr>
          <t>Tran Dat:
24990</t>
        </r>
      </text>
    </comment>
    <comment ref="C35" authorId="4" shapeId="0" xr:uid="{00000000-0006-0000-4500-000050000000}">
      <text>
        <r>
          <rPr>
            <sz val="12"/>
            <color theme="1"/>
            <rFont val="Aptos Narrow"/>
            <family val="2"/>
            <scheme val="minor"/>
          </rPr>
          <t>W7 30790</t>
        </r>
      </text>
    </comment>
    <comment ref="D35" authorId="4" shapeId="0" xr:uid="{00000000-0006-0000-4500-000051000000}">
      <text>
        <r>
          <rPr>
            <sz val="12"/>
            <color theme="1"/>
            <rFont val="Aptos Narrow"/>
            <family val="2"/>
            <scheme val="minor"/>
          </rPr>
          <t>Việt Hoàng:
30.690.000</t>
        </r>
      </text>
    </comment>
    <comment ref="G35" authorId="3" shapeId="0" xr:uid="{00000000-0006-0000-4500-000052000000}">
      <text>
        <r>
          <rPr>
            <sz val="12"/>
            <color theme="1"/>
            <rFont val="Aptos Narrow"/>
            <family val="2"/>
            <scheme val="minor"/>
          </rPr>
          <t>Tran Dat:
31990</t>
        </r>
      </text>
    </comment>
    <comment ref="F36" authorId="2" shapeId="0" xr:uid="{00000000-0006-0000-4500-000053000000}">
      <text>
        <r>
          <rPr>
            <sz val="12"/>
            <color theme="1"/>
            <rFont val="Aptos Narrow"/>
            <family val="2"/>
            <scheme val="minor"/>
          </rPr>
          <t>chit trang:
37.990</t>
        </r>
      </text>
    </comment>
  </commentList>
</comments>
</file>

<file path=xl/comments71.xml><?xml version="1.0" encoding="utf-8"?>
<comments xmlns="http://schemas.openxmlformats.org/spreadsheetml/2006/main" xmlns:mc="http://schemas.openxmlformats.org/markup-compatibility/2006" xmlns:xr="http://schemas.microsoft.com/office/spreadsheetml/2014/revision" mc:Ignorable="xr">
  <authors>
    <author>Microsoft Office User</author>
    <author>Duy</author>
    <author>Việt Hoàng</author>
    <author>chit trang</author>
    <author>Tran Dat</author>
    <author>Người dùng Khách</author>
  </authors>
  <commentList>
    <comment ref="E2" authorId="0" shapeId="0" xr:uid="{00000000-0006-0000-4600-000001000000}">
      <text>
        <r>
          <rPr>
            <sz val="12"/>
            <color theme="1"/>
            <rFont val="Aptos Narrow"/>
            <family val="2"/>
            <scheme val="minor"/>
          </rPr>
          <t>giờ vàng</t>
        </r>
      </text>
    </comment>
    <comment ref="E3" authorId="0" shapeId="0" xr:uid="{00000000-0006-0000-4600-000002000000}">
      <text>
        <r>
          <rPr>
            <sz val="12"/>
            <color theme="1"/>
            <rFont val="Aptos Narrow"/>
            <family val="2"/>
            <scheme val="minor"/>
          </rPr>
          <t>Giờ vàng</t>
        </r>
      </text>
    </comment>
    <comment ref="B4" authorId="0" shapeId="0" xr:uid="{00000000-0006-0000-4600-000003000000}">
      <text>
        <r>
          <rPr>
            <sz val="12"/>
            <color theme="1"/>
            <rFont val="Aptos Narrow"/>
            <family val="2"/>
            <scheme val="minor"/>
          </rPr>
          <t>was 24640000
VNP150</t>
        </r>
      </text>
    </comment>
    <comment ref="C4" authorId="1" shapeId="0" xr:uid="{00000000-0006-0000-4600-000004000000}">
      <text>
        <r>
          <rPr>
            <sz val="12"/>
            <color theme="1"/>
            <rFont val="Aptos Narrow"/>
            <family val="2"/>
            <scheme val="minor"/>
          </rPr>
          <t>W8 22.190</t>
        </r>
      </text>
    </comment>
    <comment ref="E4" authorId="0" shapeId="0" xr:uid="{00000000-0006-0000-4600-000005000000}">
      <text>
        <r>
          <rPr>
            <sz val="12"/>
            <color theme="1"/>
            <rFont val="Aptos Narrow"/>
            <family val="2"/>
            <scheme val="minor"/>
          </rPr>
          <t>Giờ vàng</t>
        </r>
      </text>
    </comment>
    <comment ref="E5" authorId="0" shapeId="0" xr:uid="{00000000-0006-0000-4600-000006000000}">
      <text>
        <r>
          <rPr>
            <sz val="12"/>
            <color theme="1"/>
            <rFont val="Aptos Narrow"/>
            <family val="2"/>
            <scheme val="minor"/>
          </rPr>
          <t xml:space="preserve">Giờ vàng
</t>
        </r>
      </text>
    </comment>
    <comment ref="B6" authorId="0" shapeId="0" xr:uid="{00000000-0006-0000-4600-000007000000}">
      <text>
        <r>
          <rPr>
            <sz val="12"/>
            <color theme="1"/>
            <rFont val="Aptos Narrow"/>
            <family val="2"/>
            <scheme val="minor"/>
          </rPr>
          <t>Tặng phiếu mua hàng mua AirPods và Apple Watch trị giá 500,000đ
 Phiếu mua hàng mua sản phẩm giá niêm yết từ 5 triệu thuộc các nhóm TAI NGHE - LOA hãng HARMAN KARDON, JBL,MONSTER, KLIPSCH, MARSHALL, SONY; Smartwatch hãng HUAWEI, GARMIN, SAMSUNG, IMOO, OPPO, AMAZFIT trị giá 500.000đ</t>
        </r>
      </text>
    </comment>
    <comment ref="E6" authorId="0" shapeId="0" xr:uid="{00000000-0006-0000-4600-000008000000}">
      <text>
        <r>
          <rPr>
            <sz val="12"/>
            <color theme="1"/>
            <rFont val="Aptos Narrow"/>
            <family val="2"/>
            <scheme val="minor"/>
          </rPr>
          <t xml:space="preserve">Giờ vàng
</t>
        </r>
      </text>
    </comment>
    <comment ref="D7" authorId="2" shapeId="0" xr:uid="{00000000-0006-0000-4600-000009000000}">
      <text>
        <r>
          <rPr>
            <sz val="12"/>
            <color theme="1"/>
            <rFont val="Aptos Narrow"/>
            <family val="2"/>
            <scheme val="minor"/>
          </rPr>
          <t>Việt Hoàng:
15.390.000</t>
        </r>
      </text>
    </comment>
    <comment ref="D8" authorId="2" shapeId="0" xr:uid="{00000000-0006-0000-4600-00000A000000}">
      <text>
        <r>
          <rPr>
            <sz val="12"/>
            <color theme="1"/>
            <rFont val="Aptos Narrow"/>
            <family val="2"/>
            <scheme val="minor"/>
          </rPr>
          <t>Việt Hoàng:
18.990.000</t>
        </r>
      </text>
    </comment>
    <comment ref="B9" authorId="0" shapeId="0" xr:uid="{00000000-0006-0000-4600-00000B000000}">
      <text>
        <r>
          <rPr>
            <sz val="12"/>
            <color theme="1"/>
            <rFont val="Aptos Narrow"/>
            <family val="2"/>
            <scheme val="minor"/>
          </rPr>
          <t>was 29140000
VNP150</t>
        </r>
      </text>
    </comment>
    <comment ref="B10" authorId="0" shapeId="0" xr:uid="{00000000-0006-0000-4600-00000C000000}">
      <text>
        <r>
          <rPr>
            <sz val="12"/>
            <color theme="1"/>
            <rFont val="Aptos Narrow"/>
            <family val="2"/>
            <scheme val="minor"/>
          </rPr>
          <t>was 18440</t>
        </r>
      </text>
    </comment>
    <comment ref="C11" authorId="1" shapeId="0" xr:uid="{00000000-0006-0000-4600-00000D000000}">
      <text>
        <r>
          <rPr>
            <sz val="12"/>
            <color theme="1"/>
            <rFont val="Aptos Narrow"/>
            <family val="2"/>
            <scheme val="minor"/>
          </rPr>
          <t>W8 12.690</t>
        </r>
      </text>
    </comment>
    <comment ref="B12" authorId="0" shapeId="0" xr:uid="{00000000-0006-0000-4600-00000E000000}">
      <text>
        <r>
          <rPr>
            <sz val="12"/>
            <color theme="1"/>
            <rFont val="Aptos Narrow"/>
            <family val="2"/>
            <scheme val="minor"/>
          </rPr>
          <t>was 13190
VNP100</t>
        </r>
      </text>
    </comment>
    <comment ref="C12" authorId="1" shapeId="0" xr:uid="{00000000-0006-0000-4600-00000F000000}">
      <text>
        <r>
          <rPr>
            <sz val="12"/>
            <color theme="1"/>
            <rFont val="Aptos Narrow"/>
            <family val="2"/>
            <scheme val="minor"/>
          </rPr>
          <t>W8 11.690</t>
        </r>
      </text>
    </comment>
    <comment ref="E12" authorId="0" shapeId="0" xr:uid="{00000000-0006-0000-4600-000010000000}">
      <text>
        <r>
          <rPr>
            <sz val="12"/>
            <color theme="1"/>
            <rFont val="Aptos Narrow"/>
            <family val="2"/>
            <scheme val="minor"/>
          </rPr>
          <t>Giờ vàng</t>
        </r>
      </text>
    </comment>
    <comment ref="F12" authorId="3" shapeId="0" xr:uid="{00000000-0006-0000-4600-000011000000}">
      <text>
        <r>
          <rPr>
            <sz val="12"/>
            <color theme="1"/>
            <rFont val="Aptos Narrow"/>
            <family val="2"/>
            <scheme val="minor"/>
          </rPr>
          <t>chit trang:
11.490</t>
        </r>
      </text>
    </comment>
    <comment ref="G12" authorId="4" shapeId="0" xr:uid="{00000000-0006-0000-4600-000012000000}">
      <text>
        <r>
          <rPr>
            <sz val="12"/>
            <color theme="1"/>
            <rFont val="Aptos Narrow"/>
            <family val="2"/>
            <scheme val="minor"/>
          </rPr>
          <t xml:space="preserve">Tran Dat:
11390
</t>
        </r>
      </text>
    </comment>
    <comment ref="D13" authorId="2" shapeId="0" xr:uid="{00000000-0006-0000-4600-000013000000}">
      <text>
        <r>
          <rPr>
            <sz val="12"/>
            <color theme="1"/>
            <rFont val="Aptos Narrow"/>
            <family val="2"/>
            <scheme val="minor"/>
          </rPr>
          <t>Việt Hoàng:
13.790.000</t>
        </r>
      </text>
    </comment>
    <comment ref="E13" authorId="0" shapeId="0" xr:uid="{00000000-0006-0000-4600-000014000000}">
      <text>
        <r>
          <rPr>
            <sz val="12"/>
            <color theme="1"/>
            <rFont val="Aptos Narrow"/>
            <family val="2"/>
            <scheme val="minor"/>
          </rPr>
          <t>was 13652
vnp1%</t>
        </r>
      </text>
    </comment>
    <comment ref="B14" authorId="0" shapeId="0" xr:uid="{00000000-0006-0000-4600-000015000000}">
      <text>
        <r>
          <rPr>
            <sz val="12"/>
            <color theme="1"/>
            <rFont val="Aptos Narrow"/>
            <family val="2"/>
            <scheme val="minor"/>
          </rPr>
          <t>was 7040
VNP40</t>
        </r>
      </text>
    </comment>
    <comment ref="E14" authorId="0" shapeId="0" xr:uid="{00000000-0006-0000-4600-000016000000}">
      <text>
        <r>
          <rPr>
            <sz val="12"/>
            <color theme="1"/>
            <rFont val="Aptos Narrow"/>
            <family val="2"/>
            <scheme val="minor"/>
          </rPr>
          <t>was 9296
vnp1%</t>
        </r>
      </text>
    </comment>
    <comment ref="B15" authorId="0" shapeId="0" xr:uid="{00000000-0006-0000-4600-000017000000}">
      <text>
        <r>
          <rPr>
            <sz val="12"/>
            <color theme="1"/>
            <rFont val="Aptos Narrow"/>
            <family val="2"/>
            <scheme val="minor"/>
          </rPr>
          <t>was 14390</t>
        </r>
      </text>
    </comment>
    <comment ref="C15" authorId="1" shapeId="0" xr:uid="{00000000-0006-0000-4600-000018000000}">
      <text>
        <r>
          <rPr>
            <sz val="12"/>
            <color theme="1"/>
            <rFont val="Aptos Narrow"/>
            <family val="2"/>
            <scheme val="minor"/>
          </rPr>
          <t>W8 14490</t>
        </r>
      </text>
    </comment>
    <comment ref="E15" authorId="0" shapeId="0" xr:uid="{00000000-0006-0000-4600-000019000000}">
      <text>
        <r>
          <rPr>
            <sz val="12"/>
            <color theme="1"/>
            <rFont val="Aptos Narrow"/>
            <family val="2"/>
            <scheme val="minor"/>
          </rPr>
          <t>was 15830
vnp1%</t>
        </r>
      </text>
    </comment>
    <comment ref="B18" authorId="0" shapeId="0" xr:uid="{00000000-0006-0000-4600-00001A000000}">
      <text>
        <r>
          <rPr>
            <sz val="12"/>
            <color theme="1"/>
            <rFont val="Aptos Narrow"/>
            <family val="2"/>
            <scheme val="minor"/>
          </rPr>
          <t>was 36640</t>
        </r>
      </text>
    </comment>
    <comment ref="F18" authorId="3" shapeId="0" xr:uid="{00000000-0006-0000-4600-00001B000000}">
      <text>
        <r>
          <rPr>
            <sz val="12"/>
            <color theme="1"/>
            <rFont val="Aptos Narrow"/>
            <family val="2"/>
            <scheme val="minor"/>
          </rPr>
          <t>chit trang:
33.690</t>
        </r>
      </text>
    </comment>
    <comment ref="F23" authorId="5" shapeId="0" xr:uid="{00000000-0006-0000-4600-00001C000000}">
      <text>
        <r>
          <rPr>
            <sz val="12"/>
            <color theme="1"/>
            <rFont val="Aptos Narrow"/>
            <family val="2"/>
            <scheme val="minor"/>
          </rPr>
          <t>Người dùng Không xác định:
8.390</t>
        </r>
      </text>
    </comment>
    <comment ref="B26" authorId="0" shapeId="0" xr:uid="{00000000-0006-0000-4600-00001D000000}">
      <text>
        <r>
          <rPr>
            <sz val="12"/>
            <color theme="1"/>
            <rFont val="Aptos Narrow"/>
            <family val="2"/>
            <scheme val="minor"/>
          </rPr>
          <t>was 13320
VNP100</t>
        </r>
      </text>
    </comment>
    <comment ref="F27" authorId="5" shapeId="0" xr:uid="{00000000-0006-0000-4600-00001E000000}">
      <text>
        <r>
          <rPr>
            <sz val="12"/>
            <color theme="1"/>
            <rFont val="Aptos Narrow"/>
            <family val="2"/>
            <scheme val="minor"/>
          </rPr>
          <t>Người dùng Không xác định:
21.590</t>
        </r>
      </text>
    </comment>
    <comment ref="B28" authorId="0" shapeId="0" xr:uid="{00000000-0006-0000-4600-00001F000000}">
      <text>
        <r>
          <rPr>
            <sz val="12"/>
            <color theme="1"/>
            <rFont val="Aptos Narrow"/>
            <family val="2"/>
            <scheme val="minor"/>
          </rPr>
          <t>was 5550
VNP40</t>
        </r>
      </text>
    </comment>
    <comment ref="B29" authorId="0" shapeId="0" xr:uid="{00000000-0006-0000-4600-000020000000}">
      <text>
        <r>
          <rPr>
            <sz val="12"/>
            <color theme="1"/>
            <rFont val="Aptos Narrow"/>
            <family val="2"/>
            <scheme val="minor"/>
          </rPr>
          <t xml:space="preserve">was 4490
</t>
        </r>
      </text>
    </comment>
    <comment ref="B30" authorId="0" shapeId="0" xr:uid="{00000000-0006-0000-4600-000021000000}">
      <text>
        <r>
          <rPr>
            <sz val="12"/>
            <color theme="1"/>
            <rFont val="Aptos Narrow"/>
            <family val="2"/>
            <scheme val="minor"/>
          </rPr>
          <t>was 3190</t>
        </r>
      </text>
    </comment>
    <comment ref="C30" authorId="2" shapeId="0" xr:uid="{00000000-0006-0000-4600-000022000000}">
      <text>
        <r>
          <rPr>
            <sz val="12"/>
            <color theme="1"/>
            <rFont val="Aptos Narrow"/>
            <family val="2"/>
            <scheme val="minor"/>
          </rPr>
          <t>W8 3090</t>
        </r>
      </text>
    </comment>
    <comment ref="B31" authorId="0" shapeId="0" xr:uid="{00000000-0006-0000-4600-000023000000}">
      <text>
        <r>
          <rPr>
            <sz val="12"/>
            <color theme="1"/>
            <rFont val="Aptos Narrow"/>
            <family val="2"/>
            <scheme val="minor"/>
          </rPr>
          <t>was 18090
VNP100</t>
        </r>
      </text>
    </comment>
    <comment ref="C31" authorId="1" shapeId="0" xr:uid="{00000000-0006-0000-4600-000024000000}">
      <text>
        <r>
          <rPr>
            <sz val="12"/>
            <color theme="1"/>
            <rFont val="Aptos Narrow"/>
            <family val="2"/>
            <scheme val="minor"/>
          </rPr>
          <t>W8 16990</t>
        </r>
      </text>
    </comment>
    <comment ref="B33" authorId="0" shapeId="0" xr:uid="{00000000-0006-0000-4600-000025000000}">
      <text>
        <r>
          <rPr>
            <sz val="12"/>
            <color theme="1"/>
            <rFont val="Aptos Narrow"/>
            <family val="2"/>
            <scheme val="minor"/>
          </rPr>
          <t>was 26140
VNP150</t>
        </r>
      </text>
    </comment>
    <comment ref="F35" authorId="5" shapeId="0" xr:uid="{00000000-0006-0000-4600-000026000000}">
      <text>
        <r>
          <rPr>
            <sz val="12"/>
            <color theme="1"/>
            <rFont val="Aptos Narrow"/>
            <family val="2"/>
            <scheme val="minor"/>
          </rPr>
          <t>Người dùng Không xác định:
30.390</t>
        </r>
      </text>
    </comment>
  </commentList>
</comments>
</file>

<file path=xl/comments72.xml><?xml version="1.0" encoding="utf-8"?>
<comments xmlns="http://schemas.openxmlformats.org/spreadsheetml/2006/main" xmlns:mc="http://schemas.openxmlformats.org/markup-compatibility/2006" xmlns:xr="http://schemas.microsoft.com/office/spreadsheetml/2014/revision" mc:Ignorable="xr">
  <authors>
    <author>Duy</author>
    <author>Microsoft Office User</author>
    <author>Tran Dat</author>
    <author>Người dùng Khách</author>
    <author>chit trang</author>
    <author>Việt Hoàng</author>
  </authors>
  <commentList>
    <comment ref="C2" authorId="0" shapeId="0" xr:uid="{00000000-0006-0000-4700-000001000000}">
      <text>
        <r>
          <rPr>
            <sz val="12"/>
            <color theme="1"/>
            <rFont val="Aptos Narrow"/>
            <family val="2"/>
            <scheme val="minor"/>
          </rPr>
          <t>W9 14.990</t>
        </r>
      </text>
    </comment>
    <comment ref="E2" authorId="1" shapeId="0" xr:uid="{00000000-0006-0000-4700-000002000000}">
      <text>
        <r>
          <rPr>
            <sz val="12"/>
            <color theme="1"/>
            <rFont val="Aptos Narrow"/>
            <family val="2"/>
            <scheme val="minor"/>
          </rPr>
          <t>giờ vàng</t>
        </r>
      </text>
    </comment>
    <comment ref="G2" authorId="2" shapeId="0" xr:uid="{00000000-0006-0000-4700-000003000000}">
      <text>
        <r>
          <rPr>
            <sz val="12"/>
            <color theme="1"/>
            <rFont val="Aptos Narrow"/>
            <family val="2"/>
            <scheme val="minor"/>
          </rPr>
          <t>Tran Dat:
15990</t>
        </r>
      </text>
    </comment>
    <comment ref="E3" authorId="1" shapeId="0" xr:uid="{00000000-0006-0000-4700-000004000000}">
      <text>
        <r>
          <rPr>
            <sz val="12"/>
            <color theme="1"/>
            <rFont val="Aptos Narrow"/>
            <family val="2"/>
            <scheme val="minor"/>
          </rPr>
          <t>Giờ vàng</t>
        </r>
      </text>
    </comment>
    <comment ref="B4" authorId="1" shapeId="0" xr:uid="{00000000-0006-0000-4700-000005000000}">
      <text>
        <r>
          <rPr>
            <sz val="12"/>
            <color theme="1"/>
            <rFont val="Aptos Narrow"/>
            <family val="2"/>
            <scheme val="minor"/>
          </rPr>
          <t>was 24640000
VNP150</t>
        </r>
      </text>
    </comment>
    <comment ref="E4" authorId="1" shapeId="0" xr:uid="{00000000-0006-0000-4700-000006000000}">
      <text>
        <r>
          <rPr>
            <sz val="12"/>
            <color theme="1"/>
            <rFont val="Aptos Narrow"/>
            <family val="2"/>
            <scheme val="minor"/>
          </rPr>
          <t>Giờ vàng</t>
        </r>
      </text>
    </comment>
    <comment ref="C5" authorId="0" shapeId="0" xr:uid="{00000000-0006-0000-4700-000007000000}">
      <text>
        <r>
          <rPr>
            <sz val="12"/>
            <color theme="1"/>
            <rFont val="Aptos Narrow"/>
            <family val="2"/>
            <scheme val="minor"/>
          </rPr>
          <t>W9 25090</t>
        </r>
      </text>
    </comment>
    <comment ref="E5" authorId="1" shapeId="0" xr:uid="{00000000-0006-0000-4700-000008000000}">
      <text>
        <r>
          <rPr>
            <sz val="12"/>
            <color theme="1"/>
            <rFont val="Aptos Narrow"/>
            <family val="2"/>
            <scheme val="minor"/>
          </rPr>
          <t xml:space="preserve">Giờ vàng
</t>
        </r>
      </text>
    </comment>
    <comment ref="B6" authorId="1" shapeId="0" xr:uid="{00000000-0006-0000-4700-000009000000}">
      <text>
        <r>
          <rPr>
            <sz val="12"/>
            <color theme="1"/>
            <rFont val="Aptos Narrow"/>
            <family val="2"/>
            <scheme val="minor"/>
          </rPr>
          <t>Tặng phiếu mua hàng mua AirPods và Apple Watch trị giá 500,000đ
 Phiếu mua hàng mua sản phẩm giá niêm yết từ 5 triệu thuộc các nhóm TAI NGHE - LOA hãng HARMAN KARDON, JBL,MONSTER, KLIPSCH, MARSHALL, SONY; Smartwatch hãng HUAWEI, GARMIN, SAMSUNG, IMOO, OPPO, AMAZFIT trị giá 500.000đ</t>
        </r>
      </text>
    </comment>
    <comment ref="E6" authorId="1" shapeId="0" xr:uid="{00000000-0006-0000-4700-00000A000000}">
      <text>
        <r>
          <rPr>
            <sz val="12"/>
            <color theme="1"/>
            <rFont val="Aptos Narrow"/>
            <family val="2"/>
            <scheme val="minor"/>
          </rPr>
          <t xml:space="preserve">Giờ vàng
</t>
        </r>
      </text>
    </comment>
    <comment ref="C8" authorId="0" shapeId="0" xr:uid="{00000000-0006-0000-4700-00000B000000}">
      <text>
        <r>
          <rPr>
            <sz val="12"/>
            <color theme="1"/>
            <rFont val="Aptos Narrow"/>
            <family val="2"/>
            <scheme val="minor"/>
          </rPr>
          <t>W9 18590</t>
        </r>
      </text>
    </comment>
    <comment ref="B9" authorId="1" shapeId="0" xr:uid="{00000000-0006-0000-4700-00000C000000}">
      <text>
        <r>
          <rPr>
            <sz val="12"/>
            <color theme="1"/>
            <rFont val="Aptos Narrow"/>
            <family val="2"/>
            <scheme val="minor"/>
          </rPr>
          <t>was 29140000
VNP150</t>
        </r>
      </text>
    </comment>
    <comment ref="C9" authorId="0" shapeId="0" xr:uid="{00000000-0006-0000-4700-00000D000000}">
      <text>
        <r>
          <rPr>
            <sz val="12"/>
            <color theme="1"/>
            <rFont val="Aptos Narrow"/>
            <family val="2"/>
            <scheme val="minor"/>
          </rPr>
          <t>W9 26890</t>
        </r>
      </text>
    </comment>
    <comment ref="B10" authorId="1" shapeId="0" xr:uid="{00000000-0006-0000-4700-00000E000000}">
      <text>
        <r>
          <rPr>
            <sz val="12"/>
            <color theme="1"/>
            <rFont val="Aptos Narrow"/>
            <family val="2"/>
            <scheme val="minor"/>
          </rPr>
          <t>was 18440</t>
        </r>
      </text>
    </comment>
    <comment ref="E11" authorId="1" shapeId="0" xr:uid="{00000000-0006-0000-4700-00000F000000}">
      <text>
        <r>
          <rPr>
            <sz val="12"/>
            <color theme="1"/>
            <rFont val="Aptos Narrow"/>
            <family val="2"/>
            <scheme val="minor"/>
          </rPr>
          <t>was 12690
FS</t>
        </r>
      </text>
    </comment>
    <comment ref="B12" authorId="1" shapeId="0" xr:uid="{00000000-0006-0000-4700-000010000000}">
      <text>
        <r>
          <rPr>
            <sz val="12"/>
            <color theme="1"/>
            <rFont val="Aptos Narrow"/>
            <family val="2"/>
            <scheme val="minor"/>
          </rPr>
          <t>was 13190
VNP100</t>
        </r>
      </text>
    </comment>
    <comment ref="C12" authorId="0" shapeId="0" xr:uid="{00000000-0006-0000-4700-000011000000}">
      <text>
        <r>
          <rPr>
            <sz val="12"/>
            <color theme="1"/>
            <rFont val="Aptos Narrow"/>
            <family val="2"/>
            <scheme val="minor"/>
          </rPr>
          <t>W9 11.490</t>
        </r>
      </text>
    </comment>
    <comment ref="E12" authorId="1" shapeId="0" xr:uid="{00000000-0006-0000-4700-000012000000}">
      <text>
        <r>
          <rPr>
            <sz val="12"/>
            <color theme="1"/>
            <rFont val="Aptos Narrow"/>
            <family val="2"/>
            <scheme val="minor"/>
          </rPr>
          <t>Giờ vàng</t>
        </r>
      </text>
    </comment>
    <comment ref="E13" authorId="1" shapeId="0" xr:uid="{00000000-0006-0000-4700-000013000000}">
      <text>
        <r>
          <rPr>
            <sz val="12"/>
            <color theme="1"/>
            <rFont val="Aptos Narrow"/>
            <family val="2"/>
            <scheme val="minor"/>
          </rPr>
          <t>was 11870
vnp1%</t>
        </r>
      </text>
    </comment>
    <comment ref="B14" authorId="1" shapeId="0" xr:uid="{00000000-0006-0000-4700-000014000000}">
      <text>
        <r>
          <rPr>
            <sz val="12"/>
            <color theme="1"/>
            <rFont val="Aptos Narrow"/>
            <family val="2"/>
            <scheme val="minor"/>
          </rPr>
          <t>was 7040
VNP40</t>
        </r>
      </text>
    </comment>
    <comment ref="E14" authorId="1" shapeId="0" xr:uid="{00000000-0006-0000-4700-000015000000}">
      <text>
        <r>
          <rPr>
            <sz val="12"/>
            <color theme="1"/>
            <rFont val="Aptos Narrow"/>
            <family val="2"/>
            <scheme val="minor"/>
          </rPr>
          <t>was 8801
vnp1%</t>
        </r>
      </text>
    </comment>
    <comment ref="B15" authorId="1" shapeId="0" xr:uid="{00000000-0006-0000-4700-000016000000}">
      <text>
        <r>
          <rPr>
            <sz val="12"/>
            <color theme="1"/>
            <rFont val="Aptos Narrow"/>
            <family val="2"/>
            <scheme val="minor"/>
          </rPr>
          <t>was 14390</t>
        </r>
      </text>
    </comment>
    <comment ref="E15" authorId="1" shapeId="0" xr:uid="{00000000-0006-0000-4700-000017000000}">
      <text>
        <r>
          <rPr>
            <sz val="12"/>
            <color theme="1"/>
            <rFont val="Aptos Narrow"/>
            <family val="2"/>
            <scheme val="minor"/>
          </rPr>
          <t>was 14543
vnp1%</t>
        </r>
      </text>
    </comment>
    <comment ref="G15" authorId="2" shapeId="0" xr:uid="{00000000-0006-0000-4700-000018000000}">
      <text>
        <r>
          <rPr>
            <sz val="12"/>
            <color theme="1"/>
            <rFont val="Aptos Narrow"/>
            <family val="2"/>
            <scheme val="minor"/>
          </rPr>
          <t>Tran Dat:
1459</t>
        </r>
      </text>
    </comment>
    <comment ref="C16" authorId="0" shapeId="0" xr:uid="{00000000-0006-0000-4700-000019000000}">
      <text>
        <r>
          <rPr>
            <sz val="12"/>
            <color theme="1"/>
            <rFont val="Aptos Narrow"/>
            <family val="2"/>
            <scheme val="minor"/>
          </rPr>
          <t>W9 20590</t>
        </r>
      </text>
    </comment>
    <comment ref="F16" authorId="3" shapeId="0" xr:uid="{00000000-0006-0000-4700-00001A000000}">
      <text>
        <r>
          <rPr>
            <sz val="12"/>
            <color theme="1"/>
            <rFont val="Aptos Narrow"/>
            <family val="2"/>
            <scheme val="minor"/>
          </rPr>
          <t>Người dùng Không xác định:
20.790k</t>
        </r>
      </text>
    </comment>
    <comment ref="G16" authorId="2" shapeId="0" xr:uid="{00000000-0006-0000-4700-00001B000000}">
      <text>
        <r>
          <rPr>
            <sz val="12"/>
            <color theme="1"/>
            <rFont val="Aptos Narrow"/>
            <family val="2"/>
            <scheme val="minor"/>
          </rPr>
          <t>Tran Dat:
20690</t>
        </r>
      </text>
    </comment>
    <comment ref="C17" authorId="0" shapeId="0" xr:uid="{00000000-0006-0000-4700-00001C000000}">
      <text>
        <r>
          <rPr>
            <sz val="12"/>
            <color theme="1"/>
            <rFont val="Aptos Narrow"/>
            <family val="2"/>
            <scheme val="minor"/>
          </rPr>
          <t>W9 25890</t>
        </r>
      </text>
    </comment>
    <comment ref="E17" authorId="1" shapeId="0" xr:uid="{00000000-0006-0000-4700-00001D000000}">
      <text>
        <r>
          <rPr>
            <sz val="12"/>
            <color theme="1"/>
            <rFont val="Aptos Narrow"/>
            <family val="2"/>
            <scheme val="minor"/>
          </rPr>
          <t>was 26490
vnp1%</t>
        </r>
      </text>
    </comment>
    <comment ref="B18" authorId="1" shapeId="0" xr:uid="{00000000-0006-0000-4700-00001E000000}">
      <text>
        <r>
          <rPr>
            <sz val="12"/>
            <color theme="1"/>
            <rFont val="Aptos Narrow"/>
            <family val="2"/>
            <scheme val="minor"/>
          </rPr>
          <t>was 36640</t>
        </r>
      </text>
    </comment>
    <comment ref="C18" authorId="0" shapeId="0" xr:uid="{00000000-0006-0000-4700-00001F000000}">
      <text>
        <r>
          <rPr>
            <sz val="12"/>
            <color theme="1"/>
            <rFont val="Aptos Narrow"/>
            <family val="2"/>
            <scheme val="minor"/>
          </rPr>
          <t>W9 33590</t>
        </r>
      </text>
    </comment>
    <comment ref="E18" authorId="1" shapeId="0" xr:uid="{00000000-0006-0000-4700-000020000000}">
      <text>
        <r>
          <rPr>
            <sz val="12"/>
            <color theme="1"/>
            <rFont val="Aptos Narrow"/>
            <family val="2"/>
            <scheme val="minor"/>
          </rPr>
          <t>was 35490
vnp1%</t>
        </r>
      </text>
    </comment>
    <comment ref="F18" authorId="4" shapeId="0" xr:uid="{00000000-0006-0000-4700-000021000000}">
      <text>
        <r>
          <rPr>
            <sz val="12"/>
            <color theme="1"/>
            <rFont val="Aptos Narrow"/>
            <family val="2"/>
            <scheme val="minor"/>
          </rPr>
          <t>chit trang:
33.590</t>
        </r>
      </text>
    </comment>
    <comment ref="C19" authorId="0" shapeId="0" xr:uid="{00000000-0006-0000-4700-000022000000}">
      <text>
        <r>
          <rPr>
            <sz val="12"/>
            <color theme="1"/>
            <rFont val="Aptos Narrow"/>
            <family val="2"/>
            <scheme val="minor"/>
          </rPr>
          <t>W9 5190</t>
        </r>
      </text>
    </comment>
    <comment ref="D19" authorId="5" shapeId="0" xr:uid="{00000000-0006-0000-4700-000023000000}">
      <text>
        <r>
          <rPr>
            <sz val="12"/>
            <color theme="1"/>
            <rFont val="Aptos Narrow"/>
            <family val="2"/>
            <scheme val="minor"/>
          </rPr>
          <t>Việt Hoàng:
5.190.000</t>
        </r>
      </text>
    </comment>
    <comment ref="E19" authorId="1" shapeId="0" xr:uid="{00000000-0006-0000-4700-000024000000}">
      <text>
        <r>
          <rPr>
            <sz val="12"/>
            <color theme="1"/>
            <rFont val="Aptos Narrow"/>
            <family val="2"/>
            <scheme val="minor"/>
          </rPr>
          <t>was 4940
vnp1%</t>
        </r>
      </text>
    </comment>
    <comment ref="F19" authorId="3" shapeId="0" xr:uid="{00000000-0006-0000-4700-000025000000}">
      <text>
        <r>
          <rPr>
            <sz val="12"/>
            <color theme="1"/>
            <rFont val="Aptos Narrow"/>
            <family val="2"/>
            <scheme val="minor"/>
          </rPr>
          <t>Người dùng Không xác định:
4.990</t>
        </r>
      </text>
    </comment>
    <comment ref="G19" authorId="2" shapeId="0" xr:uid="{00000000-0006-0000-4700-000026000000}">
      <text>
        <r>
          <rPr>
            <sz val="12"/>
            <color theme="1"/>
            <rFont val="Aptos Narrow"/>
            <family val="2"/>
            <scheme val="minor"/>
          </rPr>
          <t>Tran Dat:
5090</t>
        </r>
      </text>
    </comment>
    <comment ref="C21" authorId="0" shapeId="0" xr:uid="{00000000-0006-0000-4700-000027000000}">
      <text>
        <r>
          <rPr>
            <sz val="12"/>
            <color theme="1"/>
            <rFont val="Aptos Narrow"/>
            <family val="2"/>
            <scheme val="minor"/>
          </rPr>
          <t>W9 5790</t>
        </r>
      </text>
    </comment>
    <comment ref="D21" authorId="5" shapeId="0" xr:uid="{00000000-0006-0000-4700-000028000000}">
      <text>
        <r>
          <rPr>
            <sz val="12"/>
            <color theme="1"/>
            <rFont val="Aptos Narrow"/>
            <family val="2"/>
            <scheme val="minor"/>
          </rPr>
          <t>Việt Hoàng:
5.790.000</t>
        </r>
      </text>
    </comment>
    <comment ref="E21" authorId="1" shapeId="0" xr:uid="{00000000-0006-0000-4700-000029000000}">
      <text>
        <r>
          <rPr>
            <sz val="12"/>
            <color theme="1"/>
            <rFont val="Aptos Narrow"/>
            <family val="2"/>
            <scheme val="minor"/>
          </rPr>
          <t>was 5732
vnp1%</t>
        </r>
      </text>
    </comment>
    <comment ref="F21" authorId="3" shapeId="0" xr:uid="{00000000-0006-0000-4700-00002A000000}">
      <text>
        <r>
          <rPr>
            <sz val="12"/>
            <color theme="1"/>
            <rFont val="Aptos Narrow"/>
            <family val="2"/>
            <scheme val="minor"/>
          </rPr>
          <t>Người dùng Không xác định:
5.790</t>
        </r>
      </text>
    </comment>
    <comment ref="G21" authorId="2" shapeId="0" xr:uid="{00000000-0006-0000-4700-00002B000000}">
      <text>
        <r>
          <rPr>
            <sz val="12"/>
            <color theme="1"/>
            <rFont val="Aptos Narrow"/>
            <family val="2"/>
            <scheme val="minor"/>
          </rPr>
          <t>Tran Dat:
5890</t>
        </r>
      </text>
    </comment>
    <comment ref="C23" authorId="0" shapeId="0" xr:uid="{00000000-0006-0000-4700-00002C000000}">
      <text>
        <r>
          <rPr>
            <sz val="12"/>
            <color theme="1"/>
            <rFont val="Aptos Narrow"/>
            <family val="2"/>
            <scheme val="minor"/>
          </rPr>
          <t>W9 8390</t>
        </r>
      </text>
    </comment>
    <comment ref="D23" authorId="5" shapeId="0" xr:uid="{00000000-0006-0000-4700-00002D000000}">
      <text>
        <r>
          <rPr>
            <sz val="12"/>
            <color theme="1"/>
            <rFont val="Aptos Narrow"/>
            <family val="2"/>
            <scheme val="minor"/>
          </rPr>
          <t>Việt Hoàng:
8.390.000</t>
        </r>
      </text>
    </comment>
    <comment ref="E23" authorId="1" shapeId="0" xr:uid="{00000000-0006-0000-4700-00002E000000}">
      <text>
        <r>
          <rPr>
            <sz val="12"/>
            <color theme="1"/>
            <rFont val="Aptos Narrow"/>
            <family val="2"/>
            <scheme val="minor"/>
          </rPr>
          <t>was 8207
vnp1%</t>
        </r>
      </text>
    </comment>
    <comment ref="F23" authorId="3" shapeId="0" xr:uid="{00000000-0006-0000-4700-00002F000000}">
      <text>
        <r>
          <rPr>
            <sz val="12"/>
            <color theme="1"/>
            <rFont val="Aptos Narrow"/>
            <family val="2"/>
            <scheme val="minor"/>
          </rPr>
          <t>Người dùng Không xác định:
8.490</t>
        </r>
      </text>
    </comment>
    <comment ref="G23" authorId="2" shapeId="0" xr:uid="{00000000-0006-0000-4700-000030000000}">
      <text>
        <r>
          <rPr>
            <sz val="12"/>
            <color theme="1"/>
            <rFont val="Aptos Narrow"/>
            <family val="2"/>
            <scheme val="minor"/>
          </rPr>
          <t>Tran Dat:
8390</t>
        </r>
      </text>
    </comment>
    <comment ref="C25" authorId="0" shapeId="0" xr:uid="{00000000-0006-0000-4700-000031000000}">
      <text>
        <r>
          <rPr>
            <sz val="12"/>
            <color theme="1"/>
            <rFont val="Aptos Narrow"/>
            <family val="2"/>
            <scheme val="minor"/>
          </rPr>
          <t>W9 9190</t>
        </r>
      </text>
    </comment>
    <comment ref="D25" authorId="5" shapeId="0" xr:uid="{00000000-0006-0000-4700-000032000000}">
      <text>
        <r>
          <rPr>
            <sz val="12"/>
            <color theme="1"/>
            <rFont val="Aptos Narrow"/>
            <family val="2"/>
            <scheme val="minor"/>
          </rPr>
          <t>Việt Hoàng:
9.190.000</t>
        </r>
      </text>
    </comment>
    <comment ref="E25" authorId="1" shapeId="0" xr:uid="{00000000-0006-0000-4700-000033000000}">
      <text>
        <r>
          <rPr>
            <sz val="12"/>
            <color theme="1"/>
            <rFont val="Aptos Narrow"/>
            <family val="2"/>
            <scheme val="minor"/>
          </rPr>
          <t>was 8900
vnp1%</t>
        </r>
      </text>
    </comment>
    <comment ref="F25" authorId="3" shapeId="0" xr:uid="{00000000-0006-0000-4700-000034000000}">
      <text>
        <r>
          <rPr>
            <sz val="12"/>
            <color theme="1"/>
            <rFont val="Aptos Narrow"/>
            <family val="2"/>
            <scheme val="minor"/>
          </rPr>
          <t>Người dùng Không xác định:
9.190</t>
        </r>
      </text>
    </comment>
    <comment ref="G25" authorId="2" shapeId="0" xr:uid="{00000000-0006-0000-4700-000035000000}">
      <text>
        <r>
          <rPr>
            <sz val="12"/>
            <color theme="1"/>
            <rFont val="Aptos Narrow"/>
            <family val="2"/>
            <scheme val="minor"/>
          </rPr>
          <t>Tran Dat:
8990</t>
        </r>
      </text>
    </comment>
    <comment ref="B26" authorId="1" shapeId="0" xr:uid="{00000000-0006-0000-4700-000036000000}">
      <text>
        <r>
          <rPr>
            <sz val="12"/>
            <color theme="1"/>
            <rFont val="Aptos Narrow"/>
            <family val="2"/>
            <scheme val="minor"/>
          </rPr>
          <t>was 13320
VNP100</t>
        </r>
      </text>
    </comment>
    <comment ref="F27" authorId="3" shapeId="0" xr:uid="{00000000-0006-0000-4700-000037000000}">
      <text>
        <r>
          <rPr>
            <sz val="12"/>
            <color theme="1"/>
            <rFont val="Aptos Narrow"/>
            <family val="2"/>
            <scheme val="minor"/>
          </rPr>
          <t>Người dùng Không xác định:
21.590</t>
        </r>
      </text>
    </comment>
    <comment ref="B28" authorId="1" shapeId="0" xr:uid="{00000000-0006-0000-4700-000038000000}">
      <text>
        <r>
          <rPr>
            <sz val="12"/>
            <color theme="1"/>
            <rFont val="Aptos Narrow"/>
            <family val="2"/>
            <scheme val="minor"/>
          </rPr>
          <t>was 5550
VNP40</t>
        </r>
      </text>
    </comment>
    <comment ref="C28" authorId="0" shapeId="0" xr:uid="{00000000-0006-0000-4700-000039000000}">
      <text>
        <r>
          <rPr>
            <sz val="12"/>
            <color theme="1"/>
            <rFont val="Aptos Narrow"/>
            <family val="2"/>
            <scheme val="minor"/>
          </rPr>
          <t>W9 5390</t>
        </r>
      </text>
    </comment>
    <comment ref="D28" authorId="5" shapeId="0" xr:uid="{00000000-0006-0000-4700-00003A000000}">
      <text>
        <r>
          <rPr>
            <sz val="12"/>
            <color theme="1"/>
            <rFont val="Aptos Narrow"/>
            <family val="2"/>
            <scheme val="minor"/>
          </rPr>
          <t>Việt Hoàng:
5.350.000</t>
        </r>
      </text>
    </comment>
    <comment ref="E28" authorId="1" shapeId="0" xr:uid="{00000000-0006-0000-4700-00003B000000}">
      <text>
        <r>
          <rPr>
            <sz val="12"/>
            <color theme="1"/>
            <rFont val="Aptos Narrow"/>
            <family val="2"/>
            <scheme val="minor"/>
          </rPr>
          <t xml:space="preserve">was 5039
vnp1%
</t>
        </r>
      </text>
    </comment>
    <comment ref="F28" authorId="3" shapeId="0" xr:uid="{00000000-0006-0000-4700-00003C000000}">
      <text>
        <r>
          <rPr>
            <sz val="12"/>
            <color theme="1"/>
            <rFont val="Aptos Narrow"/>
            <family val="2"/>
            <scheme val="minor"/>
          </rPr>
          <t>Người dùng Không xác định:
5.290</t>
        </r>
      </text>
    </comment>
    <comment ref="G28" authorId="2" shapeId="0" xr:uid="{00000000-0006-0000-4700-00003D000000}">
      <text>
        <r>
          <rPr>
            <sz val="12"/>
            <color theme="1"/>
            <rFont val="Aptos Narrow"/>
            <family val="2"/>
            <scheme val="minor"/>
          </rPr>
          <t xml:space="preserve">Tran Dat:
5390
</t>
        </r>
      </text>
    </comment>
    <comment ref="B29" authorId="1" shapeId="0" xr:uid="{00000000-0006-0000-4700-00003E000000}">
      <text>
        <r>
          <rPr>
            <sz val="12"/>
            <color theme="1"/>
            <rFont val="Aptos Narrow"/>
            <family val="2"/>
            <scheme val="minor"/>
          </rPr>
          <t xml:space="preserve">was 4490
</t>
        </r>
      </text>
    </comment>
    <comment ref="C29" authorId="0" shapeId="0" xr:uid="{00000000-0006-0000-4700-00003F000000}">
      <text>
        <r>
          <rPr>
            <sz val="12"/>
            <color theme="1"/>
            <rFont val="Aptos Narrow"/>
            <family val="2"/>
            <scheme val="minor"/>
          </rPr>
          <t>W9 4490</t>
        </r>
      </text>
    </comment>
    <comment ref="D29" authorId="5" shapeId="0" xr:uid="{00000000-0006-0000-4700-000040000000}">
      <text>
        <r>
          <rPr>
            <sz val="12"/>
            <color theme="1"/>
            <rFont val="Aptos Narrow"/>
            <family val="2"/>
            <scheme val="minor"/>
          </rPr>
          <t>Việt Hoàng:
4.350.000</t>
        </r>
      </text>
    </comment>
    <comment ref="E29" authorId="1" shapeId="0" xr:uid="{00000000-0006-0000-4700-000041000000}">
      <text>
        <r>
          <rPr>
            <sz val="12"/>
            <color theme="1"/>
            <rFont val="Aptos Narrow"/>
            <family val="2"/>
            <scheme val="minor"/>
          </rPr>
          <t>was 4247
vnp1%</t>
        </r>
      </text>
    </comment>
    <comment ref="F29" authorId="3" shapeId="0" xr:uid="{00000000-0006-0000-4700-000042000000}">
      <text>
        <r>
          <rPr>
            <sz val="12"/>
            <color theme="1"/>
            <rFont val="Aptos Narrow"/>
            <family val="2"/>
            <scheme val="minor"/>
          </rPr>
          <t>Người dùng Không xác định:
4.390</t>
        </r>
      </text>
    </comment>
    <comment ref="G29" authorId="2" shapeId="0" xr:uid="{00000000-0006-0000-4700-000043000000}">
      <text>
        <r>
          <rPr>
            <sz val="12"/>
            <color theme="1"/>
            <rFont val="Aptos Narrow"/>
            <family val="2"/>
            <scheme val="minor"/>
          </rPr>
          <t>Tran Dat:
4190</t>
        </r>
      </text>
    </comment>
    <comment ref="B30" authorId="1" shapeId="0" xr:uid="{00000000-0006-0000-4700-000044000000}">
      <text>
        <r>
          <rPr>
            <sz val="12"/>
            <color theme="1"/>
            <rFont val="Aptos Narrow"/>
            <family val="2"/>
            <scheme val="minor"/>
          </rPr>
          <t>was 3190</t>
        </r>
      </text>
    </comment>
    <comment ref="C30" authorId="5" shapeId="0" xr:uid="{00000000-0006-0000-4700-000045000000}">
      <text>
        <r>
          <rPr>
            <sz val="12"/>
            <color theme="1"/>
            <rFont val="Aptos Narrow"/>
            <family val="2"/>
            <scheme val="minor"/>
          </rPr>
          <t>W9 3190</t>
        </r>
      </text>
    </comment>
    <comment ref="D30" authorId="5" shapeId="0" xr:uid="{00000000-0006-0000-4700-000046000000}">
      <text>
        <r>
          <rPr>
            <sz val="12"/>
            <color theme="1"/>
            <rFont val="Aptos Narrow"/>
            <family val="2"/>
            <scheme val="minor"/>
          </rPr>
          <t>Việt Hoàng:
3.050.000</t>
        </r>
      </text>
    </comment>
    <comment ref="E30" authorId="1" shapeId="0" xr:uid="{00000000-0006-0000-4700-000047000000}">
      <text>
        <r>
          <rPr>
            <sz val="12"/>
            <color theme="1"/>
            <rFont val="Aptos Narrow"/>
            <family val="2"/>
            <scheme val="minor"/>
          </rPr>
          <t xml:space="preserve">was 2890
</t>
        </r>
      </text>
    </comment>
    <comment ref="F30" authorId="3" shapeId="0" xr:uid="{00000000-0006-0000-4700-000048000000}">
      <text>
        <r>
          <rPr>
            <sz val="12"/>
            <color theme="1"/>
            <rFont val="Aptos Narrow"/>
            <family val="2"/>
            <scheme val="minor"/>
          </rPr>
          <t>Người dùng Không xác định:
2.990</t>
        </r>
      </text>
    </comment>
    <comment ref="G30" authorId="2" shapeId="0" xr:uid="{00000000-0006-0000-4700-000049000000}">
      <text>
        <r>
          <rPr>
            <sz val="12"/>
            <color theme="1"/>
            <rFont val="Aptos Narrow"/>
            <family val="2"/>
            <scheme val="minor"/>
          </rPr>
          <t>Tran Dat:
2890</t>
        </r>
      </text>
    </comment>
    <comment ref="B31" authorId="1" shapeId="0" xr:uid="{00000000-0006-0000-4700-00004A000000}">
      <text>
        <r>
          <rPr>
            <sz val="12"/>
            <color theme="1"/>
            <rFont val="Aptos Narrow"/>
            <family val="2"/>
            <scheme val="minor"/>
          </rPr>
          <t>was 18090
VNP100</t>
        </r>
      </text>
    </comment>
    <comment ref="B33" authorId="1" shapeId="0" xr:uid="{00000000-0006-0000-4700-00004B000000}">
      <text>
        <r>
          <rPr>
            <sz val="12"/>
            <color theme="1"/>
            <rFont val="Aptos Narrow"/>
            <family val="2"/>
            <scheme val="minor"/>
          </rPr>
          <t>was 26140
VNP150</t>
        </r>
      </text>
    </comment>
    <comment ref="F35" authorId="3" shapeId="0" xr:uid="{00000000-0006-0000-4700-00004C000000}">
      <text>
        <r>
          <rPr>
            <sz val="12"/>
            <color theme="1"/>
            <rFont val="Aptos Narrow"/>
            <family val="2"/>
            <scheme val="minor"/>
          </rPr>
          <t>Người dùng Không xác định:29.490</t>
        </r>
      </text>
    </comment>
  </commentList>
</comments>
</file>

<file path=xl/comments73.xml><?xml version="1.0" encoding="utf-8"?>
<comments xmlns="http://schemas.openxmlformats.org/spreadsheetml/2006/main" xmlns:mc="http://schemas.openxmlformats.org/markup-compatibility/2006" xmlns:xr="http://schemas.microsoft.com/office/spreadsheetml/2014/revision" mc:Ignorable="xr">
  <authors>
    <author>Microsoft Office User</author>
    <author>Tran Dat</author>
    <author>Việt Hoàng</author>
    <author>Duy</author>
    <author>Người dùng Khách</author>
    <author>chit trang</author>
  </authors>
  <commentList>
    <comment ref="E2" authorId="0" shapeId="0" xr:uid="{00000000-0006-0000-4800-000001000000}">
      <text>
        <r>
          <rPr>
            <sz val="12"/>
            <color theme="1"/>
            <rFont val="Aptos Narrow"/>
            <family val="2"/>
            <scheme val="minor"/>
          </rPr>
          <t>giờ vàng</t>
        </r>
      </text>
    </comment>
    <comment ref="G2" authorId="1" shapeId="0" xr:uid="{00000000-0006-0000-4800-000002000000}">
      <text>
        <r>
          <rPr>
            <sz val="12"/>
            <color theme="1"/>
            <rFont val="Aptos Narrow"/>
            <family val="2"/>
            <scheme val="minor"/>
          </rPr>
          <t>Tran Dat:
15890</t>
        </r>
      </text>
    </comment>
    <comment ref="E3" authorId="0" shapeId="0" xr:uid="{00000000-0006-0000-4800-000003000000}">
      <text>
        <r>
          <rPr>
            <sz val="12"/>
            <color theme="1"/>
            <rFont val="Aptos Narrow"/>
            <family val="2"/>
            <scheme val="minor"/>
          </rPr>
          <t>Giờ vàng</t>
        </r>
      </text>
    </comment>
    <comment ref="B4" authorId="0" shapeId="0" xr:uid="{00000000-0006-0000-4800-000004000000}">
      <text>
        <r>
          <rPr>
            <sz val="12"/>
            <color theme="1"/>
            <rFont val="Aptos Narrow"/>
            <family val="2"/>
            <scheme val="minor"/>
          </rPr>
          <t>was 24640000
VNP150</t>
        </r>
      </text>
    </comment>
    <comment ref="E4" authorId="0" shapeId="0" xr:uid="{00000000-0006-0000-4800-000005000000}">
      <text>
        <r>
          <rPr>
            <sz val="12"/>
            <color theme="1"/>
            <rFont val="Aptos Narrow"/>
            <family val="2"/>
            <scheme val="minor"/>
          </rPr>
          <t>Giờ vàng</t>
        </r>
      </text>
    </comment>
    <comment ref="D5" authorId="2" shapeId="0" xr:uid="{00000000-0006-0000-4800-000006000000}">
      <text>
        <r>
          <rPr>
            <sz val="12"/>
            <color theme="1"/>
            <rFont val="Aptos Narrow"/>
            <family val="2"/>
            <scheme val="minor"/>
          </rPr>
          <t>Việt Hoàng:
25.090.000</t>
        </r>
      </text>
    </comment>
    <comment ref="E5" authorId="0" shapeId="0" xr:uid="{00000000-0006-0000-4800-000007000000}">
      <text>
        <r>
          <rPr>
            <sz val="12"/>
            <color theme="1"/>
            <rFont val="Aptos Narrow"/>
            <family val="2"/>
            <scheme val="minor"/>
          </rPr>
          <t xml:space="preserve">Giờ vàng
</t>
        </r>
      </text>
    </comment>
    <comment ref="B6" authorId="0" shapeId="0" xr:uid="{00000000-0006-0000-4800-000008000000}">
      <text>
        <r>
          <rPr>
            <sz val="12"/>
            <color theme="1"/>
            <rFont val="Aptos Narrow"/>
            <family val="2"/>
            <scheme val="minor"/>
          </rPr>
          <t>Tặng phiếu mua hàng mua AirPods và Apple Watch trị giá 500,000đ
 Phiếu mua hàng mua sản phẩm giá niêm yết từ 5 triệu thuộc các nhóm TAI NGHE - LOA hãng HARMAN KARDON, JBL,MONSTER, KLIPSCH, MARSHALL, SONY; Smartwatch hãng HUAWEI, GARMIN, SAMSUNG, IMOO, OPPO, AMAZFIT trị giá 500.000đ</t>
        </r>
      </text>
    </comment>
    <comment ref="E6" authorId="0" shapeId="0" xr:uid="{00000000-0006-0000-4800-000009000000}">
      <text>
        <r>
          <rPr>
            <sz val="12"/>
            <color theme="1"/>
            <rFont val="Aptos Narrow"/>
            <family val="2"/>
            <scheme val="minor"/>
          </rPr>
          <t xml:space="preserve">Giờ vàng
</t>
        </r>
      </text>
    </comment>
    <comment ref="G6" authorId="1" shapeId="0" xr:uid="{00000000-0006-0000-4800-00000A000000}">
      <text>
        <r>
          <rPr>
            <sz val="12"/>
            <color theme="1"/>
            <rFont val="Aptos Narrow"/>
            <family val="2"/>
            <scheme val="minor"/>
          </rPr>
          <t>Tran Dat:
29.550</t>
        </r>
      </text>
    </comment>
    <comment ref="C8" authorId="3" shapeId="0" xr:uid="{00000000-0006-0000-4800-00000B000000}">
      <text>
        <r>
          <rPr>
            <sz val="12"/>
            <color theme="1"/>
            <rFont val="Aptos Narrow"/>
            <family val="2"/>
            <scheme val="minor"/>
          </rPr>
          <t>W10 18790</t>
        </r>
      </text>
    </comment>
    <comment ref="D8" authorId="2" shapeId="0" xr:uid="{00000000-0006-0000-4800-00000C000000}">
      <text>
        <r>
          <rPr>
            <sz val="12"/>
            <color theme="1"/>
            <rFont val="Aptos Narrow"/>
            <family val="2"/>
            <scheme val="minor"/>
          </rPr>
          <t>Việt Hoàng:
18.590.000</t>
        </r>
      </text>
    </comment>
    <comment ref="B9" authorId="0" shapeId="0" xr:uid="{00000000-0006-0000-4800-00000D000000}">
      <text>
        <r>
          <rPr>
            <sz val="12"/>
            <color theme="1"/>
            <rFont val="Aptos Narrow"/>
            <family val="2"/>
            <scheme val="minor"/>
          </rPr>
          <t>was 29140000
VNP150</t>
        </r>
      </text>
    </comment>
    <comment ref="B10" authorId="0" shapeId="0" xr:uid="{00000000-0006-0000-4800-00000E000000}">
      <text>
        <r>
          <rPr>
            <sz val="12"/>
            <color theme="1"/>
            <rFont val="Aptos Narrow"/>
            <family val="2"/>
            <scheme val="minor"/>
          </rPr>
          <t>was 18440</t>
        </r>
      </text>
    </comment>
    <comment ref="D11" authorId="2" shapeId="0" xr:uid="{00000000-0006-0000-4800-00000F000000}">
      <text>
        <r>
          <rPr>
            <sz val="12"/>
            <color theme="1"/>
            <rFont val="Aptos Narrow"/>
            <family val="2"/>
            <scheme val="minor"/>
          </rPr>
          <t>Việt Hoàng:
12.690.000</t>
        </r>
      </text>
    </comment>
    <comment ref="E11" authorId="0" shapeId="0" xr:uid="{00000000-0006-0000-4800-000010000000}">
      <text>
        <r>
          <rPr>
            <sz val="12"/>
            <color theme="1"/>
            <rFont val="Aptos Narrow"/>
            <family val="2"/>
            <scheme val="minor"/>
          </rPr>
          <t>was 12690
FS</t>
        </r>
      </text>
    </comment>
    <comment ref="B12" authorId="0" shapeId="0" xr:uid="{00000000-0006-0000-4800-000011000000}">
      <text>
        <r>
          <rPr>
            <sz val="12"/>
            <color theme="1"/>
            <rFont val="Aptos Narrow"/>
            <family val="2"/>
            <scheme val="minor"/>
          </rPr>
          <t>was 13190
VNP100</t>
        </r>
      </text>
    </comment>
    <comment ref="E12" authorId="0" shapeId="0" xr:uid="{00000000-0006-0000-4800-000012000000}">
      <text>
        <r>
          <rPr>
            <sz val="12"/>
            <color theme="1"/>
            <rFont val="Aptos Narrow"/>
            <family val="2"/>
            <scheme val="minor"/>
          </rPr>
          <t>Giờ vàng</t>
        </r>
      </text>
    </comment>
    <comment ref="F12" authorId="4" shapeId="0" xr:uid="{00000000-0006-0000-4800-000013000000}">
      <text>
        <r>
          <rPr>
            <sz val="12"/>
            <color theme="1"/>
            <rFont val="Aptos Narrow"/>
            <family val="2"/>
            <scheme val="minor"/>
          </rPr>
          <t>Người dùng Không xác định:
11.390</t>
        </r>
      </text>
    </comment>
    <comment ref="C13" authorId="3" shapeId="0" xr:uid="{00000000-0006-0000-4800-000014000000}">
      <text>
        <r>
          <rPr>
            <sz val="12"/>
            <color theme="1"/>
            <rFont val="Aptos Narrow"/>
            <family val="2"/>
            <scheme val="minor"/>
          </rPr>
          <t>W10 11790</t>
        </r>
      </text>
    </comment>
    <comment ref="D13" authorId="2" shapeId="0" xr:uid="{00000000-0006-0000-4800-000015000000}">
      <text>
        <r>
          <rPr>
            <sz val="12"/>
            <color theme="1"/>
            <rFont val="Aptos Narrow"/>
            <family val="2"/>
            <scheme val="minor"/>
          </rPr>
          <t>Việt Hoàng:
11.790.000</t>
        </r>
      </text>
    </comment>
    <comment ref="E13" authorId="0" shapeId="0" xr:uid="{00000000-0006-0000-4800-000016000000}">
      <text>
        <r>
          <rPr>
            <sz val="12"/>
            <color theme="1"/>
            <rFont val="Aptos Narrow"/>
            <family val="2"/>
            <scheme val="minor"/>
          </rPr>
          <t>was 11276
vnp1%</t>
        </r>
      </text>
    </comment>
    <comment ref="F13" authorId="4" shapeId="0" xr:uid="{00000000-0006-0000-4800-000017000000}">
      <text>
        <r>
          <rPr>
            <sz val="12"/>
            <color theme="1"/>
            <rFont val="Aptos Narrow"/>
            <family val="2"/>
            <scheme val="minor"/>
          </rPr>
          <t>Người dùng Không xác định:
11.790</t>
        </r>
      </text>
    </comment>
    <comment ref="B14" authorId="0" shapeId="0" xr:uid="{00000000-0006-0000-4800-000018000000}">
      <text>
        <r>
          <rPr>
            <sz val="12"/>
            <color theme="1"/>
            <rFont val="Aptos Narrow"/>
            <family val="2"/>
            <scheme val="minor"/>
          </rPr>
          <t>was 7040
VNP40</t>
        </r>
      </text>
    </comment>
    <comment ref="C14" authorId="3" shapeId="0" xr:uid="{00000000-0006-0000-4800-000019000000}">
      <text>
        <r>
          <rPr>
            <sz val="12"/>
            <color theme="1"/>
            <rFont val="Aptos Narrow"/>
            <family val="2"/>
            <scheme val="minor"/>
          </rPr>
          <t>W10 8790</t>
        </r>
      </text>
    </comment>
    <comment ref="E14" authorId="0" shapeId="0" xr:uid="{00000000-0006-0000-4800-00001A000000}">
      <text>
        <r>
          <rPr>
            <sz val="12"/>
            <color theme="1"/>
            <rFont val="Aptos Narrow"/>
            <family val="2"/>
            <scheme val="minor"/>
          </rPr>
          <t>was 8603
vnp1%</t>
        </r>
      </text>
    </comment>
    <comment ref="F14" authorId="4" shapeId="0" xr:uid="{00000000-0006-0000-4800-00001B000000}">
      <text>
        <r>
          <rPr>
            <sz val="12"/>
            <color theme="1"/>
            <rFont val="Aptos Narrow"/>
            <family val="2"/>
            <scheme val="minor"/>
          </rPr>
          <t>Người dùng Không xác định:
8.690</t>
        </r>
      </text>
    </comment>
    <comment ref="G14" authorId="1" shapeId="0" xr:uid="{00000000-0006-0000-4800-00001C000000}">
      <text>
        <r>
          <rPr>
            <sz val="12"/>
            <color theme="1"/>
            <rFont val="Aptos Narrow"/>
            <family val="2"/>
            <scheme val="minor"/>
          </rPr>
          <t>Tran Dat:
8590</t>
        </r>
      </text>
    </comment>
    <comment ref="B15" authorId="0" shapeId="0" xr:uid="{00000000-0006-0000-4800-00001D000000}">
      <text>
        <r>
          <rPr>
            <sz val="12"/>
            <color theme="1"/>
            <rFont val="Aptos Narrow"/>
            <family val="2"/>
            <scheme val="minor"/>
          </rPr>
          <t>was 14390</t>
        </r>
      </text>
    </comment>
    <comment ref="C15" authorId="3" shapeId="0" xr:uid="{00000000-0006-0000-4800-00001E000000}">
      <text>
        <r>
          <rPr>
            <sz val="12"/>
            <color theme="1"/>
            <rFont val="Aptos Narrow"/>
            <family val="2"/>
            <scheme val="minor"/>
          </rPr>
          <t>W10 14690</t>
        </r>
      </text>
    </comment>
    <comment ref="D15" authorId="2" shapeId="0" xr:uid="{00000000-0006-0000-4800-00001F000000}">
      <text>
        <r>
          <rPr>
            <sz val="12"/>
            <color theme="1"/>
            <rFont val="Aptos Narrow"/>
            <family val="2"/>
            <scheme val="minor"/>
          </rPr>
          <t>Việt Hoàng:
14.490.000</t>
        </r>
      </text>
    </comment>
    <comment ref="E15" authorId="0" shapeId="0" xr:uid="{00000000-0006-0000-4800-000020000000}">
      <text>
        <r>
          <rPr>
            <sz val="12"/>
            <color theme="1"/>
            <rFont val="Aptos Narrow"/>
            <family val="2"/>
            <scheme val="minor"/>
          </rPr>
          <t>was 14048
vnp1%</t>
        </r>
      </text>
    </comment>
    <comment ref="F15" authorId="4" shapeId="0" xr:uid="{00000000-0006-0000-4800-000021000000}">
      <text>
        <r>
          <rPr>
            <sz val="12"/>
            <color theme="1"/>
            <rFont val="Aptos Narrow"/>
            <family val="2"/>
            <scheme val="minor"/>
          </rPr>
          <t>Người dùng Không xác định:
14.590</t>
        </r>
      </text>
    </comment>
    <comment ref="G15" authorId="1" shapeId="0" xr:uid="{00000000-0006-0000-4800-000022000000}">
      <text>
        <r>
          <rPr>
            <sz val="12"/>
            <color theme="1"/>
            <rFont val="Aptos Narrow"/>
            <family val="2"/>
            <scheme val="minor"/>
          </rPr>
          <t>Tran Dat:
14490</t>
        </r>
      </text>
    </comment>
    <comment ref="C16" authorId="3" shapeId="0" xr:uid="{00000000-0006-0000-4800-000023000000}">
      <text>
        <r>
          <rPr>
            <sz val="12"/>
            <color theme="1"/>
            <rFont val="Aptos Narrow"/>
            <family val="2"/>
            <scheme val="minor"/>
          </rPr>
          <t>W10 20790</t>
        </r>
      </text>
    </comment>
    <comment ref="D16" authorId="2" shapeId="0" xr:uid="{00000000-0006-0000-4800-000024000000}">
      <text>
        <r>
          <rPr>
            <sz val="12"/>
            <color theme="1"/>
            <rFont val="Aptos Narrow"/>
            <family val="2"/>
            <scheme val="minor"/>
          </rPr>
          <t>Việt Hoàng:
20.590.000</t>
        </r>
      </text>
    </comment>
    <comment ref="F16" authorId="4" shapeId="0" xr:uid="{00000000-0006-0000-4800-000025000000}">
      <text>
        <r>
          <rPr>
            <sz val="12"/>
            <color theme="1"/>
            <rFont val="Aptos Narrow"/>
            <family val="2"/>
            <scheme val="minor"/>
          </rPr>
          <t>Người dùng Không xác định:
19.990k</t>
        </r>
      </text>
    </comment>
    <comment ref="G16" authorId="1" shapeId="0" xr:uid="{00000000-0006-0000-4800-000026000000}">
      <text>
        <r>
          <rPr>
            <sz val="12"/>
            <color theme="1"/>
            <rFont val="Aptos Narrow"/>
            <family val="2"/>
            <scheme val="minor"/>
          </rPr>
          <t>Tran Dat:19990</t>
        </r>
      </text>
    </comment>
    <comment ref="C17" authorId="3" shapeId="0" xr:uid="{00000000-0006-0000-4800-000027000000}">
      <text>
        <r>
          <rPr>
            <sz val="12"/>
            <color theme="1"/>
            <rFont val="Aptos Narrow"/>
            <family val="2"/>
            <scheme val="minor"/>
          </rPr>
          <t>W10 25990</t>
        </r>
      </text>
    </comment>
    <comment ref="D17" authorId="2" shapeId="0" xr:uid="{00000000-0006-0000-4800-000028000000}">
      <text>
        <r>
          <rPr>
            <sz val="12"/>
            <color theme="1"/>
            <rFont val="Aptos Narrow"/>
            <family val="2"/>
            <scheme val="minor"/>
          </rPr>
          <t>Việt Hoàng:
25.990.000</t>
        </r>
      </text>
    </comment>
    <comment ref="F17" authorId="4" shapeId="0" xr:uid="{00000000-0006-0000-4800-000029000000}">
      <text>
        <r>
          <rPr>
            <sz val="12"/>
            <color theme="1"/>
            <rFont val="Aptos Narrow"/>
            <family val="2"/>
            <scheme val="minor"/>
          </rPr>
          <t>Người dùng Không xác định:
25.890</t>
        </r>
      </text>
    </comment>
    <comment ref="B18" authorId="0" shapeId="0" xr:uid="{00000000-0006-0000-4800-00002A000000}">
      <text>
        <r>
          <rPr>
            <sz val="12"/>
            <color theme="1"/>
            <rFont val="Aptos Narrow"/>
            <family val="2"/>
            <scheme val="minor"/>
          </rPr>
          <t>was 36640</t>
        </r>
      </text>
    </comment>
    <comment ref="C18" authorId="3" shapeId="0" xr:uid="{00000000-0006-0000-4800-00002B000000}">
      <text>
        <r>
          <rPr>
            <sz val="12"/>
            <color theme="1"/>
            <rFont val="Aptos Narrow"/>
            <family val="2"/>
            <scheme val="minor"/>
          </rPr>
          <t>W10 33090</t>
        </r>
      </text>
    </comment>
    <comment ref="D18" authorId="2" shapeId="0" xr:uid="{00000000-0006-0000-4800-00002C000000}">
      <text>
        <r>
          <rPr>
            <sz val="12"/>
            <color theme="1"/>
            <rFont val="Aptos Narrow"/>
            <family val="2"/>
            <scheme val="minor"/>
          </rPr>
          <t>Việt Hoàng:
33.590.000</t>
        </r>
      </text>
    </comment>
    <comment ref="F18" authorId="5" shapeId="0" xr:uid="{00000000-0006-0000-4800-00002D000000}">
      <text>
        <r>
          <rPr>
            <sz val="12"/>
            <color theme="1"/>
            <rFont val="Aptos Narrow"/>
            <family val="2"/>
            <scheme val="minor"/>
          </rPr>
          <t>chit trang:
32.990</t>
        </r>
      </text>
    </comment>
    <comment ref="G18" authorId="1" shapeId="0" xr:uid="{00000000-0006-0000-4800-00002E000000}">
      <text>
        <r>
          <rPr>
            <sz val="12"/>
            <color theme="1"/>
            <rFont val="Aptos Narrow"/>
            <family val="2"/>
            <scheme val="minor"/>
          </rPr>
          <t>Tran Dat:
35990</t>
        </r>
      </text>
    </comment>
    <comment ref="G19" authorId="1" shapeId="0" xr:uid="{00000000-0006-0000-4800-00002F000000}">
      <text>
        <r>
          <rPr>
            <sz val="12"/>
            <color theme="1"/>
            <rFont val="Aptos Narrow"/>
            <family val="2"/>
            <scheme val="minor"/>
          </rPr>
          <t>Tran Dat:
5690</t>
        </r>
      </text>
    </comment>
    <comment ref="G20" authorId="1" shapeId="0" xr:uid="{00000000-0006-0000-4800-000030000000}">
      <text>
        <r>
          <rPr>
            <sz val="12"/>
            <color theme="1"/>
            <rFont val="Aptos Narrow"/>
            <family val="2"/>
            <scheme val="minor"/>
          </rPr>
          <t>Tran Dat:
6590</t>
        </r>
      </text>
    </comment>
    <comment ref="G21" authorId="1" shapeId="0" xr:uid="{00000000-0006-0000-4800-000031000000}">
      <text>
        <r>
          <rPr>
            <sz val="12"/>
            <color theme="1"/>
            <rFont val="Aptos Narrow"/>
            <family val="2"/>
            <scheme val="minor"/>
          </rPr>
          <t>Tran Dat:
6590</t>
        </r>
      </text>
    </comment>
    <comment ref="G22" authorId="1" shapeId="0" xr:uid="{00000000-0006-0000-4800-000032000000}">
      <text>
        <r>
          <rPr>
            <sz val="12"/>
            <color theme="1"/>
            <rFont val="Aptos Narrow"/>
            <family val="2"/>
            <scheme val="minor"/>
          </rPr>
          <t>Tran Dat:
7690</t>
        </r>
      </text>
    </comment>
    <comment ref="G23" authorId="1" shapeId="0" xr:uid="{00000000-0006-0000-4800-000033000000}">
      <text>
        <r>
          <rPr>
            <sz val="12"/>
            <color theme="1"/>
            <rFont val="Aptos Narrow"/>
            <family val="2"/>
            <scheme val="minor"/>
          </rPr>
          <t>Tran Dat:
8390</t>
        </r>
      </text>
    </comment>
    <comment ref="B26" authorId="0" shapeId="0" xr:uid="{00000000-0006-0000-4800-000034000000}">
      <text>
        <r>
          <rPr>
            <sz val="12"/>
            <color theme="1"/>
            <rFont val="Aptos Narrow"/>
            <family val="2"/>
            <scheme val="minor"/>
          </rPr>
          <t>was 13320
VNP100</t>
        </r>
      </text>
    </comment>
    <comment ref="F27" authorId="4" shapeId="0" xr:uid="{00000000-0006-0000-4800-000035000000}">
      <text>
        <r>
          <rPr>
            <sz val="12"/>
            <color theme="1"/>
            <rFont val="Aptos Narrow"/>
            <family val="2"/>
            <scheme val="minor"/>
          </rPr>
          <t>Người dùng Không xác định
18.190</t>
        </r>
      </text>
    </comment>
    <comment ref="B28" authorId="0" shapeId="0" xr:uid="{00000000-0006-0000-4800-000036000000}">
      <text>
        <r>
          <rPr>
            <sz val="12"/>
            <color theme="1"/>
            <rFont val="Aptos Narrow"/>
            <family val="2"/>
            <scheme val="minor"/>
          </rPr>
          <t>was 5550
VNP40</t>
        </r>
      </text>
    </comment>
    <comment ref="B29" authorId="0" shapeId="0" xr:uid="{00000000-0006-0000-4800-000037000000}">
      <text>
        <r>
          <rPr>
            <sz val="12"/>
            <color theme="1"/>
            <rFont val="Aptos Narrow"/>
            <family val="2"/>
            <scheme val="minor"/>
          </rPr>
          <t xml:space="preserve">was 4490
</t>
        </r>
      </text>
    </comment>
    <comment ref="F29" authorId="4" shapeId="0" xr:uid="{00000000-0006-0000-4800-000038000000}">
      <text>
        <r>
          <rPr>
            <sz val="12"/>
            <color theme="1"/>
            <rFont val="Aptos Narrow"/>
            <family val="2"/>
            <scheme val="minor"/>
          </rPr>
          <t>Người dùng Không xác định:
4.490</t>
        </r>
      </text>
    </comment>
    <comment ref="G29" authorId="1" shapeId="0" xr:uid="{00000000-0006-0000-4800-000039000000}">
      <text>
        <r>
          <rPr>
            <sz val="12"/>
            <color theme="1"/>
            <rFont val="Aptos Narrow"/>
            <family val="2"/>
            <scheme val="minor"/>
          </rPr>
          <t>Tran Dat:
4190</t>
        </r>
      </text>
    </comment>
    <comment ref="B30" authorId="0" shapeId="0" xr:uid="{00000000-0006-0000-4800-00003A000000}">
      <text>
        <r>
          <rPr>
            <sz val="12"/>
            <color theme="1"/>
            <rFont val="Aptos Narrow"/>
            <family val="2"/>
            <scheme val="minor"/>
          </rPr>
          <t>was 3190</t>
        </r>
      </text>
    </comment>
    <comment ref="F30" authorId="4" shapeId="0" xr:uid="{00000000-0006-0000-4800-00003B000000}">
      <text>
        <r>
          <rPr>
            <sz val="12"/>
            <color theme="1"/>
            <rFont val="Aptos Narrow"/>
            <family val="2"/>
            <scheme val="minor"/>
          </rPr>
          <t>Người dùng Không xác định:3290</t>
        </r>
      </text>
    </comment>
    <comment ref="G30" authorId="1" shapeId="0" xr:uid="{00000000-0006-0000-4800-00003C000000}">
      <text>
        <r>
          <rPr>
            <sz val="12"/>
            <color theme="1"/>
            <rFont val="Aptos Narrow"/>
            <family val="2"/>
            <scheme val="minor"/>
          </rPr>
          <t>Tran Dat:
2890</t>
        </r>
      </text>
    </comment>
    <comment ref="B31" authorId="0" shapeId="0" xr:uid="{00000000-0006-0000-4800-00003D000000}">
      <text>
        <r>
          <rPr>
            <sz val="12"/>
            <color theme="1"/>
            <rFont val="Aptos Narrow"/>
            <family val="2"/>
            <scheme val="minor"/>
          </rPr>
          <t>was 18090
VNP100</t>
        </r>
      </text>
    </comment>
    <comment ref="C31" authorId="3" shapeId="0" xr:uid="{00000000-0006-0000-4800-00003E000000}">
      <text>
        <r>
          <rPr>
            <sz val="12"/>
            <color theme="1"/>
            <rFont val="Aptos Narrow"/>
            <family val="2"/>
            <scheme val="minor"/>
          </rPr>
          <t>W10 17190</t>
        </r>
      </text>
    </comment>
    <comment ref="F32" authorId="4" shapeId="0" xr:uid="{00000000-0006-0000-4800-00003F000000}">
      <text>
        <r>
          <rPr>
            <sz val="12"/>
            <color theme="1"/>
            <rFont val="Aptos Narrow"/>
            <family val="2"/>
            <scheme val="minor"/>
          </rPr>
          <t>Người dùng Không xác định:
19.590</t>
        </r>
      </text>
    </comment>
    <comment ref="B33" authorId="0" shapeId="0" xr:uid="{00000000-0006-0000-4800-000040000000}">
      <text>
        <r>
          <rPr>
            <sz val="12"/>
            <color theme="1"/>
            <rFont val="Aptos Narrow"/>
            <family val="2"/>
            <scheme val="minor"/>
          </rPr>
          <t>was 26140
VNP150</t>
        </r>
      </text>
    </comment>
    <comment ref="C34" authorId="3" shapeId="0" xr:uid="{00000000-0006-0000-4800-000041000000}">
      <text>
        <r>
          <rPr>
            <sz val="12"/>
            <color theme="1"/>
            <rFont val="Aptos Narrow"/>
            <family val="2"/>
            <scheme val="minor"/>
          </rPr>
          <t>W10 24290</t>
        </r>
      </text>
    </comment>
    <comment ref="D34" authorId="2" shapeId="0" xr:uid="{00000000-0006-0000-4800-000042000000}">
      <text>
        <r>
          <rPr>
            <sz val="12"/>
            <color theme="1"/>
            <rFont val="Aptos Narrow"/>
            <family val="2"/>
            <scheme val="minor"/>
          </rPr>
          <t>Việt Hoàng:
24.290.000</t>
        </r>
      </text>
    </comment>
    <comment ref="F34" authorId="4" shapeId="0" xr:uid="{00000000-0006-0000-4800-000043000000}">
      <text>
        <r>
          <rPr>
            <sz val="12"/>
            <color theme="1"/>
            <rFont val="Aptos Narrow"/>
            <family val="2"/>
            <scheme val="minor"/>
          </rPr>
          <t>Người dùng Không xác định:
24.290</t>
        </r>
      </text>
    </comment>
    <comment ref="G34" authorId="1" shapeId="0" xr:uid="{00000000-0006-0000-4800-000044000000}">
      <text>
        <r>
          <rPr>
            <sz val="12"/>
            <color theme="1"/>
            <rFont val="Aptos Narrow"/>
            <family val="2"/>
            <scheme val="minor"/>
          </rPr>
          <t>Tran Dat:
24290</t>
        </r>
      </text>
    </comment>
    <comment ref="D35" authorId="2" shapeId="0" xr:uid="{00000000-0006-0000-4800-000045000000}">
      <text>
        <r>
          <rPr>
            <sz val="12"/>
            <color theme="1"/>
            <rFont val="Aptos Narrow"/>
            <family val="2"/>
            <scheme val="minor"/>
          </rPr>
          <t>Việt Hoàng:
29.490.000</t>
        </r>
      </text>
    </comment>
    <comment ref="F35" authorId="4" shapeId="0" xr:uid="{00000000-0006-0000-4800-000046000000}">
      <text>
        <r>
          <rPr>
            <sz val="12"/>
            <color theme="1"/>
            <rFont val="Aptos Narrow"/>
            <family val="2"/>
            <scheme val="minor"/>
          </rPr>
          <t>Người dùng Không xác định:
28.990</t>
        </r>
      </text>
    </comment>
    <comment ref="G35" authorId="1" shapeId="0" xr:uid="{00000000-0006-0000-4800-000047000000}">
      <text>
        <r>
          <rPr>
            <sz val="12"/>
            <color theme="1"/>
            <rFont val="Aptos Narrow"/>
            <family val="2"/>
            <scheme val="minor"/>
          </rPr>
          <t>Tran Dat:
29490</t>
        </r>
      </text>
    </comment>
    <comment ref="G36" authorId="1" shapeId="0" xr:uid="{00000000-0006-0000-4800-000048000000}">
      <text>
        <r>
          <rPr>
            <sz val="12"/>
            <color theme="1"/>
            <rFont val="Aptos Narrow"/>
            <family val="2"/>
            <scheme val="minor"/>
          </rPr>
          <t>Tran Dat:
38290</t>
        </r>
      </text>
    </comment>
  </commentList>
</comments>
</file>

<file path=xl/comments74.xml><?xml version="1.0" encoding="utf-8"?>
<comments xmlns="http://schemas.openxmlformats.org/spreadsheetml/2006/main" xmlns:mc="http://schemas.openxmlformats.org/markup-compatibility/2006" xmlns:xr="http://schemas.microsoft.com/office/spreadsheetml/2014/revision" mc:Ignorable="xr">
  <authors>
    <author>Microsoft Office User</author>
    <author>Tran Dat</author>
    <author>chit trang</author>
    <author>Việt Hoàng</author>
    <author>Duy</author>
    <author>Người dùng Khách</author>
  </authors>
  <commentList>
    <comment ref="E2" authorId="0" shapeId="0" xr:uid="{00000000-0006-0000-4900-000001000000}">
      <text>
        <r>
          <rPr>
            <sz val="12"/>
            <color theme="1"/>
            <rFont val="Aptos Narrow"/>
            <family val="2"/>
            <scheme val="minor"/>
          </rPr>
          <t>giờ vàng</t>
        </r>
      </text>
    </comment>
    <comment ref="G2" authorId="1" shapeId="0" xr:uid="{00000000-0006-0000-4900-000002000000}">
      <text>
        <r>
          <rPr>
            <sz val="12"/>
            <color theme="1"/>
            <rFont val="Aptos Narrow"/>
            <family val="2"/>
            <scheme val="minor"/>
          </rPr>
          <t>Tran Dat:
15890</t>
        </r>
      </text>
    </comment>
    <comment ref="E6" authorId="0" shapeId="0" xr:uid="{00000000-0006-0000-4900-000003000000}">
      <text>
        <r>
          <rPr>
            <sz val="12"/>
            <color theme="1"/>
            <rFont val="Aptos Narrow"/>
            <family val="2"/>
            <scheme val="minor"/>
          </rPr>
          <t>giờ vàng</t>
        </r>
      </text>
    </comment>
    <comment ref="F6" authorId="2" shapeId="0" xr:uid="{00000000-0006-0000-4900-000004000000}">
      <text>
        <r>
          <rPr>
            <sz val="12"/>
            <color theme="1"/>
            <rFont val="Aptos Narrow"/>
            <family val="2"/>
            <scheme val="minor"/>
          </rPr>
          <t>chit trang:
14.990</t>
        </r>
      </text>
    </comment>
    <comment ref="G6" authorId="1" shapeId="0" xr:uid="{00000000-0006-0000-4900-000005000000}">
      <text>
        <r>
          <rPr>
            <sz val="12"/>
            <color theme="1"/>
            <rFont val="Aptos Narrow"/>
            <family val="2"/>
            <scheme val="minor"/>
          </rPr>
          <t>Tran Dat:
15890</t>
        </r>
      </text>
    </comment>
    <comment ref="E7" authorId="0" shapeId="0" xr:uid="{00000000-0006-0000-4900-000006000000}">
      <text>
        <r>
          <rPr>
            <sz val="12"/>
            <color theme="1"/>
            <rFont val="Aptos Narrow"/>
            <family val="2"/>
            <scheme val="minor"/>
          </rPr>
          <t>Giờ vàng</t>
        </r>
      </text>
    </comment>
    <comment ref="B8" authorId="0" shapeId="0" xr:uid="{00000000-0006-0000-4900-000007000000}">
      <text>
        <r>
          <rPr>
            <sz val="12"/>
            <color theme="1"/>
            <rFont val="Aptos Narrow"/>
            <family val="2"/>
            <scheme val="minor"/>
          </rPr>
          <t>was 24640000
VNP150</t>
        </r>
      </text>
    </comment>
    <comment ref="E8" authorId="0" shapeId="0" xr:uid="{00000000-0006-0000-4900-000008000000}">
      <text>
        <r>
          <rPr>
            <sz val="12"/>
            <color theme="1"/>
            <rFont val="Aptos Narrow"/>
            <family val="2"/>
            <scheme val="minor"/>
          </rPr>
          <t>Giờ vàng</t>
        </r>
      </text>
    </comment>
    <comment ref="D9" authorId="3" shapeId="0" xr:uid="{00000000-0006-0000-4900-000009000000}">
      <text>
        <r>
          <rPr>
            <sz val="12"/>
            <color theme="1"/>
            <rFont val="Aptos Narrow"/>
            <family val="2"/>
            <scheme val="minor"/>
          </rPr>
          <t>Việt Hoàng:
25.090.000</t>
        </r>
      </text>
    </comment>
    <comment ref="E9" authorId="0" shapeId="0" xr:uid="{00000000-0006-0000-4900-00000A000000}">
      <text>
        <r>
          <rPr>
            <sz val="12"/>
            <color theme="1"/>
            <rFont val="Aptos Narrow"/>
            <family val="2"/>
            <scheme val="minor"/>
          </rPr>
          <t xml:space="preserve">Giờ vàng
</t>
        </r>
      </text>
    </comment>
    <comment ref="B10" authorId="0" shapeId="0" xr:uid="{00000000-0006-0000-4900-00000B000000}">
      <text>
        <r>
          <rPr>
            <sz val="12"/>
            <color theme="1"/>
            <rFont val="Aptos Narrow"/>
            <family val="2"/>
            <scheme val="minor"/>
          </rPr>
          <t>Tặng phiếu mua hàng mua AirPods và Apple Watch trị giá 500,000đ
 Phiếu mua hàng mua sản phẩm giá niêm yết từ 5 triệu thuộc các nhóm TAI NGHE - LOA hãng HARMAN KARDON, JBL,MONSTER, KLIPSCH, MARSHALL, SONY; Smartwatch hãng HUAWEI, GARMIN, SAMSUNG, IMOO, OPPO, AMAZFIT trị giá 500.000đ</t>
        </r>
      </text>
    </comment>
    <comment ref="E10" authorId="0" shapeId="0" xr:uid="{00000000-0006-0000-4900-00000C000000}">
      <text>
        <r>
          <rPr>
            <sz val="12"/>
            <color theme="1"/>
            <rFont val="Aptos Narrow"/>
            <family val="2"/>
            <scheme val="minor"/>
          </rPr>
          <t xml:space="preserve">Giờ vàng
</t>
        </r>
      </text>
    </comment>
    <comment ref="F10" authorId="2" shapeId="0" xr:uid="{00000000-0006-0000-4900-00000D000000}">
      <text>
        <r>
          <rPr>
            <sz val="12"/>
            <color theme="1"/>
            <rFont val="Aptos Narrow"/>
            <family val="2"/>
            <scheme val="minor"/>
          </rPr>
          <t>chit trang:
29.790</t>
        </r>
      </text>
    </comment>
    <comment ref="G10" authorId="1" shapeId="0" xr:uid="{00000000-0006-0000-4900-00000E000000}">
      <text>
        <r>
          <rPr>
            <sz val="12"/>
            <color theme="1"/>
            <rFont val="Aptos Narrow"/>
            <family val="2"/>
            <scheme val="minor"/>
          </rPr>
          <t>Tran Dat:
29.550</t>
        </r>
      </text>
    </comment>
    <comment ref="C12" authorId="4" shapeId="0" xr:uid="{00000000-0006-0000-4900-00000F000000}">
      <text>
        <r>
          <rPr>
            <sz val="12"/>
            <color theme="1"/>
            <rFont val="Aptos Narrow"/>
            <family val="2"/>
            <scheme val="minor"/>
          </rPr>
          <t>W10 18790</t>
        </r>
      </text>
    </comment>
    <comment ref="D12" authorId="3" shapeId="0" xr:uid="{00000000-0006-0000-4900-000010000000}">
      <text>
        <r>
          <rPr>
            <sz val="12"/>
            <color theme="1"/>
            <rFont val="Aptos Narrow"/>
            <family val="2"/>
            <scheme val="minor"/>
          </rPr>
          <t>Việt Hoàng:
18.590.000</t>
        </r>
      </text>
    </comment>
    <comment ref="F12" authorId="2" shapeId="0" xr:uid="{00000000-0006-0000-4900-000011000000}">
      <text>
        <r>
          <rPr>
            <sz val="12"/>
            <color theme="1"/>
            <rFont val="Aptos Narrow"/>
            <family val="2"/>
            <scheme val="minor"/>
          </rPr>
          <t>chit trang:
18.490</t>
        </r>
      </text>
    </comment>
    <comment ref="B13" authorId="0" shapeId="0" xr:uid="{00000000-0006-0000-4900-000012000000}">
      <text>
        <r>
          <rPr>
            <sz val="12"/>
            <color theme="1"/>
            <rFont val="Aptos Narrow"/>
            <family val="2"/>
            <scheme val="minor"/>
          </rPr>
          <t>was 29140000
VNP150</t>
        </r>
      </text>
    </comment>
    <comment ref="B14" authorId="0" shapeId="0" xr:uid="{00000000-0006-0000-4900-000013000000}">
      <text>
        <r>
          <rPr>
            <sz val="12"/>
            <color theme="1"/>
            <rFont val="Aptos Narrow"/>
            <family val="2"/>
            <scheme val="minor"/>
          </rPr>
          <t>was 18440</t>
        </r>
      </text>
    </comment>
    <comment ref="D15" authorId="3" shapeId="0" xr:uid="{00000000-0006-0000-4900-000014000000}">
      <text>
        <r>
          <rPr>
            <sz val="12"/>
            <color theme="1"/>
            <rFont val="Aptos Narrow"/>
            <family val="2"/>
            <scheme val="minor"/>
          </rPr>
          <t>Việt Hoàng:
12.690.000</t>
        </r>
      </text>
    </comment>
    <comment ref="E15" authorId="0" shapeId="0" xr:uid="{00000000-0006-0000-4900-000015000000}">
      <text>
        <r>
          <rPr>
            <sz val="12"/>
            <color theme="1"/>
            <rFont val="Aptos Narrow"/>
            <family val="2"/>
            <scheme val="minor"/>
          </rPr>
          <t>was 12690
FS</t>
        </r>
      </text>
    </comment>
    <comment ref="B16" authorId="0" shapeId="0" xr:uid="{00000000-0006-0000-4900-000016000000}">
      <text>
        <r>
          <rPr>
            <sz val="12"/>
            <color theme="1"/>
            <rFont val="Aptos Narrow"/>
            <family val="2"/>
            <scheme val="minor"/>
          </rPr>
          <t>was 13190
VNP100</t>
        </r>
      </text>
    </comment>
    <comment ref="E16" authorId="0" shapeId="0" xr:uid="{00000000-0006-0000-4900-000017000000}">
      <text>
        <r>
          <rPr>
            <sz val="12"/>
            <color theme="1"/>
            <rFont val="Aptos Narrow"/>
            <family val="2"/>
            <scheme val="minor"/>
          </rPr>
          <t>Giờ vàng</t>
        </r>
      </text>
    </comment>
    <comment ref="F16" authorId="5" shapeId="0" xr:uid="{00000000-0006-0000-4900-000018000000}">
      <text>
        <r>
          <rPr>
            <sz val="12"/>
            <color theme="1"/>
            <rFont val="Aptos Narrow"/>
            <family val="2"/>
            <scheme val="minor"/>
          </rPr>
          <t>Người dùng Không xác định:
11.390</t>
        </r>
      </text>
    </comment>
    <comment ref="C17" authorId="4" shapeId="0" xr:uid="{00000000-0006-0000-4900-000019000000}">
      <text>
        <r>
          <rPr>
            <sz val="12"/>
            <color theme="1"/>
            <rFont val="Aptos Narrow"/>
            <family val="2"/>
            <scheme val="minor"/>
          </rPr>
          <t>W10 11790</t>
        </r>
      </text>
    </comment>
    <comment ref="D17" authorId="3" shapeId="0" xr:uid="{00000000-0006-0000-4900-00001A000000}">
      <text>
        <r>
          <rPr>
            <sz val="12"/>
            <color theme="1"/>
            <rFont val="Aptos Narrow"/>
            <family val="2"/>
            <scheme val="minor"/>
          </rPr>
          <t>Việt Hoàng:
11.790.000</t>
        </r>
      </text>
    </comment>
    <comment ref="E17" authorId="0" shapeId="0" xr:uid="{00000000-0006-0000-4900-00001B000000}">
      <text>
        <r>
          <rPr>
            <sz val="12"/>
            <color theme="1"/>
            <rFont val="Aptos Narrow"/>
            <family val="2"/>
            <scheme val="minor"/>
          </rPr>
          <t>was 11276
vnp1%</t>
        </r>
      </text>
    </comment>
    <comment ref="F17" authorId="5" shapeId="0" xr:uid="{00000000-0006-0000-4900-00001C000000}">
      <text>
        <r>
          <rPr>
            <sz val="12"/>
            <color theme="1"/>
            <rFont val="Aptos Narrow"/>
            <family val="2"/>
            <scheme val="minor"/>
          </rPr>
          <t>Người dùng Không xác định:
11.790</t>
        </r>
      </text>
    </comment>
    <comment ref="B18" authorId="0" shapeId="0" xr:uid="{00000000-0006-0000-4900-00001D000000}">
      <text>
        <r>
          <rPr>
            <sz val="12"/>
            <color theme="1"/>
            <rFont val="Aptos Narrow"/>
            <family val="2"/>
            <scheme val="minor"/>
          </rPr>
          <t>was 7040
VNP40</t>
        </r>
      </text>
    </comment>
    <comment ref="C18" authorId="4" shapeId="0" xr:uid="{00000000-0006-0000-4900-00001E000000}">
      <text>
        <r>
          <rPr>
            <sz val="12"/>
            <color theme="1"/>
            <rFont val="Aptos Narrow"/>
            <family val="2"/>
            <scheme val="minor"/>
          </rPr>
          <t>W10 8790</t>
        </r>
      </text>
    </comment>
    <comment ref="E18" authorId="0" shapeId="0" xr:uid="{00000000-0006-0000-4900-00001F000000}">
      <text>
        <r>
          <rPr>
            <sz val="12"/>
            <color theme="1"/>
            <rFont val="Aptos Narrow"/>
            <family val="2"/>
            <scheme val="minor"/>
          </rPr>
          <t>was 8603
vnp1%</t>
        </r>
      </text>
    </comment>
    <comment ref="F18" authorId="5" shapeId="0" xr:uid="{00000000-0006-0000-4900-000020000000}">
      <text>
        <r>
          <rPr>
            <sz val="12"/>
            <color theme="1"/>
            <rFont val="Aptos Narrow"/>
            <family val="2"/>
            <scheme val="minor"/>
          </rPr>
          <t>Người dùng Không xác định:
8.690</t>
        </r>
      </text>
    </comment>
    <comment ref="G18" authorId="1" shapeId="0" xr:uid="{00000000-0006-0000-4900-000021000000}">
      <text>
        <r>
          <rPr>
            <sz val="12"/>
            <color theme="1"/>
            <rFont val="Aptos Narrow"/>
            <family val="2"/>
            <scheme val="minor"/>
          </rPr>
          <t>Tran Dat:
8590</t>
        </r>
      </text>
    </comment>
    <comment ref="B19" authorId="0" shapeId="0" xr:uid="{00000000-0006-0000-4900-000022000000}">
      <text>
        <r>
          <rPr>
            <sz val="12"/>
            <color theme="1"/>
            <rFont val="Aptos Narrow"/>
            <family val="2"/>
            <scheme val="minor"/>
          </rPr>
          <t>was 14390</t>
        </r>
      </text>
    </comment>
    <comment ref="C19" authorId="4" shapeId="0" xr:uid="{00000000-0006-0000-4900-000023000000}">
      <text>
        <r>
          <rPr>
            <sz val="12"/>
            <color theme="1"/>
            <rFont val="Aptos Narrow"/>
            <family val="2"/>
            <scheme val="minor"/>
          </rPr>
          <t>W10 14690</t>
        </r>
      </text>
    </comment>
    <comment ref="D19" authorId="3" shapeId="0" xr:uid="{00000000-0006-0000-4900-000024000000}">
      <text>
        <r>
          <rPr>
            <sz val="12"/>
            <color theme="1"/>
            <rFont val="Aptos Narrow"/>
            <family val="2"/>
            <scheme val="minor"/>
          </rPr>
          <t>Việt Hoàng:
14.490.000</t>
        </r>
      </text>
    </comment>
    <comment ref="E19" authorId="0" shapeId="0" xr:uid="{00000000-0006-0000-4900-000025000000}">
      <text>
        <r>
          <rPr>
            <sz val="12"/>
            <color theme="1"/>
            <rFont val="Aptos Narrow"/>
            <family val="2"/>
            <scheme val="minor"/>
          </rPr>
          <t>was 14048
vnp1%</t>
        </r>
      </text>
    </comment>
    <comment ref="F19" authorId="5" shapeId="0" xr:uid="{00000000-0006-0000-4900-000026000000}">
      <text>
        <r>
          <rPr>
            <sz val="12"/>
            <color theme="1"/>
            <rFont val="Aptos Narrow"/>
            <family val="2"/>
            <scheme val="minor"/>
          </rPr>
          <t>Người dùng Không xác định:
14.590</t>
        </r>
      </text>
    </comment>
    <comment ref="G19" authorId="1" shapeId="0" xr:uid="{00000000-0006-0000-4900-000027000000}">
      <text>
        <r>
          <rPr>
            <sz val="12"/>
            <color theme="1"/>
            <rFont val="Aptos Narrow"/>
            <family val="2"/>
            <scheme val="minor"/>
          </rPr>
          <t>Tran Dat:
14490</t>
        </r>
      </text>
    </comment>
    <comment ref="C20" authorId="4" shapeId="0" xr:uid="{00000000-0006-0000-4900-000028000000}">
      <text>
        <r>
          <rPr>
            <sz val="12"/>
            <color theme="1"/>
            <rFont val="Aptos Narrow"/>
            <family val="2"/>
            <scheme val="minor"/>
          </rPr>
          <t>W10 20790</t>
        </r>
      </text>
    </comment>
    <comment ref="D20" authorId="3" shapeId="0" xr:uid="{00000000-0006-0000-4900-000029000000}">
      <text>
        <r>
          <rPr>
            <sz val="12"/>
            <color theme="1"/>
            <rFont val="Aptos Narrow"/>
            <family val="2"/>
            <scheme val="minor"/>
          </rPr>
          <t>Việt Hoàng:
20.590.000</t>
        </r>
      </text>
    </comment>
    <comment ref="F20" authorId="5" shapeId="0" xr:uid="{00000000-0006-0000-4900-00002A000000}">
      <text>
        <r>
          <rPr>
            <sz val="12"/>
            <color theme="1"/>
            <rFont val="Aptos Narrow"/>
            <family val="2"/>
            <scheme val="minor"/>
          </rPr>
          <t>Người dùng Không xác định:
19.990k</t>
        </r>
      </text>
    </comment>
    <comment ref="G20" authorId="1" shapeId="0" xr:uid="{00000000-0006-0000-4900-00002B000000}">
      <text>
        <r>
          <rPr>
            <sz val="12"/>
            <color theme="1"/>
            <rFont val="Aptos Narrow"/>
            <family val="2"/>
            <scheme val="minor"/>
          </rPr>
          <t>Tran Dat:19990</t>
        </r>
      </text>
    </comment>
    <comment ref="C21" authorId="4" shapeId="0" xr:uid="{00000000-0006-0000-4900-00002C000000}">
      <text>
        <r>
          <rPr>
            <sz val="12"/>
            <color theme="1"/>
            <rFont val="Aptos Narrow"/>
            <family val="2"/>
            <scheme val="minor"/>
          </rPr>
          <t>W10 25990</t>
        </r>
      </text>
    </comment>
    <comment ref="D21" authorId="3" shapeId="0" xr:uid="{00000000-0006-0000-4900-00002D000000}">
      <text>
        <r>
          <rPr>
            <sz val="12"/>
            <color theme="1"/>
            <rFont val="Aptos Narrow"/>
            <family val="2"/>
            <scheme val="minor"/>
          </rPr>
          <t>Việt Hoàng:
25.990.000</t>
        </r>
      </text>
    </comment>
    <comment ref="F21" authorId="5" shapeId="0" xr:uid="{00000000-0006-0000-4900-00002E000000}">
      <text>
        <r>
          <rPr>
            <sz val="12"/>
            <color theme="1"/>
            <rFont val="Aptos Narrow"/>
            <family val="2"/>
            <scheme val="minor"/>
          </rPr>
          <t>Người dùng Không xác định:
25.890</t>
        </r>
      </text>
    </comment>
    <comment ref="B22" authorId="0" shapeId="0" xr:uid="{00000000-0006-0000-4900-00002F000000}">
      <text>
        <r>
          <rPr>
            <sz val="12"/>
            <color theme="1"/>
            <rFont val="Aptos Narrow"/>
            <family val="2"/>
            <scheme val="minor"/>
          </rPr>
          <t>was 36640</t>
        </r>
      </text>
    </comment>
    <comment ref="C22" authorId="4" shapeId="0" xr:uid="{00000000-0006-0000-4900-000030000000}">
      <text>
        <r>
          <rPr>
            <sz val="12"/>
            <color theme="1"/>
            <rFont val="Aptos Narrow"/>
            <family val="2"/>
            <scheme val="minor"/>
          </rPr>
          <t>W10 33090</t>
        </r>
      </text>
    </comment>
    <comment ref="D22" authorId="3" shapeId="0" xr:uid="{00000000-0006-0000-4900-000031000000}">
      <text>
        <r>
          <rPr>
            <sz val="12"/>
            <color theme="1"/>
            <rFont val="Aptos Narrow"/>
            <family val="2"/>
            <scheme val="minor"/>
          </rPr>
          <t>Việt Hoàng:
33.590.000</t>
        </r>
      </text>
    </comment>
    <comment ref="F22" authorId="2" shapeId="0" xr:uid="{00000000-0006-0000-4900-000032000000}">
      <text>
        <r>
          <rPr>
            <sz val="12"/>
            <color theme="1"/>
            <rFont val="Aptos Narrow"/>
            <family val="2"/>
            <scheme val="minor"/>
          </rPr>
          <t>chit trang:
32.990</t>
        </r>
      </text>
    </comment>
    <comment ref="G22" authorId="1" shapeId="0" xr:uid="{00000000-0006-0000-4900-000033000000}">
      <text>
        <r>
          <rPr>
            <sz val="12"/>
            <color theme="1"/>
            <rFont val="Aptos Narrow"/>
            <family val="2"/>
            <scheme val="minor"/>
          </rPr>
          <t>Tran Dat:
35990</t>
        </r>
      </text>
    </comment>
    <comment ref="G23" authorId="1" shapeId="0" xr:uid="{00000000-0006-0000-4900-000034000000}">
      <text>
        <r>
          <rPr>
            <sz val="12"/>
            <color theme="1"/>
            <rFont val="Aptos Narrow"/>
            <family val="2"/>
            <scheme val="minor"/>
          </rPr>
          <t>Tran Dat:
5690</t>
        </r>
      </text>
    </comment>
    <comment ref="G24" authorId="1" shapeId="0" xr:uid="{00000000-0006-0000-4900-000035000000}">
      <text>
        <r>
          <rPr>
            <sz val="12"/>
            <color theme="1"/>
            <rFont val="Aptos Narrow"/>
            <family val="2"/>
            <scheme val="minor"/>
          </rPr>
          <t>Tran Dat:
6590</t>
        </r>
      </text>
    </comment>
    <comment ref="G25" authorId="1" shapeId="0" xr:uid="{00000000-0006-0000-4900-000036000000}">
      <text>
        <r>
          <rPr>
            <sz val="12"/>
            <color theme="1"/>
            <rFont val="Aptos Narrow"/>
            <family val="2"/>
            <scheme val="minor"/>
          </rPr>
          <t>Tran Dat:
6590</t>
        </r>
      </text>
    </comment>
    <comment ref="G26" authorId="1" shapeId="0" xr:uid="{00000000-0006-0000-4900-000037000000}">
      <text>
        <r>
          <rPr>
            <sz val="12"/>
            <color theme="1"/>
            <rFont val="Aptos Narrow"/>
            <family val="2"/>
            <scheme val="minor"/>
          </rPr>
          <t>Tran Dat:
7690</t>
        </r>
      </text>
    </comment>
    <comment ref="G27" authorId="1" shapeId="0" xr:uid="{00000000-0006-0000-4900-000038000000}">
      <text>
        <r>
          <rPr>
            <sz val="12"/>
            <color theme="1"/>
            <rFont val="Aptos Narrow"/>
            <family val="2"/>
            <scheme val="minor"/>
          </rPr>
          <t>Tran Dat:
8390</t>
        </r>
      </text>
    </comment>
    <comment ref="B30" authorId="0" shapeId="0" xr:uid="{00000000-0006-0000-4900-000039000000}">
      <text>
        <r>
          <rPr>
            <sz val="12"/>
            <color theme="1"/>
            <rFont val="Aptos Narrow"/>
            <family val="2"/>
            <scheme val="minor"/>
          </rPr>
          <t>was 13320
VNP100</t>
        </r>
      </text>
    </comment>
    <comment ref="F31" authorId="5" shapeId="0" xr:uid="{00000000-0006-0000-4900-00003A000000}">
      <text>
        <r>
          <rPr>
            <sz val="12"/>
            <color theme="1"/>
            <rFont val="Aptos Narrow"/>
            <family val="2"/>
            <scheme val="minor"/>
          </rPr>
          <t>Người dùng Không xác định
18.190</t>
        </r>
      </text>
    </comment>
    <comment ref="B32" authorId="0" shapeId="0" xr:uid="{00000000-0006-0000-4900-00003B000000}">
      <text>
        <r>
          <rPr>
            <sz val="12"/>
            <color theme="1"/>
            <rFont val="Aptos Narrow"/>
            <family val="2"/>
            <scheme val="minor"/>
          </rPr>
          <t>was 5550
VNP40</t>
        </r>
      </text>
    </comment>
    <comment ref="B33" authorId="0" shapeId="0" xr:uid="{00000000-0006-0000-4900-00003C000000}">
      <text>
        <r>
          <rPr>
            <sz val="12"/>
            <color theme="1"/>
            <rFont val="Aptos Narrow"/>
            <family val="2"/>
            <scheme val="minor"/>
          </rPr>
          <t xml:space="preserve">was 4490
</t>
        </r>
      </text>
    </comment>
    <comment ref="F33" authorId="5" shapeId="0" xr:uid="{00000000-0006-0000-4900-00003D000000}">
      <text>
        <r>
          <rPr>
            <sz val="12"/>
            <color theme="1"/>
            <rFont val="Aptos Narrow"/>
            <family val="2"/>
            <scheme val="minor"/>
          </rPr>
          <t>Người dùng Không xác định:
4.490</t>
        </r>
      </text>
    </comment>
    <comment ref="G33" authorId="1" shapeId="0" xr:uid="{00000000-0006-0000-4900-00003E000000}">
      <text>
        <r>
          <rPr>
            <sz val="12"/>
            <color theme="1"/>
            <rFont val="Aptos Narrow"/>
            <family val="2"/>
            <scheme val="minor"/>
          </rPr>
          <t>Tran Dat:
4190</t>
        </r>
      </text>
    </comment>
    <comment ref="B34" authorId="0" shapeId="0" xr:uid="{00000000-0006-0000-4900-00003F000000}">
      <text>
        <r>
          <rPr>
            <sz val="12"/>
            <color theme="1"/>
            <rFont val="Aptos Narrow"/>
            <family val="2"/>
            <scheme val="minor"/>
          </rPr>
          <t>was 3190</t>
        </r>
      </text>
    </comment>
    <comment ref="F34" authorId="5" shapeId="0" xr:uid="{00000000-0006-0000-4900-000040000000}">
      <text>
        <r>
          <rPr>
            <sz val="12"/>
            <color theme="1"/>
            <rFont val="Aptos Narrow"/>
            <family val="2"/>
            <scheme val="minor"/>
          </rPr>
          <t>Người dùng Không xác định:3290</t>
        </r>
      </text>
    </comment>
    <comment ref="G34" authorId="1" shapeId="0" xr:uid="{00000000-0006-0000-4900-000041000000}">
      <text>
        <r>
          <rPr>
            <sz val="12"/>
            <color theme="1"/>
            <rFont val="Aptos Narrow"/>
            <family val="2"/>
            <scheme val="minor"/>
          </rPr>
          <t>Tran Dat:
2890</t>
        </r>
      </text>
    </comment>
    <comment ref="B35" authorId="0" shapeId="0" xr:uid="{00000000-0006-0000-4900-000042000000}">
      <text>
        <r>
          <rPr>
            <sz val="12"/>
            <color theme="1"/>
            <rFont val="Aptos Narrow"/>
            <family val="2"/>
            <scheme val="minor"/>
          </rPr>
          <t>was 18090
VNP100</t>
        </r>
      </text>
    </comment>
    <comment ref="C35" authorId="4" shapeId="0" xr:uid="{00000000-0006-0000-4900-000043000000}">
      <text>
        <r>
          <rPr>
            <sz val="12"/>
            <color theme="1"/>
            <rFont val="Aptos Narrow"/>
            <family val="2"/>
            <scheme val="minor"/>
          </rPr>
          <t>W10 17190</t>
        </r>
      </text>
    </comment>
    <comment ref="F36" authorId="5" shapeId="0" xr:uid="{00000000-0006-0000-4900-000044000000}">
      <text>
        <r>
          <rPr>
            <sz val="12"/>
            <color theme="1"/>
            <rFont val="Aptos Narrow"/>
            <family val="2"/>
            <scheme val="minor"/>
          </rPr>
          <t>Người dùng Không xác định:
19.590</t>
        </r>
      </text>
    </comment>
    <comment ref="B37" authorId="0" shapeId="0" xr:uid="{00000000-0006-0000-4900-000045000000}">
      <text>
        <r>
          <rPr>
            <sz val="12"/>
            <color theme="1"/>
            <rFont val="Aptos Narrow"/>
            <family val="2"/>
            <scheme val="minor"/>
          </rPr>
          <t>was 26140
VNP150</t>
        </r>
      </text>
    </comment>
    <comment ref="C38" authorId="4" shapeId="0" xr:uid="{00000000-0006-0000-4900-000046000000}">
      <text>
        <r>
          <rPr>
            <sz val="12"/>
            <color theme="1"/>
            <rFont val="Aptos Narrow"/>
            <family val="2"/>
            <scheme val="minor"/>
          </rPr>
          <t>W10 24290</t>
        </r>
      </text>
    </comment>
    <comment ref="D38" authorId="3" shapeId="0" xr:uid="{00000000-0006-0000-4900-000047000000}">
      <text>
        <r>
          <rPr>
            <sz val="12"/>
            <color theme="1"/>
            <rFont val="Aptos Narrow"/>
            <family val="2"/>
            <scheme val="minor"/>
          </rPr>
          <t>Việt Hoàng:
24.290.000</t>
        </r>
      </text>
    </comment>
    <comment ref="F38" authorId="5" shapeId="0" xr:uid="{00000000-0006-0000-4900-000048000000}">
      <text>
        <r>
          <rPr>
            <sz val="12"/>
            <color theme="1"/>
            <rFont val="Aptos Narrow"/>
            <family val="2"/>
            <scheme val="minor"/>
          </rPr>
          <t>Người dùng Không xác định:
24.290</t>
        </r>
      </text>
    </comment>
    <comment ref="G38" authorId="1" shapeId="0" xr:uid="{00000000-0006-0000-4900-000049000000}">
      <text>
        <r>
          <rPr>
            <sz val="12"/>
            <color theme="1"/>
            <rFont val="Aptos Narrow"/>
            <family val="2"/>
            <scheme val="minor"/>
          </rPr>
          <t>Tran Dat:
24290</t>
        </r>
      </text>
    </comment>
    <comment ref="D39" authorId="3" shapeId="0" xr:uid="{00000000-0006-0000-4900-00004A000000}">
      <text>
        <r>
          <rPr>
            <sz val="12"/>
            <color theme="1"/>
            <rFont val="Aptos Narrow"/>
            <family val="2"/>
            <scheme val="minor"/>
          </rPr>
          <t>Việt Hoàng:
29.490.000</t>
        </r>
      </text>
    </comment>
    <comment ref="F39" authorId="5" shapeId="0" xr:uid="{00000000-0006-0000-4900-00004B000000}">
      <text>
        <r>
          <rPr>
            <sz val="12"/>
            <color theme="1"/>
            <rFont val="Aptos Narrow"/>
            <family val="2"/>
            <scheme val="minor"/>
          </rPr>
          <t>Người dùng Không xác định:
28.990</t>
        </r>
      </text>
    </comment>
    <comment ref="G39" authorId="1" shapeId="0" xr:uid="{00000000-0006-0000-4900-00004C000000}">
      <text>
        <r>
          <rPr>
            <sz val="12"/>
            <color theme="1"/>
            <rFont val="Aptos Narrow"/>
            <family val="2"/>
            <scheme val="minor"/>
          </rPr>
          <t>Tran Dat:
29490</t>
        </r>
      </text>
    </comment>
    <comment ref="G40" authorId="1" shapeId="0" xr:uid="{00000000-0006-0000-4900-00004D000000}">
      <text>
        <r>
          <rPr>
            <sz val="12"/>
            <color theme="1"/>
            <rFont val="Aptos Narrow"/>
            <family val="2"/>
            <scheme val="minor"/>
          </rPr>
          <t>Tran Dat:
38290</t>
        </r>
      </text>
    </comment>
  </commentList>
</comments>
</file>

<file path=xl/comments75.xml><?xml version="1.0" encoding="utf-8"?>
<comments xmlns="http://schemas.openxmlformats.org/spreadsheetml/2006/main" xmlns:mc="http://schemas.openxmlformats.org/markup-compatibility/2006" xmlns:xr="http://schemas.microsoft.com/office/spreadsheetml/2014/revision" mc:Ignorable="xr">
  <authors>
    <author>Microsoft Office User</author>
    <author>Duy Ha Minh</author>
    <author>Tran Dat</author>
    <author>Duy</author>
    <author>Việt Hoàng</author>
    <author>Người dùng Khách</author>
  </authors>
  <commentList>
    <comment ref="E2" authorId="0" shapeId="0" xr:uid="{00000000-0006-0000-4A00-000001000000}">
      <text>
        <r>
          <rPr>
            <sz val="12"/>
            <color theme="1"/>
            <rFont val="Aptos Narrow"/>
            <family val="2"/>
            <scheme val="minor"/>
          </rPr>
          <t>VNP500K</t>
        </r>
      </text>
    </comment>
    <comment ref="E3" authorId="0" shapeId="0" xr:uid="{00000000-0006-0000-4A00-000002000000}">
      <text>
        <r>
          <rPr>
            <sz val="12"/>
            <color theme="1"/>
            <rFont val="Aptos Narrow"/>
            <family val="2"/>
            <scheme val="minor"/>
          </rPr>
          <t>VNP500</t>
        </r>
      </text>
    </comment>
    <comment ref="E4" authorId="0" shapeId="0" xr:uid="{00000000-0006-0000-4A00-000003000000}">
      <text>
        <r>
          <rPr>
            <sz val="12"/>
            <color theme="1"/>
            <rFont val="Aptos Narrow"/>
            <family val="2"/>
            <scheme val="minor"/>
          </rPr>
          <t>VNP500</t>
        </r>
      </text>
    </comment>
    <comment ref="E6" authorId="0" shapeId="0" xr:uid="{00000000-0006-0000-4A00-000004000000}">
      <text>
        <r>
          <rPr>
            <sz val="12"/>
            <color theme="1"/>
            <rFont val="Aptos Narrow"/>
            <family val="2"/>
            <scheme val="minor"/>
          </rPr>
          <t>giờ vàng</t>
        </r>
      </text>
    </comment>
    <comment ref="E7" authorId="0" shapeId="0" xr:uid="{00000000-0006-0000-4A00-000005000000}">
      <text>
        <r>
          <rPr>
            <sz val="12"/>
            <color theme="1"/>
            <rFont val="Aptos Narrow"/>
            <family val="2"/>
            <scheme val="minor"/>
          </rPr>
          <t>Giờ vàng</t>
        </r>
      </text>
    </comment>
    <comment ref="B8" authorId="0" shapeId="0" xr:uid="{00000000-0006-0000-4A00-000006000000}">
      <text>
        <r>
          <rPr>
            <sz val="12"/>
            <color theme="1"/>
            <rFont val="Aptos Narrow"/>
            <family val="2"/>
            <scheme val="minor"/>
          </rPr>
          <t>was 24640000
VNP150</t>
        </r>
      </text>
    </comment>
    <comment ref="E8" authorId="0" shapeId="0" xr:uid="{00000000-0006-0000-4A00-000007000000}">
      <text>
        <r>
          <rPr>
            <sz val="12"/>
            <color theme="1"/>
            <rFont val="Aptos Narrow"/>
            <family val="2"/>
            <scheme val="minor"/>
          </rPr>
          <t>Giờ vàng</t>
        </r>
      </text>
    </comment>
    <comment ref="C9" authorId="1" shapeId="0" xr:uid="{00000000-0006-0000-4A00-000008000000}">
      <text>
        <r>
          <rPr>
            <sz val="12"/>
            <color theme="1"/>
            <rFont val="Aptos Narrow"/>
            <family val="2"/>
            <scheme val="minor"/>
          </rPr>
          <t>W12 24.990</t>
        </r>
      </text>
    </comment>
    <comment ref="E9" authorId="0" shapeId="0" xr:uid="{00000000-0006-0000-4A00-000009000000}">
      <text>
        <r>
          <rPr>
            <sz val="12"/>
            <color theme="1"/>
            <rFont val="Aptos Narrow"/>
            <family val="2"/>
            <scheme val="minor"/>
          </rPr>
          <t xml:space="preserve">Giờ vàng
</t>
        </r>
      </text>
    </comment>
    <comment ref="B10" authorId="0" shapeId="0" xr:uid="{00000000-0006-0000-4A00-00000A000000}">
      <text>
        <r>
          <rPr>
            <sz val="12"/>
            <color theme="1"/>
            <rFont val="Aptos Narrow"/>
            <family val="2"/>
            <scheme val="minor"/>
          </rPr>
          <t>Tặng phiếu mua hàng mua AirPods và Apple Watch trị giá 500,000đ
 Phiếu mua hàng mua sản phẩm giá niêm yết từ 5 triệu thuộc các nhóm TAI NGHE - LOA hãng HARMAN KARDON, JBL,MONSTER, KLIPSCH, MARSHALL, SONY; Smartwatch hãng HUAWEI, GARMIN, SAMSUNG, IMOO, OPPO, AMAZFIT trị giá 500.000đ</t>
        </r>
      </text>
    </comment>
    <comment ref="E10" authorId="0" shapeId="0" xr:uid="{00000000-0006-0000-4A00-00000B000000}">
      <text>
        <r>
          <rPr>
            <sz val="12"/>
            <color theme="1"/>
            <rFont val="Aptos Narrow"/>
            <family val="2"/>
            <scheme val="minor"/>
          </rPr>
          <t xml:space="preserve">Giờ vàng
</t>
        </r>
      </text>
    </comment>
    <comment ref="G10" authorId="2" shapeId="0" xr:uid="{00000000-0006-0000-4A00-00000C000000}">
      <text>
        <r>
          <rPr>
            <sz val="12"/>
            <color theme="1"/>
            <rFont val="Aptos Narrow"/>
            <family val="2"/>
            <scheme val="minor"/>
          </rPr>
          <t>Tran Dat:
29.490</t>
        </r>
      </text>
    </comment>
    <comment ref="C11" authorId="1" shapeId="0" xr:uid="{00000000-0006-0000-4A00-00000D000000}">
      <text>
        <r>
          <rPr>
            <sz val="12"/>
            <color theme="1"/>
            <rFont val="Aptos Narrow"/>
            <family val="2"/>
            <scheme val="minor"/>
          </rPr>
          <t>W12 15.290</t>
        </r>
      </text>
    </comment>
    <comment ref="C12" authorId="3" shapeId="0" xr:uid="{00000000-0006-0000-4A00-00000E000000}">
      <text>
        <r>
          <rPr>
            <sz val="12"/>
            <color theme="1"/>
            <rFont val="Aptos Narrow"/>
            <family val="2"/>
            <scheme val="minor"/>
          </rPr>
          <t>W12 18590</t>
        </r>
      </text>
    </comment>
    <comment ref="C13" authorId="1" shapeId="0" xr:uid="{00000000-0006-0000-4A00-00000F000000}">
      <text>
        <r>
          <rPr>
            <sz val="12"/>
            <color theme="1"/>
            <rFont val="Aptos Narrow"/>
            <family val="2"/>
            <scheme val="minor"/>
          </rPr>
          <t>W12 12390</t>
        </r>
      </text>
    </comment>
    <comment ref="D13" authorId="4" shapeId="0" xr:uid="{00000000-0006-0000-4A00-000010000000}">
      <text>
        <r>
          <rPr>
            <sz val="12"/>
            <color theme="1"/>
            <rFont val="Aptos Narrow"/>
            <family val="2"/>
            <scheme val="minor"/>
          </rPr>
          <t>Việt Hoàng:
12.390.000</t>
        </r>
      </text>
    </comment>
    <comment ref="E13" authorId="0" shapeId="0" xr:uid="{00000000-0006-0000-4A00-000011000000}">
      <text>
        <r>
          <rPr>
            <sz val="12"/>
            <color theme="1"/>
            <rFont val="Aptos Narrow"/>
            <family val="2"/>
            <scheme val="minor"/>
          </rPr>
          <t>was 12690
FS</t>
        </r>
      </text>
    </comment>
    <comment ref="F13" authorId="5" shapeId="0" xr:uid="{00000000-0006-0000-4A00-000012000000}">
      <text>
        <r>
          <rPr>
            <sz val="12"/>
            <color theme="1"/>
            <rFont val="Aptos Narrow"/>
            <family val="2"/>
            <scheme val="minor"/>
          </rPr>
          <t>Người dùng Không xác định:
12.390</t>
        </r>
      </text>
    </comment>
    <comment ref="B14" authorId="0" shapeId="0" xr:uid="{00000000-0006-0000-4A00-000013000000}">
      <text>
        <r>
          <rPr>
            <sz val="12"/>
            <color theme="1"/>
            <rFont val="Aptos Narrow"/>
            <family val="2"/>
            <scheme val="minor"/>
          </rPr>
          <t>was 13190
VNP100</t>
        </r>
      </text>
    </comment>
    <comment ref="E14" authorId="0" shapeId="0" xr:uid="{00000000-0006-0000-4A00-000014000000}">
      <text>
        <r>
          <rPr>
            <sz val="12"/>
            <color theme="1"/>
            <rFont val="Aptos Narrow"/>
            <family val="2"/>
            <scheme val="minor"/>
          </rPr>
          <t>Giờ vàng</t>
        </r>
      </text>
    </comment>
    <comment ref="F14" authorId="5" shapeId="0" xr:uid="{00000000-0006-0000-4A00-000015000000}">
      <text>
        <r>
          <rPr>
            <sz val="12"/>
            <color theme="1"/>
            <rFont val="Aptos Narrow"/>
            <family val="2"/>
            <scheme val="minor"/>
          </rPr>
          <t>Người dùng Không xác định:
11.290</t>
        </r>
      </text>
    </comment>
    <comment ref="B16" authorId="0" shapeId="0" xr:uid="{00000000-0006-0000-4A00-000016000000}">
      <text>
        <r>
          <rPr>
            <sz val="12"/>
            <color theme="1"/>
            <rFont val="Aptos Narrow"/>
            <family val="2"/>
            <scheme val="minor"/>
          </rPr>
          <t>was 7040
VNP40</t>
        </r>
      </text>
    </comment>
    <comment ref="G16" authorId="2" shapeId="0" xr:uid="{00000000-0006-0000-4A00-000017000000}">
      <text>
        <r>
          <rPr>
            <sz val="12"/>
            <color theme="1"/>
            <rFont val="Aptos Narrow"/>
            <family val="2"/>
            <scheme val="minor"/>
          </rPr>
          <t>Tran Dat:
9490</t>
        </r>
      </text>
    </comment>
    <comment ref="B17" authorId="0" shapeId="0" xr:uid="{00000000-0006-0000-4A00-000018000000}">
      <text>
        <r>
          <rPr>
            <sz val="12"/>
            <color theme="1"/>
            <rFont val="Aptos Narrow"/>
            <family val="2"/>
            <scheme val="minor"/>
          </rPr>
          <t>was 14390</t>
        </r>
      </text>
    </comment>
    <comment ref="C18" authorId="3" shapeId="0" xr:uid="{00000000-0006-0000-4A00-000019000000}">
      <text>
        <r>
          <rPr>
            <sz val="12"/>
            <color theme="1"/>
            <rFont val="Aptos Narrow"/>
            <family val="2"/>
            <scheme val="minor"/>
          </rPr>
          <t>W12 21690</t>
        </r>
      </text>
    </comment>
    <comment ref="F18" authorId="5" shapeId="0" xr:uid="{00000000-0006-0000-4A00-00001A000000}">
      <text>
        <r>
          <rPr>
            <sz val="12"/>
            <color theme="1"/>
            <rFont val="Aptos Narrow"/>
            <family val="2"/>
            <scheme val="minor"/>
          </rPr>
          <t>Người dùng Không xác định:
19.990k</t>
        </r>
      </text>
    </comment>
    <comment ref="C19" authorId="3" shapeId="0" xr:uid="{00000000-0006-0000-4A00-00001B000000}">
      <text>
        <r>
          <rPr>
            <sz val="12"/>
            <color theme="1"/>
            <rFont val="Aptos Narrow"/>
            <family val="2"/>
            <scheme val="minor"/>
          </rPr>
          <t>W12 26990</t>
        </r>
      </text>
    </comment>
    <comment ref="F19" authorId="5" shapeId="0" xr:uid="{00000000-0006-0000-4A00-00001C000000}">
      <text>
        <r>
          <rPr>
            <sz val="12"/>
            <color theme="1"/>
            <rFont val="Aptos Narrow"/>
            <family val="2"/>
            <scheme val="minor"/>
          </rPr>
          <t>Người dùng Không xác định:
26690.</t>
        </r>
      </text>
    </comment>
    <comment ref="G19" authorId="2" shapeId="0" xr:uid="{00000000-0006-0000-4A00-00001D000000}">
      <text>
        <r>
          <rPr>
            <sz val="12"/>
            <color theme="1"/>
            <rFont val="Aptos Narrow"/>
            <family val="2"/>
            <scheme val="minor"/>
          </rPr>
          <t>Tran Dat:
25890</t>
        </r>
      </text>
    </comment>
    <comment ref="B20" authorId="0" shapeId="0" xr:uid="{00000000-0006-0000-4A00-00001E000000}">
      <text>
        <r>
          <rPr>
            <sz val="12"/>
            <color theme="1"/>
            <rFont val="Aptos Narrow"/>
            <family val="2"/>
            <scheme val="minor"/>
          </rPr>
          <t>was 36640</t>
        </r>
      </text>
    </comment>
    <comment ref="E21" authorId="0" shapeId="0" xr:uid="{00000000-0006-0000-4A00-00001F000000}">
      <text>
        <r>
          <rPr>
            <sz val="12"/>
            <color theme="1"/>
            <rFont val="Aptos Narrow"/>
            <family val="2"/>
            <scheme val="minor"/>
          </rPr>
          <t>was 5732
vnp1%</t>
        </r>
      </text>
    </comment>
    <comment ref="G21" authorId="2" shapeId="0" xr:uid="{00000000-0006-0000-4A00-000020000000}">
      <text>
        <r>
          <rPr>
            <sz val="12"/>
            <color theme="1"/>
            <rFont val="Aptos Narrow"/>
            <family val="2"/>
            <scheme val="minor"/>
          </rPr>
          <t>Tran Dat:
5890</t>
        </r>
      </text>
    </comment>
    <comment ref="G22" authorId="2" shapeId="0" xr:uid="{00000000-0006-0000-4A00-000021000000}">
      <text>
        <r>
          <rPr>
            <sz val="12"/>
            <color theme="1"/>
            <rFont val="Aptos Narrow"/>
            <family val="2"/>
            <scheme val="minor"/>
          </rPr>
          <t>Tran Dat:
7190</t>
        </r>
      </text>
    </comment>
    <comment ref="E23" authorId="0" shapeId="0" xr:uid="{00000000-0006-0000-4A00-000022000000}">
      <text>
        <r>
          <rPr>
            <sz val="12"/>
            <color theme="1"/>
            <rFont val="Aptos Narrow"/>
            <family val="2"/>
            <scheme val="minor"/>
          </rPr>
          <t>was 6128
vnp1%</t>
        </r>
      </text>
    </comment>
    <comment ref="G23" authorId="2" shapeId="0" xr:uid="{00000000-0006-0000-4A00-000023000000}">
      <text>
        <r>
          <rPr>
            <sz val="12"/>
            <color theme="1"/>
            <rFont val="Aptos Narrow"/>
            <family val="2"/>
            <scheme val="minor"/>
          </rPr>
          <t>6790</t>
        </r>
      </text>
    </comment>
    <comment ref="G24" authorId="2" shapeId="0" xr:uid="{00000000-0006-0000-4A00-000024000000}">
      <text>
        <r>
          <rPr>
            <sz val="12"/>
            <color theme="1"/>
            <rFont val="Aptos Narrow"/>
            <family val="2"/>
            <scheme val="minor"/>
          </rPr>
          <t>Tran Dat:
7790</t>
        </r>
      </text>
    </comment>
    <comment ref="E25" authorId="0" shapeId="0" xr:uid="{00000000-0006-0000-4A00-000025000000}">
      <text>
        <r>
          <rPr>
            <sz val="12"/>
            <color theme="1"/>
            <rFont val="Aptos Narrow"/>
            <family val="2"/>
            <scheme val="minor"/>
          </rPr>
          <t>was 10187
vnp1%</t>
        </r>
      </text>
    </comment>
    <comment ref="F25" authorId="5" shapeId="0" xr:uid="{00000000-0006-0000-4A00-000026000000}">
      <text>
        <r>
          <rPr>
            <sz val="12"/>
            <color theme="1"/>
            <rFont val="Aptos Narrow"/>
            <family val="2"/>
            <scheme val="minor"/>
          </rPr>
          <t>Người dùng Không xác định:
10.390</t>
        </r>
      </text>
    </comment>
    <comment ref="G25" authorId="2" shapeId="0" xr:uid="{00000000-0006-0000-4A00-000027000000}">
      <text>
        <r>
          <rPr>
            <sz val="12"/>
            <color theme="1"/>
            <rFont val="Aptos Narrow"/>
            <family val="2"/>
            <scheme val="minor"/>
          </rPr>
          <t>Tran Dat:
8390</t>
        </r>
      </text>
    </comment>
    <comment ref="E26" authorId="0" shapeId="0" xr:uid="{00000000-0006-0000-4A00-000028000000}">
      <text>
        <r>
          <rPr>
            <sz val="12"/>
            <color theme="1"/>
            <rFont val="Aptos Narrow"/>
            <family val="2"/>
            <scheme val="minor"/>
          </rPr>
          <t>was 12860
vnp1%</t>
        </r>
      </text>
    </comment>
    <comment ref="E27" authorId="0" shapeId="0" xr:uid="{00000000-0006-0000-4A00-000029000000}">
      <text>
        <r>
          <rPr>
            <sz val="12"/>
            <color theme="1"/>
            <rFont val="Aptos Narrow"/>
            <family val="2"/>
            <scheme val="minor"/>
          </rPr>
          <t>was 10880
vnp1%</t>
        </r>
      </text>
    </comment>
    <comment ref="B28" authorId="0" shapeId="0" xr:uid="{00000000-0006-0000-4A00-00002A000000}">
      <text>
        <r>
          <rPr>
            <sz val="12"/>
            <color theme="1"/>
            <rFont val="Aptos Narrow"/>
            <family val="2"/>
            <scheme val="minor"/>
          </rPr>
          <t>was 13320
VNP100</t>
        </r>
      </text>
    </comment>
    <comment ref="C28" authorId="1" shapeId="0" xr:uid="{00000000-0006-0000-4A00-00002B000000}">
      <text>
        <r>
          <rPr>
            <sz val="12"/>
            <color theme="1"/>
            <rFont val="Aptos Narrow"/>
            <family val="2"/>
            <scheme val="minor"/>
          </rPr>
          <t>W12 13890</t>
        </r>
      </text>
    </comment>
    <comment ref="E28" authorId="0" shapeId="0" xr:uid="{00000000-0006-0000-4A00-00002C000000}">
      <text>
        <r>
          <rPr>
            <sz val="12"/>
            <color theme="1"/>
            <rFont val="Aptos Narrow"/>
            <family val="2"/>
            <scheme val="minor"/>
          </rPr>
          <t>was 13553
vnp1%</t>
        </r>
      </text>
    </comment>
    <comment ref="F29" authorId="5" shapeId="0" xr:uid="{00000000-0006-0000-4A00-00002D000000}">
      <text>
        <r>
          <rPr>
            <sz val="12"/>
            <color theme="1"/>
            <rFont val="Aptos Narrow"/>
            <family val="2"/>
            <scheme val="minor"/>
          </rPr>
          <t>Người dùng Không xác định
21.590</t>
        </r>
      </text>
    </comment>
    <comment ref="B30" authorId="0" shapeId="0" xr:uid="{00000000-0006-0000-4A00-00002E000000}">
      <text>
        <r>
          <rPr>
            <sz val="12"/>
            <color theme="1"/>
            <rFont val="Aptos Narrow"/>
            <family val="2"/>
            <scheme val="minor"/>
          </rPr>
          <t>was 5550
VNP40</t>
        </r>
      </text>
    </comment>
    <comment ref="B31" authorId="0" shapeId="0" xr:uid="{00000000-0006-0000-4A00-00002F000000}">
      <text>
        <r>
          <rPr>
            <sz val="12"/>
            <color theme="1"/>
            <rFont val="Aptos Narrow"/>
            <family val="2"/>
            <scheme val="minor"/>
          </rPr>
          <t xml:space="preserve">was 4490
</t>
        </r>
      </text>
    </comment>
    <comment ref="B32" authorId="0" shapeId="0" xr:uid="{00000000-0006-0000-4A00-000030000000}">
      <text>
        <r>
          <rPr>
            <sz val="12"/>
            <color theme="1"/>
            <rFont val="Aptos Narrow"/>
            <family val="2"/>
            <scheme val="minor"/>
          </rPr>
          <t>was 3190</t>
        </r>
      </text>
    </comment>
    <comment ref="E32" authorId="0" shapeId="0" xr:uid="{00000000-0006-0000-4A00-000031000000}">
      <text>
        <r>
          <rPr>
            <sz val="12"/>
            <color theme="1"/>
            <rFont val="Aptos Narrow"/>
            <family val="2"/>
            <scheme val="minor"/>
          </rPr>
          <t>was 3190</t>
        </r>
      </text>
    </comment>
    <comment ref="B34" authorId="0" shapeId="0" xr:uid="{00000000-0006-0000-4A00-000032000000}">
      <text>
        <r>
          <rPr>
            <sz val="12"/>
            <color theme="1"/>
            <rFont val="Aptos Narrow"/>
            <family val="2"/>
            <scheme val="minor"/>
          </rPr>
          <t>was 18090
VNP100</t>
        </r>
      </text>
    </comment>
    <comment ref="C34" authorId="3" shapeId="0" xr:uid="{00000000-0006-0000-4A00-000033000000}">
      <text>
        <r>
          <rPr>
            <sz val="12"/>
            <color theme="1"/>
            <rFont val="Aptos Narrow"/>
            <family val="2"/>
            <scheme val="minor"/>
          </rPr>
          <t>W12 16990</t>
        </r>
      </text>
    </comment>
    <comment ref="C35" authorId="1" shapeId="0" xr:uid="{00000000-0006-0000-4A00-000034000000}">
      <text>
        <r>
          <rPr>
            <sz val="12"/>
            <color theme="1"/>
            <rFont val="Aptos Narrow"/>
            <family val="2"/>
            <scheme val="minor"/>
          </rPr>
          <t>W12 19590</t>
        </r>
      </text>
    </comment>
    <comment ref="B36" authorId="0" shapeId="0" xr:uid="{00000000-0006-0000-4A00-000035000000}">
      <text>
        <r>
          <rPr>
            <sz val="12"/>
            <color theme="1"/>
            <rFont val="Aptos Narrow"/>
            <family val="2"/>
            <scheme val="minor"/>
          </rPr>
          <t>was 26140
VNP150</t>
        </r>
      </text>
    </comment>
    <comment ref="F37" authorId="5" shapeId="0" xr:uid="{00000000-0006-0000-4A00-000036000000}">
      <text>
        <r>
          <rPr>
            <sz val="12"/>
            <color theme="1"/>
            <rFont val="Aptos Narrow"/>
            <family val="2"/>
            <scheme val="minor"/>
          </rPr>
          <t>Người dùng Không xác định:
24.990</t>
        </r>
      </text>
    </comment>
  </commentList>
</comments>
</file>

<file path=xl/comments76.xml><?xml version="1.0" encoding="utf-8"?>
<comments xmlns="http://schemas.openxmlformats.org/spreadsheetml/2006/main" xmlns:mc="http://schemas.openxmlformats.org/markup-compatibility/2006" xmlns:xr="http://schemas.microsoft.com/office/spreadsheetml/2014/revision" mc:Ignorable="xr">
  <authors>
    <author>Microsoft Office User</author>
    <author>Duy Ha Minh</author>
    <author>Việt Hoàng</author>
    <author>Người dùng Khách</author>
    <author>Tran Dat</author>
    <author>Duy</author>
  </authors>
  <commentList>
    <comment ref="E2" authorId="0" shapeId="0" xr:uid="{00000000-0006-0000-4B00-000001000000}">
      <text>
        <r>
          <rPr>
            <sz val="12"/>
            <color theme="1"/>
            <rFont val="Aptos Narrow"/>
            <family val="2"/>
            <scheme val="minor"/>
          </rPr>
          <t>VNP500K</t>
        </r>
      </text>
    </comment>
    <comment ref="E4" authorId="0" shapeId="0" xr:uid="{00000000-0006-0000-4B00-000002000000}">
      <text>
        <r>
          <rPr>
            <sz val="12"/>
            <color theme="1"/>
            <rFont val="Aptos Narrow"/>
            <family val="2"/>
            <scheme val="minor"/>
          </rPr>
          <t>VNP500
was 34490</t>
        </r>
      </text>
    </comment>
    <comment ref="E6" authorId="0" shapeId="0" xr:uid="{00000000-0006-0000-4B00-000003000000}">
      <text>
        <r>
          <rPr>
            <sz val="12"/>
            <color theme="1"/>
            <rFont val="Aptos Narrow"/>
            <family val="2"/>
            <scheme val="minor"/>
          </rPr>
          <t>giờ vàng
GIảm 200K</t>
        </r>
      </text>
    </comment>
    <comment ref="C7" authorId="1" shapeId="0" xr:uid="{00000000-0006-0000-4B00-000004000000}">
      <text>
        <r>
          <rPr>
            <sz val="12"/>
            <color theme="1"/>
            <rFont val="Aptos Narrow"/>
            <family val="2"/>
            <scheme val="minor"/>
          </rPr>
          <t>W13 18.890</t>
        </r>
      </text>
    </comment>
    <comment ref="D7" authorId="2" shapeId="0" xr:uid="{00000000-0006-0000-4B00-000005000000}">
      <text>
        <r>
          <rPr>
            <sz val="12"/>
            <color theme="1"/>
            <rFont val="Aptos Narrow"/>
            <family val="2"/>
            <scheme val="minor"/>
          </rPr>
          <t>Việt Hoàng:
18.890.000</t>
        </r>
      </text>
    </comment>
    <comment ref="E7" authorId="0" shapeId="0" xr:uid="{00000000-0006-0000-4B00-000006000000}">
      <text>
        <r>
          <rPr>
            <sz val="12"/>
            <color theme="1"/>
            <rFont val="Aptos Narrow"/>
            <family val="2"/>
            <scheme val="minor"/>
          </rPr>
          <t>Giờ vàng</t>
        </r>
      </text>
    </comment>
    <comment ref="F7" authorId="3" shapeId="0" xr:uid="{00000000-0006-0000-4B00-000007000000}">
      <text>
        <r>
          <rPr>
            <sz val="12"/>
            <color theme="1"/>
            <rFont val="Aptos Narrow"/>
            <family val="2"/>
            <scheme val="minor"/>
          </rPr>
          <t>Người dùng Không xác định:
18.790</t>
        </r>
      </text>
    </comment>
    <comment ref="B8" authorId="0" shapeId="0" xr:uid="{00000000-0006-0000-4B00-000008000000}">
      <text>
        <r>
          <rPr>
            <sz val="12"/>
            <color theme="1"/>
            <rFont val="Aptos Narrow"/>
            <family val="2"/>
            <scheme val="minor"/>
          </rPr>
          <t>was 24640000
VNP150</t>
        </r>
      </text>
    </comment>
    <comment ref="C8" authorId="1" shapeId="0" xr:uid="{00000000-0006-0000-4B00-000009000000}">
      <text>
        <r>
          <rPr>
            <sz val="12"/>
            <color theme="1"/>
            <rFont val="Aptos Narrow"/>
            <family val="2"/>
            <scheme val="minor"/>
          </rPr>
          <t>W13 21990</t>
        </r>
      </text>
    </comment>
    <comment ref="D8" authorId="2" shapeId="0" xr:uid="{00000000-0006-0000-4B00-00000A000000}">
      <text>
        <r>
          <rPr>
            <sz val="12"/>
            <color theme="1"/>
            <rFont val="Aptos Narrow"/>
            <family val="2"/>
            <scheme val="minor"/>
          </rPr>
          <t>Việt Hoàng:
21.990.000</t>
        </r>
      </text>
    </comment>
    <comment ref="E8" authorId="0" shapeId="0" xr:uid="{00000000-0006-0000-4B00-00000B000000}">
      <text>
        <r>
          <rPr>
            <sz val="12"/>
            <color theme="1"/>
            <rFont val="Aptos Narrow"/>
            <family val="2"/>
            <scheme val="minor"/>
          </rPr>
          <t>Giờ vàng
Tăng 200K</t>
        </r>
      </text>
    </comment>
    <comment ref="F8" authorId="3" shapeId="0" xr:uid="{00000000-0006-0000-4B00-00000C000000}">
      <text>
        <r>
          <rPr>
            <sz val="12"/>
            <color theme="1"/>
            <rFont val="Aptos Narrow"/>
            <family val="2"/>
            <scheme val="minor"/>
          </rPr>
          <t>Người dùng Không xác định:
21.890</t>
        </r>
      </text>
    </comment>
    <comment ref="C9" authorId="1" shapeId="0" xr:uid="{00000000-0006-0000-4B00-00000D000000}">
      <text>
        <r>
          <rPr>
            <sz val="12"/>
            <color theme="1"/>
            <rFont val="Aptos Narrow"/>
            <family val="2"/>
            <scheme val="minor"/>
          </rPr>
          <t>W13 25.090</t>
        </r>
      </text>
    </comment>
    <comment ref="D9" authorId="2" shapeId="0" xr:uid="{00000000-0006-0000-4B00-00000E000000}">
      <text>
        <r>
          <rPr>
            <sz val="12"/>
            <color theme="1"/>
            <rFont val="Aptos Narrow"/>
            <family val="2"/>
            <scheme val="minor"/>
          </rPr>
          <t>Việt Hoàng:
24.990.000</t>
        </r>
      </text>
    </comment>
    <comment ref="E9" authorId="0" shapeId="0" xr:uid="{00000000-0006-0000-4B00-00000F000000}">
      <text>
        <r>
          <rPr>
            <sz val="12"/>
            <color theme="1"/>
            <rFont val="Aptos Narrow"/>
            <family val="2"/>
            <scheme val="minor"/>
          </rPr>
          <t xml:space="preserve">Giờ vàng
</t>
        </r>
      </text>
    </comment>
    <comment ref="F9" authorId="3" shapeId="0" xr:uid="{00000000-0006-0000-4B00-000010000000}">
      <text>
        <r>
          <rPr>
            <sz val="12"/>
            <color theme="1"/>
            <rFont val="Aptos Narrow"/>
            <family val="2"/>
            <scheme val="minor"/>
          </rPr>
          <t>Người dùng Không xác định:
24.890</t>
        </r>
      </text>
    </comment>
    <comment ref="G9" authorId="4" shapeId="0" xr:uid="{00000000-0006-0000-4B00-000011000000}">
      <text>
        <r>
          <rPr>
            <sz val="12"/>
            <color theme="1"/>
            <rFont val="Aptos Narrow"/>
            <family val="2"/>
            <scheme val="minor"/>
          </rPr>
          <t>Tran Dat:
24590</t>
        </r>
      </text>
    </comment>
    <comment ref="B10" authorId="0" shapeId="0" xr:uid="{00000000-0006-0000-4B00-000012000000}">
      <text>
        <r>
          <rPr>
            <sz val="12"/>
            <color theme="1"/>
            <rFont val="Aptos Narrow"/>
            <family val="2"/>
            <scheme val="minor"/>
          </rPr>
          <t>Tặng phiếu mua hàng mua AirPods và Apple Watch trị giá 500,000đ
 Phiếu mua hàng mua sản phẩm giá niêm yết từ 5 triệu thuộc các nhóm TAI NGHE - LOA hãng HARMAN KARDON, JBL,MONSTER, KLIPSCH, MARSHALL, SONY; Smartwatch hãng HUAWEI, GARMIN, SAMSUNG, IMOO, OPPO, AMAZFIT trị giá 500.000đ</t>
        </r>
      </text>
    </comment>
    <comment ref="C10" authorId="1" shapeId="0" xr:uid="{00000000-0006-0000-4B00-000013000000}">
      <text>
        <r>
          <rPr>
            <sz val="12"/>
            <color theme="1"/>
            <rFont val="Aptos Narrow"/>
            <family val="2"/>
            <scheme val="minor"/>
          </rPr>
          <t>W13 30090</t>
        </r>
      </text>
    </comment>
    <comment ref="D10" authorId="2" shapeId="0" xr:uid="{00000000-0006-0000-4B00-000014000000}">
      <text>
        <r>
          <rPr>
            <sz val="12"/>
            <color theme="1"/>
            <rFont val="Aptos Narrow"/>
            <family val="2"/>
            <scheme val="minor"/>
          </rPr>
          <t>Việt Hoàng:
29.990.000</t>
        </r>
      </text>
    </comment>
    <comment ref="E10" authorId="0" shapeId="0" xr:uid="{00000000-0006-0000-4B00-000015000000}">
      <text>
        <r>
          <rPr>
            <sz val="12"/>
            <color theme="1"/>
            <rFont val="Aptos Narrow"/>
            <family val="2"/>
            <scheme val="minor"/>
          </rPr>
          <t xml:space="preserve">Giờ vàng
</t>
        </r>
      </text>
    </comment>
    <comment ref="F10" authorId="3" shapeId="0" xr:uid="{00000000-0006-0000-4B00-000016000000}">
      <text>
        <r>
          <rPr>
            <sz val="12"/>
            <color theme="1"/>
            <rFont val="Aptos Narrow"/>
            <family val="2"/>
            <scheme val="minor"/>
          </rPr>
          <t>Người dùng Không xác định:
29.990</t>
        </r>
      </text>
    </comment>
    <comment ref="G10" authorId="4" shapeId="0" xr:uid="{00000000-0006-0000-4B00-000017000000}">
      <text>
        <r>
          <rPr>
            <sz val="12"/>
            <color theme="1"/>
            <rFont val="Aptos Narrow"/>
            <family val="2"/>
            <scheme val="minor"/>
          </rPr>
          <t>Tran Dat:
29.490</t>
        </r>
      </text>
    </comment>
    <comment ref="C11" authorId="1" shapeId="0" xr:uid="{00000000-0006-0000-4B00-000018000000}">
      <text>
        <r>
          <rPr>
            <sz val="12"/>
            <color theme="1"/>
            <rFont val="Aptos Narrow"/>
            <family val="2"/>
            <scheme val="minor"/>
          </rPr>
          <t>W13 15.490</t>
        </r>
      </text>
    </comment>
    <comment ref="D11" authorId="2" shapeId="0" xr:uid="{00000000-0006-0000-4B00-000019000000}">
      <text>
        <r>
          <rPr>
            <sz val="12"/>
            <color theme="1"/>
            <rFont val="Aptos Narrow"/>
            <family val="2"/>
            <scheme val="minor"/>
          </rPr>
          <t>Việt Hoàng:
15.290.000</t>
        </r>
      </text>
    </comment>
    <comment ref="F11" authorId="3" shapeId="0" xr:uid="{00000000-0006-0000-4B00-00001A000000}">
      <text>
        <r>
          <rPr>
            <sz val="12"/>
            <color theme="1"/>
            <rFont val="Aptos Narrow"/>
            <family val="2"/>
            <scheme val="minor"/>
          </rPr>
          <t>Người dùng Không xác định:
15390</t>
        </r>
      </text>
    </comment>
    <comment ref="G11" authorId="4" shapeId="0" xr:uid="{00000000-0006-0000-4B00-00001B000000}">
      <text>
        <r>
          <rPr>
            <sz val="12"/>
            <color theme="1"/>
            <rFont val="Aptos Narrow"/>
            <family val="2"/>
            <scheme val="minor"/>
          </rPr>
          <t>Tran Dat:15090</t>
        </r>
      </text>
    </comment>
    <comment ref="C12" authorId="5" shapeId="0" xr:uid="{00000000-0006-0000-4B00-00001C000000}">
      <text>
        <r>
          <rPr>
            <sz val="12"/>
            <color theme="1"/>
            <rFont val="Aptos Narrow"/>
            <family val="2"/>
            <scheme val="minor"/>
          </rPr>
          <t>W13 18890</t>
        </r>
      </text>
    </comment>
    <comment ref="D12" authorId="2" shapeId="0" xr:uid="{00000000-0006-0000-4B00-00001D000000}">
      <text>
        <r>
          <rPr>
            <sz val="12"/>
            <color theme="1"/>
            <rFont val="Aptos Narrow"/>
            <family val="2"/>
            <scheme val="minor"/>
          </rPr>
          <t>Việt Hoàng:
18.790.000</t>
        </r>
      </text>
    </comment>
    <comment ref="E12" authorId="0" shapeId="0" xr:uid="{00000000-0006-0000-4B00-00001E000000}">
      <text>
        <r>
          <rPr>
            <sz val="12"/>
            <color theme="1"/>
            <rFont val="Aptos Narrow"/>
            <family val="2"/>
            <scheme val="minor"/>
          </rPr>
          <t>Giờ vàng
Gỉam 300K</t>
        </r>
      </text>
    </comment>
    <comment ref="C13" authorId="1" shapeId="0" xr:uid="{00000000-0006-0000-4B00-00001F000000}">
      <text>
        <r>
          <rPr>
            <sz val="12"/>
            <color theme="1"/>
            <rFont val="Aptos Narrow"/>
            <family val="2"/>
            <scheme val="minor"/>
          </rPr>
          <t>W13 12590</t>
        </r>
      </text>
    </comment>
    <comment ref="D13" authorId="2" shapeId="0" xr:uid="{00000000-0006-0000-4B00-000020000000}">
      <text>
        <r>
          <rPr>
            <sz val="12"/>
            <color theme="1"/>
            <rFont val="Aptos Narrow"/>
            <family val="2"/>
            <scheme val="minor"/>
          </rPr>
          <t>Việt Hoàng:
12.490.000</t>
        </r>
      </text>
    </comment>
    <comment ref="E13" authorId="0" shapeId="0" xr:uid="{00000000-0006-0000-4B00-000021000000}">
      <text>
        <r>
          <rPr>
            <sz val="12"/>
            <color theme="1"/>
            <rFont val="Aptos Narrow"/>
            <family val="2"/>
            <scheme val="minor"/>
          </rPr>
          <t>Giờ vàng
Tăng 200K</t>
        </r>
      </text>
    </comment>
    <comment ref="F13" authorId="3" shapeId="0" xr:uid="{00000000-0006-0000-4B00-000022000000}">
      <text>
        <r>
          <rPr>
            <sz val="12"/>
            <color theme="1"/>
            <rFont val="Aptos Narrow"/>
            <family val="2"/>
            <scheme val="minor"/>
          </rPr>
          <t>Người dùng Không xác định:
12.190</t>
        </r>
      </text>
    </comment>
    <comment ref="B14" authorId="0" shapeId="0" xr:uid="{00000000-0006-0000-4B00-000023000000}">
      <text>
        <r>
          <rPr>
            <sz val="12"/>
            <color theme="1"/>
            <rFont val="Aptos Narrow"/>
            <family val="2"/>
            <scheme val="minor"/>
          </rPr>
          <t>was 13190
VNP100</t>
        </r>
      </text>
    </comment>
    <comment ref="C14" authorId="1" shapeId="0" xr:uid="{00000000-0006-0000-4B00-000024000000}">
      <text>
        <r>
          <rPr>
            <sz val="12"/>
            <color theme="1"/>
            <rFont val="Aptos Narrow"/>
            <family val="2"/>
            <scheme val="minor"/>
          </rPr>
          <t>W13 11590</t>
        </r>
      </text>
    </comment>
    <comment ref="D14" authorId="2" shapeId="0" xr:uid="{00000000-0006-0000-4B00-000025000000}">
      <text>
        <r>
          <rPr>
            <sz val="12"/>
            <color theme="1"/>
            <rFont val="Aptos Narrow"/>
            <family val="2"/>
            <scheme val="minor"/>
          </rPr>
          <t>Việt Hoàng:
11.490.000</t>
        </r>
      </text>
    </comment>
    <comment ref="E14" authorId="0" shapeId="0" xr:uid="{00000000-0006-0000-4B00-000026000000}">
      <text>
        <r>
          <rPr>
            <sz val="12"/>
            <color theme="1"/>
            <rFont val="Aptos Narrow"/>
            <family val="2"/>
            <scheme val="minor"/>
          </rPr>
          <t>Giờ vàng
Giảm 100K</t>
        </r>
      </text>
    </comment>
    <comment ref="F14" authorId="3" shapeId="0" xr:uid="{00000000-0006-0000-4B00-000027000000}">
      <text>
        <r>
          <rPr>
            <sz val="12"/>
            <color theme="1"/>
            <rFont val="Aptos Narrow"/>
            <family val="2"/>
            <scheme val="minor"/>
          </rPr>
          <t>Người dùng Không xác định:
11.390</t>
        </r>
      </text>
    </comment>
    <comment ref="B16" authorId="0" shapeId="0" xr:uid="{00000000-0006-0000-4B00-000028000000}">
      <text>
        <r>
          <rPr>
            <sz val="12"/>
            <color theme="1"/>
            <rFont val="Aptos Narrow"/>
            <family val="2"/>
            <scheme val="minor"/>
          </rPr>
          <t>was 7040
VNP40</t>
        </r>
      </text>
    </comment>
    <comment ref="D16" authorId="2" shapeId="0" xr:uid="{00000000-0006-0000-4B00-000029000000}">
      <text>
        <r>
          <rPr>
            <sz val="12"/>
            <color theme="1"/>
            <rFont val="Aptos Narrow"/>
            <family val="2"/>
            <scheme val="minor"/>
          </rPr>
          <t>Việt Hoàng
8.490.000</t>
        </r>
      </text>
    </comment>
    <comment ref="E16" authorId="0" shapeId="0" xr:uid="{00000000-0006-0000-4B00-00002A000000}">
      <text>
        <r>
          <rPr>
            <sz val="12"/>
            <color theme="1"/>
            <rFont val="Aptos Narrow"/>
            <family val="2"/>
            <scheme val="minor"/>
          </rPr>
          <t>was 9296</t>
        </r>
      </text>
    </comment>
    <comment ref="B17" authorId="0" shapeId="0" xr:uid="{00000000-0006-0000-4B00-00002B000000}">
      <text>
        <r>
          <rPr>
            <sz val="12"/>
            <color theme="1"/>
            <rFont val="Aptos Narrow"/>
            <family val="2"/>
            <scheme val="minor"/>
          </rPr>
          <t>was 14390</t>
        </r>
      </text>
    </comment>
    <comment ref="E17" authorId="0" shapeId="0" xr:uid="{00000000-0006-0000-4B00-00002C000000}">
      <text>
        <r>
          <rPr>
            <sz val="12"/>
            <color theme="1"/>
            <rFont val="Aptos Narrow"/>
            <family val="2"/>
            <scheme val="minor"/>
          </rPr>
          <t>was 15830</t>
        </r>
      </text>
    </comment>
    <comment ref="C18" authorId="5" shapeId="0" xr:uid="{00000000-0006-0000-4B00-00002D000000}">
      <text>
        <r>
          <rPr>
            <sz val="12"/>
            <color theme="1"/>
            <rFont val="Aptos Narrow"/>
            <family val="2"/>
            <scheme val="minor"/>
          </rPr>
          <t>W12 21690</t>
        </r>
      </text>
    </comment>
    <comment ref="C19" authorId="5" shapeId="0" xr:uid="{00000000-0006-0000-4B00-00002E000000}">
      <text>
        <r>
          <rPr>
            <sz val="12"/>
            <color theme="1"/>
            <rFont val="Aptos Narrow"/>
            <family val="2"/>
            <scheme val="minor"/>
          </rPr>
          <t>W12 26990</t>
        </r>
      </text>
    </comment>
    <comment ref="D19" authorId="2" shapeId="0" xr:uid="{00000000-0006-0000-4B00-00002F000000}">
      <text>
        <r>
          <rPr>
            <sz val="12"/>
            <color theme="1"/>
            <rFont val="Aptos Narrow"/>
            <family val="2"/>
            <scheme val="minor"/>
          </rPr>
          <t>Việt Hoàng:
26.890.000</t>
        </r>
      </text>
    </comment>
    <comment ref="E19" authorId="0" shapeId="0" xr:uid="{00000000-0006-0000-4B00-000030000000}">
      <text>
        <r>
          <rPr>
            <sz val="12"/>
            <color theme="1"/>
            <rFont val="Aptos Narrow"/>
            <family val="2"/>
            <scheme val="minor"/>
          </rPr>
          <t>was 26290</t>
        </r>
      </text>
    </comment>
    <comment ref="F19" authorId="3" shapeId="0" xr:uid="{00000000-0006-0000-4B00-000031000000}">
      <text>
        <r>
          <rPr>
            <sz val="12"/>
            <color theme="1"/>
            <rFont val="Aptos Narrow"/>
            <family val="2"/>
            <scheme val="minor"/>
          </rPr>
          <t>Người dùng Không xác định:
26990.</t>
        </r>
      </text>
    </comment>
    <comment ref="G19" authorId="4" shapeId="0" xr:uid="{00000000-0006-0000-4B00-000032000000}">
      <text>
        <r>
          <rPr>
            <sz val="12"/>
            <color theme="1"/>
            <rFont val="Aptos Narrow"/>
            <family val="2"/>
            <scheme val="minor"/>
          </rPr>
          <t>Tran Dat:
26590</t>
        </r>
      </text>
    </comment>
    <comment ref="B20" authorId="0" shapeId="0" xr:uid="{00000000-0006-0000-4B00-000033000000}">
      <text>
        <r>
          <rPr>
            <sz val="12"/>
            <color theme="1"/>
            <rFont val="Aptos Narrow"/>
            <family val="2"/>
            <scheme val="minor"/>
          </rPr>
          <t>was 36640</t>
        </r>
      </text>
    </comment>
    <comment ref="D20" authorId="2" shapeId="0" xr:uid="{00000000-0006-0000-4B00-000034000000}">
      <text>
        <r>
          <rPr>
            <sz val="12"/>
            <color theme="1"/>
            <rFont val="Aptos Narrow"/>
            <family val="2"/>
            <scheme val="minor"/>
          </rPr>
          <t>Việt Hoàng:
35.990.000</t>
        </r>
      </text>
    </comment>
    <comment ref="E20" authorId="0" shapeId="0" xr:uid="{00000000-0006-0000-4B00-000035000000}">
      <text>
        <r>
          <rPr>
            <sz val="12"/>
            <color theme="1"/>
            <rFont val="Aptos Narrow"/>
            <family val="2"/>
            <scheme val="minor"/>
          </rPr>
          <t>was 35290</t>
        </r>
      </text>
    </comment>
    <comment ref="F20" authorId="3" shapeId="0" xr:uid="{00000000-0006-0000-4B00-000036000000}">
      <text>
        <r>
          <rPr>
            <sz val="12"/>
            <color theme="1"/>
            <rFont val="Aptos Narrow"/>
            <family val="2"/>
            <scheme val="minor"/>
          </rPr>
          <t>Người dùng Không xác định:
36.290</t>
        </r>
      </text>
    </comment>
    <comment ref="E21" authorId="0" shapeId="0" xr:uid="{00000000-0006-0000-4B00-000037000000}">
      <text>
        <r>
          <rPr>
            <sz val="12"/>
            <color theme="1"/>
            <rFont val="Aptos Narrow"/>
            <family val="2"/>
            <scheme val="minor"/>
          </rPr>
          <t>was 5435</t>
        </r>
      </text>
    </comment>
    <comment ref="E22" authorId="0" shapeId="0" xr:uid="{00000000-0006-0000-4B00-000038000000}">
      <text>
        <r>
          <rPr>
            <sz val="12"/>
            <color theme="1"/>
            <rFont val="Aptos Narrow"/>
            <family val="2"/>
            <scheme val="minor"/>
          </rPr>
          <t>was 6920</t>
        </r>
      </text>
    </comment>
    <comment ref="E23" authorId="0" shapeId="0" xr:uid="{00000000-0006-0000-4B00-000039000000}">
      <text>
        <r>
          <rPr>
            <sz val="12"/>
            <color theme="1"/>
            <rFont val="Aptos Narrow"/>
            <family val="2"/>
            <scheme val="minor"/>
          </rPr>
          <t>was 6326</t>
        </r>
      </text>
    </comment>
    <comment ref="E24" authorId="0" shapeId="0" xr:uid="{00000000-0006-0000-4B00-00003A000000}">
      <text>
        <r>
          <rPr>
            <sz val="12"/>
            <color theme="1"/>
            <rFont val="Aptos Narrow"/>
            <family val="2"/>
            <scheme val="minor"/>
          </rPr>
          <t>was 7712</t>
        </r>
      </text>
    </comment>
    <comment ref="E25" authorId="0" shapeId="0" xr:uid="{00000000-0006-0000-4B00-00003B000000}">
      <text>
        <r>
          <rPr>
            <sz val="12"/>
            <color theme="1"/>
            <rFont val="Aptos Narrow"/>
            <family val="2"/>
            <scheme val="minor"/>
          </rPr>
          <t>was 9890</t>
        </r>
      </text>
    </comment>
    <comment ref="F25" authorId="3" shapeId="0" xr:uid="{00000000-0006-0000-4B00-00003C000000}">
      <text>
        <r>
          <rPr>
            <sz val="12"/>
            <color theme="1"/>
            <rFont val="Aptos Narrow"/>
            <family val="2"/>
            <scheme val="minor"/>
          </rPr>
          <t>Người dùng Không xác định:
10.790</t>
        </r>
      </text>
    </comment>
    <comment ref="E26" authorId="0" shapeId="0" xr:uid="{00000000-0006-0000-4B00-00003D000000}">
      <text>
        <r>
          <rPr>
            <sz val="12"/>
            <color theme="1"/>
            <rFont val="Aptos Narrow"/>
            <family val="2"/>
            <scheme val="minor"/>
          </rPr>
          <t>was 12365</t>
        </r>
      </text>
    </comment>
    <comment ref="E27" authorId="0" shapeId="0" xr:uid="{00000000-0006-0000-4B00-00003E000000}">
      <text>
        <r>
          <rPr>
            <sz val="12"/>
            <color theme="1"/>
            <rFont val="Aptos Narrow"/>
            <family val="2"/>
            <scheme val="minor"/>
          </rPr>
          <t>was 10583</t>
        </r>
      </text>
    </comment>
    <comment ref="B28" authorId="0" shapeId="0" xr:uid="{00000000-0006-0000-4B00-00003F000000}">
      <text>
        <r>
          <rPr>
            <sz val="12"/>
            <color theme="1"/>
            <rFont val="Aptos Narrow"/>
            <family val="2"/>
            <scheme val="minor"/>
          </rPr>
          <t>was 13320
VNP100</t>
        </r>
      </text>
    </comment>
    <comment ref="C28" authorId="1" shapeId="0" xr:uid="{00000000-0006-0000-4B00-000040000000}">
      <text>
        <r>
          <rPr>
            <sz val="12"/>
            <color theme="1"/>
            <rFont val="Aptos Narrow"/>
            <family val="2"/>
            <scheme val="minor"/>
          </rPr>
          <t>W12 13890</t>
        </r>
      </text>
    </comment>
    <comment ref="E28" authorId="0" shapeId="0" xr:uid="{00000000-0006-0000-4B00-000041000000}">
      <text>
        <r>
          <rPr>
            <sz val="12"/>
            <color theme="1"/>
            <rFont val="Aptos Narrow"/>
            <family val="2"/>
            <scheme val="minor"/>
          </rPr>
          <t>was 13150</t>
        </r>
      </text>
    </comment>
    <comment ref="E29" authorId="0" shapeId="0" xr:uid="{00000000-0006-0000-4B00-000042000000}">
      <text>
        <r>
          <rPr>
            <sz val="12"/>
            <color theme="1"/>
            <rFont val="Aptos Narrow"/>
            <family val="2"/>
            <scheme val="minor"/>
          </rPr>
          <t>was 21790</t>
        </r>
      </text>
    </comment>
    <comment ref="B30" authorId="0" shapeId="0" xr:uid="{00000000-0006-0000-4B00-000043000000}">
      <text>
        <r>
          <rPr>
            <sz val="12"/>
            <color theme="1"/>
            <rFont val="Aptos Narrow"/>
            <family val="2"/>
            <scheme val="minor"/>
          </rPr>
          <t>was 5550
VNP40</t>
        </r>
      </text>
    </comment>
    <comment ref="E30" authorId="0" shapeId="0" xr:uid="{00000000-0006-0000-4B00-000044000000}">
      <text>
        <r>
          <rPr>
            <sz val="12"/>
            <color theme="1"/>
            <rFont val="Aptos Narrow"/>
            <family val="2"/>
            <scheme val="minor"/>
          </rPr>
          <t>was 5534</t>
        </r>
      </text>
    </comment>
    <comment ref="B31" authorId="0" shapeId="0" xr:uid="{00000000-0006-0000-4B00-000045000000}">
      <text>
        <r>
          <rPr>
            <sz val="12"/>
            <color theme="1"/>
            <rFont val="Aptos Narrow"/>
            <family val="2"/>
            <scheme val="minor"/>
          </rPr>
          <t xml:space="preserve">was 4490
</t>
        </r>
      </text>
    </comment>
    <comment ref="D31" authorId="2" shapeId="0" xr:uid="{00000000-0006-0000-4B00-000046000000}">
      <text>
        <r>
          <rPr>
            <sz val="12"/>
            <color theme="1"/>
            <rFont val="Aptos Narrow"/>
            <family val="2"/>
            <scheme val="minor"/>
          </rPr>
          <t>Việt Hoàng:
4.490.000</t>
        </r>
      </text>
    </comment>
    <comment ref="E31" authorId="0" shapeId="0" xr:uid="{00000000-0006-0000-4B00-000047000000}">
      <text>
        <r>
          <rPr>
            <sz val="12"/>
            <color theme="1"/>
            <rFont val="Aptos Narrow"/>
            <family val="2"/>
            <scheme val="minor"/>
          </rPr>
          <t>was 4346</t>
        </r>
      </text>
    </comment>
    <comment ref="F31" authorId="3" shapeId="0" xr:uid="{00000000-0006-0000-4B00-000048000000}">
      <text>
        <r>
          <rPr>
            <sz val="12"/>
            <color theme="1"/>
            <rFont val="Aptos Narrow"/>
            <family val="2"/>
            <scheme val="minor"/>
          </rPr>
          <t>Người dùng Không xác định:
4.590</t>
        </r>
      </text>
    </comment>
    <comment ref="B32" authorId="0" shapeId="0" xr:uid="{00000000-0006-0000-4B00-000049000000}">
      <text>
        <r>
          <rPr>
            <sz val="12"/>
            <color theme="1"/>
            <rFont val="Aptos Narrow"/>
            <family val="2"/>
            <scheme val="minor"/>
          </rPr>
          <t>was 3190</t>
        </r>
      </text>
    </comment>
    <comment ref="D32" authorId="2" shapeId="0" xr:uid="{00000000-0006-0000-4B00-00004A000000}">
      <text>
        <r>
          <rPr>
            <sz val="12"/>
            <color theme="1"/>
            <rFont val="Aptos Narrow"/>
            <family val="2"/>
            <scheme val="minor"/>
          </rPr>
          <t>Việt Hoàng:
3.290.000</t>
        </r>
      </text>
    </comment>
    <comment ref="F32" authorId="3" shapeId="0" xr:uid="{00000000-0006-0000-4B00-00004B000000}">
      <text>
        <r>
          <rPr>
            <sz val="12"/>
            <color theme="1"/>
            <rFont val="Aptos Narrow"/>
            <family val="2"/>
            <scheme val="minor"/>
          </rPr>
          <t>Người dùng Không xác định:
3.390</t>
        </r>
      </text>
    </comment>
    <comment ref="D33" authorId="2" shapeId="0" xr:uid="{00000000-0006-0000-4B00-00004C000000}">
      <text>
        <r>
          <rPr>
            <sz val="12"/>
            <color theme="1"/>
            <rFont val="Aptos Narrow"/>
            <family val="2"/>
            <scheme val="minor"/>
          </rPr>
          <t>Việt Hoàng:
6.690.000</t>
        </r>
      </text>
    </comment>
    <comment ref="B34" authorId="0" shapeId="0" xr:uid="{00000000-0006-0000-4B00-00004D000000}">
      <text>
        <r>
          <rPr>
            <sz val="12"/>
            <color theme="1"/>
            <rFont val="Aptos Narrow"/>
            <family val="2"/>
            <scheme val="minor"/>
          </rPr>
          <t>was 18090
VNP100</t>
        </r>
      </text>
    </comment>
    <comment ref="C34" authorId="5" shapeId="0" xr:uid="{00000000-0006-0000-4B00-00004E000000}">
      <text>
        <r>
          <rPr>
            <sz val="12"/>
            <color theme="1"/>
            <rFont val="Aptos Narrow"/>
            <family val="2"/>
            <scheme val="minor"/>
          </rPr>
          <t>W12 16990</t>
        </r>
      </text>
    </comment>
    <comment ref="C35" authorId="1" shapeId="0" xr:uid="{00000000-0006-0000-4B00-00004F000000}">
      <text>
        <r>
          <rPr>
            <sz val="12"/>
            <color theme="1"/>
            <rFont val="Aptos Narrow"/>
            <family val="2"/>
            <scheme val="minor"/>
          </rPr>
          <t>W12 19590</t>
        </r>
      </text>
    </comment>
    <comment ref="D35" authorId="2" shapeId="0" xr:uid="{00000000-0006-0000-4B00-000050000000}">
      <text>
        <r>
          <rPr>
            <sz val="12"/>
            <color theme="1"/>
            <rFont val="Aptos Narrow"/>
            <family val="2"/>
            <scheme val="minor"/>
          </rPr>
          <t>Việt Hoàng:
19.590.000</t>
        </r>
      </text>
    </comment>
    <comment ref="B36" authorId="0" shapeId="0" xr:uid="{00000000-0006-0000-4B00-000051000000}">
      <text>
        <r>
          <rPr>
            <sz val="12"/>
            <color theme="1"/>
            <rFont val="Aptos Narrow"/>
            <family val="2"/>
            <scheme val="minor"/>
          </rPr>
          <t>was 26140
VNP150</t>
        </r>
      </text>
    </comment>
    <comment ref="D37" authorId="2" shapeId="0" xr:uid="{00000000-0006-0000-4B00-000052000000}">
      <text>
        <r>
          <rPr>
            <sz val="12"/>
            <color theme="1"/>
            <rFont val="Aptos Narrow"/>
            <family val="2"/>
            <scheme val="minor"/>
          </rPr>
          <t>Việt Hoàng:
24.990.000</t>
        </r>
      </text>
    </comment>
    <comment ref="G37" authorId="4" shapeId="0" xr:uid="{00000000-0006-0000-4B00-000053000000}">
      <text>
        <r>
          <rPr>
            <sz val="12"/>
            <color theme="1"/>
            <rFont val="Aptos Narrow"/>
            <family val="2"/>
            <scheme val="minor"/>
          </rPr>
          <t>Tran Dat:
24990</t>
        </r>
      </text>
    </comment>
    <comment ref="D39" authorId="2" shapeId="0" xr:uid="{00000000-0006-0000-4B00-000054000000}">
      <text>
        <r>
          <rPr>
            <sz val="12"/>
            <color theme="1"/>
            <rFont val="Aptos Narrow"/>
            <family val="2"/>
            <scheme val="minor"/>
          </rPr>
          <t>Việt Hoàng:
38.190.000</t>
        </r>
      </text>
    </comment>
  </commentList>
</comments>
</file>

<file path=xl/comments77.xml><?xml version="1.0" encoding="utf-8"?>
<comments xmlns="http://schemas.openxmlformats.org/spreadsheetml/2006/main" xmlns:mc="http://schemas.openxmlformats.org/markup-compatibility/2006" xmlns:xr="http://schemas.microsoft.com/office/spreadsheetml/2014/revision" mc:Ignorable="xr">
  <authors>
    <author>Microsoft Office User</author>
    <author>Duy Ha Minh</author>
    <author>Việt Hoàng</author>
    <author>Tran Dat</author>
    <author>Người dùng Khách</author>
    <author>Duy</author>
  </authors>
  <commentList>
    <comment ref="E2" authorId="0" shapeId="0" xr:uid="{00000000-0006-0000-4C00-000001000000}">
      <text>
        <r>
          <rPr>
            <sz val="12"/>
            <color theme="1"/>
            <rFont val="Aptos Narrow"/>
            <family val="2"/>
            <scheme val="minor"/>
          </rPr>
          <t>VNP500K</t>
        </r>
      </text>
    </comment>
    <comment ref="E4" authorId="0" shapeId="0" xr:uid="{00000000-0006-0000-4C00-000002000000}">
      <text>
        <r>
          <rPr>
            <sz val="12"/>
            <color theme="1"/>
            <rFont val="Aptos Narrow"/>
            <family val="2"/>
            <scheme val="minor"/>
          </rPr>
          <t>VNP500
was 34490</t>
        </r>
      </text>
    </comment>
    <comment ref="E6" authorId="0" shapeId="0" xr:uid="{00000000-0006-0000-4C00-000003000000}">
      <text>
        <r>
          <rPr>
            <sz val="12"/>
            <color theme="1"/>
            <rFont val="Aptos Narrow"/>
            <family val="2"/>
            <scheme val="minor"/>
          </rPr>
          <t>giờ vàng
GIảm 200K</t>
        </r>
      </text>
    </comment>
    <comment ref="C7" authorId="1" shapeId="0" xr:uid="{00000000-0006-0000-4C00-000004000000}">
      <text>
        <r>
          <rPr>
            <sz val="12"/>
            <color theme="1"/>
            <rFont val="Aptos Narrow"/>
            <family val="2"/>
            <scheme val="minor"/>
          </rPr>
          <t>W1 19990</t>
        </r>
      </text>
    </comment>
    <comment ref="D7" authorId="2" shapeId="0" xr:uid="{00000000-0006-0000-4C00-000005000000}">
      <text>
        <r>
          <rPr>
            <sz val="12"/>
            <color theme="1"/>
            <rFont val="Aptos Narrow"/>
            <family val="2"/>
            <scheme val="minor"/>
          </rPr>
          <t>Việt Hoàng:
19.990.000</t>
        </r>
      </text>
    </comment>
    <comment ref="E7" authorId="0" shapeId="0" xr:uid="{00000000-0006-0000-4C00-000006000000}">
      <text>
        <r>
          <rPr>
            <sz val="12"/>
            <color theme="1"/>
            <rFont val="Aptos Narrow"/>
            <family val="2"/>
            <scheme val="minor"/>
          </rPr>
          <t>Giờ vàng</t>
        </r>
      </text>
    </comment>
    <comment ref="G7" authorId="3" shapeId="0" xr:uid="{00000000-0006-0000-4C00-000007000000}">
      <text>
        <r>
          <rPr>
            <sz val="12"/>
            <color theme="1"/>
            <rFont val="Aptos Narrow"/>
            <family val="2"/>
            <scheme val="minor"/>
          </rPr>
          <t>Tran Dat:
18590</t>
        </r>
      </text>
    </comment>
    <comment ref="B8" authorId="0" shapeId="0" xr:uid="{00000000-0006-0000-4C00-000008000000}">
      <text>
        <r>
          <rPr>
            <sz val="12"/>
            <color theme="1"/>
            <rFont val="Aptos Narrow"/>
            <family val="2"/>
            <scheme val="minor"/>
          </rPr>
          <t>was 24640000
VNP150</t>
        </r>
      </text>
    </comment>
    <comment ref="C8" authorId="1" shapeId="0" xr:uid="{00000000-0006-0000-4C00-000009000000}">
      <text>
        <r>
          <rPr>
            <sz val="12"/>
            <color theme="1"/>
            <rFont val="Aptos Narrow"/>
            <family val="2"/>
            <scheme val="minor"/>
          </rPr>
          <t>W1 22990</t>
        </r>
      </text>
    </comment>
    <comment ref="D8" authorId="2" shapeId="0" xr:uid="{00000000-0006-0000-4C00-00000A000000}">
      <text>
        <r>
          <rPr>
            <sz val="12"/>
            <color theme="1"/>
            <rFont val="Aptos Narrow"/>
            <family val="2"/>
            <scheme val="minor"/>
          </rPr>
          <t>Việt Hoàng:
22.990.000</t>
        </r>
      </text>
    </comment>
    <comment ref="E8" authorId="0" shapeId="0" xr:uid="{00000000-0006-0000-4C00-00000B000000}">
      <text>
        <r>
          <rPr>
            <sz val="12"/>
            <color theme="1"/>
            <rFont val="Aptos Narrow"/>
            <family val="2"/>
            <scheme val="minor"/>
          </rPr>
          <t>Giờ vàng
Tăng 200K</t>
        </r>
      </text>
    </comment>
    <comment ref="G8" authorId="3" shapeId="0" xr:uid="{00000000-0006-0000-4C00-00000C000000}">
      <text>
        <r>
          <rPr>
            <sz val="12"/>
            <color theme="1"/>
            <rFont val="Aptos Narrow"/>
            <family val="2"/>
            <scheme val="minor"/>
          </rPr>
          <t>Tran Dat:
21690</t>
        </r>
      </text>
    </comment>
    <comment ref="E9" authorId="0" shapeId="0" xr:uid="{00000000-0006-0000-4C00-00000D000000}">
      <text>
        <r>
          <rPr>
            <sz val="12"/>
            <color theme="1"/>
            <rFont val="Aptos Narrow"/>
            <family val="2"/>
            <scheme val="minor"/>
          </rPr>
          <t xml:space="preserve">Giờ vàng
</t>
        </r>
      </text>
    </comment>
    <comment ref="F9" authorId="4" shapeId="0" xr:uid="{00000000-0006-0000-4C00-00000E000000}">
      <text>
        <r>
          <rPr>
            <sz val="12"/>
            <color theme="1"/>
            <rFont val="Aptos Narrow"/>
            <family val="2"/>
            <scheme val="minor"/>
          </rPr>
          <t>Người dùng Không xác định:
25.390</t>
        </r>
      </text>
    </comment>
    <comment ref="G9" authorId="3" shapeId="0" xr:uid="{00000000-0006-0000-4C00-00000F000000}">
      <text>
        <r>
          <rPr>
            <sz val="12"/>
            <color theme="1"/>
            <rFont val="Aptos Narrow"/>
            <family val="2"/>
            <scheme val="minor"/>
          </rPr>
          <t>Tran Dat:
25490</t>
        </r>
      </text>
    </comment>
    <comment ref="B10" authorId="0" shapeId="0" xr:uid="{00000000-0006-0000-4C00-000010000000}">
      <text>
        <r>
          <rPr>
            <sz val="12"/>
            <color theme="1"/>
            <rFont val="Aptos Narrow"/>
            <family val="2"/>
            <scheme val="minor"/>
          </rPr>
          <t>Tặng phiếu mua hàng mua AirPods và Apple Watch trị giá 500,000đ
 Phiếu mua hàng mua sản phẩm giá niêm yết từ 5 triệu thuộc các nhóm TAI NGHE - LOA hãng HARMAN KARDON, JBL,MONSTER, KLIPSCH, MARSHALL, SONY; Smartwatch hãng HUAWEI, GARMIN, SAMSUNG, IMOO, OPPO, AMAZFIT trị giá 500.000đ</t>
        </r>
      </text>
    </comment>
    <comment ref="D10" authorId="2" shapeId="0" xr:uid="{00000000-0006-0000-4C00-000011000000}">
      <text>
        <r>
          <rPr>
            <sz val="12"/>
            <color theme="1"/>
            <rFont val="Aptos Narrow"/>
            <family val="2"/>
            <scheme val="minor"/>
          </rPr>
          <t>Việt Hoàng:
29.990.000</t>
        </r>
      </text>
    </comment>
    <comment ref="E10" authorId="0" shapeId="0" xr:uid="{00000000-0006-0000-4C00-000012000000}">
      <text>
        <r>
          <rPr>
            <sz val="12"/>
            <color theme="1"/>
            <rFont val="Aptos Narrow"/>
            <family val="2"/>
            <scheme val="minor"/>
          </rPr>
          <t xml:space="preserve">Giờ vàng
</t>
        </r>
      </text>
    </comment>
    <comment ref="G10" authorId="3" shapeId="0" xr:uid="{00000000-0006-0000-4C00-000013000000}">
      <text>
        <r>
          <rPr>
            <sz val="12"/>
            <color theme="1"/>
            <rFont val="Aptos Narrow"/>
            <family val="2"/>
            <scheme val="minor"/>
          </rPr>
          <t>Tran Dat:
29.490</t>
        </r>
      </text>
    </comment>
    <comment ref="C11" authorId="1" shapeId="0" xr:uid="{00000000-0006-0000-4C00-000014000000}">
      <text>
        <r>
          <rPr>
            <sz val="12"/>
            <color theme="1"/>
            <rFont val="Aptos Narrow"/>
            <family val="2"/>
            <scheme val="minor"/>
          </rPr>
          <t>W1 15990</t>
        </r>
      </text>
    </comment>
    <comment ref="D11" authorId="2" shapeId="0" xr:uid="{00000000-0006-0000-4C00-000015000000}">
      <text>
        <r>
          <rPr>
            <sz val="12"/>
            <color theme="1"/>
            <rFont val="Aptos Narrow"/>
            <family val="2"/>
            <scheme val="minor"/>
          </rPr>
          <t>Việt Hoàng:
15.990.000</t>
        </r>
      </text>
    </comment>
    <comment ref="G11" authorId="3" shapeId="0" xr:uid="{00000000-0006-0000-4C00-000016000000}">
      <text>
        <r>
          <rPr>
            <sz val="12"/>
            <color theme="1"/>
            <rFont val="Aptos Narrow"/>
            <family val="2"/>
            <scheme val="minor"/>
          </rPr>
          <t>Tran Dat:15990</t>
        </r>
      </text>
    </comment>
    <comment ref="D12" authorId="2" shapeId="0" xr:uid="{00000000-0006-0000-4C00-000017000000}">
      <text>
        <r>
          <rPr>
            <sz val="12"/>
            <color theme="1"/>
            <rFont val="Aptos Narrow"/>
            <family val="2"/>
            <scheme val="minor"/>
          </rPr>
          <t>Việt Hoàng:
18.890.000</t>
        </r>
      </text>
    </comment>
    <comment ref="E12" authorId="0" shapeId="0" xr:uid="{00000000-0006-0000-4C00-000018000000}">
      <text>
        <r>
          <rPr>
            <sz val="12"/>
            <color theme="1"/>
            <rFont val="Aptos Narrow"/>
            <family val="2"/>
            <scheme val="minor"/>
          </rPr>
          <t>Giờ vàng
Gỉam 300K</t>
        </r>
      </text>
    </comment>
    <comment ref="F12" authorId="4" shapeId="0" xr:uid="{00000000-0006-0000-4C00-000019000000}">
      <text>
        <r>
          <rPr>
            <sz val="12"/>
            <color theme="1"/>
            <rFont val="Aptos Narrow"/>
            <family val="2"/>
            <scheme val="minor"/>
          </rPr>
          <t>Người dùng Không xác định:
18.790</t>
        </r>
      </text>
    </comment>
    <comment ref="C13" authorId="1" shapeId="0" xr:uid="{00000000-0006-0000-4C00-00001A000000}">
      <text>
        <r>
          <rPr>
            <sz val="12"/>
            <color theme="1"/>
            <rFont val="Aptos Narrow"/>
            <family val="2"/>
            <scheme val="minor"/>
          </rPr>
          <t>W1 12990</t>
        </r>
      </text>
    </comment>
    <comment ref="D13" authorId="2" shapeId="0" xr:uid="{00000000-0006-0000-4C00-00001B000000}">
      <text>
        <r>
          <rPr>
            <sz val="12"/>
            <color theme="1"/>
            <rFont val="Aptos Narrow"/>
            <family val="2"/>
            <scheme val="minor"/>
          </rPr>
          <t>Việt Hoàng:
12.990.000</t>
        </r>
      </text>
    </comment>
    <comment ref="E13" authorId="0" shapeId="0" xr:uid="{00000000-0006-0000-4C00-00001C000000}">
      <text>
        <r>
          <rPr>
            <sz val="12"/>
            <color theme="1"/>
            <rFont val="Aptos Narrow"/>
            <family val="2"/>
            <scheme val="minor"/>
          </rPr>
          <t>Giờ vàng
Tăng 200K</t>
        </r>
      </text>
    </comment>
    <comment ref="F13" authorId="4" shapeId="0" xr:uid="{00000000-0006-0000-4C00-00001D000000}">
      <text>
        <r>
          <rPr>
            <sz val="12"/>
            <color theme="1"/>
            <rFont val="Aptos Narrow"/>
            <family val="2"/>
            <scheme val="minor"/>
          </rPr>
          <t>Người dùng Không xác định:
12.890</t>
        </r>
      </text>
    </comment>
    <comment ref="B14" authorId="0" shapeId="0" xr:uid="{00000000-0006-0000-4C00-00001E000000}">
      <text>
        <r>
          <rPr>
            <sz val="12"/>
            <color theme="1"/>
            <rFont val="Aptos Narrow"/>
            <family val="2"/>
            <scheme val="minor"/>
          </rPr>
          <t>was 13190
VNP100</t>
        </r>
      </text>
    </comment>
    <comment ref="C14" authorId="1" shapeId="0" xr:uid="{00000000-0006-0000-4C00-00001F000000}">
      <text>
        <r>
          <rPr>
            <sz val="12"/>
            <color theme="1"/>
            <rFont val="Aptos Narrow"/>
            <family val="2"/>
            <scheme val="minor"/>
          </rPr>
          <t>W1 11990</t>
        </r>
      </text>
    </comment>
    <comment ref="D14" authorId="2" shapeId="0" xr:uid="{00000000-0006-0000-4C00-000020000000}">
      <text>
        <r>
          <rPr>
            <sz val="12"/>
            <color theme="1"/>
            <rFont val="Aptos Narrow"/>
            <family val="2"/>
            <scheme val="minor"/>
          </rPr>
          <t>Việt Hoàng:
11.890.000</t>
        </r>
      </text>
    </comment>
    <comment ref="E14" authorId="0" shapeId="0" xr:uid="{00000000-0006-0000-4C00-000021000000}">
      <text>
        <r>
          <rPr>
            <sz val="12"/>
            <color theme="1"/>
            <rFont val="Aptos Narrow"/>
            <family val="2"/>
            <scheme val="minor"/>
          </rPr>
          <t>Giờ vàng
Giảm 100K</t>
        </r>
      </text>
    </comment>
    <comment ref="F14" authorId="4" shapeId="0" xr:uid="{00000000-0006-0000-4C00-000022000000}">
      <text>
        <r>
          <rPr>
            <sz val="12"/>
            <color theme="1"/>
            <rFont val="Aptos Narrow"/>
            <family val="2"/>
            <scheme val="minor"/>
          </rPr>
          <t>Người dùng Không xác định:
11.790</t>
        </r>
      </text>
    </comment>
    <comment ref="E15" authorId="0" shapeId="0" xr:uid="{00000000-0006-0000-4C00-000023000000}">
      <text>
        <r>
          <rPr>
            <sz val="12"/>
            <color theme="1"/>
            <rFont val="Aptos Narrow"/>
            <family val="2"/>
            <scheme val="minor"/>
          </rPr>
          <t>was 13652</t>
        </r>
      </text>
    </comment>
    <comment ref="B16" authorId="0" shapeId="0" xr:uid="{00000000-0006-0000-4C00-000024000000}">
      <text>
        <r>
          <rPr>
            <sz val="12"/>
            <color theme="1"/>
            <rFont val="Aptos Narrow"/>
            <family val="2"/>
            <scheme val="minor"/>
          </rPr>
          <t>was 7040
VNP40</t>
        </r>
      </text>
    </comment>
    <comment ref="D16" authorId="2" shapeId="0" xr:uid="{00000000-0006-0000-4C00-000025000000}">
      <text>
        <r>
          <rPr>
            <sz val="12"/>
            <color theme="1"/>
            <rFont val="Aptos Narrow"/>
            <family val="2"/>
            <scheme val="minor"/>
          </rPr>
          <t>Việt Hoàng
9.590.000</t>
        </r>
      </text>
    </comment>
    <comment ref="B17" authorId="0" shapeId="0" xr:uid="{00000000-0006-0000-4C00-000026000000}">
      <text>
        <r>
          <rPr>
            <sz val="12"/>
            <color theme="1"/>
            <rFont val="Aptos Narrow"/>
            <family val="2"/>
            <scheme val="minor"/>
          </rPr>
          <t>was 14390</t>
        </r>
      </text>
    </comment>
    <comment ref="C18" authorId="5" shapeId="0" xr:uid="{00000000-0006-0000-4C00-000027000000}">
      <text>
        <r>
          <rPr>
            <sz val="12"/>
            <color theme="1"/>
            <rFont val="Aptos Narrow"/>
            <family val="2"/>
            <scheme val="minor"/>
          </rPr>
          <t>W1 21590</t>
        </r>
      </text>
    </comment>
    <comment ref="C19" authorId="5" shapeId="0" xr:uid="{00000000-0006-0000-4C00-000028000000}">
      <text>
        <r>
          <rPr>
            <sz val="12"/>
            <color theme="1"/>
            <rFont val="Aptos Narrow"/>
            <family val="2"/>
            <scheme val="minor"/>
          </rPr>
          <t>W1 27090</t>
        </r>
      </text>
    </comment>
    <comment ref="B20" authorId="0" shapeId="0" xr:uid="{00000000-0006-0000-4C00-000029000000}">
      <text>
        <r>
          <rPr>
            <sz val="12"/>
            <color theme="1"/>
            <rFont val="Aptos Narrow"/>
            <family val="2"/>
            <scheme val="minor"/>
          </rPr>
          <t>was 36640</t>
        </r>
      </text>
    </comment>
    <comment ref="B28" authorId="0" shapeId="0" xr:uid="{00000000-0006-0000-4C00-00002A000000}">
      <text>
        <r>
          <rPr>
            <sz val="12"/>
            <color theme="1"/>
            <rFont val="Aptos Narrow"/>
            <family val="2"/>
            <scheme val="minor"/>
          </rPr>
          <t>was 13320
VNP100</t>
        </r>
      </text>
    </comment>
    <comment ref="B30" authorId="0" shapeId="0" xr:uid="{00000000-0006-0000-4C00-00002B000000}">
      <text>
        <r>
          <rPr>
            <sz val="12"/>
            <color theme="1"/>
            <rFont val="Aptos Narrow"/>
            <family val="2"/>
            <scheme val="minor"/>
          </rPr>
          <t>was 5550
VNP40</t>
        </r>
      </text>
    </comment>
    <comment ref="B31" authorId="0" shapeId="0" xr:uid="{00000000-0006-0000-4C00-00002C000000}">
      <text>
        <r>
          <rPr>
            <sz val="12"/>
            <color theme="1"/>
            <rFont val="Aptos Narrow"/>
            <family val="2"/>
            <scheme val="minor"/>
          </rPr>
          <t xml:space="preserve">was 4490
</t>
        </r>
      </text>
    </comment>
    <comment ref="B32" authorId="0" shapeId="0" xr:uid="{00000000-0006-0000-4C00-00002D000000}">
      <text>
        <r>
          <rPr>
            <sz val="12"/>
            <color theme="1"/>
            <rFont val="Aptos Narrow"/>
            <family val="2"/>
            <scheme val="minor"/>
          </rPr>
          <t>was 3190</t>
        </r>
      </text>
    </comment>
    <comment ref="E33" authorId="0" shapeId="0" xr:uid="{00000000-0006-0000-4C00-00002E000000}">
      <text>
        <r>
          <rPr>
            <sz val="12"/>
            <color theme="1"/>
            <rFont val="Aptos Narrow"/>
            <family val="2"/>
            <scheme val="minor"/>
          </rPr>
          <t xml:space="preserve">was 6790
</t>
        </r>
      </text>
    </comment>
    <comment ref="B34" authorId="0" shapeId="0" xr:uid="{00000000-0006-0000-4C00-00002F000000}">
      <text>
        <r>
          <rPr>
            <sz val="12"/>
            <color theme="1"/>
            <rFont val="Aptos Narrow"/>
            <family val="2"/>
            <scheme val="minor"/>
          </rPr>
          <t>was 18090
VNP100</t>
        </r>
      </text>
    </comment>
    <comment ref="C35" authorId="1" shapeId="0" xr:uid="{00000000-0006-0000-4C00-000030000000}">
      <text>
        <r>
          <rPr>
            <sz val="12"/>
            <color theme="1"/>
            <rFont val="Aptos Narrow"/>
            <family val="2"/>
            <scheme val="minor"/>
          </rPr>
          <t>W1 19790</t>
        </r>
      </text>
    </comment>
    <comment ref="D35" authorId="2" shapeId="0" xr:uid="{00000000-0006-0000-4C00-000031000000}">
      <text>
        <r>
          <rPr>
            <sz val="12"/>
            <color theme="1"/>
            <rFont val="Aptos Narrow"/>
            <family val="2"/>
            <scheme val="minor"/>
          </rPr>
          <t>Việt Hoàng:
19.890.000</t>
        </r>
      </text>
    </comment>
    <comment ref="F35" authorId="4" shapeId="0" xr:uid="{00000000-0006-0000-4C00-000032000000}">
      <text>
        <r>
          <rPr>
            <sz val="12"/>
            <color theme="1"/>
            <rFont val="Aptos Narrow"/>
            <family val="2"/>
            <scheme val="minor"/>
          </rPr>
          <t>Người dùng Không xác định:
19.790</t>
        </r>
      </text>
    </comment>
    <comment ref="B36" authorId="0" shapeId="0" xr:uid="{00000000-0006-0000-4C00-000033000000}">
      <text>
        <r>
          <rPr>
            <sz val="12"/>
            <color theme="1"/>
            <rFont val="Aptos Narrow"/>
            <family val="2"/>
            <scheme val="minor"/>
          </rPr>
          <t>was 26140
VNP150</t>
        </r>
      </text>
    </comment>
    <comment ref="G37" authorId="3" shapeId="0" xr:uid="{00000000-0006-0000-4C00-000034000000}">
      <text>
        <r>
          <rPr>
            <sz val="12"/>
            <color theme="1"/>
            <rFont val="Aptos Narrow"/>
            <family val="2"/>
            <scheme val="minor"/>
          </rPr>
          <t>Tran Dat:
24990</t>
        </r>
      </text>
    </comment>
    <comment ref="D38" authorId="2" shapeId="0" xr:uid="{00000000-0006-0000-4C00-000035000000}">
      <text>
        <r>
          <rPr>
            <sz val="12"/>
            <color theme="1"/>
            <rFont val="Aptos Narrow"/>
            <family val="2"/>
            <scheme val="minor"/>
          </rPr>
          <t>Việt Hoàng:
30.490.000</t>
        </r>
      </text>
    </comment>
    <comment ref="F38" authorId="4" shapeId="0" xr:uid="{00000000-0006-0000-4C00-000036000000}">
      <text>
        <r>
          <rPr>
            <sz val="12"/>
            <color theme="1"/>
            <rFont val="Aptos Narrow"/>
            <family val="2"/>
            <scheme val="minor"/>
          </rPr>
          <t>Người dùng Không xác định:
29.290</t>
        </r>
      </text>
    </comment>
    <comment ref="F39" authorId="4" shapeId="0" xr:uid="{00000000-0006-0000-4C00-000037000000}">
      <text>
        <r>
          <rPr>
            <sz val="12"/>
            <color theme="1"/>
            <rFont val="Aptos Narrow"/>
            <family val="2"/>
            <scheme val="minor"/>
          </rPr>
          <t>Người dùng Không xác định:
37.590</t>
        </r>
      </text>
    </comment>
  </commentList>
</comments>
</file>

<file path=xl/comments78.xml><?xml version="1.0" encoding="utf-8"?>
<comments xmlns="http://schemas.openxmlformats.org/spreadsheetml/2006/main" xmlns:mc="http://schemas.openxmlformats.org/markup-compatibility/2006" xmlns:xr="http://schemas.microsoft.com/office/spreadsheetml/2014/revision" mc:Ignorable="xr">
  <authors>
    <author>Microsoft Office User</author>
    <author>Duy</author>
    <author>Tran Dat</author>
    <author>Việt Hoàng</author>
    <author>Người dùng Khách</author>
    <author>Duy Ha Minh</author>
  </authors>
  <commentList>
    <comment ref="E2" authorId="0" shapeId="0" xr:uid="{00000000-0006-0000-4D00-000001000000}">
      <text>
        <r>
          <rPr>
            <sz val="12"/>
            <color theme="1"/>
            <rFont val="Aptos Narrow"/>
            <family val="2"/>
            <scheme val="minor"/>
          </rPr>
          <t>VNP500K</t>
        </r>
      </text>
    </comment>
    <comment ref="C3" authorId="1" shapeId="0" xr:uid="{00000000-0006-0000-4D00-000002000000}">
      <text>
        <r>
          <rPr>
            <sz val="12"/>
            <color theme="1"/>
            <rFont val="Aptos Narrow"/>
            <family val="2"/>
            <scheme val="minor"/>
          </rPr>
          <t>W2 31990</t>
        </r>
      </text>
    </comment>
    <comment ref="G3" authorId="2" shapeId="0" xr:uid="{00000000-0006-0000-4D00-000003000000}">
      <text>
        <r>
          <rPr>
            <sz val="12"/>
            <color theme="1"/>
            <rFont val="Aptos Narrow"/>
            <family val="2"/>
            <scheme val="minor"/>
          </rPr>
          <t xml:space="preserve">Tran Dat:
30990000
</t>
        </r>
      </text>
    </comment>
    <comment ref="E4" authorId="0" shapeId="0" xr:uid="{00000000-0006-0000-4D00-000004000000}">
      <text>
        <r>
          <rPr>
            <sz val="12"/>
            <color theme="1"/>
            <rFont val="Aptos Narrow"/>
            <family val="2"/>
            <scheme val="minor"/>
          </rPr>
          <t>VNP500
was 34490</t>
        </r>
      </text>
    </comment>
    <comment ref="G4" authorId="2" shapeId="0" xr:uid="{00000000-0006-0000-4D00-000005000000}">
      <text>
        <r>
          <rPr>
            <sz val="12"/>
            <color theme="1"/>
            <rFont val="Aptos Narrow"/>
            <family val="2"/>
            <scheme val="minor"/>
          </rPr>
          <t>Tran Dat:
34990</t>
        </r>
      </text>
    </comment>
    <comment ref="C6" authorId="1" shapeId="0" xr:uid="{00000000-0006-0000-4D00-000006000000}">
      <text>
        <r>
          <rPr>
            <sz val="12"/>
            <color theme="1"/>
            <rFont val="Aptos Narrow"/>
            <family val="2"/>
            <scheme val="minor"/>
          </rPr>
          <t>W2 15990</t>
        </r>
      </text>
    </comment>
    <comment ref="D6" authorId="3" shapeId="0" xr:uid="{00000000-0006-0000-4D00-000007000000}">
      <text>
        <r>
          <rPr>
            <sz val="12"/>
            <color theme="1"/>
            <rFont val="Aptos Narrow"/>
            <family val="2"/>
            <scheme val="minor"/>
          </rPr>
          <t>Việt Hoàng:
15.990.000</t>
        </r>
      </text>
    </comment>
    <comment ref="E6" authorId="0" shapeId="0" xr:uid="{00000000-0006-0000-4D00-000008000000}">
      <text>
        <r>
          <rPr>
            <sz val="12"/>
            <color theme="1"/>
            <rFont val="Aptos Narrow"/>
            <family val="2"/>
            <scheme val="minor"/>
          </rPr>
          <t>giờ vàng
GIảm 200K</t>
        </r>
      </text>
    </comment>
    <comment ref="F6" authorId="4" shapeId="0" xr:uid="{00000000-0006-0000-4D00-000009000000}">
      <text>
        <r>
          <rPr>
            <sz val="12"/>
            <color theme="1"/>
            <rFont val="Aptos Narrow"/>
            <family val="2"/>
            <scheme val="minor"/>
          </rPr>
          <t>Người dùng Không xác định:
15.590</t>
        </r>
      </text>
    </comment>
    <comment ref="C7" authorId="5" shapeId="0" xr:uid="{00000000-0006-0000-4D00-00000A000000}">
      <text>
        <r>
          <rPr>
            <sz val="12"/>
            <color theme="1"/>
            <rFont val="Aptos Narrow"/>
            <family val="2"/>
            <scheme val="minor"/>
          </rPr>
          <t>W2 20990</t>
        </r>
      </text>
    </comment>
    <comment ref="D7" authorId="3" shapeId="0" xr:uid="{00000000-0006-0000-4D00-00000B000000}">
      <text>
        <r>
          <rPr>
            <sz val="12"/>
            <color theme="1"/>
            <rFont val="Aptos Narrow"/>
            <family val="2"/>
            <scheme val="minor"/>
          </rPr>
          <t>Việt Hoàng:
20.990.000</t>
        </r>
      </text>
    </comment>
    <comment ref="E7" authorId="0" shapeId="0" xr:uid="{00000000-0006-0000-4D00-00000C000000}">
      <text>
        <r>
          <rPr>
            <sz val="12"/>
            <color theme="1"/>
            <rFont val="Aptos Narrow"/>
            <family val="2"/>
            <scheme val="minor"/>
          </rPr>
          <t>was 18490</t>
        </r>
      </text>
    </comment>
    <comment ref="F7" authorId="4" shapeId="0" xr:uid="{00000000-0006-0000-4D00-00000D000000}">
      <text>
        <r>
          <rPr>
            <sz val="12"/>
            <color theme="1"/>
            <rFont val="Aptos Narrow"/>
            <family val="2"/>
            <scheme val="minor"/>
          </rPr>
          <t>Người dùng Không xác định:
18.990k</t>
        </r>
      </text>
    </comment>
    <comment ref="B8" authorId="0" shapeId="0" xr:uid="{00000000-0006-0000-4D00-00000E000000}">
      <text>
        <r>
          <rPr>
            <sz val="12"/>
            <color theme="1"/>
            <rFont val="Aptos Narrow"/>
            <family val="2"/>
            <scheme val="minor"/>
          </rPr>
          <t>was 24640000
VNP150</t>
        </r>
      </text>
    </comment>
    <comment ref="C8" authorId="5" shapeId="0" xr:uid="{00000000-0006-0000-4D00-00000F000000}">
      <text>
        <r>
          <rPr>
            <sz val="12"/>
            <color theme="1"/>
            <rFont val="Aptos Narrow"/>
            <family val="2"/>
            <scheme val="minor"/>
          </rPr>
          <t>W2 23990</t>
        </r>
      </text>
    </comment>
    <comment ref="D8" authorId="3" shapeId="0" xr:uid="{00000000-0006-0000-4D00-000010000000}">
      <text>
        <r>
          <rPr>
            <sz val="12"/>
            <color theme="1"/>
            <rFont val="Aptos Narrow"/>
            <family val="2"/>
            <scheme val="minor"/>
          </rPr>
          <t>Việt Hoàng:
23.990.000</t>
        </r>
      </text>
    </comment>
    <comment ref="E8" authorId="0" shapeId="0" xr:uid="{00000000-0006-0000-4D00-000011000000}">
      <text>
        <r>
          <rPr>
            <sz val="12"/>
            <color theme="1"/>
            <rFont val="Aptos Narrow"/>
            <family val="2"/>
            <scheme val="minor"/>
          </rPr>
          <t>was 21890</t>
        </r>
      </text>
    </comment>
    <comment ref="E9" authorId="0" shapeId="0" xr:uid="{00000000-0006-0000-4D00-000012000000}">
      <text>
        <r>
          <rPr>
            <sz val="12"/>
            <color theme="1"/>
            <rFont val="Aptos Narrow"/>
            <family val="2"/>
            <scheme val="minor"/>
          </rPr>
          <t xml:space="preserve">Giờ vàng
</t>
        </r>
      </text>
    </comment>
    <comment ref="G9" authorId="2" shapeId="0" xr:uid="{00000000-0006-0000-4D00-000013000000}">
      <text>
        <r>
          <rPr>
            <sz val="12"/>
            <color theme="1"/>
            <rFont val="Aptos Narrow"/>
            <family val="2"/>
            <scheme val="minor"/>
          </rPr>
          <t>Tran Dat:
25490</t>
        </r>
      </text>
    </comment>
    <comment ref="B10" authorId="0" shapeId="0" xr:uid="{00000000-0006-0000-4D00-000014000000}">
      <text>
        <r>
          <rPr>
            <sz val="12"/>
            <color theme="1"/>
            <rFont val="Aptos Narrow"/>
            <family val="2"/>
            <scheme val="minor"/>
          </rPr>
          <t>Tặng phiếu mua hàng mua AirPods và Apple Watch trị giá 500,000đ
 Phiếu mua hàng mua sản phẩm giá niêm yết từ 5 triệu thuộc các nhóm TAI NGHE - LOA hãng HARMAN KARDON, JBL,MONSTER, KLIPSCH, MARSHALL, SONY; Smartwatch hãng HUAWEI, GARMIN, SAMSUNG, IMOO, OPPO, AMAZFIT trị giá 500.000đ</t>
        </r>
      </text>
    </comment>
    <comment ref="D10" authorId="3" shapeId="0" xr:uid="{00000000-0006-0000-4D00-000015000000}">
      <text>
        <r>
          <rPr>
            <sz val="12"/>
            <color theme="1"/>
            <rFont val="Aptos Narrow"/>
            <family val="2"/>
            <scheme val="minor"/>
          </rPr>
          <t>Việt Hoàng:
30.490.000</t>
        </r>
      </text>
    </comment>
    <comment ref="E10" authorId="0" shapeId="0" xr:uid="{00000000-0006-0000-4D00-000016000000}">
      <text>
        <r>
          <rPr>
            <sz val="12"/>
            <color theme="1"/>
            <rFont val="Aptos Narrow"/>
            <family val="2"/>
            <scheme val="minor"/>
          </rPr>
          <t>Giờ vàng
KH mới 400</t>
        </r>
      </text>
    </comment>
    <comment ref="F10" authorId="4" shapeId="0" xr:uid="{00000000-0006-0000-4D00-000017000000}">
      <text>
        <r>
          <rPr>
            <sz val="12"/>
            <color theme="1"/>
            <rFont val="Aptos Narrow"/>
            <family val="2"/>
            <scheme val="minor"/>
          </rPr>
          <t>Người dùng Không xác định:
30.590</t>
        </r>
      </text>
    </comment>
    <comment ref="G10" authorId="2" shapeId="0" xr:uid="{00000000-0006-0000-4D00-000018000000}">
      <text>
        <r>
          <rPr>
            <sz val="12"/>
            <color theme="1"/>
            <rFont val="Aptos Narrow"/>
            <family val="2"/>
            <scheme val="minor"/>
          </rPr>
          <t>Tran Dat:
30490</t>
        </r>
      </text>
    </comment>
    <comment ref="C11" authorId="5" shapeId="0" xr:uid="{00000000-0006-0000-4D00-000019000000}">
      <text>
        <r>
          <rPr>
            <sz val="12"/>
            <color theme="1"/>
            <rFont val="Aptos Narrow"/>
            <family val="2"/>
            <scheme val="minor"/>
          </rPr>
          <t>W2 16990</t>
        </r>
      </text>
    </comment>
    <comment ref="D11" authorId="3" shapeId="0" xr:uid="{00000000-0006-0000-4D00-00001A000000}">
      <text>
        <r>
          <rPr>
            <sz val="12"/>
            <color theme="1"/>
            <rFont val="Aptos Narrow"/>
            <family val="2"/>
            <scheme val="minor"/>
          </rPr>
          <t>Việt Hoàng:
16.990.000</t>
        </r>
      </text>
    </comment>
    <comment ref="E11" authorId="0" shapeId="0" xr:uid="{00000000-0006-0000-4D00-00001B000000}">
      <text>
        <r>
          <rPr>
            <sz val="12"/>
            <color theme="1"/>
            <rFont val="Aptos Narrow"/>
            <family val="2"/>
            <scheme val="minor"/>
          </rPr>
          <t>was 15190</t>
        </r>
      </text>
    </comment>
    <comment ref="F11" authorId="4" shapeId="0" xr:uid="{00000000-0006-0000-4D00-00001C000000}">
      <text>
        <r>
          <rPr>
            <sz val="12"/>
            <color theme="1"/>
            <rFont val="Aptos Narrow"/>
            <family val="2"/>
            <scheme val="minor"/>
          </rPr>
          <t>Người dùng Không xác định:
15.990</t>
        </r>
      </text>
    </comment>
    <comment ref="G11" authorId="2" shapeId="0" xr:uid="{00000000-0006-0000-4D00-00001D000000}">
      <text>
        <r>
          <rPr>
            <sz val="12"/>
            <color theme="1"/>
            <rFont val="Aptos Narrow"/>
            <family val="2"/>
            <scheme val="minor"/>
          </rPr>
          <t>Tran Dat:15990</t>
        </r>
      </text>
    </comment>
    <comment ref="E12" authorId="0" shapeId="0" xr:uid="{00000000-0006-0000-4D00-00001E000000}">
      <text>
        <r>
          <rPr>
            <sz val="12"/>
            <color theme="1"/>
            <rFont val="Aptos Narrow"/>
            <family val="2"/>
            <scheme val="minor"/>
          </rPr>
          <t>Giờ vàng
Gỉam 300K</t>
        </r>
      </text>
    </comment>
    <comment ref="F12" authorId="4" shapeId="0" xr:uid="{00000000-0006-0000-4D00-00001F000000}">
      <text>
        <r>
          <rPr>
            <sz val="12"/>
            <color theme="1"/>
            <rFont val="Aptos Narrow"/>
            <family val="2"/>
            <scheme val="minor"/>
          </rPr>
          <t>Người dùng Không xác định:
17.990</t>
        </r>
      </text>
    </comment>
    <comment ref="D13" authorId="3" shapeId="0" xr:uid="{00000000-0006-0000-4D00-000020000000}">
      <text>
        <r>
          <rPr>
            <sz val="12"/>
            <color theme="1"/>
            <rFont val="Aptos Narrow"/>
            <family val="2"/>
            <scheme val="minor"/>
          </rPr>
          <t>Việt Hoàng:
13.990.000</t>
        </r>
      </text>
    </comment>
    <comment ref="E13" authorId="0" shapeId="0" xr:uid="{00000000-0006-0000-4D00-000021000000}">
      <text>
        <r>
          <rPr>
            <sz val="12"/>
            <color theme="1"/>
            <rFont val="Aptos Narrow"/>
            <family val="2"/>
            <scheme val="minor"/>
          </rPr>
          <t>was 12490</t>
        </r>
      </text>
    </comment>
    <comment ref="F13" authorId="4" shapeId="0" xr:uid="{00000000-0006-0000-4D00-000022000000}">
      <text>
        <r>
          <rPr>
            <sz val="12"/>
            <color theme="1"/>
            <rFont val="Aptos Narrow"/>
            <family val="2"/>
            <scheme val="minor"/>
          </rPr>
          <t>Người dùng Không xác định:
13990</t>
        </r>
      </text>
    </comment>
    <comment ref="G13" authorId="2" shapeId="0" xr:uid="{00000000-0006-0000-4D00-000023000000}">
      <text>
        <r>
          <rPr>
            <sz val="12"/>
            <color theme="1"/>
            <rFont val="Aptos Narrow"/>
            <family val="2"/>
            <scheme val="minor"/>
          </rPr>
          <t>Tran Dat:
12190</t>
        </r>
      </text>
    </comment>
    <comment ref="B14" authorId="0" shapeId="0" xr:uid="{00000000-0006-0000-4D00-000024000000}">
      <text>
        <r>
          <rPr>
            <sz val="12"/>
            <color theme="1"/>
            <rFont val="Aptos Narrow"/>
            <family val="2"/>
            <scheme val="minor"/>
          </rPr>
          <t>was 13190
VNP100</t>
        </r>
      </text>
    </comment>
    <comment ref="D14" authorId="3" shapeId="0" xr:uid="{00000000-0006-0000-4D00-000025000000}">
      <text>
        <r>
          <rPr>
            <sz val="12"/>
            <color theme="1"/>
            <rFont val="Aptos Narrow"/>
            <family val="2"/>
            <scheme val="minor"/>
          </rPr>
          <t>Việt Hoàng:
12.590.000</t>
        </r>
      </text>
    </comment>
    <comment ref="E14" authorId="0" shapeId="0" xr:uid="{00000000-0006-0000-4D00-000026000000}">
      <text>
        <r>
          <rPr>
            <sz val="12"/>
            <color theme="1"/>
            <rFont val="Aptos Narrow"/>
            <family val="2"/>
            <scheme val="minor"/>
          </rPr>
          <t>was 11290</t>
        </r>
      </text>
    </comment>
    <comment ref="F14" authorId="4" shapeId="0" xr:uid="{00000000-0006-0000-4D00-000027000000}">
      <text>
        <r>
          <rPr>
            <sz val="12"/>
            <color theme="1"/>
            <rFont val="Aptos Narrow"/>
            <family val="2"/>
            <scheme val="minor"/>
          </rPr>
          <t>Người dùng Không xác định:
12390</t>
        </r>
      </text>
    </comment>
    <comment ref="C15" authorId="1" shapeId="0" xr:uid="{00000000-0006-0000-4D00-000028000000}">
      <text>
        <r>
          <rPr>
            <sz val="12"/>
            <color theme="1"/>
            <rFont val="Aptos Narrow"/>
            <family val="2"/>
            <scheme val="minor"/>
          </rPr>
          <t>W2 13590</t>
        </r>
      </text>
    </comment>
    <comment ref="D15" authorId="3" shapeId="0" xr:uid="{00000000-0006-0000-4D00-000029000000}">
      <text>
        <r>
          <rPr>
            <sz val="12"/>
            <color theme="1"/>
            <rFont val="Aptos Narrow"/>
            <family val="2"/>
            <scheme val="minor"/>
          </rPr>
          <t>Việt Hoàng:
13.590.000</t>
        </r>
      </text>
    </comment>
    <comment ref="E15" authorId="0" shapeId="0" xr:uid="{00000000-0006-0000-4D00-00002A000000}">
      <text>
        <r>
          <rPr>
            <sz val="12"/>
            <color theme="1"/>
            <rFont val="Aptos Narrow"/>
            <family val="2"/>
            <scheme val="minor"/>
          </rPr>
          <t>was 13790</t>
        </r>
      </text>
    </comment>
    <comment ref="F15" authorId="4" shapeId="0" xr:uid="{00000000-0006-0000-4D00-00002B000000}">
      <text>
        <r>
          <rPr>
            <sz val="12"/>
            <color theme="1"/>
            <rFont val="Aptos Narrow"/>
            <family val="2"/>
            <scheme val="minor"/>
          </rPr>
          <t>Người dùng Không xác định:
13.390</t>
        </r>
      </text>
    </comment>
    <comment ref="B16" authorId="0" shapeId="0" xr:uid="{00000000-0006-0000-4D00-00002C000000}">
      <text>
        <r>
          <rPr>
            <sz val="12"/>
            <color theme="1"/>
            <rFont val="Aptos Narrow"/>
            <family val="2"/>
            <scheme val="minor"/>
          </rPr>
          <t>was 7040
VNP40</t>
        </r>
      </text>
    </comment>
    <comment ref="C16" authorId="1" shapeId="0" xr:uid="{00000000-0006-0000-4D00-00002D000000}">
      <text>
        <r>
          <rPr>
            <sz val="12"/>
            <color theme="1"/>
            <rFont val="Aptos Narrow"/>
            <family val="2"/>
            <scheme val="minor"/>
          </rPr>
          <t>W2 9690</t>
        </r>
      </text>
    </comment>
    <comment ref="D16" authorId="3" shapeId="0" xr:uid="{00000000-0006-0000-4D00-00002E000000}">
      <text>
        <r>
          <rPr>
            <sz val="12"/>
            <color theme="1"/>
            <rFont val="Aptos Narrow"/>
            <family val="2"/>
            <scheme val="minor"/>
          </rPr>
          <t>Việt Hoàng
8.490.000</t>
        </r>
      </text>
    </comment>
    <comment ref="E16" authorId="0" shapeId="0" xr:uid="{00000000-0006-0000-4D00-00002F000000}">
      <text>
        <r>
          <rPr>
            <sz val="12"/>
            <color theme="1"/>
            <rFont val="Aptos Narrow"/>
            <family val="2"/>
            <scheme val="minor"/>
          </rPr>
          <t>was 9390
HSSV 200</t>
        </r>
      </text>
    </comment>
    <comment ref="F16" authorId="4" shapeId="0" xr:uid="{00000000-0006-0000-4D00-000030000000}">
      <text>
        <r>
          <rPr>
            <sz val="12"/>
            <color theme="1"/>
            <rFont val="Aptos Narrow"/>
            <family val="2"/>
            <scheme val="minor"/>
          </rPr>
          <t>Người dùng Không xác định:
9.590</t>
        </r>
      </text>
    </comment>
    <comment ref="G16" authorId="2" shapeId="0" xr:uid="{00000000-0006-0000-4D00-000031000000}">
      <text>
        <r>
          <rPr>
            <sz val="12"/>
            <color theme="1"/>
            <rFont val="Aptos Narrow"/>
            <family val="2"/>
            <scheme val="minor"/>
          </rPr>
          <t>Tran Dat:
9190</t>
        </r>
      </text>
    </comment>
    <comment ref="B17" authorId="0" shapeId="0" xr:uid="{00000000-0006-0000-4D00-000032000000}">
      <text>
        <r>
          <rPr>
            <sz val="12"/>
            <color theme="1"/>
            <rFont val="Aptos Narrow"/>
            <family val="2"/>
            <scheme val="minor"/>
          </rPr>
          <t>was 14390</t>
        </r>
      </text>
    </comment>
    <comment ref="C17" authorId="1" shapeId="0" xr:uid="{00000000-0006-0000-4D00-000033000000}">
      <text>
        <r>
          <rPr>
            <sz val="12"/>
            <color theme="1"/>
            <rFont val="Aptos Narrow"/>
            <family val="2"/>
            <scheme val="minor"/>
          </rPr>
          <t>W2 16290</t>
        </r>
      </text>
    </comment>
    <comment ref="D17" authorId="3" shapeId="0" xr:uid="{00000000-0006-0000-4D00-000034000000}">
      <text>
        <r>
          <rPr>
            <sz val="12"/>
            <color theme="1"/>
            <rFont val="Aptos Narrow"/>
            <family val="2"/>
            <scheme val="minor"/>
          </rPr>
          <t>Việt Hoàng:
16.190.000</t>
        </r>
      </text>
    </comment>
    <comment ref="E17" authorId="0" shapeId="0" xr:uid="{00000000-0006-0000-4D00-000035000000}">
      <text>
        <r>
          <rPr>
            <sz val="12"/>
            <color theme="1"/>
            <rFont val="Aptos Narrow"/>
            <family val="2"/>
            <scheme val="minor"/>
          </rPr>
          <t>was 15790
HSSV 200</t>
        </r>
      </text>
    </comment>
    <comment ref="F17" authorId="4" shapeId="0" xr:uid="{00000000-0006-0000-4D00-000036000000}">
      <text>
        <r>
          <rPr>
            <sz val="12"/>
            <color theme="1"/>
            <rFont val="Aptos Narrow"/>
            <family val="2"/>
            <scheme val="minor"/>
          </rPr>
          <t>Người dùng Không xác định:
16.190</t>
        </r>
      </text>
    </comment>
    <comment ref="G17" authorId="2" shapeId="0" xr:uid="{00000000-0006-0000-4D00-000037000000}">
      <text>
        <r>
          <rPr>
            <sz val="12"/>
            <color theme="1"/>
            <rFont val="Aptos Narrow"/>
            <family val="2"/>
            <scheme val="minor"/>
          </rPr>
          <t>Tran Dat:
15.990</t>
        </r>
      </text>
    </comment>
    <comment ref="C18" authorId="1" shapeId="0" xr:uid="{00000000-0006-0000-4D00-000038000000}">
      <text>
        <r>
          <rPr>
            <sz val="12"/>
            <color theme="1"/>
            <rFont val="Aptos Narrow"/>
            <family val="2"/>
            <scheme val="minor"/>
          </rPr>
          <t>W2 21690</t>
        </r>
      </text>
    </comment>
    <comment ref="D18" authorId="3" shapeId="0" xr:uid="{00000000-0006-0000-4D00-000039000000}">
      <text>
        <r>
          <rPr>
            <sz val="12"/>
            <color theme="1"/>
            <rFont val="Aptos Narrow"/>
            <family val="2"/>
            <scheme val="minor"/>
          </rPr>
          <t>Việt Hoàng:
21.690.000</t>
        </r>
      </text>
    </comment>
    <comment ref="F18" authorId="4" shapeId="0" xr:uid="{00000000-0006-0000-4D00-00003A000000}">
      <text>
        <r>
          <rPr>
            <sz val="12"/>
            <color theme="1"/>
            <rFont val="Aptos Narrow"/>
            <family val="2"/>
            <scheme val="minor"/>
          </rPr>
          <t>Người dùng Không xác định:
21.690</t>
        </r>
      </text>
    </comment>
    <comment ref="G18" authorId="2" shapeId="0" xr:uid="{00000000-0006-0000-4D00-00003B000000}">
      <text>
        <r>
          <rPr>
            <sz val="12"/>
            <color theme="1"/>
            <rFont val="Aptos Narrow"/>
            <family val="2"/>
            <scheme val="minor"/>
          </rPr>
          <t xml:space="preserve">Tran Dat:
21490
</t>
        </r>
      </text>
    </comment>
    <comment ref="C19" authorId="1" shapeId="0" xr:uid="{00000000-0006-0000-4D00-00003C000000}">
      <text>
        <r>
          <rPr>
            <sz val="12"/>
            <color theme="1"/>
            <rFont val="Aptos Narrow"/>
            <family val="2"/>
            <scheme val="minor"/>
          </rPr>
          <t>W2 27290</t>
        </r>
      </text>
    </comment>
    <comment ref="D19" authorId="3" shapeId="0" xr:uid="{00000000-0006-0000-4D00-00003D000000}">
      <text>
        <r>
          <rPr>
            <sz val="12"/>
            <color theme="1"/>
            <rFont val="Aptos Narrow"/>
            <family val="2"/>
            <scheme val="minor"/>
          </rPr>
          <t>Việt Hoàng:
27.190.000</t>
        </r>
      </text>
    </comment>
    <comment ref="F19" authorId="4" shapeId="0" xr:uid="{00000000-0006-0000-4D00-00003E000000}">
      <text>
        <r>
          <rPr>
            <sz val="12"/>
            <color theme="1"/>
            <rFont val="Aptos Narrow"/>
            <family val="2"/>
            <scheme val="minor"/>
          </rPr>
          <t>Người dùng Không xác định:
27.290</t>
        </r>
      </text>
    </comment>
    <comment ref="G19" authorId="2" shapeId="0" xr:uid="{00000000-0006-0000-4D00-00003F000000}">
      <text>
        <r>
          <rPr>
            <sz val="12"/>
            <color theme="1"/>
            <rFont val="Aptos Narrow"/>
            <family val="2"/>
            <scheme val="minor"/>
          </rPr>
          <t>Tran Dat:
27390</t>
        </r>
      </text>
    </comment>
    <comment ref="B20" authorId="0" shapeId="0" xr:uid="{00000000-0006-0000-4D00-000040000000}">
      <text>
        <r>
          <rPr>
            <sz val="12"/>
            <color theme="1"/>
            <rFont val="Aptos Narrow"/>
            <family val="2"/>
            <scheme val="minor"/>
          </rPr>
          <t>was 36640</t>
        </r>
      </text>
    </comment>
    <comment ref="C20" authorId="1" shapeId="0" xr:uid="{00000000-0006-0000-4D00-000041000000}">
      <text>
        <r>
          <rPr>
            <sz val="12"/>
            <color theme="1"/>
            <rFont val="Aptos Narrow"/>
            <family val="2"/>
            <scheme val="minor"/>
          </rPr>
          <t>W2 36090</t>
        </r>
      </text>
    </comment>
    <comment ref="F20" authorId="4" shapeId="0" xr:uid="{00000000-0006-0000-4D00-000042000000}">
      <text>
        <r>
          <rPr>
            <sz val="12"/>
            <color theme="1"/>
            <rFont val="Aptos Narrow"/>
            <family val="2"/>
            <scheme val="minor"/>
          </rPr>
          <t>Người dùng Không xác định:
35.890</t>
        </r>
      </text>
    </comment>
    <comment ref="F22" authorId="4" shapeId="0" xr:uid="{00000000-0006-0000-4D00-000043000000}">
      <text>
        <r>
          <rPr>
            <sz val="12"/>
            <color theme="1"/>
            <rFont val="Aptos Narrow"/>
            <family val="2"/>
            <scheme val="minor"/>
          </rPr>
          <t>Người dùng Không xác định:
6.290</t>
        </r>
      </text>
    </comment>
    <comment ref="F24" authorId="4" shapeId="0" xr:uid="{00000000-0006-0000-4D00-000044000000}">
      <text>
        <r>
          <rPr>
            <sz val="12"/>
            <color theme="1"/>
            <rFont val="Aptos Narrow"/>
            <family val="2"/>
            <scheme val="minor"/>
          </rPr>
          <t>Người dùng Không xác định:
5.590</t>
        </r>
      </text>
    </comment>
    <comment ref="C31" authorId="1" shapeId="0" xr:uid="{00000000-0006-0000-4D00-000045000000}">
      <text>
        <r>
          <rPr>
            <sz val="12"/>
            <color theme="1"/>
            <rFont val="Aptos Narrow"/>
            <family val="2"/>
            <scheme val="minor"/>
          </rPr>
          <t>W2 11390</t>
        </r>
      </text>
    </comment>
    <comment ref="B32" authorId="0" shapeId="0" xr:uid="{00000000-0006-0000-4D00-000046000000}">
      <text>
        <r>
          <rPr>
            <sz val="12"/>
            <color theme="1"/>
            <rFont val="Aptos Narrow"/>
            <family val="2"/>
            <scheme val="minor"/>
          </rPr>
          <t>was 13320
VNP100</t>
        </r>
      </text>
    </comment>
    <comment ref="B39" authorId="0" shapeId="0" xr:uid="{00000000-0006-0000-4D00-000047000000}">
      <text>
        <r>
          <rPr>
            <sz val="12"/>
            <color theme="1"/>
            <rFont val="Aptos Narrow"/>
            <family val="2"/>
            <scheme val="minor"/>
          </rPr>
          <t>was 5550
VNP40</t>
        </r>
      </text>
    </comment>
    <comment ref="B40" authorId="0" shapeId="0" xr:uid="{00000000-0006-0000-4D00-000048000000}">
      <text>
        <r>
          <rPr>
            <sz val="12"/>
            <color theme="1"/>
            <rFont val="Aptos Narrow"/>
            <family val="2"/>
            <scheme val="minor"/>
          </rPr>
          <t xml:space="preserve">was 4490
</t>
        </r>
      </text>
    </comment>
    <comment ref="C40" authorId="1" shapeId="0" xr:uid="{00000000-0006-0000-4D00-000049000000}">
      <text>
        <r>
          <rPr>
            <sz val="12"/>
            <color theme="1"/>
            <rFont val="Aptos Narrow"/>
            <family val="2"/>
            <scheme val="minor"/>
          </rPr>
          <t>W2 4690</t>
        </r>
      </text>
    </comment>
    <comment ref="D40" authorId="3" shapeId="0" xr:uid="{00000000-0006-0000-4D00-00004A000000}">
      <text>
        <r>
          <rPr>
            <sz val="12"/>
            <color theme="1"/>
            <rFont val="Aptos Narrow"/>
            <family val="2"/>
            <scheme val="minor"/>
          </rPr>
          <t>Việt Hoàng:
4790000</t>
        </r>
      </text>
    </comment>
    <comment ref="B41" authorId="0" shapeId="0" xr:uid="{00000000-0006-0000-4D00-00004B000000}">
      <text>
        <r>
          <rPr>
            <sz val="12"/>
            <color theme="1"/>
            <rFont val="Aptos Narrow"/>
            <family val="2"/>
            <scheme val="minor"/>
          </rPr>
          <t>was 3190</t>
        </r>
      </text>
    </comment>
    <comment ref="C41" authorId="1" shapeId="0" xr:uid="{00000000-0006-0000-4D00-00004C000000}">
      <text>
        <r>
          <rPr>
            <sz val="12"/>
            <color theme="1"/>
            <rFont val="Aptos Narrow"/>
            <family val="2"/>
            <scheme val="minor"/>
          </rPr>
          <t>W2 3390</t>
        </r>
      </text>
    </comment>
    <comment ref="D41" authorId="3" shapeId="0" xr:uid="{00000000-0006-0000-4D00-00004D000000}">
      <text>
        <r>
          <rPr>
            <sz val="12"/>
            <color theme="1"/>
            <rFont val="Aptos Narrow"/>
            <family val="2"/>
            <scheme val="minor"/>
          </rPr>
          <t>Việt Hoàng:
3.590.000</t>
        </r>
      </text>
    </comment>
    <comment ref="E41" authorId="0" shapeId="0" xr:uid="{00000000-0006-0000-4D00-00004E000000}">
      <text>
        <r>
          <rPr>
            <sz val="12"/>
            <color theme="1"/>
            <rFont val="Aptos Narrow"/>
            <family val="2"/>
            <scheme val="minor"/>
          </rPr>
          <t>was 3390</t>
        </r>
      </text>
    </comment>
    <comment ref="B43" authorId="0" shapeId="0" xr:uid="{00000000-0006-0000-4D00-00004F000000}">
      <text>
        <r>
          <rPr>
            <sz val="12"/>
            <color theme="1"/>
            <rFont val="Aptos Narrow"/>
            <family val="2"/>
            <scheme val="minor"/>
          </rPr>
          <t>was 18090
VNP100</t>
        </r>
      </text>
    </comment>
    <comment ref="C44" authorId="5" shapeId="0" xr:uid="{00000000-0006-0000-4D00-000050000000}">
      <text>
        <r>
          <rPr>
            <sz val="12"/>
            <color theme="1"/>
            <rFont val="Aptos Narrow"/>
            <family val="2"/>
            <scheme val="minor"/>
          </rPr>
          <t>W2 20090</t>
        </r>
      </text>
    </comment>
    <comment ref="D44" authorId="3" shapeId="0" xr:uid="{00000000-0006-0000-4D00-000051000000}">
      <text>
        <r>
          <rPr>
            <sz val="12"/>
            <color theme="1"/>
            <rFont val="Aptos Narrow"/>
            <family val="2"/>
            <scheme val="minor"/>
          </rPr>
          <t>Việt Hoàng
20.090.000</t>
        </r>
      </text>
    </comment>
    <comment ref="F44" authorId="4" shapeId="0" xr:uid="{00000000-0006-0000-4D00-000052000000}">
      <text>
        <r>
          <rPr>
            <sz val="12"/>
            <color theme="1"/>
            <rFont val="Aptos Narrow"/>
            <family val="2"/>
            <scheme val="minor"/>
          </rPr>
          <t>Người dùng Không xác định:20.290</t>
        </r>
      </text>
    </comment>
    <comment ref="B45" authorId="0" shapeId="0" xr:uid="{00000000-0006-0000-4D00-000053000000}">
      <text>
        <r>
          <rPr>
            <sz val="12"/>
            <color theme="1"/>
            <rFont val="Aptos Narrow"/>
            <family val="2"/>
            <scheme val="minor"/>
          </rPr>
          <t>was 26140
VNP150</t>
        </r>
      </text>
    </comment>
    <comment ref="D46" authorId="3" shapeId="0" xr:uid="{00000000-0006-0000-4D00-000054000000}">
      <text>
        <r>
          <rPr>
            <sz val="12"/>
            <color theme="1"/>
            <rFont val="Aptos Narrow"/>
            <family val="2"/>
            <scheme val="minor"/>
          </rPr>
          <t>Việt Hoàng:
25.090.000</t>
        </r>
      </text>
    </comment>
    <comment ref="F46" authorId="4" shapeId="0" xr:uid="{00000000-0006-0000-4D00-000055000000}">
      <text>
        <r>
          <rPr>
            <sz val="12"/>
            <color theme="1"/>
            <rFont val="Aptos Narrow"/>
            <family val="2"/>
            <scheme val="minor"/>
          </rPr>
          <t>Người dùng Không xác định:
25.090</t>
        </r>
      </text>
    </comment>
    <comment ref="G46" authorId="2" shapeId="0" xr:uid="{00000000-0006-0000-4D00-000056000000}">
      <text>
        <r>
          <rPr>
            <sz val="12"/>
            <color theme="1"/>
            <rFont val="Aptos Narrow"/>
            <family val="2"/>
            <scheme val="minor"/>
          </rPr>
          <t>Tran Dat:
24990</t>
        </r>
      </text>
    </comment>
    <comment ref="D47" authorId="3" shapeId="0" xr:uid="{00000000-0006-0000-4D00-000057000000}">
      <text>
        <r>
          <rPr>
            <sz val="12"/>
            <color theme="1"/>
            <rFont val="Aptos Narrow"/>
            <family val="2"/>
            <scheme val="minor"/>
          </rPr>
          <t>Việt Hoàng:
29.690.000</t>
        </r>
      </text>
    </comment>
    <comment ref="F47" authorId="4" shapeId="0" xr:uid="{00000000-0006-0000-4D00-000058000000}">
      <text>
        <r>
          <rPr>
            <sz val="12"/>
            <color theme="1"/>
            <rFont val="Aptos Narrow"/>
            <family val="2"/>
            <scheme val="minor"/>
          </rPr>
          <t>Người dùng Không xác định:
29.690</t>
        </r>
      </text>
    </comment>
    <comment ref="D48" authorId="3" shapeId="0" xr:uid="{00000000-0006-0000-4D00-000059000000}">
      <text>
        <r>
          <rPr>
            <sz val="12"/>
            <color theme="1"/>
            <rFont val="Aptos Narrow"/>
            <family val="2"/>
            <scheme val="minor"/>
          </rPr>
          <t>Việt Hoàng:
37.790.000</t>
        </r>
      </text>
    </comment>
    <comment ref="F48" authorId="4" shapeId="0" xr:uid="{00000000-0006-0000-4D00-00005A000000}">
      <text>
        <r>
          <rPr>
            <sz val="12"/>
            <color theme="1"/>
            <rFont val="Aptos Narrow"/>
            <family val="2"/>
            <scheme val="minor"/>
          </rPr>
          <t>Người dùng Không xác định:
38.090</t>
        </r>
      </text>
    </comment>
  </commentList>
</comments>
</file>

<file path=xl/comments79.xml><?xml version="1.0" encoding="utf-8"?>
<comments xmlns="http://schemas.openxmlformats.org/spreadsheetml/2006/main" xmlns:mc="http://schemas.openxmlformats.org/markup-compatibility/2006" xmlns:xr="http://schemas.microsoft.com/office/spreadsheetml/2014/revision" mc:Ignorable="xr">
  <authors>
    <author>Microsoft Office User</author>
    <author>Tran Dat</author>
    <author>Duy</author>
    <author>Việt Hoàng</author>
    <author>Người dùng Khách</author>
    <author>Duy Ha Minh</author>
  </authors>
  <commentList>
    <comment ref="E2" authorId="0" shapeId="0" xr:uid="{00000000-0006-0000-4E00-000001000000}">
      <text>
        <r>
          <rPr>
            <sz val="12"/>
            <color theme="1"/>
            <rFont val="Aptos Narrow"/>
            <family val="2"/>
            <scheme val="minor"/>
          </rPr>
          <t>VNP500K</t>
        </r>
      </text>
    </comment>
    <comment ref="G3" authorId="1" shapeId="0" xr:uid="{00000000-0006-0000-4E00-000002000000}">
      <text>
        <r>
          <rPr>
            <sz val="12"/>
            <color theme="1"/>
            <rFont val="Aptos Narrow"/>
            <family val="2"/>
            <scheme val="minor"/>
          </rPr>
          <t xml:space="preserve">Tran Dat:
31390
</t>
        </r>
      </text>
    </comment>
    <comment ref="E4" authorId="0" shapeId="0" xr:uid="{00000000-0006-0000-4E00-000003000000}">
      <text>
        <r>
          <rPr>
            <sz val="12"/>
            <color theme="1"/>
            <rFont val="Aptos Narrow"/>
            <family val="2"/>
            <scheme val="minor"/>
          </rPr>
          <t>VNP500
was 34490</t>
        </r>
      </text>
    </comment>
    <comment ref="C6" authorId="2" shapeId="0" xr:uid="{00000000-0006-0000-4E00-000004000000}">
      <text>
        <r>
          <rPr>
            <sz val="12"/>
            <color theme="1"/>
            <rFont val="Aptos Narrow"/>
            <family val="2"/>
            <scheme val="minor"/>
          </rPr>
          <t>W3 14990</t>
        </r>
      </text>
    </comment>
    <comment ref="D6" authorId="3" shapeId="0" xr:uid="{00000000-0006-0000-4E00-000005000000}">
      <text>
        <r>
          <rPr>
            <sz val="12"/>
            <color theme="1"/>
            <rFont val="Aptos Narrow"/>
            <family val="2"/>
            <scheme val="minor"/>
          </rPr>
          <t>Việt Hoàng:
15.990.000</t>
        </r>
      </text>
    </comment>
    <comment ref="E6" authorId="0" shapeId="0" xr:uid="{00000000-0006-0000-4E00-000006000000}">
      <text>
        <r>
          <rPr>
            <sz val="12"/>
            <color theme="1"/>
            <rFont val="Aptos Narrow"/>
            <family val="2"/>
            <scheme val="minor"/>
          </rPr>
          <t>giờ vàng
GIảm 200K</t>
        </r>
      </text>
    </comment>
    <comment ref="F6" authorId="4" shapeId="0" xr:uid="{00000000-0006-0000-4E00-000007000000}">
      <text>
        <r>
          <rPr>
            <sz val="12"/>
            <color theme="1"/>
            <rFont val="Aptos Narrow"/>
            <family val="2"/>
            <scheme val="minor"/>
          </rPr>
          <t>Người dùng Không xác định:
15.390</t>
        </r>
      </text>
    </comment>
    <comment ref="G6" authorId="1" shapeId="0" xr:uid="{00000000-0006-0000-4E00-000008000000}">
      <text>
        <r>
          <rPr>
            <sz val="12"/>
            <color theme="1"/>
            <rFont val="Aptos Narrow"/>
            <family val="2"/>
            <scheme val="minor"/>
          </rPr>
          <t>Tran Dat:
14990</t>
        </r>
      </text>
    </comment>
    <comment ref="D7" authorId="3" shapeId="0" xr:uid="{00000000-0006-0000-4E00-000009000000}">
      <text>
        <r>
          <rPr>
            <sz val="12"/>
            <color theme="1"/>
            <rFont val="Aptos Narrow"/>
            <family val="2"/>
            <scheme val="minor"/>
          </rPr>
          <t>Việt Hoàng:
20.990.000</t>
        </r>
      </text>
    </comment>
    <comment ref="F7" authorId="4" shapeId="0" xr:uid="{00000000-0006-0000-4E00-00000A000000}">
      <text>
        <r>
          <rPr>
            <sz val="12"/>
            <color theme="1"/>
            <rFont val="Aptos Narrow"/>
            <family val="2"/>
            <scheme val="minor"/>
          </rPr>
          <t>Người dùng Không xác định:
20590k</t>
        </r>
      </text>
    </comment>
    <comment ref="B8" authorId="0" shapeId="0" xr:uid="{00000000-0006-0000-4E00-00000B000000}">
      <text>
        <r>
          <rPr>
            <sz val="12"/>
            <color theme="1"/>
            <rFont val="Aptos Narrow"/>
            <family val="2"/>
            <scheme val="minor"/>
          </rPr>
          <t>was 24640000
VNP150</t>
        </r>
      </text>
    </comment>
    <comment ref="D8" authorId="3" shapeId="0" xr:uid="{00000000-0006-0000-4E00-00000C000000}">
      <text>
        <r>
          <rPr>
            <sz val="12"/>
            <color theme="1"/>
            <rFont val="Aptos Narrow"/>
            <family val="2"/>
            <scheme val="minor"/>
          </rPr>
          <t>Việt Hoàng:
23.990.000</t>
        </r>
      </text>
    </comment>
    <comment ref="E8" authorId="0" shapeId="0" xr:uid="{00000000-0006-0000-4E00-00000D000000}">
      <text>
        <r>
          <rPr>
            <sz val="12"/>
            <color theme="1"/>
            <rFont val="Aptos Narrow"/>
            <family val="2"/>
            <scheme val="minor"/>
          </rPr>
          <t>Giờ vàng</t>
        </r>
      </text>
    </comment>
    <comment ref="F8" authorId="4" shapeId="0" xr:uid="{00000000-0006-0000-4E00-00000E000000}">
      <text>
        <r>
          <rPr>
            <sz val="12"/>
            <color theme="1"/>
            <rFont val="Aptos Narrow"/>
            <family val="2"/>
            <scheme val="minor"/>
          </rPr>
          <t>Người dùng Không xác định:
22.890</t>
        </r>
      </text>
    </comment>
    <comment ref="E9" authorId="0" shapeId="0" xr:uid="{00000000-0006-0000-4E00-00000F000000}">
      <text>
        <r>
          <rPr>
            <sz val="12"/>
            <color theme="1"/>
            <rFont val="Aptos Narrow"/>
            <family val="2"/>
            <scheme val="minor"/>
          </rPr>
          <t>Giờ vàng</t>
        </r>
      </text>
    </comment>
    <comment ref="B10" authorId="0" shapeId="0" xr:uid="{00000000-0006-0000-4E00-000010000000}">
      <text>
        <r>
          <rPr>
            <sz val="12"/>
            <color theme="1"/>
            <rFont val="Aptos Narrow"/>
            <family val="2"/>
            <scheme val="minor"/>
          </rPr>
          <t>Tặng phiếu mua hàng mua AirPods và Apple Watch trị giá 500,000đ
 Phiếu mua hàng mua sản phẩm giá niêm yết từ 5 triệu thuộc các nhóm TAI NGHE - LOA hãng HARMAN KARDON, JBL,MONSTER, KLIPSCH, MARSHALL, SONY; Smartwatch hãng HUAWEI, GARMIN, SAMSUNG, IMOO, OPPO, AMAZFIT trị giá 500.000đ</t>
        </r>
      </text>
    </comment>
    <comment ref="D10" authorId="3" shapeId="0" xr:uid="{00000000-0006-0000-4E00-000011000000}">
      <text>
        <r>
          <rPr>
            <sz val="12"/>
            <color theme="1"/>
            <rFont val="Aptos Narrow"/>
            <family val="2"/>
            <scheme val="minor"/>
          </rPr>
          <t>Việt Hoàng:
30.490.000</t>
        </r>
      </text>
    </comment>
    <comment ref="E10" authorId="0" shapeId="0" xr:uid="{00000000-0006-0000-4E00-000012000000}">
      <text>
        <r>
          <rPr>
            <sz val="12"/>
            <color theme="1"/>
            <rFont val="Aptos Narrow"/>
            <family val="2"/>
            <scheme val="minor"/>
          </rPr>
          <t>Giờ vàng
KH mới 400</t>
        </r>
      </text>
    </comment>
    <comment ref="F10" authorId="4" shapeId="0" xr:uid="{00000000-0006-0000-4E00-000013000000}">
      <text>
        <r>
          <rPr>
            <sz val="12"/>
            <color theme="1"/>
            <rFont val="Aptos Narrow"/>
            <family val="2"/>
            <scheme val="minor"/>
          </rPr>
          <t>Người dùng Không xác định:
30.290</t>
        </r>
      </text>
    </comment>
    <comment ref="C11" authorId="5" shapeId="0" xr:uid="{00000000-0006-0000-4E00-000014000000}">
      <text>
        <r>
          <rPr>
            <sz val="12"/>
            <color theme="1"/>
            <rFont val="Aptos Narrow"/>
            <family val="2"/>
            <scheme val="minor"/>
          </rPr>
          <t>W3 17990</t>
        </r>
      </text>
    </comment>
    <comment ref="D11" authorId="3" shapeId="0" xr:uid="{00000000-0006-0000-4E00-000015000000}">
      <text>
        <r>
          <rPr>
            <sz val="12"/>
            <color theme="1"/>
            <rFont val="Aptos Narrow"/>
            <family val="2"/>
            <scheme val="minor"/>
          </rPr>
          <t>Việt Hoàng:
16.990.000</t>
        </r>
      </text>
    </comment>
    <comment ref="E11" authorId="0" shapeId="0" xr:uid="{00000000-0006-0000-4E00-000016000000}">
      <text>
        <r>
          <rPr>
            <sz val="12"/>
            <color theme="1"/>
            <rFont val="Aptos Narrow"/>
            <family val="2"/>
            <scheme val="minor"/>
          </rPr>
          <t>was 15190</t>
        </r>
      </text>
    </comment>
    <comment ref="F11" authorId="4" shapeId="0" xr:uid="{00000000-0006-0000-4E00-000017000000}">
      <text>
        <r>
          <rPr>
            <sz val="12"/>
            <color theme="1"/>
            <rFont val="Aptos Narrow"/>
            <family val="2"/>
            <scheme val="minor"/>
          </rPr>
          <t>Người dùng Không xác định:
16.650</t>
        </r>
      </text>
    </comment>
    <comment ref="G11" authorId="1" shapeId="0" xr:uid="{00000000-0006-0000-4E00-000018000000}">
      <text>
        <r>
          <rPr>
            <sz val="12"/>
            <color theme="1"/>
            <rFont val="Aptos Narrow"/>
            <family val="2"/>
            <scheme val="minor"/>
          </rPr>
          <t>Tran Dat:16890</t>
        </r>
      </text>
    </comment>
    <comment ref="E12" authorId="0" shapeId="0" xr:uid="{00000000-0006-0000-4E00-000019000000}">
      <text>
        <r>
          <rPr>
            <sz val="12"/>
            <color theme="1"/>
            <rFont val="Aptos Narrow"/>
            <family val="2"/>
            <scheme val="minor"/>
          </rPr>
          <t>Giờ vàng
Gỉam 300K</t>
        </r>
      </text>
    </comment>
    <comment ref="D13" authorId="3" shapeId="0" xr:uid="{00000000-0006-0000-4E00-00001A000000}">
      <text>
        <r>
          <rPr>
            <sz val="12"/>
            <color theme="1"/>
            <rFont val="Aptos Narrow"/>
            <family val="2"/>
            <scheme val="minor"/>
          </rPr>
          <t>Việt Hoàng:
13.990.000</t>
        </r>
      </text>
    </comment>
    <comment ref="E13" authorId="0" shapeId="0" xr:uid="{00000000-0006-0000-4E00-00001B000000}">
      <text>
        <r>
          <rPr>
            <sz val="12"/>
            <color theme="1"/>
            <rFont val="Aptos Narrow"/>
            <family val="2"/>
            <scheme val="minor"/>
          </rPr>
          <t>was 13690
Giờ vàng</t>
        </r>
      </text>
    </comment>
    <comment ref="F13" authorId="4" shapeId="0" xr:uid="{00000000-0006-0000-4E00-00001C000000}">
      <text>
        <r>
          <rPr>
            <sz val="12"/>
            <color theme="1"/>
            <rFont val="Aptos Narrow"/>
            <family val="2"/>
            <scheme val="minor"/>
          </rPr>
          <t>Người dùng Không xác định:
13490</t>
        </r>
      </text>
    </comment>
    <comment ref="B14" authorId="0" shapeId="0" xr:uid="{00000000-0006-0000-4E00-00001D000000}">
      <text>
        <r>
          <rPr>
            <sz val="12"/>
            <color theme="1"/>
            <rFont val="Aptos Narrow"/>
            <family val="2"/>
            <scheme val="minor"/>
          </rPr>
          <t>was 13190
VNP100</t>
        </r>
      </text>
    </comment>
    <comment ref="C14" authorId="2" shapeId="0" xr:uid="{00000000-0006-0000-4E00-00001E000000}">
      <text>
        <r>
          <rPr>
            <sz val="12"/>
            <color theme="1"/>
            <rFont val="Aptos Narrow"/>
            <family val="2"/>
            <scheme val="minor"/>
          </rPr>
          <t>W3 12590</t>
        </r>
      </text>
    </comment>
    <comment ref="D14" authorId="3" shapeId="0" xr:uid="{00000000-0006-0000-4E00-00001F000000}">
      <text>
        <r>
          <rPr>
            <sz val="12"/>
            <color theme="1"/>
            <rFont val="Aptos Narrow"/>
            <family val="2"/>
            <scheme val="minor"/>
          </rPr>
          <t>Việt Hoàng:
12.590.000</t>
        </r>
      </text>
    </comment>
    <comment ref="E14" authorId="0" shapeId="0" xr:uid="{00000000-0006-0000-4E00-000020000000}">
      <text>
        <r>
          <rPr>
            <sz val="12"/>
            <color theme="1"/>
            <rFont val="Aptos Narrow"/>
            <family val="2"/>
            <scheme val="minor"/>
          </rPr>
          <t>was 12290
Giờ vàng</t>
        </r>
      </text>
    </comment>
    <comment ref="F14" authorId="4" shapeId="0" xr:uid="{00000000-0006-0000-4E00-000021000000}">
      <text>
        <r>
          <rPr>
            <sz val="12"/>
            <color theme="1"/>
            <rFont val="Aptos Narrow"/>
            <family val="2"/>
            <scheme val="minor"/>
          </rPr>
          <t>Người dùng Không xác định:
12090</t>
        </r>
      </text>
    </comment>
    <comment ref="D15" authorId="3" shapeId="0" xr:uid="{00000000-0006-0000-4E00-000022000000}">
      <text>
        <r>
          <rPr>
            <sz val="12"/>
            <color theme="1"/>
            <rFont val="Aptos Narrow"/>
            <family val="2"/>
            <scheme val="minor"/>
          </rPr>
          <t>Việt Hoàng:
13.590.000</t>
        </r>
      </text>
    </comment>
    <comment ref="E15" authorId="0" shapeId="0" xr:uid="{00000000-0006-0000-4E00-000023000000}">
      <text>
        <r>
          <rPr>
            <sz val="12"/>
            <color theme="1"/>
            <rFont val="Aptos Narrow"/>
            <family val="2"/>
            <scheme val="minor"/>
          </rPr>
          <t>HSSV 200</t>
        </r>
      </text>
    </comment>
    <comment ref="B16" authorId="0" shapeId="0" xr:uid="{00000000-0006-0000-4E00-000024000000}">
      <text>
        <r>
          <rPr>
            <sz val="12"/>
            <color theme="1"/>
            <rFont val="Aptos Narrow"/>
            <family val="2"/>
            <scheme val="minor"/>
          </rPr>
          <t>was 7040
VNP40</t>
        </r>
      </text>
    </comment>
    <comment ref="D16" authorId="3" shapeId="0" xr:uid="{00000000-0006-0000-4E00-000025000000}">
      <text>
        <r>
          <rPr>
            <sz val="12"/>
            <color theme="1"/>
            <rFont val="Aptos Narrow"/>
            <family val="2"/>
            <scheme val="minor"/>
          </rPr>
          <t>Việt Hoàng
8.490.000</t>
        </r>
      </text>
    </comment>
    <comment ref="E16" authorId="0" shapeId="0" xr:uid="{00000000-0006-0000-4E00-000026000000}">
      <text>
        <r>
          <rPr>
            <sz val="12"/>
            <color theme="1"/>
            <rFont val="Aptos Narrow"/>
            <family val="2"/>
            <scheme val="minor"/>
          </rPr>
          <t>HSSV 200</t>
        </r>
      </text>
    </comment>
    <comment ref="F16" authorId="4" shapeId="0" xr:uid="{00000000-0006-0000-4E00-000027000000}">
      <text>
        <r>
          <rPr>
            <sz val="12"/>
            <color theme="1"/>
            <rFont val="Aptos Narrow"/>
            <family val="2"/>
            <scheme val="minor"/>
          </rPr>
          <t>Người dùng Không xác định:
9.590</t>
        </r>
      </text>
    </comment>
    <comment ref="B17" authorId="0" shapeId="0" xr:uid="{00000000-0006-0000-4E00-000028000000}">
      <text>
        <r>
          <rPr>
            <sz val="12"/>
            <color theme="1"/>
            <rFont val="Aptos Narrow"/>
            <family val="2"/>
            <scheme val="minor"/>
          </rPr>
          <t>was 14390</t>
        </r>
      </text>
    </comment>
    <comment ref="D17" authorId="3" shapeId="0" xr:uid="{00000000-0006-0000-4E00-000029000000}">
      <text>
        <r>
          <rPr>
            <sz val="12"/>
            <color theme="1"/>
            <rFont val="Aptos Narrow"/>
            <family val="2"/>
            <scheme val="minor"/>
          </rPr>
          <t>Việt Hoàng:
16.190.000</t>
        </r>
      </text>
    </comment>
    <comment ref="E17" authorId="0" shapeId="0" xr:uid="{00000000-0006-0000-4E00-00002A000000}">
      <text>
        <r>
          <rPr>
            <sz val="12"/>
            <color theme="1"/>
            <rFont val="Aptos Narrow"/>
            <family val="2"/>
            <scheme val="minor"/>
          </rPr>
          <t>was 13790
HSSV 200</t>
        </r>
      </text>
    </comment>
    <comment ref="F17" authorId="4" shapeId="0" xr:uid="{00000000-0006-0000-4E00-00002B000000}">
      <text>
        <r>
          <rPr>
            <sz val="12"/>
            <color theme="1"/>
            <rFont val="Aptos Narrow"/>
            <family val="2"/>
            <scheme val="minor"/>
          </rPr>
          <t>Người dùng Không xác định:
13.190</t>
        </r>
      </text>
    </comment>
    <comment ref="G17" authorId="1" shapeId="0" xr:uid="{00000000-0006-0000-4E00-00002C000000}">
      <text>
        <r>
          <rPr>
            <sz val="12"/>
            <color theme="1"/>
            <rFont val="Aptos Narrow"/>
            <family val="2"/>
            <scheme val="minor"/>
          </rPr>
          <t>Tran Dat:
15.990</t>
        </r>
      </text>
    </comment>
    <comment ref="C18" authorId="2" shapeId="0" xr:uid="{00000000-0006-0000-4E00-00002D000000}">
      <text>
        <r>
          <rPr>
            <sz val="12"/>
            <color theme="1"/>
            <rFont val="Aptos Narrow"/>
            <family val="2"/>
            <scheme val="minor"/>
          </rPr>
          <t>W3 19490</t>
        </r>
      </text>
    </comment>
    <comment ref="D18" authorId="3" shapeId="0" xr:uid="{00000000-0006-0000-4E00-00002E000000}">
      <text>
        <r>
          <rPr>
            <sz val="12"/>
            <color theme="1"/>
            <rFont val="Aptos Narrow"/>
            <family val="2"/>
            <scheme val="minor"/>
          </rPr>
          <t>Việt Hoàng:
21.690.000</t>
        </r>
      </text>
    </comment>
    <comment ref="G18" authorId="1" shapeId="0" xr:uid="{00000000-0006-0000-4E00-00002F000000}">
      <text>
        <r>
          <rPr>
            <sz val="12"/>
            <color theme="1"/>
            <rFont val="Aptos Narrow"/>
            <family val="2"/>
            <scheme val="minor"/>
          </rPr>
          <t xml:space="preserve">Tran Dat:
21490
</t>
        </r>
      </text>
    </comment>
    <comment ref="D19" authorId="3" shapeId="0" xr:uid="{00000000-0006-0000-4E00-000030000000}">
      <text>
        <r>
          <rPr>
            <sz val="12"/>
            <color theme="1"/>
            <rFont val="Aptos Narrow"/>
            <family val="2"/>
            <scheme val="minor"/>
          </rPr>
          <t>Việt Hoàng:
27.190.000</t>
        </r>
      </text>
    </comment>
    <comment ref="F19" authorId="4" shapeId="0" xr:uid="{00000000-0006-0000-4E00-000031000000}">
      <text>
        <r>
          <rPr>
            <sz val="12"/>
            <color theme="1"/>
            <rFont val="Aptos Narrow"/>
            <family val="2"/>
            <scheme val="minor"/>
          </rPr>
          <t>Người dùng Không xác định:
27.290</t>
        </r>
      </text>
    </comment>
    <comment ref="G19" authorId="1" shapeId="0" xr:uid="{00000000-0006-0000-4E00-000032000000}">
      <text>
        <r>
          <rPr>
            <sz val="12"/>
            <color theme="1"/>
            <rFont val="Aptos Narrow"/>
            <family val="2"/>
            <scheme val="minor"/>
          </rPr>
          <t>Tran Dat:
27390</t>
        </r>
      </text>
    </comment>
    <comment ref="B20" authorId="0" shapeId="0" xr:uid="{00000000-0006-0000-4E00-000033000000}">
      <text>
        <r>
          <rPr>
            <sz val="12"/>
            <color theme="1"/>
            <rFont val="Aptos Narrow"/>
            <family val="2"/>
            <scheme val="minor"/>
          </rPr>
          <t>was 36640</t>
        </r>
      </text>
    </comment>
    <comment ref="F20" authorId="4" shapeId="0" xr:uid="{00000000-0006-0000-4E00-000034000000}">
      <text>
        <r>
          <rPr>
            <sz val="12"/>
            <color theme="1"/>
            <rFont val="Aptos Narrow"/>
            <family val="2"/>
            <scheme val="minor"/>
          </rPr>
          <t>Người dùng Không xác định:
35.890</t>
        </r>
      </text>
    </comment>
    <comment ref="F21" authorId="4" shapeId="0" xr:uid="{00000000-0006-0000-4E00-000035000000}">
      <text>
        <r>
          <rPr>
            <sz val="12"/>
            <color theme="1"/>
            <rFont val="Aptos Narrow"/>
            <family val="2"/>
            <scheme val="minor"/>
          </rPr>
          <t>Người dùng Không xác định:
5.290</t>
        </r>
      </text>
    </comment>
    <comment ref="B32" authorId="0" shapeId="0" xr:uid="{00000000-0006-0000-4E00-000036000000}">
      <text>
        <r>
          <rPr>
            <sz val="12"/>
            <color theme="1"/>
            <rFont val="Aptos Narrow"/>
            <family val="2"/>
            <scheme val="minor"/>
          </rPr>
          <t>was 13320
VNP100</t>
        </r>
      </text>
    </comment>
    <comment ref="B39" authorId="0" shapeId="0" xr:uid="{00000000-0006-0000-4E00-000037000000}">
      <text>
        <r>
          <rPr>
            <sz val="12"/>
            <color theme="1"/>
            <rFont val="Aptos Narrow"/>
            <family val="2"/>
            <scheme val="minor"/>
          </rPr>
          <t>was 5550
VNP40</t>
        </r>
      </text>
    </comment>
    <comment ref="B40" authorId="0" shapeId="0" xr:uid="{00000000-0006-0000-4E00-000038000000}">
      <text>
        <r>
          <rPr>
            <sz val="12"/>
            <color theme="1"/>
            <rFont val="Aptos Narrow"/>
            <family val="2"/>
            <scheme val="minor"/>
          </rPr>
          <t xml:space="preserve">was 4490
</t>
        </r>
      </text>
    </comment>
    <comment ref="C40" authorId="2" shapeId="0" xr:uid="{00000000-0006-0000-4E00-000039000000}">
      <text>
        <r>
          <rPr>
            <sz val="12"/>
            <color theme="1"/>
            <rFont val="Aptos Narrow"/>
            <family val="2"/>
            <scheme val="minor"/>
          </rPr>
          <t>W3 4490</t>
        </r>
      </text>
    </comment>
    <comment ref="D40" authorId="3" shapeId="0" xr:uid="{00000000-0006-0000-4E00-00003A000000}">
      <text>
        <r>
          <rPr>
            <sz val="12"/>
            <color theme="1"/>
            <rFont val="Aptos Narrow"/>
            <family val="2"/>
            <scheme val="minor"/>
          </rPr>
          <t>Việt Hoàng:
4790000</t>
        </r>
      </text>
    </comment>
    <comment ref="F40" authorId="4" shapeId="0" xr:uid="{00000000-0006-0000-4E00-00003B000000}">
      <text>
        <r>
          <rPr>
            <sz val="12"/>
            <color theme="1"/>
            <rFont val="Aptos Narrow"/>
            <family val="2"/>
            <scheme val="minor"/>
          </rPr>
          <t>Người dùng Không xác định:
4.790</t>
        </r>
      </text>
    </comment>
    <comment ref="B41" authorId="0" shapeId="0" xr:uid="{00000000-0006-0000-4E00-00003C000000}">
      <text>
        <r>
          <rPr>
            <sz val="12"/>
            <color theme="1"/>
            <rFont val="Aptos Narrow"/>
            <family val="2"/>
            <scheme val="minor"/>
          </rPr>
          <t>was 3190</t>
        </r>
      </text>
    </comment>
    <comment ref="D41" authorId="3" shapeId="0" xr:uid="{00000000-0006-0000-4E00-00003D000000}">
      <text>
        <r>
          <rPr>
            <sz val="12"/>
            <color theme="1"/>
            <rFont val="Aptos Narrow"/>
            <family val="2"/>
            <scheme val="minor"/>
          </rPr>
          <t>Việt Hoàng:
3.590.000</t>
        </r>
      </text>
    </comment>
    <comment ref="F41" authorId="4" shapeId="0" xr:uid="{00000000-0006-0000-4E00-00003E000000}">
      <text>
        <r>
          <rPr>
            <sz val="12"/>
            <color theme="1"/>
            <rFont val="Aptos Narrow"/>
            <family val="2"/>
            <scheme val="minor"/>
          </rPr>
          <t>Người dùng Không xác định:
3.590</t>
        </r>
      </text>
    </comment>
    <comment ref="B43" authorId="0" shapeId="0" xr:uid="{00000000-0006-0000-4E00-00003F000000}">
      <text>
        <r>
          <rPr>
            <sz val="12"/>
            <color theme="1"/>
            <rFont val="Aptos Narrow"/>
            <family val="2"/>
            <scheme val="minor"/>
          </rPr>
          <t>was 18090
VNP100</t>
        </r>
      </text>
    </comment>
    <comment ref="C43" authorId="2" shapeId="0" xr:uid="{00000000-0006-0000-4E00-000040000000}">
      <text>
        <r>
          <rPr>
            <sz val="12"/>
            <color theme="1"/>
            <rFont val="Aptos Narrow"/>
            <family val="2"/>
            <scheme val="minor"/>
          </rPr>
          <t>W3 17190</t>
        </r>
      </text>
    </comment>
    <comment ref="C44" authorId="5" shapeId="0" xr:uid="{00000000-0006-0000-4E00-000041000000}">
      <text>
        <r>
          <rPr>
            <sz val="12"/>
            <color theme="1"/>
            <rFont val="Aptos Narrow"/>
            <family val="2"/>
            <scheme val="minor"/>
          </rPr>
          <t>W3 19990</t>
        </r>
      </text>
    </comment>
    <comment ref="D44" authorId="3" shapeId="0" xr:uid="{00000000-0006-0000-4E00-000042000000}">
      <text>
        <r>
          <rPr>
            <sz val="12"/>
            <color theme="1"/>
            <rFont val="Aptos Narrow"/>
            <family val="2"/>
            <scheme val="minor"/>
          </rPr>
          <t>Việt Hoàng
20.090.000</t>
        </r>
      </text>
    </comment>
    <comment ref="F44" authorId="4" shapeId="0" xr:uid="{00000000-0006-0000-4E00-000043000000}">
      <text>
        <r>
          <rPr>
            <sz val="12"/>
            <color theme="1"/>
            <rFont val="Aptos Narrow"/>
            <family val="2"/>
            <scheme val="minor"/>
          </rPr>
          <t>Người dùng Không xác định:20.290</t>
        </r>
      </text>
    </comment>
    <comment ref="B45" authorId="0" shapeId="0" xr:uid="{00000000-0006-0000-4E00-000044000000}">
      <text>
        <r>
          <rPr>
            <sz val="12"/>
            <color theme="1"/>
            <rFont val="Aptos Narrow"/>
            <family val="2"/>
            <scheme val="minor"/>
          </rPr>
          <t>was 26140
VNP150</t>
        </r>
      </text>
    </comment>
    <comment ref="C46" authorId="2" shapeId="0" xr:uid="{00000000-0006-0000-4E00-000045000000}">
      <text>
        <r>
          <rPr>
            <sz val="12"/>
            <color theme="1"/>
            <rFont val="Aptos Narrow"/>
            <family val="2"/>
            <scheme val="minor"/>
          </rPr>
          <t>W3 25090</t>
        </r>
      </text>
    </comment>
    <comment ref="D46" authorId="3" shapeId="0" xr:uid="{00000000-0006-0000-4E00-000046000000}">
      <text>
        <r>
          <rPr>
            <sz val="12"/>
            <color theme="1"/>
            <rFont val="Aptos Narrow"/>
            <family val="2"/>
            <scheme val="minor"/>
          </rPr>
          <t>Việt Hoàng:
25.090.000</t>
        </r>
      </text>
    </comment>
    <comment ref="G46" authorId="1" shapeId="0" xr:uid="{00000000-0006-0000-4E00-000047000000}">
      <text>
        <r>
          <rPr>
            <sz val="12"/>
            <color theme="1"/>
            <rFont val="Aptos Narrow"/>
            <family val="2"/>
            <scheme val="minor"/>
          </rPr>
          <t>Tran Dat:
24990</t>
        </r>
      </text>
    </comment>
    <comment ref="C47" authorId="2" shapeId="0" xr:uid="{00000000-0006-0000-4E00-000048000000}">
      <text>
        <r>
          <rPr>
            <sz val="12"/>
            <color theme="1"/>
            <rFont val="Aptos Narrow"/>
            <family val="2"/>
            <scheme val="minor"/>
          </rPr>
          <t>W3 29490</t>
        </r>
      </text>
    </comment>
    <comment ref="D47" authorId="3" shapeId="0" xr:uid="{00000000-0006-0000-4E00-000049000000}">
      <text>
        <r>
          <rPr>
            <sz val="12"/>
            <color theme="1"/>
            <rFont val="Aptos Narrow"/>
            <family val="2"/>
            <scheme val="minor"/>
          </rPr>
          <t>Việt Hoàng:
29.690.000</t>
        </r>
      </text>
    </comment>
    <comment ref="F47" authorId="4" shapeId="0" xr:uid="{00000000-0006-0000-4E00-00004A000000}">
      <text>
        <r>
          <rPr>
            <sz val="12"/>
            <color theme="1"/>
            <rFont val="Aptos Narrow"/>
            <family val="2"/>
            <scheme val="minor"/>
          </rPr>
          <t>Người dùng Không xác định:
29.690</t>
        </r>
      </text>
    </comment>
    <comment ref="C48" authorId="2" shapeId="0" xr:uid="{00000000-0006-0000-4E00-00004B000000}">
      <text>
        <r>
          <rPr>
            <sz val="12"/>
            <color theme="1"/>
            <rFont val="Aptos Narrow"/>
            <family val="2"/>
            <scheme val="minor"/>
          </rPr>
          <t>W3 38290</t>
        </r>
      </text>
    </comment>
    <comment ref="D48" authorId="3" shapeId="0" xr:uid="{00000000-0006-0000-4E00-00004C000000}">
      <text>
        <r>
          <rPr>
            <sz val="12"/>
            <color theme="1"/>
            <rFont val="Aptos Narrow"/>
            <family val="2"/>
            <scheme val="minor"/>
          </rPr>
          <t>Việt Hoàng:
37.790.000</t>
        </r>
      </text>
    </comment>
    <comment ref="F48" authorId="4" shapeId="0" xr:uid="{00000000-0006-0000-4E00-00004D000000}">
      <text>
        <r>
          <rPr>
            <sz val="12"/>
            <color theme="1"/>
            <rFont val="Aptos Narrow"/>
            <family val="2"/>
            <scheme val="minor"/>
          </rPr>
          <t>Người dùng Không xác định:
38.090</t>
        </r>
      </text>
    </comment>
  </commentList>
</comments>
</file>

<file path=xl/comments80.xml><?xml version="1.0" encoding="utf-8"?>
<comments xmlns="http://schemas.openxmlformats.org/spreadsheetml/2006/main" xmlns:mc="http://schemas.openxmlformats.org/markup-compatibility/2006" xmlns:xr="http://schemas.microsoft.com/office/spreadsheetml/2014/revision" mc:Ignorable="xr">
  <authors>
    <author>Microsoft Office User</author>
    <author>Người dùng Khách</author>
    <author>Duy</author>
    <author>Việt Hoàng</author>
    <author>Tran Dat</author>
    <author>Duy Ha Minh</author>
  </authors>
  <commentList>
    <comment ref="E2" authorId="0" shapeId="0" xr:uid="{00000000-0006-0000-4F00-000001000000}">
      <text>
        <r>
          <rPr>
            <sz val="12"/>
            <color theme="1"/>
            <rFont val="Aptos Narrow"/>
            <family val="2"/>
            <scheme val="minor"/>
          </rPr>
          <t>VNP500K</t>
        </r>
      </text>
    </comment>
    <comment ref="D3" authorId="1" shapeId="0" xr:uid="{00000000-0006-0000-4F00-000002000000}">
      <text>
        <r>
          <rPr>
            <sz val="12"/>
            <color theme="1"/>
            <rFont val="Aptos Narrow"/>
            <family val="2"/>
            <scheme val="minor"/>
          </rPr>
          <t xml:space="preserve">Người dùng Không xác định:
31.990.000
</t>
        </r>
      </text>
    </comment>
    <comment ref="F3" authorId="1" shapeId="0" xr:uid="{00000000-0006-0000-4F00-000003000000}">
      <text>
        <r>
          <rPr>
            <sz val="12"/>
            <color theme="1"/>
            <rFont val="Aptos Narrow"/>
            <family val="2"/>
            <scheme val="minor"/>
          </rPr>
          <t>Hải 
31190000</t>
        </r>
      </text>
    </comment>
    <comment ref="E4" authorId="0" shapeId="0" xr:uid="{00000000-0006-0000-4F00-000004000000}">
      <text>
        <r>
          <rPr>
            <sz val="12"/>
            <color theme="1"/>
            <rFont val="Aptos Narrow"/>
            <family val="2"/>
            <scheme val="minor"/>
          </rPr>
          <t>VNP500
was 34490</t>
        </r>
      </text>
    </comment>
    <comment ref="F4" authorId="1" shapeId="0" xr:uid="{00000000-0006-0000-4F00-000005000000}">
      <text>
        <r>
          <rPr>
            <sz val="12"/>
            <color theme="1"/>
            <rFont val="Aptos Narrow"/>
            <family val="2"/>
            <scheme val="minor"/>
          </rPr>
          <t>Người dùng Không xác định:
34990000</t>
        </r>
      </text>
    </comment>
    <comment ref="C6" authorId="2" shapeId="0" xr:uid="{00000000-0006-0000-4F00-000006000000}">
      <text>
        <r>
          <rPr>
            <sz val="12"/>
            <color theme="1"/>
            <rFont val="Aptos Narrow"/>
            <family val="2"/>
            <scheme val="minor"/>
          </rPr>
          <t>W4 15790</t>
        </r>
      </text>
    </comment>
    <comment ref="D6" authorId="3" shapeId="0" xr:uid="{00000000-0006-0000-4F00-000007000000}">
      <text>
        <r>
          <rPr>
            <sz val="12"/>
            <color theme="1"/>
            <rFont val="Aptos Narrow"/>
            <family val="2"/>
            <scheme val="minor"/>
          </rPr>
          <t>Việt Hoàng:
15.990.000</t>
        </r>
      </text>
    </comment>
    <comment ref="E6" authorId="0" shapeId="0" xr:uid="{00000000-0006-0000-4F00-000008000000}">
      <text>
        <r>
          <rPr>
            <sz val="12"/>
            <color theme="1"/>
            <rFont val="Aptos Narrow"/>
            <family val="2"/>
            <scheme val="minor"/>
          </rPr>
          <t>was 15790</t>
        </r>
      </text>
    </comment>
    <comment ref="C7" authorId="2" shapeId="0" xr:uid="{00000000-0006-0000-4F00-000009000000}">
      <text>
        <r>
          <rPr>
            <sz val="12"/>
            <color theme="1"/>
            <rFont val="Aptos Narrow"/>
            <family val="2"/>
            <scheme val="minor"/>
          </rPr>
          <t>W4 21590</t>
        </r>
      </text>
    </comment>
    <comment ref="D7" authorId="3" shapeId="0" xr:uid="{00000000-0006-0000-4F00-00000A000000}">
      <text>
        <r>
          <rPr>
            <sz val="12"/>
            <color theme="1"/>
            <rFont val="Aptos Narrow"/>
            <family val="2"/>
            <scheme val="minor"/>
          </rPr>
          <t>Việt Hoàng:
21590000</t>
        </r>
      </text>
    </comment>
    <comment ref="E7" authorId="0" shapeId="0" xr:uid="{00000000-0006-0000-4F00-00000B000000}">
      <text>
        <r>
          <rPr>
            <sz val="12"/>
            <color theme="1"/>
            <rFont val="Aptos Narrow"/>
            <family val="2"/>
            <scheme val="minor"/>
          </rPr>
          <t>was 20690</t>
        </r>
      </text>
    </comment>
    <comment ref="F7" authorId="1" shapeId="0" xr:uid="{00000000-0006-0000-4F00-00000C000000}">
      <text>
        <r>
          <rPr>
            <sz val="12"/>
            <color theme="1"/>
            <rFont val="Aptos Narrow"/>
            <family val="2"/>
            <scheme val="minor"/>
          </rPr>
          <t>Người dùng Không xác định:
21090000</t>
        </r>
      </text>
    </comment>
    <comment ref="G7" authorId="4" shapeId="0" xr:uid="{00000000-0006-0000-4F00-00000D000000}">
      <text>
        <r>
          <rPr>
            <sz val="12"/>
            <color theme="1"/>
            <rFont val="Aptos Narrow"/>
            <family val="2"/>
            <scheme val="minor"/>
          </rPr>
          <t>Tran Dat:
21290</t>
        </r>
      </text>
    </comment>
    <comment ref="B8" authorId="0" shapeId="0" xr:uid="{00000000-0006-0000-4F00-00000E000000}">
      <text>
        <r>
          <rPr>
            <sz val="12"/>
            <color theme="1"/>
            <rFont val="Aptos Narrow"/>
            <family val="2"/>
            <scheme val="minor"/>
          </rPr>
          <t>was 24640000
VNP150</t>
        </r>
      </text>
    </comment>
    <comment ref="D8" authorId="3" shapeId="0" xr:uid="{00000000-0006-0000-4F00-00000F000000}">
      <text>
        <r>
          <rPr>
            <sz val="12"/>
            <color theme="1"/>
            <rFont val="Aptos Narrow"/>
            <family val="2"/>
            <scheme val="minor"/>
          </rPr>
          <t>Việt Hoàng:
24790000</t>
        </r>
      </text>
    </comment>
    <comment ref="E8" authorId="0" shapeId="0" xr:uid="{00000000-0006-0000-4F00-000010000000}">
      <text>
        <r>
          <rPr>
            <sz val="12"/>
            <color theme="1"/>
            <rFont val="Aptos Narrow"/>
            <family val="2"/>
            <scheme val="minor"/>
          </rPr>
          <t>was 23490</t>
        </r>
      </text>
    </comment>
    <comment ref="F8" authorId="1" shapeId="0" xr:uid="{00000000-0006-0000-4F00-000011000000}">
      <text>
        <r>
          <rPr>
            <sz val="12"/>
            <color theme="1"/>
            <rFont val="Aptos Narrow"/>
            <family val="2"/>
            <scheme val="minor"/>
          </rPr>
          <t>Người dùng Không xác định:
24690000</t>
        </r>
      </text>
    </comment>
    <comment ref="G8" authorId="4" shapeId="0" xr:uid="{00000000-0006-0000-4F00-000012000000}">
      <text>
        <r>
          <rPr>
            <sz val="12"/>
            <color theme="1"/>
            <rFont val="Aptos Narrow"/>
            <family val="2"/>
            <scheme val="minor"/>
          </rPr>
          <t>Tran Dat:
25090</t>
        </r>
      </text>
    </comment>
    <comment ref="B10" authorId="0" shapeId="0" xr:uid="{00000000-0006-0000-4F00-000013000000}">
      <text>
        <r>
          <rPr>
            <sz val="12"/>
            <color theme="1"/>
            <rFont val="Aptos Narrow"/>
            <family val="2"/>
            <scheme val="minor"/>
          </rPr>
          <t>Tặng phiếu mua hàng mua AirPods và Apple Watch trị giá 500,000đ
 Phiếu mua hàng mua sản phẩm giá niêm yết từ 5 triệu thuộc các nhóm TAI NGHE - LOA hãng HARMAN KARDON, JBL,MONSTER, KLIPSCH, MARSHALL, SONY; Smartwatch hãng HUAWEI, GARMIN, SAMSUNG, IMOO, OPPO, AMAZFIT trị giá 500.000đ</t>
        </r>
      </text>
    </comment>
    <comment ref="D10" authorId="3" shapeId="0" xr:uid="{00000000-0006-0000-4F00-000014000000}">
      <text>
        <r>
          <rPr>
            <sz val="12"/>
            <color theme="1"/>
            <rFont val="Aptos Narrow"/>
            <family val="2"/>
            <scheme val="minor"/>
          </rPr>
          <t>Việt Hoàng:
30.290.000</t>
        </r>
      </text>
    </comment>
    <comment ref="E10" authorId="0" shapeId="0" xr:uid="{00000000-0006-0000-4F00-000015000000}">
      <text>
        <r>
          <rPr>
            <sz val="12"/>
            <color theme="1"/>
            <rFont val="Aptos Narrow"/>
            <family val="2"/>
            <scheme val="minor"/>
          </rPr>
          <t>was 29290</t>
        </r>
      </text>
    </comment>
    <comment ref="F10" authorId="1" shapeId="0" xr:uid="{00000000-0006-0000-4F00-000016000000}">
      <text>
        <r>
          <rPr>
            <sz val="12"/>
            <color theme="1"/>
            <rFont val="Aptos Narrow"/>
            <family val="2"/>
            <scheme val="minor"/>
          </rPr>
          <t>Người dùng Không xác định:
30.390k</t>
        </r>
      </text>
    </comment>
    <comment ref="D11" authorId="3" shapeId="0" xr:uid="{00000000-0006-0000-4F00-000017000000}">
      <text>
        <r>
          <rPr>
            <sz val="12"/>
            <color theme="1"/>
            <rFont val="Aptos Narrow"/>
            <family val="2"/>
            <scheme val="minor"/>
          </rPr>
          <t>Việt Hoàng:
16.990.000</t>
        </r>
      </text>
    </comment>
    <comment ref="E11" authorId="0" shapeId="0" xr:uid="{00000000-0006-0000-4F00-000018000000}">
      <text>
        <r>
          <rPr>
            <sz val="12"/>
            <color theme="1"/>
            <rFont val="Aptos Narrow"/>
            <family val="2"/>
            <scheme val="minor"/>
          </rPr>
          <t>was 16790</t>
        </r>
      </text>
    </comment>
    <comment ref="F11" authorId="1" shapeId="0" xr:uid="{00000000-0006-0000-4F00-000019000000}">
      <text>
        <r>
          <rPr>
            <sz val="12"/>
            <color theme="1"/>
            <rFont val="Aptos Narrow"/>
            <family val="2"/>
            <scheme val="minor"/>
          </rPr>
          <t>Người dùng Không xác định:
17.350</t>
        </r>
      </text>
    </comment>
    <comment ref="G11" authorId="4" shapeId="0" xr:uid="{00000000-0006-0000-4F00-00001A000000}">
      <text>
        <r>
          <rPr>
            <sz val="12"/>
            <color theme="1"/>
            <rFont val="Aptos Narrow"/>
            <family val="2"/>
            <scheme val="minor"/>
          </rPr>
          <t>Tran Dat:16890</t>
        </r>
      </text>
    </comment>
    <comment ref="F12" authorId="1" shapeId="0" xr:uid="{00000000-0006-0000-4F00-00001B000000}">
      <text>
        <r>
          <rPr>
            <sz val="12"/>
            <color theme="1"/>
            <rFont val="Aptos Narrow"/>
            <family val="2"/>
            <scheme val="minor"/>
          </rPr>
          <t>Người dùng Không xác định:
18.990</t>
        </r>
      </text>
    </comment>
    <comment ref="D13" authorId="3" shapeId="0" xr:uid="{00000000-0006-0000-4F00-00001C000000}">
      <text>
        <r>
          <rPr>
            <sz val="12"/>
            <color theme="1"/>
            <rFont val="Aptos Narrow"/>
            <family val="2"/>
            <scheme val="minor"/>
          </rPr>
          <t xml:space="preserve">Việt Hoàng:
13.490.000
</t>
        </r>
      </text>
    </comment>
    <comment ref="E13" authorId="0" shapeId="0" xr:uid="{00000000-0006-0000-4F00-00001D000000}">
      <text>
        <r>
          <rPr>
            <sz val="12"/>
            <color theme="1"/>
            <rFont val="Aptos Narrow"/>
            <family val="2"/>
            <scheme val="minor"/>
          </rPr>
          <t>was 13490</t>
        </r>
      </text>
    </comment>
    <comment ref="F13" authorId="1" shapeId="0" xr:uid="{00000000-0006-0000-4F00-00001E000000}">
      <text>
        <r>
          <rPr>
            <sz val="12"/>
            <color theme="1"/>
            <rFont val="Aptos Narrow"/>
            <family val="2"/>
            <scheme val="minor"/>
          </rPr>
          <t>Người dùng Không xác định:
13690000</t>
        </r>
      </text>
    </comment>
    <comment ref="B14" authorId="0" shapeId="0" xr:uid="{00000000-0006-0000-4F00-00001F000000}">
      <text>
        <r>
          <rPr>
            <sz val="12"/>
            <color theme="1"/>
            <rFont val="Aptos Narrow"/>
            <family val="2"/>
            <scheme val="minor"/>
          </rPr>
          <t>was 13190
VNP100</t>
        </r>
      </text>
    </comment>
    <comment ref="D14" authorId="3" shapeId="0" xr:uid="{00000000-0006-0000-4F00-000020000000}">
      <text>
        <r>
          <rPr>
            <sz val="12"/>
            <color theme="1"/>
            <rFont val="Aptos Narrow"/>
            <family val="2"/>
            <scheme val="minor"/>
          </rPr>
          <t>Việt Hoàng:
12.390.000</t>
        </r>
      </text>
    </comment>
    <comment ref="E14" authorId="0" shapeId="0" xr:uid="{00000000-0006-0000-4F00-000021000000}">
      <text>
        <r>
          <rPr>
            <sz val="12"/>
            <color theme="1"/>
            <rFont val="Aptos Narrow"/>
            <family val="2"/>
            <scheme val="minor"/>
          </rPr>
          <t>was 12290
Giờ vàng</t>
        </r>
      </text>
    </comment>
    <comment ref="F14" authorId="1" shapeId="0" xr:uid="{00000000-0006-0000-4F00-000022000000}">
      <text>
        <r>
          <rPr>
            <sz val="12"/>
            <color theme="1"/>
            <rFont val="Aptos Narrow"/>
            <family val="2"/>
            <scheme val="minor"/>
          </rPr>
          <t>Người dùng Không xác định:
12190000</t>
        </r>
      </text>
    </comment>
    <comment ref="C15" authorId="2" shapeId="0" xr:uid="{00000000-0006-0000-4F00-000023000000}">
      <text>
        <r>
          <rPr>
            <sz val="12"/>
            <color theme="1"/>
            <rFont val="Aptos Narrow"/>
            <family val="2"/>
            <scheme val="minor"/>
          </rPr>
          <t>W4 11790</t>
        </r>
      </text>
    </comment>
    <comment ref="D15" authorId="3" shapeId="0" xr:uid="{00000000-0006-0000-4F00-000024000000}">
      <text>
        <r>
          <rPr>
            <sz val="12"/>
            <color theme="1"/>
            <rFont val="Aptos Narrow"/>
            <family val="2"/>
            <scheme val="minor"/>
          </rPr>
          <t>Việt Hoàng:
11790000</t>
        </r>
      </text>
    </comment>
    <comment ref="E15" authorId="0" shapeId="0" xr:uid="{00000000-0006-0000-4F00-000025000000}">
      <text>
        <r>
          <rPr>
            <sz val="12"/>
            <color theme="1"/>
            <rFont val="Aptos Narrow"/>
            <family val="2"/>
            <scheme val="minor"/>
          </rPr>
          <t>HSSV 200
was 11790</t>
        </r>
      </text>
    </comment>
    <comment ref="B16" authorId="0" shapeId="0" xr:uid="{00000000-0006-0000-4F00-000026000000}">
      <text>
        <r>
          <rPr>
            <sz val="12"/>
            <color theme="1"/>
            <rFont val="Aptos Narrow"/>
            <family val="2"/>
            <scheme val="minor"/>
          </rPr>
          <t>was 7040
VNP40</t>
        </r>
      </text>
    </comment>
    <comment ref="C16" authorId="2" shapeId="0" xr:uid="{00000000-0006-0000-4F00-000027000000}">
      <text>
        <r>
          <rPr>
            <sz val="12"/>
            <color theme="1"/>
            <rFont val="Aptos Narrow"/>
            <family val="2"/>
            <scheme val="minor"/>
          </rPr>
          <t>W4 8890</t>
        </r>
      </text>
    </comment>
    <comment ref="D16" authorId="3" shapeId="0" xr:uid="{00000000-0006-0000-4F00-000028000000}">
      <text>
        <r>
          <rPr>
            <sz val="12"/>
            <color theme="1"/>
            <rFont val="Aptos Narrow"/>
            <family val="2"/>
            <scheme val="minor"/>
          </rPr>
          <t>Việt Hoàng
8690000</t>
        </r>
      </text>
    </comment>
    <comment ref="E16" authorId="0" shapeId="0" xr:uid="{00000000-0006-0000-4F00-000029000000}">
      <text>
        <r>
          <rPr>
            <sz val="12"/>
            <color theme="1"/>
            <rFont val="Aptos Narrow"/>
            <family val="2"/>
            <scheme val="minor"/>
          </rPr>
          <t>was 8690
hssv 200</t>
        </r>
      </text>
    </comment>
    <comment ref="F16" authorId="1" shapeId="0" xr:uid="{00000000-0006-0000-4F00-00002A000000}">
      <text>
        <r>
          <rPr>
            <sz val="12"/>
            <color theme="1"/>
            <rFont val="Aptos Narrow"/>
            <family val="2"/>
            <scheme val="minor"/>
          </rPr>
          <t xml:space="preserve">Người dùng Không xác định:
9290000
</t>
        </r>
      </text>
    </comment>
    <comment ref="G16" authorId="4" shapeId="0" xr:uid="{00000000-0006-0000-4F00-00002B000000}">
      <text>
        <r>
          <rPr>
            <sz val="12"/>
            <color theme="1"/>
            <rFont val="Aptos Narrow"/>
            <family val="2"/>
            <scheme val="minor"/>
          </rPr>
          <t xml:space="preserve">Tran Dat:
8390000
</t>
        </r>
      </text>
    </comment>
    <comment ref="B17" authorId="0" shapeId="0" xr:uid="{00000000-0006-0000-4F00-00002C000000}">
      <text>
        <r>
          <rPr>
            <sz val="12"/>
            <color theme="1"/>
            <rFont val="Aptos Narrow"/>
            <family val="2"/>
            <scheme val="minor"/>
          </rPr>
          <t>was 14390</t>
        </r>
      </text>
    </comment>
    <comment ref="C17" authorId="2" shapeId="0" xr:uid="{00000000-0006-0000-4F00-00002D000000}">
      <text>
        <r>
          <rPr>
            <sz val="12"/>
            <color theme="1"/>
            <rFont val="Aptos Narrow"/>
            <family val="2"/>
            <scheme val="minor"/>
          </rPr>
          <t>W4 13690</t>
        </r>
      </text>
    </comment>
    <comment ref="D17" authorId="3" shapeId="0" xr:uid="{00000000-0006-0000-4F00-00002E000000}">
      <text>
        <r>
          <rPr>
            <sz val="12"/>
            <color theme="1"/>
            <rFont val="Aptos Narrow"/>
            <family val="2"/>
            <scheme val="minor"/>
          </rPr>
          <t>Việt Hoàng:
13190000</t>
        </r>
      </text>
    </comment>
    <comment ref="E17" authorId="0" shapeId="0" xr:uid="{00000000-0006-0000-4F00-00002F000000}">
      <text>
        <r>
          <rPr>
            <sz val="12"/>
            <color theme="1"/>
            <rFont val="Aptos Narrow"/>
            <family val="2"/>
            <scheme val="minor"/>
          </rPr>
          <t>was 13690
hssv 200</t>
        </r>
      </text>
    </comment>
    <comment ref="F17" authorId="1" shapeId="0" xr:uid="{00000000-0006-0000-4F00-000030000000}">
      <text>
        <r>
          <rPr>
            <sz val="12"/>
            <color theme="1"/>
            <rFont val="Aptos Narrow"/>
            <family val="2"/>
            <scheme val="minor"/>
          </rPr>
          <t>Người dùng Không xác định:
15890000</t>
        </r>
      </text>
    </comment>
    <comment ref="G17" authorId="4" shapeId="0" xr:uid="{00000000-0006-0000-4F00-000031000000}">
      <text>
        <r>
          <rPr>
            <sz val="12"/>
            <color theme="1"/>
            <rFont val="Aptos Narrow"/>
            <family val="2"/>
            <scheme val="minor"/>
          </rPr>
          <t>was 13490</t>
        </r>
      </text>
    </comment>
    <comment ref="C18" authorId="2" shapeId="0" xr:uid="{00000000-0006-0000-4F00-000032000000}">
      <text>
        <r>
          <rPr>
            <sz val="12"/>
            <color theme="1"/>
            <rFont val="Aptos Narrow"/>
            <family val="2"/>
            <scheme val="minor"/>
          </rPr>
          <t>W4 18990</t>
        </r>
      </text>
    </comment>
    <comment ref="D18" authorId="3" shapeId="0" xr:uid="{00000000-0006-0000-4F00-000033000000}">
      <text>
        <r>
          <rPr>
            <sz val="12"/>
            <color theme="1"/>
            <rFont val="Aptos Narrow"/>
            <family val="2"/>
            <scheme val="minor"/>
          </rPr>
          <t>Việt Hoàng:
18990000</t>
        </r>
      </text>
    </comment>
    <comment ref="F18" authorId="1" shapeId="0" xr:uid="{00000000-0006-0000-4F00-000034000000}">
      <text>
        <r>
          <rPr>
            <sz val="12"/>
            <color theme="1"/>
            <rFont val="Aptos Narrow"/>
            <family val="2"/>
            <scheme val="minor"/>
          </rPr>
          <t>Người dùng Không xác định:
21690000</t>
        </r>
      </text>
    </comment>
    <comment ref="G18" authorId="4" shapeId="0" xr:uid="{00000000-0006-0000-4F00-000035000000}">
      <text>
        <r>
          <rPr>
            <sz val="12"/>
            <color theme="1"/>
            <rFont val="Aptos Narrow"/>
            <family val="2"/>
            <scheme val="minor"/>
          </rPr>
          <t xml:space="preserve">Tran Dat:
21490
</t>
        </r>
      </text>
    </comment>
    <comment ref="D19" authorId="3" shapeId="0" xr:uid="{00000000-0006-0000-4F00-000036000000}">
      <text>
        <r>
          <rPr>
            <sz val="12"/>
            <color theme="1"/>
            <rFont val="Aptos Narrow"/>
            <family val="2"/>
            <scheme val="minor"/>
          </rPr>
          <t>Việt Hoàng:
27.990.000</t>
        </r>
      </text>
    </comment>
    <comment ref="F19" authorId="1" shapeId="0" xr:uid="{00000000-0006-0000-4F00-000037000000}">
      <text>
        <r>
          <rPr>
            <sz val="12"/>
            <color theme="1"/>
            <rFont val="Aptos Narrow"/>
            <family val="2"/>
            <scheme val="minor"/>
          </rPr>
          <t>Người dùng Không xác định:
28290000</t>
        </r>
      </text>
    </comment>
    <comment ref="B20" authorId="0" shapeId="0" xr:uid="{00000000-0006-0000-4F00-000038000000}">
      <text>
        <r>
          <rPr>
            <sz val="12"/>
            <color theme="1"/>
            <rFont val="Aptos Narrow"/>
            <family val="2"/>
            <scheme val="minor"/>
          </rPr>
          <t>was 36640</t>
        </r>
      </text>
    </comment>
    <comment ref="E20" authorId="0" shapeId="0" xr:uid="{00000000-0006-0000-4F00-000039000000}">
      <text>
        <r>
          <rPr>
            <sz val="12"/>
            <color theme="1"/>
            <rFont val="Aptos Narrow"/>
            <family val="2"/>
            <scheme val="minor"/>
          </rPr>
          <t xml:space="preserve">was 35490
</t>
        </r>
      </text>
    </comment>
    <comment ref="F20" authorId="1" shapeId="0" xr:uid="{00000000-0006-0000-4F00-00003A000000}">
      <text>
        <r>
          <rPr>
            <sz val="12"/>
            <color theme="1"/>
            <rFont val="Aptos Narrow"/>
            <family val="2"/>
            <scheme val="minor"/>
          </rPr>
          <t>Người dùng Không xác định:
35.890</t>
        </r>
      </text>
    </comment>
    <comment ref="F21" authorId="1" shapeId="0" xr:uid="{00000000-0006-0000-4F00-00003B000000}">
      <text>
        <r>
          <rPr>
            <sz val="12"/>
            <color theme="1"/>
            <rFont val="Aptos Narrow"/>
            <family val="2"/>
            <scheme val="minor"/>
          </rPr>
          <t>Người dùng Không xác định:
6790000</t>
        </r>
      </text>
    </comment>
    <comment ref="F22" authorId="1" shapeId="0" xr:uid="{00000000-0006-0000-4F00-00003C000000}">
      <text>
        <r>
          <rPr>
            <sz val="12"/>
            <color theme="1"/>
            <rFont val="Aptos Narrow"/>
            <family val="2"/>
            <scheme val="minor"/>
          </rPr>
          <t>Người dùng Không xác định:
8490000</t>
        </r>
      </text>
    </comment>
    <comment ref="F23" authorId="1" shapeId="0" xr:uid="{00000000-0006-0000-4F00-00003D000000}">
      <text>
        <r>
          <rPr>
            <sz val="12"/>
            <color theme="1"/>
            <rFont val="Aptos Narrow"/>
            <family val="2"/>
            <scheme val="minor"/>
          </rPr>
          <t>Người dùng Không xác định:
7840000</t>
        </r>
      </text>
    </comment>
    <comment ref="F24" authorId="1" shapeId="0" xr:uid="{00000000-0006-0000-4F00-00003E000000}">
      <text>
        <r>
          <rPr>
            <sz val="12"/>
            <color theme="1"/>
            <rFont val="Aptos Narrow"/>
            <family val="2"/>
            <scheme val="minor"/>
          </rPr>
          <t>Người dùng Không xác định:
9340000</t>
        </r>
      </text>
    </comment>
    <comment ref="F27" authorId="1" shapeId="0" xr:uid="{00000000-0006-0000-4F00-00003F000000}">
      <text>
        <r>
          <rPr>
            <sz val="12"/>
            <color theme="1"/>
            <rFont val="Aptos Narrow"/>
            <family val="2"/>
            <scheme val="minor"/>
          </rPr>
          <t>Người dùng Không xác định:
12.349</t>
        </r>
      </text>
    </comment>
    <comment ref="E29" authorId="0" shapeId="0" xr:uid="{00000000-0006-0000-4F00-000040000000}">
      <text>
        <r>
          <rPr>
            <sz val="12"/>
            <color theme="1"/>
            <rFont val="Aptos Narrow"/>
            <family val="2"/>
            <scheme val="minor"/>
          </rPr>
          <t xml:space="preserve">was 20990
</t>
        </r>
      </text>
    </comment>
    <comment ref="F29" authorId="1" shapeId="0" xr:uid="{00000000-0006-0000-4F00-000041000000}">
      <text>
        <r>
          <rPr>
            <sz val="12"/>
            <color theme="1"/>
            <rFont val="Aptos Narrow"/>
            <family val="2"/>
            <scheme val="minor"/>
          </rPr>
          <t>Người dùng Không xác định:
21290000</t>
        </r>
      </text>
    </comment>
    <comment ref="F30" authorId="1" shapeId="0" xr:uid="{00000000-0006-0000-4F00-000042000000}">
      <text>
        <r>
          <rPr>
            <sz val="12"/>
            <color theme="1"/>
            <rFont val="Aptos Narrow"/>
            <family val="2"/>
            <scheme val="minor"/>
          </rPr>
          <t>Người dùng Không xác định:
23.690k</t>
        </r>
      </text>
    </comment>
    <comment ref="B31" authorId="0" shapeId="0" xr:uid="{00000000-0006-0000-4F00-000043000000}">
      <text>
        <r>
          <rPr>
            <sz val="12"/>
            <color theme="1"/>
            <rFont val="Aptos Narrow"/>
            <family val="2"/>
            <scheme val="minor"/>
          </rPr>
          <t>was 5550
VNP40</t>
        </r>
      </text>
    </comment>
    <comment ref="C31" authorId="2" shapeId="0" xr:uid="{00000000-0006-0000-4F00-000044000000}">
      <text>
        <r>
          <rPr>
            <sz val="12"/>
            <color theme="1"/>
            <rFont val="Aptos Narrow"/>
            <family val="2"/>
            <scheme val="minor"/>
          </rPr>
          <t>W4 5590</t>
        </r>
      </text>
    </comment>
    <comment ref="D31" authorId="1" shapeId="0" xr:uid="{00000000-0006-0000-4F00-000045000000}">
      <text>
        <r>
          <rPr>
            <sz val="12"/>
            <color theme="1"/>
            <rFont val="Aptos Narrow"/>
            <family val="2"/>
            <scheme val="minor"/>
          </rPr>
          <t xml:space="preserve">Người dùng Không xác định:
5590000
</t>
        </r>
      </text>
    </comment>
    <comment ref="F31" authorId="1" shapeId="0" xr:uid="{00000000-0006-0000-4F00-000046000000}">
      <text>
        <r>
          <rPr>
            <sz val="12"/>
            <color theme="1"/>
            <rFont val="Aptos Narrow"/>
            <family val="2"/>
            <scheme val="minor"/>
          </rPr>
          <t>Người dùng Không xác định:
5490000</t>
        </r>
      </text>
    </comment>
    <comment ref="B32" authorId="0" shapeId="0" xr:uid="{00000000-0006-0000-4F00-000047000000}">
      <text>
        <r>
          <rPr>
            <sz val="12"/>
            <color theme="1"/>
            <rFont val="Aptos Narrow"/>
            <family val="2"/>
            <scheme val="minor"/>
          </rPr>
          <t xml:space="preserve">was 4490
</t>
        </r>
      </text>
    </comment>
    <comment ref="D32" authorId="3" shapeId="0" xr:uid="{00000000-0006-0000-4F00-000048000000}">
      <text>
        <r>
          <rPr>
            <sz val="12"/>
            <color theme="1"/>
            <rFont val="Aptos Narrow"/>
            <family val="2"/>
            <scheme val="minor"/>
          </rPr>
          <t>Việt Hoàng:
4690000</t>
        </r>
      </text>
    </comment>
    <comment ref="E32" authorId="0" shapeId="0" xr:uid="{00000000-0006-0000-4F00-000049000000}">
      <text>
        <r>
          <rPr>
            <sz val="12"/>
            <color theme="1"/>
            <rFont val="Aptos Narrow"/>
            <family val="2"/>
            <scheme val="minor"/>
          </rPr>
          <t xml:space="preserve">was 4390
</t>
        </r>
      </text>
    </comment>
    <comment ref="F32" authorId="1" shapeId="0" xr:uid="{00000000-0006-0000-4F00-00004A000000}">
      <text>
        <r>
          <rPr>
            <sz val="12"/>
            <color theme="1"/>
            <rFont val="Aptos Narrow"/>
            <family val="2"/>
            <scheme val="minor"/>
          </rPr>
          <t>Người dùng Không xác định:
4650000</t>
        </r>
      </text>
    </comment>
    <comment ref="B33" authorId="0" shapeId="0" xr:uid="{00000000-0006-0000-4F00-00004B000000}">
      <text>
        <r>
          <rPr>
            <sz val="12"/>
            <color theme="1"/>
            <rFont val="Aptos Narrow"/>
            <family val="2"/>
            <scheme val="minor"/>
          </rPr>
          <t>was 3190</t>
        </r>
      </text>
    </comment>
    <comment ref="C33" authorId="2" shapeId="0" xr:uid="{00000000-0006-0000-4F00-00004C000000}">
      <text>
        <r>
          <rPr>
            <sz val="12"/>
            <color theme="1"/>
            <rFont val="Aptos Narrow"/>
            <family val="2"/>
            <scheme val="minor"/>
          </rPr>
          <t>W4 3190</t>
        </r>
      </text>
    </comment>
    <comment ref="D33" authorId="3" shapeId="0" xr:uid="{00000000-0006-0000-4F00-00004D000000}">
      <text>
        <r>
          <rPr>
            <sz val="12"/>
            <color theme="1"/>
            <rFont val="Aptos Narrow"/>
            <family val="2"/>
            <scheme val="minor"/>
          </rPr>
          <t>Việt Hoàng:
3190000</t>
        </r>
      </text>
    </comment>
    <comment ref="E33" authorId="0" shapeId="0" xr:uid="{00000000-0006-0000-4F00-00004E000000}">
      <text>
        <r>
          <rPr>
            <sz val="12"/>
            <color theme="1"/>
            <rFont val="Aptos Narrow"/>
            <family val="2"/>
            <scheme val="minor"/>
          </rPr>
          <t xml:space="preserve">was 2990
</t>
        </r>
      </text>
    </comment>
    <comment ref="F33" authorId="1" shapeId="0" xr:uid="{00000000-0006-0000-4F00-00004F000000}">
      <text>
        <r>
          <rPr>
            <sz val="12"/>
            <color theme="1"/>
            <rFont val="Aptos Narrow"/>
            <family val="2"/>
            <scheme val="minor"/>
          </rPr>
          <t>Người dùng Không xác định:
3390000</t>
        </r>
      </text>
    </comment>
    <comment ref="F34" authorId="1" shapeId="0" xr:uid="{00000000-0006-0000-4F00-000050000000}">
      <text>
        <r>
          <rPr>
            <sz val="12"/>
            <color theme="1"/>
            <rFont val="Aptos Narrow"/>
            <family val="2"/>
            <scheme val="minor"/>
          </rPr>
          <t>Người dùng Không xác định:
6.790k</t>
        </r>
      </text>
    </comment>
    <comment ref="C35" authorId="5" shapeId="0" xr:uid="{00000000-0006-0000-4F00-000051000000}">
      <text>
        <r>
          <rPr>
            <sz val="12"/>
            <color theme="1"/>
            <rFont val="Aptos Narrow"/>
            <family val="2"/>
            <scheme val="minor"/>
          </rPr>
          <t>W4 19790</t>
        </r>
      </text>
    </comment>
    <comment ref="D35" authorId="3" shapeId="0" xr:uid="{00000000-0006-0000-4F00-000052000000}">
      <text>
        <r>
          <rPr>
            <sz val="12"/>
            <color theme="1"/>
            <rFont val="Aptos Narrow"/>
            <family val="2"/>
            <scheme val="minor"/>
          </rPr>
          <t>Việt Hoàng
20.090.000</t>
        </r>
      </text>
    </comment>
    <comment ref="F35" authorId="1" shapeId="0" xr:uid="{00000000-0006-0000-4F00-000053000000}">
      <text>
        <r>
          <rPr>
            <sz val="12"/>
            <color theme="1"/>
            <rFont val="Aptos Narrow"/>
            <family val="2"/>
            <scheme val="minor"/>
          </rPr>
          <t>Người dùng Không xác định: 19690000</t>
        </r>
      </text>
    </comment>
    <comment ref="C36" authorId="2" shapeId="0" xr:uid="{00000000-0006-0000-4F00-000054000000}">
      <text>
        <r>
          <rPr>
            <sz val="12"/>
            <color theme="1"/>
            <rFont val="Aptos Narrow"/>
            <family val="2"/>
            <scheme val="minor"/>
          </rPr>
          <t>W4 25890</t>
        </r>
      </text>
    </comment>
    <comment ref="D36" authorId="3" shapeId="0" xr:uid="{00000000-0006-0000-4F00-000055000000}">
      <text>
        <r>
          <rPr>
            <sz val="12"/>
            <color theme="1"/>
            <rFont val="Aptos Narrow"/>
            <family val="2"/>
            <scheme val="minor"/>
          </rPr>
          <t>Việt Hoàng:
25.090.000</t>
        </r>
      </text>
    </comment>
    <comment ref="F36" authorId="1" shapeId="0" xr:uid="{00000000-0006-0000-4F00-000056000000}">
      <text>
        <r>
          <rPr>
            <sz val="12"/>
            <color theme="1"/>
            <rFont val="Aptos Narrow"/>
            <family val="2"/>
            <scheme val="minor"/>
          </rPr>
          <t>Người dùng Không xác định:
25090000</t>
        </r>
      </text>
    </comment>
    <comment ref="G36" authorId="4" shapeId="0" xr:uid="{00000000-0006-0000-4F00-000057000000}">
      <text>
        <r>
          <rPr>
            <sz val="12"/>
            <color theme="1"/>
            <rFont val="Aptos Narrow"/>
            <family val="2"/>
            <scheme val="minor"/>
          </rPr>
          <t>Tran Dat:
24990</t>
        </r>
      </text>
    </comment>
    <comment ref="C37" authorId="2" shapeId="0" xr:uid="{00000000-0006-0000-4F00-000058000000}">
      <text>
        <r>
          <rPr>
            <sz val="12"/>
            <color theme="1"/>
            <rFont val="Aptos Narrow"/>
            <family val="2"/>
            <scheme val="minor"/>
          </rPr>
          <t>W4 29890</t>
        </r>
      </text>
    </comment>
    <comment ref="D37" authorId="3" shapeId="0" xr:uid="{00000000-0006-0000-4F00-000059000000}">
      <text>
        <r>
          <rPr>
            <sz val="12"/>
            <color theme="1"/>
            <rFont val="Aptos Narrow"/>
            <family val="2"/>
            <scheme val="minor"/>
          </rPr>
          <t>Việt Hoàng:
29.690.000</t>
        </r>
      </text>
    </comment>
    <comment ref="F37" authorId="1" shapeId="0" xr:uid="{00000000-0006-0000-4F00-00005A000000}">
      <text>
        <r>
          <rPr>
            <sz val="12"/>
            <color theme="1"/>
            <rFont val="Aptos Narrow"/>
            <family val="2"/>
            <scheme val="minor"/>
          </rPr>
          <t>Người dùng Không xác định:
29290000</t>
        </r>
      </text>
    </comment>
    <comment ref="C38" authorId="2" shapeId="0" xr:uid="{00000000-0006-0000-4F00-00005B000000}">
      <text>
        <r>
          <rPr>
            <sz val="12"/>
            <color theme="1"/>
            <rFont val="Aptos Narrow"/>
            <family val="2"/>
            <scheme val="minor"/>
          </rPr>
          <t>W4 37990</t>
        </r>
      </text>
    </comment>
    <comment ref="D38" authorId="3" shapeId="0" xr:uid="{00000000-0006-0000-4F00-00005C000000}">
      <text>
        <r>
          <rPr>
            <sz val="12"/>
            <color theme="1"/>
            <rFont val="Aptos Narrow"/>
            <family val="2"/>
            <scheme val="minor"/>
          </rPr>
          <t>Việt Hoàng:
37.790.000</t>
        </r>
      </text>
    </comment>
  </commentList>
</comments>
</file>

<file path=xl/comments81.xml><?xml version="1.0" encoding="utf-8"?>
<comments xmlns="http://schemas.openxmlformats.org/spreadsheetml/2006/main" xmlns:mc="http://schemas.openxmlformats.org/markup-compatibility/2006" xmlns:xr="http://schemas.microsoft.com/office/spreadsheetml/2014/revision" mc:Ignorable="xr">
  <authors>
    <author>Microsoft Office User</author>
    <author>Người dùng Khách</author>
    <author>Việt Hoàng</author>
    <author>Duy</author>
    <author>Tran Dat</author>
  </authors>
  <commentList>
    <comment ref="E2" authorId="0" shapeId="0" xr:uid="{00000000-0006-0000-5000-000001000000}">
      <text>
        <r>
          <rPr>
            <sz val="12"/>
            <color theme="1"/>
            <rFont val="Aptos Narrow"/>
            <family val="2"/>
            <scheme val="minor"/>
          </rPr>
          <t>VNP500K</t>
        </r>
      </text>
    </comment>
    <comment ref="F3" authorId="1" shapeId="0" xr:uid="{00000000-0006-0000-5000-000002000000}">
      <text>
        <r>
          <rPr>
            <sz val="12"/>
            <color theme="1"/>
            <rFont val="Aptos Narrow"/>
            <family val="2"/>
            <scheme val="minor"/>
          </rPr>
          <t>Người dùng Không xác định:
31.990</t>
        </r>
      </text>
    </comment>
    <comment ref="E4" authorId="0" shapeId="0" xr:uid="{00000000-0006-0000-5000-000003000000}">
      <text>
        <r>
          <rPr>
            <sz val="12"/>
            <color theme="1"/>
            <rFont val="Aptos Narrow"/>
            <family val="2"/>
            <scheme val="minor"/>
          </rPr>
          <t>VNP500
was 34490</t>
        </r>
      </text>
    </comment>
    <comment ref="D6" authorId="2" shapeId="0" xr:uid="{00000000-0006-0000-5000-000004000000}">
      <text>
        <r>
          <rPr>
            <sz val="12"/>
            <color theme="1"/>
            <rFont val="Aptos Narrow"/>
            <family val="2"/>
            <scheme val="minor"/>
          </rPr>
          <t>Việt Hoàng:
15.990.000</t>
        </r>
      </text>
    </comment>
    <comment ref="E6" authorId="0" shapeId="0" xr:uid="{00000000-0006-0000-5000-000005000000}">
      <text>
        <r>
          <rPr>
            <sz val="12"/>
            <color theme="1"/>
            <rFont val="Aptos Narrow"/>
            <family val="2"/>
            <scheme val="minor"/>
          </rPr>
          <t>COmbo gói cước giảm đến 4,5M cam kết 12 tháng</t>
        </r>
      </text>
    </comment>
    <comment ref="C7" authorId="3" shapeId="0" xr:uid="{00000000-0006-0000-5000-000006000000}">
      <text>
        <r>
          <rPr>
            <sz val="12"/>
            <color theme="1"/>
            <rFont val="Aptos Narrow"/>
            <family val="2"/>
            <scheme val="minor"/>
          </rPr>
          <t>W5 21490</t>
        </r>
      </text>
    </comment>
    <comment ref="D7" authorId="2" shapeId="0" xr:uid="{00000000-0006-0000-5000-000007000000}">
      <text>
        <r>
          <rPr>
            <sz val="12"/>
            <color theme="1"/>
            <rFont val="Aptos Narrow"/>
            <family val="2"/>
            <scheme val="minor"/>
          </rPr>
          <t>Việt Hoàng:
21.5900</t>
        </r>
      </text>
    </comment>
    <comment ref="F7" authorId="1" shapeId="0" xr:uid="{00000000-0006-0000-5000-000008000000}">
      <text>
        <r>
          <rPr>
            <sz val="12"/>
            <color theme="1"/>
            <rFont val="Aptos Narrow"/>
            <family val="2"/>
            <scheme val="minor"/>
          </rPr>
          <t>Người dùng Không xác định:
21.390</t>
        </r>
      </text>
    </comment>
    <comment ref="B8" authorId="0" shapeId="0" xr:uid="{00000000-0006-0000-5000-000009000000}">
      <text>
        <r>
          <rPr>
            <sz val="12"/>
            <color theme="1"/>
            <rFont val="Aptos Narrow"/>
            <family val="2"/>
            <scheme val="minor"/>
          </rPr>
          <t>was 24640000
VNP150</t>
        </r>
      </text>
    </comment>
    <comment ref="D8" authorId="2" shapeId="0" xr:uid="{00000000-0006-0000-5000-00000A000000}">
      <text>
        <r>
          <rPr>
            <sz val="12"/>
            <color theme="1"/>
            <rFont val="Aptos Narrow"/>
            <family val="2"/>
            <scheme val="minor"/>
          </rPr>
          <t>Việt Hoàng:
24.790</t>
        </r>
      </text>
    </comment>
    <comment ref="E8" authorId="1" shapeId="0" xr:uid="{00000000-0006-0000-5000-00000B000000}">
      <text>
        <r>
          <rPr>
            <sz val="12"/>
            <color theme="1"/>
            <rFont val="Aptos Narrow"/>
            <family val="2"/>
            <scheme val="minor"/>
          </rPr>
          <t>Người dùng Không xác định:
24.490k</t>
        </r>
      </text>
    </comment>
    <comment ref="B10" authorId="0" shapeId="0" xr:uid="{00000000-0006-0000-5000-00000C000000}">
      <text>
        <r>
          <rPr>
            <sz val="12"/>
            <color theme="1"/>
            <rFont val="Aptos Narrow"/>
            <family val="2"/>
            <scheme val="minor"/>
          </rPr>
          <t>Tặng phiếu mua hàng mua AirPods và Apple Watch trị giá 500,000đ
 Phiếu mua hàng mua sản phẩm giá niêm yết từ 5 triệu thuộc các nhóm TAI NGHE - LOA hãng HARMAN KARDON, JBL,MONSTER, KLIPSCH, MARSHALL, SONY; Smartwatch hãng HUAWEI, GARMIN, SAMSUNG, IMOO, OPPO, AMAZFIT trị giá 500.000đ</t>
        </r>
      </text>
    </comment>
    <comment ref="C10" authorId="3" shapeId="0" xr:uid="{00000000-0006-0000-5000-00000D000000}">
      <text>
        <r>
          <rPr>
            <sz val="12"/>
            <color theme="1"/>
            <rFont val="Aptos Narrow"/>
            <family val="2"/>
            <scheme val="minor"/>
          </rPr>
          <t>W5 30590</t>
        </r>
      </text>
    </comment>
    <comment ref="D10" authorId="2" shapeId="0" xr:uid="{00000000-0006-0000-5000-00000E000000}">
      <text>
        <r>
          <rPr>
            <sz val="12"/>
            <color theme="1"/>
            <rFont val="Aptos Narrow"/>
            <family val="2"/>
            <scheme val="minor"/>
          </rPr>
          <t>Việt Hoàng:
30.590.000</t>
        </r>
      </text>
    </comment>
    <comment ref="C11" authorId="3" shapeId="0" xr:uid="{00000000-0006-0000-5000-00000F000000}">
      <text>
        <r>
          <rPr>
            <sz val="12"/>
            <color theme="1"/>
            <rFont val="Aptos Narrow"/>
            <family val="2"/>
            <scheme val="minor"/>
          </rPr>
          <t>W5 17590</t>
        </r>
      </text>
    </comment>
    <comment ref="D11" authorId="2" shapeId="0" xr:uid="{00000000-0006-0000-5000-000010000000}">
      <text>
        <r>
          <rPr>
            <sz val="12"/>
            <color theme="1"/>
            <rFont val="Aptos Narrow"/>
            <family val="2"/>
            <scheme val="minor"/>
          </rPr>
          <t>Việt Hoàng:
17.590</t>
        </r>
      </text>
    </comment>
    <comment ref="E11" authorId="0" shapeId="0" xr:uid="{00000000-0006-0000-5000-000011000000}">
      <text>
        <r>
          <rPr>
            <sz val="12"/>
            <color theme="1"/>
            <rFont val="Aptos Narrow"/>
            <family val="2"/>
            <scheme val="minor"/>
          </rPr>
          <t>was 17290
Giờ vàng</t>
        </r>
      </text>
    </comment>
    <comment ref="F11" authorId="1" shapeId="0" xr:uid="{00000000-0006-0000-5000-000012000000}">
      <text>
        <r>
          <rPr>
            <sz val="12"/>
            <color theme="1"/>
            <rFont val="Aptos Narrow"/>
            <family val="2"/>
            <scheme val="minor"/>
          </rPr>
          <t>Người dùng Không xác định:
17.350</t>
        </r>
      </text>
    </comment>
    <comment ref="F12" authorId="1" shapeId="0" xr:uid="{00000000-0006-0000-5000-000013000000}">
      <text>
        <r>
          <rPr>
            <sz val="12"/>
            <color theme="1"/>
            <rFont val="Aptos Narrow"/>
            <family val="2"/>
            <scheme val="minor"/>
          </rPr>
          <t>Người dùng Không xác định:
18.990</t>
        </r>
      </text>
    </comment>
    <comment ref="C13" authorId="3" shapeId="0" xr:uid="{00000000-0006-0000-5000-000014000000}">
      <text>
        <r>
          <rPr>
            <sz val="12"/>
            <color theme="1"/>
            <rFont val="Aptos Narrow"/>
            <family val="2"/>
            <scheme val="minor"/>
          </rPr>
          <t>W5 13990</t>
        </r>
      </text>
    </comment>
    <comment ref="E13" authorId="1" shapeId="0" xr:uid="{00000000-0006-0000-5000-000015000000}">
      <text>
        <r>
          <rPr>
            <sz val="12"/>
            <color theme="1"/>
            <rFont val="Aptos Narrow"/>
            <family val="2"/>
            <scheme val="minor"/>
          </rPr>
          <t>Người dùng Không xác định:
13.690</t>
        </r>
      </text>
    </comment>
    <comment ref="F13" authorId="1" shapeId="0" xr:uid="{00000000-0006-0000-5000-000016000000}">
      <text>
        <r>
          <rPr>
            <sz val="12"/>
            <color theme="1"/>
            <rFont val="Aptos Narrow"/>
            <family val="2"/>
            <scheme val="minor"/>
          </rPr>
          <t>Người dùng Không xác định:
13790</t>
        </r>
      </text>
    </comment>
    <comment ref="B14" authorId="0" shapeId="0" xr:uid="{00000000-0006-0000-5000-000017000000}">
      <text>
        <r>
          <rPr>
            <sz val="12"/>
            <color theme="1"/>
            <rFont val="Aptos Narrow"/>
            <family val="2"/>
            <scheme val="minor"/>
          </rPr>
          <t>was 13190
VNP100</t>
        </r>
      </text>
    </comment>
    <comment ref="D14" authorId="2" shapeId="0" xr:uid="{00000000-0006-0000-5000-000018000000}">
      <text>
        <r>
          <rPr>
            <sz val="12"/>
            <color theme="1"/>
            <rFont val="Aptos Narrow"/>
            <family val="2"/>
            <scheme val="minor"/>
          </rPr>
          <t>Việt Hoàng:
12.290.000</t>
        </r>
      </text>
    </comment>
    <comment ref="E14" authorId="0" shapeId="0" xr:uid="{00000000-0006-0000-5000-000019000000}">
      <text>
        <r>
          <rPr>
            <sz val="12"/>
            <color theme="1"/>
            <rFont val="Aptos Narrow"/>
            <family val="2"/>
            <scheme val="minor"/>
          </rPr>
          <t>was 12.290</t>
        </r>
      </text>
    </comment>
    <comment ref="F14" authorId="1" shapeId="0" xr:uid="{00000000-0006-0000-5000-00001A000000}">
      <text>
        <r>
          <rPr>
            <sz val="12"/>
            <color theme="1"/>
            <rFont val="Aptos Narrow"/>
            <family val="2"/>
            <scheme val="minor"/>
          </rPr>
          <t>Người dùng Không xác định:
12290</t>
        </r>
      </text>
    </comment>
    <comment ref="D15" authorId="2" shapeId="0" xr:uid="{00000000-0006-0000-5000-00001B000000}">
      <text>
        <r>
          <rPr>
            <sz val="12"/>
            <color theme="1"/>
            <rFont val="Aptos Narrow"/>
            <family val="2"/>
            <scheme val="minor"/>
          </rPr>
          <t>Việt Hoàng:
11.790</t>
        </r>
      </text>
    </comment>
    <comment ref="B16" authorId="0" shapeId="0" xr:uid="{00000000-0006-0000-5000-00001C000000}">
      <text>
        <r>
          <rPr>
            <sz val="12"/>
            <color theme="1"/>
            <rFont val="Aptos Narrow"/>
            <family val="2"/>
            <scheme val="minor"/>
          </rPr>
          <t>was 7040
VNP40</t>
        </r>
      </text>
    </comment>
    <comment ref="C16" authorId="3" shapeId="0" xr:uid="{00000000-0006-0000-5000-00001D000000}">
      <text>
        <r>
          <rPr>
            <sz val="12"/>
            <color theme="1"/>
            <rFont val="Aptos Narrow"/>
            <family val="2"/>
            <scheme val="minor"/>
          </rPr>
          <t>W5 9490</t>
        </r>
      </text>
    </comment>
    <comment ref="D16" authorId="2" shapeId="0" xr:uid="{00000000-0006-0000-5000-00001E000000}">
      <text>
        <r>
          <rPr>
            <sz val="12"/>
            <color theme="1"/>
            <rFont val="Aptos Narrow"/>
            <family val="2"/>
            <scheme val="minor"/>
          </rPr>
          <t>9.590k</t>
        </r>
      </text>
    </comment>
    <comment ref="F16" authorId="1" shapeId="0" xr:uid="{00000000-0006-0000-5000-00001F000000}">
      <text>
        <r>
          <rPr>
            <sz val="12"/>
            <color theme="1"/>
            <rFont val="Aptos Narrow"/>
            <family val="2"/>
            <scheme val="minor"/>
          </rPr>
          <t>Người dùng Không xác định:
8.790</t>
        </r>
      </text>
    </comment>
    <comment ref="G16" authorId="4" shapeId="0" xr:uid="{00000000-0006-0000-5000-000020000000}">
      <text>
        <r>
          <rPr>
            <sz val="12"/>
            <color theme="1"/>
            <rFont val="Aptos Narrow"/>
            <family val="2"/>
            <scheme val="minor"/>
          </rPr>
          <t xml:space="preserve">Tran Dat:
8390000
</t>
        </r>
      </text>
    </comment>
    <comment ref="B17" authorId="0" shapeId="0" xr:uid="{00000000-0006-0000-5000-000021000000}">
      <text>
        <r>
          <rPr>
            <sz val="12"/>
            <color theme="1"/>
            <rFont val="Aptos Narrow"/>
            <family val="2"/>
            <scheme val="minor"/>
          </rPr>
          <t>was 14390</t>
        </r>
      </text>
    </comment>
    <comment ref="C17" authorId="3" shapeId="0" xr:uid="{00000000-0006-0000-5000-000022000000}">
      <text>
        <r>
          <rPr>
            <sz val="12"/>
            <color theme="1"/>
            <rFont val="Aptos Narrow"/>
            <family val="2"/>
            <scheme val="minor"/>
          </rPr>
          <t>W5 16490</t>
        </r>
      </text>
    </comment>
    <comment ref="D17" authorId="2" shapeId="0" xr:uid="{00000000-0006-0000-5000-000023000000}">
      <text>
        <r>
          <rPr>
            <sz val="12"/>
            <color theme="1"/>
            <rFont val="Aptos Narrow"/>
            <family val="2"/>
            <scheme val="minor"/>
          </rPr>
          <t>16.390</t>
        </r>
      </text>
    </comment>
    <comment ref="E17" authorId="0" shapeId="0" xr:uid="{00000000-0006-0000-5000-000024000000}">
      <text>
        <r>
          <rPr>
            <sz val="12"/>
            <color theme="1"/>
            <rFont val="Aptos Narrow"/>
            <family val="2"/>
            <scheme val="minor"/>
          </rPr>
          <t>was 15790
hssv 200</t>
        </r>
      </text>
    </comment>
    <comment ref="F17" authorId="1" shapeId="0" xr:uid="{00000000-0006-0000-5000-000025000000}">
      <text>
        <r>
          <rPr>
            <sz val="12"/>
            <color theme="1"/>
            <rFont val="Aptos Narrow"/>
            <family val="2"/>
            <scheme val="minor"/>
          </rPr>
          <t>Người dùng Không xác định:
13690</t>
        </r>
      </text>
    </comment>
    <comment ref="G17" authorId="4" shapeId="0" xr:uid="{00000000-0006-0000-5000-000026000000}">
      <text>
        <r>
          <rPr>
            <sz val="12"/>
            <color theme="1"/>
            <rFont val="Aptos Narrow"/>
            <family val="2"/>
            <scheme val="minor"/>
          </rPr>
          <t>was 13490</t>
        </r>
      </text>
    </comment>
    <comment ref="C18" authorId="3" shapeId="0" xr:uid="{00000000-0006-0000-5000-000027000000}">
      <text>
        <r>
          <rPr>
            <sz val="12"/>
            <color theme="1"/>
            <rFont val="Aptos Narrow"/>
            <family val="2"/>
            <scheme val="minor"/>
          </rPr>
          <t>W5 21690</t>
        </r>
      </text>
    </comment>
    <comment ref="G18" authorId="4" shapeId="0" xr:uid="{00000000-0006-0000-5000-000028000000}">
      <text>
        <r>
          <rPr>
            <sz val="12"/>
            <color theme="1"/>
            <rFont val="Aptos Narrow"/>
            <family val="2"/>
            <scheme val="minor"/>
          </rPr>
          <t xml:space="preserve">Tran Dat:
21390
</t>
        </r>
      </text>
    </comment>
    <comment ref="F19" authorId="1" shapeId="0" xr:uid="{00000000-0006-0000-5000-000029000000}">
      <text>
        <r>
          <rPr>
            <sz val="12"/>
            <color theme="1"/>
            <rFont val="Aptos Narrow"/>
            <family val="2"/>
            <scheme val="minor"/>
          </rPr>
          <t>Người dùng Không xác định:
27.890</t>
        </r>
      </text>
    </comment>
    <comment ref="B20" authorId="0" shapeId="0" xr:uid="{00000000-0006-0000-5000-00002A000000}">
      <text>
        <r>
          <rPr>
            <sz val="12"/>
            <color theme="1"/>
            <rFont val="Aptos Narrow"/>
            <family val="2"/>
            <scheme val="minor"/>
          </rPr>
          <t>was 36640</t>
        </r>
      </text>
    </comment>
    <comment ref="F20" authorId="1" shapeId="0" xr:uid="{00000000-0006-0000-5000-00002B000000}">
      <text>
        <r>
          <rPr>
            <sz val="12"/>
            <color theme="1"/>
            <rFont val="Aptos Narrow"/>
            <family val="2"/>
            <scheme val="minor"/>
          </rPr>
          <t>Người dùng Không xác định:
35.890</t>
        </r>
      </text>
    </comment>
    <comment ref="D21" authorId="1" shapeId="0" xr:uid="{00000000-0006-0000-5000-00002C000000}">
      <text>
        <r>
          <rPr>
            <sz val="12"/>
            <color theme="1"/>
            <rFont val="Aptos Narrow"/>
            <family val="2"/>
            <scheme val="minor"/>
          </rPr>
          <t>Người dùng Không xác định:
6.990</t>
        </r>
      </text>
    </comment>
    <comment ref="F21" authorId="1" shapeId="0" xr:uid="{00000000-0006-0000-5000-00002D000000}">
      <text>
        <r>
          <rPr>
            <sz val="12"/>
            <color theme="1"/>
            <rFont val="Aptos Narrow"/>
            <family val="2"/>
            <scheme val="minor"/>
          </rPr>
          <t>Người dùng Không xác định:
6.990k</t>
        </r>
      </text>
    </comment>
    <comment ref="G21" authorId="4" shapeId="0" xr:uid="{00000000-0006-0000-5000-00002E000000}">
      <text>
        <r>
          <rPr>
            <sz val="12"/>
            <color theme="1"/>
            <rFont val="Aptos Narrow"/>
            <family val="2"/>
            <scheme val="minor"/>
          </rPr>
          <t>Tran Dat:
6990</t>
        </r>
      </text>
    </comment>
    <comment ref="G23" authorId="4" shapeId="0" xr:uid="{00000000-0006-0000-5000-00002F000000}">
      <text>
        <r>
          <rPr>
            <sz val="12"/>
            <color theme="1"/>
            <rFont val="Aptos Narrow"/>
            <family val="2"/>
            <scheme val="minor"/>
          </rPr>
          <t>Tran Dat:
7890</t>
        </r>
      </text>
    </comment>
    <comment ref="G25" authorId="4" shapeId="0" xr:uid="{00000000-0006-0000-5000-000030000000}">
      <text>
        <r>
          <rPr>
            <sz val="12"/>
            <color theme="1"/>
            <rFont val="Aptos Narrow"/>
            <family val="2"/>
            <scheme val="minor"/>
          </rPr>
          <t>Tran Dat:
11490</t>
        </r>
      </text>
    </comment>
    <comment ref="F27" authorId="1" shapeId="0" xr:uid="{00000000-0006-0000-5000-000031000000}">
      <text>
        <r>
          <rPr>
            <sz val="12"/>
            <color theme="1"/>
            <rFont val="Aptos Narrow"/>
            <family val="2"/>
            <scheme val="minor"/>
          </rPr>
          <t>Người dùng Không xác định:
12.349</t>
        </r>
      </text>
    </comment>
    <comment ref="B31" authorId="0" shapeId="0" xr:uid="{00000000-0006-0000-5000-000032000000}">
      <text>
        <r>
          <rPr>
            <sz val="12"/>
            <color theme="1"/>
            <rFont val="Aptos Narrow"/>
            <family val="2"/>
            <scheme val="minor"/>
          </rPr>
          <t>was 5550
VNP40</t>
        </r>
      </text>
    </comment>
    <comment ref="C31" authorId="3" shapeId="0" xr:uid="{00000000-0006-0000-5000-000033000000}">
      <text>
        <r>
          <rPr>
            <sz val="12"/>
            <color theme="1"/>
            <rFont val="Aptos Narrow"/>
            <family val="2"/>
            <scheme val="minor"/>
          </rPr>
          <t>W5 5390</t>
        </r>
      </text>
    </comment>
    <comment ref="D31" authorId="1" shapeId="0" xr:uid="{00000000-0006-0000-5000-000034000000}">
      <text>
        <r>
          <rPr>
            <sz val="12"/>
            <color theme="1"/>
            <rFont val="Aptos Narrow"/>
            <family val="2"/>
            <scheme val="minor"/>
          </rPr>
          <t>5.490k</t>
        </r>
      </text>
    </comment>
    <comment ref="B32" authorId="0" shapeId="0" xr:uid="{00000000-0006-0000-5000-000035000000}">
      <text>
        <r>
          <rPr>
            <sz val="12"/>
            <color theme="1"/>
            <rFont val="Aptos Narrow"/>
            <family val="2"/>
            <scheme val="minor"/>
          </rPr>
          <t xml:space="preserve">was 4490
</t>
        </r>
      </text>
    </comment>
    <comment ref="C32" authorId="3" shapeId="0" xr:uid="{00000000-0006-0000-5000-000036000000}">
      <text>
        <r>
          <rPr>
            <sz val="12"/>
            <color theme="1"/>
            <rFont val="Aptos Narrow"/>
            <family val="2"/>
            <scheme val="minor"/>
          </rPr>
          <t>W5 4690</t>
        </r>
      </text>
    </comment>
    <comment ref="D32" authorId="2" shapeId="0" xr:uid="{00000000-0006-0000-5000-000037000000}">
      <text>
        <r>
          <rPr>
            <sz val="12"/>
            <color theme="1"/>
            <rFont val="Aptos Narrow"/>
            <family val="2"/>
            <scheme val="minor"/>
          </rPr>
          <t>4.690</t>
        </r>
      </text>
    </comment>
    <comment ref="F32" authorId="1" shapeId="0" xr:uid="{00000000-0006-0000-5000-000038000000}">
      <text>
        <r>
          <rPr>
            <sz val="12"/>
            <color theme="1"/>
            <rFont val="Aptos Narrow"/>
            <family val="2"/>
            <scheme val="minor"/>
          </rPr>
          <t>Người dùng Không xác định:
4.790</t>
        </r>
      </text>
    </comment>
    <comment ref="B33" authorId="0" shapeId="0" xr:uid="{00000000-0006-0000-5000-000039000000}">
      <text>
        <r>
          <rPr>
            <sz val="12"/>
            <color theme="1"/>
            <rFont val="Aptos Narrow"/>
            <family val="2"/>
            <scheme val="minor"/>
          </rPr>
          <t>was 3190</t>
        </r>
      </text>
    </comment>
    <comment ref="C33" authorId="3" shapeId="0" xr:uid="{00000000-0006-0000-5000-00003A000000}">
      <text>
        <r>
          <rPr>
            <sz val="12"/>
            <color theme="1"/>
            <rFont val="Aptos Narrow"/>
            <family val="2"/>
            <scheme val="minor"/>
          </rPr>
          <t>W5 3590</t>
        </r>
      </text>
    </comment>
    <comment ref="F33" authorId="1" shapeId="0" xr:uid="{00000000-0006-0000-5000-00003B000000}">
      <text>
        <r>
          <rPr>
            <sz val="12"/>
            <color theme="1"/>
            <rFont val="Aptos Narrow"/>
            <family val="2"/>
            <scheme val="minor"/>
          </rPr>
          <t>Người dùng Không xác định:
3.090</t>
        </r>
      </text>
    </comment>
    <comment ref="D35" authorId="2" shapeId="0" xr:uid="{00000000-0006-0000-5000-00003C000000}">
      <text>
        <r>
          <rPr>
            <sz val="12"/>
            <color theme="1"/>
            <rFont val="Aptos Narrow"/>
            <family val="2"/>
            <scheme val="minor"/>
          </rPr>
          <t>19.890k</t>
        </r>
      </text>
    </comment>
    <comment ref="F35" authorId="1" shapeId="0" xr:uid="{00000000-0006-0000-5000-00003D000000}">
      <text>
        <r>
          <rPr>
            <sz val="12"/>
            <color theme="1"/>
            <rFont val="Aptos Narrow"/>
            <family val="2"/>
            <scheme val="minor"/>
          </rPr>
          <t>Người dùng Không xác định: 19.790</t>
        </r>
      </text>
    </comment>
    <comment ref="C36" authorId="3" shapeId="0" xr:uid="{00000000-0006-0000-5000-00003E000000}">
      <text>
        <r>
          <rPr>
            <sz val="12"/>
            <color theme="1"/>
            <rFont val="Aptos Narrow"/>
            <family val="2"/>
            <scheme val="minor"/>
          </rPr>
          <t>W5 25690</t>
        </r>
      </text>
    </comment>
    <comment ref="F36" authorId="1" shapeId="0" xr:uid="{00000000-0006-0000-5000-00003F000000}">
      <text>
        <r>
          <rPr>
            <sz val="12"/>
            <color theme="1"/>
            <rFont val="Aptos Narrow"/>
            <family val="2"/>
            <scheme val="minor"/>
          </rPr>
          <t>Người dùng Không xác định:
25.190</t>
        </r>
      </text>
    </comment>
    <comment ref="D37" authorId="2" shapeId="0" xr:uid="{00000000-0006-0000-5000-000040000000}">
      <text>
        <r>
          <rPr>
            <sz val="12"/>
            <color theme="1"/>
            <rFont val="Aptos Narrow"/>
            <family val="2"/>
            <scheme val="minor"/>
          </rPr>
          <t>Việt Hoàng:
29.690.000</t>
        </r>
      </text>
    </comment>
  </commentList>
</comments>
</file>

<file path=xl/comments82.xml><?xml version="1.0" encoding="utf-8"?>
<comments xmlns="http://schemas.openxmlformats.org/spreadsheetml/2006/main" xmlns:mc="http://schemas.openxmlformats.org/markup-compatibility/2006" xmlns:xr="http://schemas.microsoft.com/office/spreadsheetml/2014/revision" mc:Ignorable="xr">
  <authors>
    <author>Duy</author>
    <author>Microsoft Office User</author>
    <author>Người dùng Khách</author>
    <author>Việt Hoàng</author>
    <author>chit trang</author>
    <author>Tran Dat</author>
  </authors>
  <commentList>
    <comment ref="C3" authorId="0" shapeId="0" xr:uid="{00000000-0006-0000-5100-000001000000}">
      <text>
        <r>
          <rPr>
            <sz val="12"/>
            <color theme="1"/>
            <rFont val="Aptos Narrow"/>
            <family val="2"/>
            <scheme val="minor"/>
          </rPr>
          <t>W6 31490</t>
        </r>
      </text>
    </comment>
    <comment ref="E3" authorId="1" shapeId="0" xr:uid="{00000000-0006-0000-5100-000002000000}">
      <text>
        <r>
          <rPr>
            <sz val="12"/>
            <color theme="1"/>
            <rFont val="Aptos Narrow"/>
            <family val="2"/>
            <scheme val="minor"/>
          </rPr>
          <t>was 30990
VNP500</t>
        </r>
      </text>
    </comment>
    <comment ref="F3" authorId="2" shapeId="0" xr:uid="{00000000-0006-0000-5100-000003000000}">
      <text>
        <r>
          <rPr>
            <sz val="12"/>
            <color theme="1"/>
            <rFont val="Aptos Narrow"/>
            <family val="2"/>
            <scheme val="minor"/>
          </rPr>
          <t>Người dùng Không xác định:
31.990</t>
        </r>
      </text>
    </comment>
    <comment ref="E5" authorId="1" shapeId="0" xr:uid="{00000000-0006-0000-5100-000004000000}">
      <text>
        <r>
          <rPr>
            <sz val="12"/>
            <color theme="1"/>
            <rFont val="Aptos Narrow"/>
            <family val="2"/>
            <scheme val="minor"/>
          </rPr>
          <t xml:space="preserve">was 37990
VNP500K
</t>
        </r>
      </text>
    </comment>
    <comment ref="E6" authorId="1" shapeId="0" xr:uid="{00000000-0006-0000-5100-000005000000}">
      <text>
        <r>
          <rPr>
            <sz val="12"/>
            <color theme="1"/>
            <rFont val="Aptos Narrow"/>
            <family val="2"/>
            <scheme val="minor"/>
          </rPr>
          <t>COmbo gói cước giảm đến 4,5M cam kết 12 tháng</t>
        </r>
      </text>
    </comment>
    <comment ref="C7" authorId="0" shapeId="0" xr:uid="{00000000-0006-0000-5100-000006000000}">
      <text>
        <r>
          <rPr>
            <sz val="12"/>
            <color theme="1"/>
            <rFont val="Aptos Narrow"/>
            <family val="2"/>
            <scheme val="minor"/>
          </rPr>
          <t>W6 21390</t>
        </r>
      </text>
    </comment>
    <comment ref="E7" authorId="1" shapeId="0" xr:uid="{00000000-0006-0000-5100-000007000000}">
      <text>
        <r>
          <rPr>
            <sz val="12"/>
            <color theme="1"/>
            <rFont val="Aptos Narrow"/>
            <family val="2"/>
            <scheme val="minor"/>
          </rPr>
          <t>was 21290
Giờ vàng</t>
        </r>
      </text>
    </comment>
    <comment ref="F7" authorId="2" shapeId="0" xr:uid="{00000000-0006-0000-5100-000008000000}">
      <text>
        <r>
          <rPr>
            <sz val="12"/>
            <color theme="1"/>
            <rFont val="Aptos Narrow"/>
            <family val="2"/>
            <scheme val="minor"/>
          </rPr>
          <t>Người dùng Không xác định:
21.390</t>
        </r>
      </text>
    </comment>
    <comment ref="B8" authorId="1" shapeId="0" xr:uid="{00000000-0006-0000-5100-000009000000}">
      <text>
        <r>
          <rPr>
            <sz val="12"/>
            <color theme="1"/>
            <rFont val="Aptos Narrow"/>
            <family val="2"/>
            <scheme val="minor"/>
          </rPr>
          <t>was 24640000
VNP150</t>
        </r>
      </text>
    </comment>
    <comment ref="D8" authorId="3" shapeId="0" xr:uid="{00000000-0006-0000-5100-00000A000000}">
      <text>
        <r>
          <rPr>
            <sz val="12"/>
            <color theme="1"/>
            <rFont val="Aptos Narrow"/>
            <family val="2"/>
            <scheme val="minor"/>
          </rPr>
          <t>Việt Hoàng:
24990</t>
        </r>
      </text>
    </comment>
    <comment ref="B10" authorId="1" shapeId="0" xr:uid="{00000000-0006-0000-5100-00000B000000}">
      <text>
        <r>
          <rPr>
            <sz val="12"/>
            <color theme="1"/>
            <rFont val="Aptos Narrow"/>
            <family val="2"/>
            <scheme val="minor"/>
          </rPr>
          <t>Tặng phiếu mua hàng mua AirPods và Apple Watch trị giá 500,000đ
 Phiếu mua hàng mua sản phẩm giá niêm yết từ 5 triệu thuộc các nhóm TAI NGHE - LOA hãng HARMAN KARDON, JBL,MONSTER, KLIPSCH, MARSHALL, SONY; Smartwatch hãng HUAWEI, GARMIN, SAMSUNG, IMOO, OPPO, AMAZFIT trị giá 500.000đ</t>
        </r>
      </text>
    </comment>
    <comment ref="C10" authorId="0" shapeId="0" xr:uid="{00000000-0006-0000-5100-00000C000000}">
      <text>
        <r>
          <rPr>
            <sz val="12"/>
            <color theme="1"/>
            <rFont val="Aptos Narrow"/>
            <family val="2"/>
            <scheme val="minor"/>
          </rPr>
          <t>W6 30490</t>
        </r>
      </text>
    </comment>
    <comment ref="D10" authorId="3" shapeId="0" xr:uid="{00000000-0006-0000-5100-00000D000000}">
      <text>
        <r>
          <rPr>
            <sz val="12"/>
            <color theme="1"/>
            <rFont val="Aptos Narrow"/>
            <family val="2"/>
            <scheme val="minor"/>
          </rPr>
          <t>Việt Hoàng:
30.390.000</t>
        </r>
      </text>
    </comment>
    <comment ref="E11" authorId="1" shapeId="0" xr:uid="{00000000-0006-0000-5100-00000E000000}">
      <text>
        <r>
          <rPr>
            <sz val="12"/>
            <color theme="1"/>
            <rFont val="Aptos Narrow"/>
            <family val="2"/>
            <scheme val="minor"/>
          </rPr>
          <t xml:space="preserve">
Giờ vàng</t>
        </r>
      </text>
    </comment>
    <comment ref="F11" authorId="2" shapeId="0" xr:uid="{00000000-0006-0000-5100-00000F000000}">
      <text>
        <r>
          <rPr>
            <sz val="12"/>
            <color theme="1"/>
            <rFont val="Aptos Narrow"/>
            <family val="2"/>
            <scheme val="minor"/>
          </rPr>
          <t>Người dùng Không xác định:
17.350</t>
        </r>
      </text>
    </comment>
    <comment ref="F12" authorId="2" shapeId="0" xr:uid="{00000000-0006-0000-5100-000010000000}">
      <text>
        <r>
          <rPr>
            <sz val="12"/>
            <color theme="1"/>
            <rFont val="Aptos Narrow"/>
            <family val="2"/>
            <scheme val="minor"/>
          </rPr>
          <t>Người dùng Không xác định:
18.990</t>
        </r>
      </text>
    </comment>
    <comment ref="D13" authorId="4" shapeId="0" xr:uid="{00000000-0006-0000-5100-000011000000}">
      <text>
        <r>
          <rPr>
            <sz val="12"/>
            <color theme="1"/>
            <rFont val="Aptos Narrow"/>
            <family val="2"/>
            <scheme val="minor"/>
          </rPr>
          <t>chit trang:
13.790</t>
        </r>
      </text>
    </comment>
    <comment ref="E13" authorId="2" shapeId="0" xr:uid="{00000000-0006-0000-5100-000012000000}">
      <text>
        <r>
          <rPr>
            <sz val="12"/>
            <color theme="1"/>
            <rFont val="Aptos Narrow"/>
            <family val="2"/>
            <scheme val="minor"/>
          </rPr>
          <t>was 13490</t>
        </r>
      </text>
    </comment>
    <comment ref="F13" authorId="2" shapeId="0" xr:uid="{00000000-0006-0000-5100-000013000000}">
      <text>
        <r>
          <rPr>
            <sz val="12"/>
            <color theme="1"/>
            <rFont val="Aptos Narrow"/>
            <family val="2"/>
            <scheme val="minor"/>
          </rPr>
          <t>Người dùng Không xác định:
13790</t>
        </r>
      </text>
    </comment>
    <comment ref="B14" authorId="1" shapeId="0" xr:uid="{00000000-0006-0000-5100-000014000000}">
      <text>
        <r>
          <rPr>
            <sz val="12"/>
            <color theme="1"/>
            <rFont val="Aptos Narrow"/>
            <family val="2"/>
            <scheme val="minor"/>
          </rPr>
          <t>was 13190
VNP100</t>
        </r>
      </text>
    </comment>
    <comment ref="C14" authorId="0" shapeId="0" xr:uid="{00000000-0006-0000-5100-000015000000}">
      <text>
        <r>
          <rPr>
            <sz val="12"/>
            <color theme="1"/>
            <rFont val="Aptos Narrow"/>
            <family val="2"/>
            <scheme val="minor"/>
          </rPr>
          <t>W6 12490</t>
        </r>
      </text>
    </comment>
    <comment ref="D14" authorId="3" shapeId="0" xr:uid="{00000000-0006-0000-5100-000016000000}">
      <text>
        <r>
          <rPr>
            <sz val="12"/>
            <color theme="1"/>
            <rFont val="Aptos Narrow"/>
            <family val="2"/>
            <scheme val="minor"/>
          </rPr>
          <t>Việt Hoàng:
12.190.000</t>
        </r>
      </text>
    </comment>
    <comment ref="E14" authorId="1" shapeId="0" xr:uid="{00000000-0006-0000-5100-000017000000}">
      <text>
        <r>
          <rPr>
            <sz val="12"/>
            <color theme="1"/>
            <rFont val="Aptos Narrow"/>
            <family val="2"/>
            <scheme val="minor"/>
          </rPr>
          <t>was 12190</t>
        </r>
      </text>
    </comment>
    <comment ref="F14" authorId="2" shapeId="0" xr:uid="{00000000-0006-0000-5100-000018000000}">
      <text>
        <r>
          <rPr>
            <sz val="12"/>
            <color theme="1"/>
            <rFont val="Aptos Narrow"/>
            <family val="2"/>
            <scheme val="minor"/>
          </rPr>
          <t>Người dùng Không xác định:
12290</t>
        </r>
      </text>
    </comment>
    <comment ref="C15" authorId="0" shapeId="0" xr:uid="{00000000-0006-0000-5100-000019000000}">
      <text>
        <r>
          <rPr>
            <sz val="12"/>
            <color theme="1"/>
            <rFont val="Aptos Narrow"/>
            <family val="2"/>
            <scheme val="minor"/>
          </rPr>
          <t>w6 13590</t>
        </r>
      </text>
    </comment>
    <comment ref="D15" authorId="3" shapeId="0" xr:uid="{00000000-0006-0000-5100-00001A000000}">
      <text>
        <r>
          <rPr>
            <sz val="12"/>
            <color theme="1"/>
            <rFont val="Aptos Narrow"/>
            <family val="2"/>
            <scheme val="minor"/>
          </rPr>
          <t>Việt Hoàng:
13.590</t>
        </r>
      </text>
    </comment>
    <comment ref="B16" authorId="1" shapeId="0" xr:uid="{00000000-0006-0000-5100-00001B000000}">
      <text>
        <r>
          <rPr>
            <sz val="12"/>
            <color theme="1"/>
            <rFont val="Aptos Narrow"/>
            <family val="2"/>
            <scheme val="minor"/>
          </rPr>
          <t>was 7040
VNP40</t>
        </r>
      </text>
    </comment>
    <comment ref="C16" authorId="0" shapeId="0" xr:uid="{00000000-0006-0000-5100-00001C000000}">
      <text>
        <r>
          <rPr>
            <sz val="12"/>
            <color theme="1"/>
            <rFont val="Aptos Narrow"/>
            <family val="2"/>
            <scheme val="minor"/>
          </rPr>
          <t>W6 9190</t>
        </r>
      </text>
    </comment>
    <comment ref="F16" authorId="2" shapeId="0" xr:uid="{00000000-0006-0000-5100-00001D000000}">
      <text>
        <r>
          <rPr>
            <sz val="12"/>
            <color theme="1"/>
            <rFont val="Aptos Narrow"/>
            <family val="2"/>
            <scheme val="minor"/>
          </rPr>
          <t>Người dùng Không xác định:
8.790</t>
        </r>
      </text>
    </comment>
    <comment ref="G16" authorId="5" shapeId="0" xr:uid="{00000000-0006-0000-5100-00001E000000}">
      <text>
        <r>
          <rPr>
            <sz val="12"/>
            <color theme="1"/>
            <rFont val="Aptos Narrow"/>
            <family val="2"/>
            <scheme val="minor"/>
          </rPr>
          <t xml:space="preserve">Tran Dat:
8390000
</t>
        </r>
      </text>
    </comment>
    <comment ref="B17" authorId="1" shapeId="0" xr:uid="{00000000-0006-0000-5100-00001F000000}">
      <text>
        <r>
          <rPr>
            <sz val="12"/>
            <color theme="1"/>
            <rFont val="Aptos Narrow"/>
            <family val="2"/>
            <scheme val="minor"/>
          </rPr>
          <t>was 14390</t>
        </r>
      </text>
    </comment>
    <comment ref="C17" authorId="0" shapeId="0" xr:uid="{00000000-0006-0000-5100-000020000000}">
      <text>
        <r>
          <rPr>
            <sz val="12"/>
            <color theme="1"/>
            <rFont val="Aptos Narrow"/>
            <family val="2"/>
            <scheme val="minor"/>
          </rPr>
          <t>W5 15990</t>
        </r>
      </text>
    </comment>
    <comment ref="D17" authorId="3" shapeId="0" xr:uid="{00000000-0006-0000-5100-000021000000}">
      <text>
        <r>
          <rPr>
            <sz val="12"/>
            <color theme="1"/>
            <rFont val="Aptos Narrow"/>
            <family val="2"/>
            <scheme val="minor"/>
          </rPr>
          <t>15.990</t>
        </r>
      </text>
    </comment>
    <comment ref="E17" authorId="1" shapeId="0" xr:uid="{00000000-0006-0000-5100-000022000000}">
      <text>
        <r>
          <rPr>
            <sz val="12"/>
            <color theme="1"/>
            <rFont val="Aptos Narrow"/>
            <family val="2"/>
            <scheme val="minor"/>
          </rPr>
          <t xml:space="preserve">
hssv 200</t>
        </r>
      </text>
    </comment>
    <comment ref="F17" authorId="2" shapeId="0" xr:uid="{00000000-0006-0000-5100-000023000000}">
      <text>
        <r>
          <rPr>
            <sz val="12"/>
            <color theme="1"/>
            <rFont val="Aptos Narrow"/>
            <family val="2"/>
            <scheme val="minor"/>
          </rPr>
          <t>Người dùng Không xác định:
13690</t>
        </r>
      </text>
    </comment>
    <comment ref="G17" authorId="5" shapeId="0" xr:uid="{00000000-0006-0000-5100-000024000000}">
      <text>
        <r>
          <rPr>
            <sz val="12"/>
            <color theme="1"/>
            <rFont val="Aptos Narrow"/>
            <family val="2"/>
            <scheme val="minor"/>
          </rPr>
          <t>was 13490</t>
        </r>
      </text>
    </comment>
    <comment ref="C18" authorId="0" shapeId="0" xr:uid="{00000000-0006-0000-5100-000025000000}">
      <text>
        <r>
          <rPr>
            <sz val="12"/>
            <color theme="1"/>
            <rFont val="Aptos Narrow"/>
            <family val="2"/>
            <scheme val="minor"/>
          </rPr>
          <t>W6 21590</t>
        </r>
      </text>
    </comment>
    <comment ref="G18" authorId="5" shapeId="0" xr:uid="{00000000-0006-0000-5100-000026000000}">
      <text>
        <r>
          <rPr>
            <sz val="12"/>
            <color theme="1"/>
            <rFont val="Aptos Narrow"/>
            <family val="2"/>
            <scheme val="minor"/>
          </rPr>
          <t xml:space="preserve">Tran Dat:
21390
</t>
        </r>
      </text>
    </comment>
    <comment ref="F19" authorId="2" shapeId="0" xr:uid="{00000000-0006-0000-5100-000027000000}">
      <text>
        <r>
          <rPr>
            <sz val="12"/>
            <color theme="1"/>
            <rFont val="Aptos Narrow"/>
            <family val="2"/>
            <scheme val="minor"/>
          </rPr>
          <t>Người dùng Không xác định:
27.890</t>
        </r>
      </text>
    </comment>
    <comment ref="B20" authorId="1" shapeId="0" xr:uid="{00000000-0006-0000-5100-000028000000}">
      <text>
        <r>
          <rPr>
            <sz val="12"/>
            <color theme="1"/>
            <rFont val="Aptos Narrow"/>
            <family val="2"/>
            <scheme val="minor"/>
          </rPr>
          <t>was 36640</t>
        </r>
      </text>
    </comment>
    <comment ref="F20" authorId="2" shapeId="0" xr:uid="{00000000-0006-0000-5100-000029000000}">
      <text>
        <r>
          <rPr>
            <sz val="12"/>
            <color theme="1"/>
            <rFont val="Aptos Narrow"/>
            <family val="2"/>
            <scheme val="minor"/>
          </rPr>
          <t>Người dùng Không xác định:
35.890</t>
        </r>
      </text>
    </comment>
    <comment ref="C21" authorId="0" shapeId="0" xr:uid="{00000000-0006-0000-5100-00002A000000}">
      <text>
        <r>
          <rPr>
            <sz val="12"/>
            <color theme="1"/>
            <rFont val="Aptos Narrow"/>
            <family val="2"/>
            <scheme val="minor"/>
          </rPr>
          <t>W6 6990</t>
        </r>
      </text>
    </comment>
    <comment ref="D21" authorId="2" shapeId="0" xr:uid="{00000000-0006-0000-5100-00002B000000}">
      <text>
        <r>
          <rPr>
            <sz val="12"/>
            <color theme="1"/>
            <rFont val="Aptos Narrow"/>
            <family val="2"/>
            <scheme val="minor"/>
          </rPr>
          <t>Người dùng Không xác định:
6.790</t>
        </r>
      </text>
    </comment>
    <comment ref="F21" authorId="2" shapeId="0" xr:uid="{00000000-0006-0000-5100-00002C000000}">
      <text>
        <r>
          <rPr>
            <sz val="12"/>
            <color theme="1"/>
            <rFont val="Aptos Narrow"/>
            <family val="2"/>
            <scheme val="minor"/>
          </rPr>
          <t>Người dùng Không xác định:
6.990k</t>
        </r>
      </text>
    </comment>
    <comment ref="G21" authorId="5" shapeId="0" xr:uid="{00000000-0006-0000-5100-00002D000000}">
      <text>
        <r>
          <rPr>
            <sz val="12"/>
            <color theme="1"/>
            <rFont val="Aptos Narrow"/>
            <family val="2"/>
            <scheme val="minor"/>
          </rPr>
          <t>Tran Dat:
6990</t>
        </r>
      </text>
    </comment>
    <comment ref="C23" authorId="0" shapeId="0" xr:uid="{00000000-0006-0000-5100-00002E000000}">
      <text>
        <r>
          <rPr>
            <sz val="12"/>
            <color theme="1"/>
            <rFont val="Aptos Narrow"/>
            <family val="2"/>
            <scheme val="minor"/>
          </rPr>
          <t>W6 7850</t>
        </r>
      </text>
    </comment>
    <comment ref="G23" authorId="5" shapeId="0" xr:uid="{00000000-0006-0000-5100-00002F000000}">
      <text>
        <r>
          <rPr>
            <sz val="12"/>
            <color theme="1"/>
            <rFont val="Aptos Narrow"/>
            <family val="2"/>
            <scheme val="minor"/>
          </rPr>
          <t>Tran Dat:
7890</t>
        </r>
      </text>
    </comment>
    <comment ref="F27" authorId="2" shapeId="0" xr:uid="{00000000-0006-0000-5100-000030000000}">
      <text>
        <r>
          <rPr>
            <sz val="12"/>
            <color theme="1"/>
            <rFont val="Aptos Narrow"/>
            <family val="2"/>
            <scheme val="minor"/>
          </rPr>
          <t>Người dùng Không xác định:
12.349</t>
        </r>
      </text>
    </comment>
    <comment ref="D29" authorId="4" shapeId="0" xr:uid="{00000000-0006-0000-5100-000031000000}">
      <text>
        <r>
          <rPr>
            <sz val="12"/>
            <color theme="1"/>
            <rFont val="Aptos Narrow"/>
            <family val="2"/>
            <scheme val="minor"/>
          </rPr>
          <t>chit trang:
23.990k</t>
        </r>
      </text>
    </comment>
    <comment ref="B30" authorId="1" shapeId="0" xr:uid="{00000000-0006-0000-5100-000032000000}">
      <text>
        <r>
          <rPr>
            <sz val="12"/>
            <color theme="1"/>
            <rFont val="Aptos Narrow"/>
            <family val="2"/>
            <scheme val="minor"/>
          </rPr>
          <t>was 5550
VNP40</t>
        </r>
      </text>
    </comment>
    <comment ref="B31" authorId="1" shapeId="0" xr:uid="{00000000-0006-0000-5100-000033000000}">
      <text>
        <r>
          <rPr>
            <sz val="12"/>
            <color theme="1"/>
            <rFont val="Aptos Narrow"/>
            <family val="2"/>
            <scheme val="minor"/>
          </rPr>
          <t xml:space="preserve">was 4490
</t>
        </r>
      </text>
    </comment>
    <comment ref="C31" authorId="0" shapeId="0" xr:uid="{00000000-0006-0000-5100-000034000000}">
      <text>
        <r>
          <rPr>
            <sz val="12"/>
            <color theme="1"/>
            <rFont val="Aptos Narrow"/>
            <family val="2"/>
            <scheme val="minor"/>
          </rPr>
          <t>W6 4590</t>
        </r>
      </text>
    </comment>
    <comment ref="F31" authorId="2" shapeId="0" xr:uid="{00000000-0006-0000-5100-000035000000}">
      <text>
        <r>
          <rPr>
            <sz val="12"/>
            <color theme="1"/>
            <rFont val="Aptos Narrow"/>
            <family val="2"/>
            <scheme val="minor"/>
          </rPr>
          <t>Người dùng Không xác định:
4.790</t>
        </r>
      </text>
    </comment>
    <comment ref="B32" authorId="1" shapeId="0" xr:uid="{00000000-0006-0000-5100-000036000000}">
      <text>
        <r>
          <rPr>
            <sz val="12"/>
            <color theme="1"/>
            <rFont val="Aptos Narrow"/>
            <family val="2"/>
            <scheme val="minor"/>
          </rPr>
          <t>was 3190</t>
        </r>
      </text>
    </comment>
    <comment ref="C32" authorId="0" shapeId="0" xr:uid="{00000000-0006-0000-5100-000037000000}">
      <text>
        <r>
          <rPr>
            <sz val="12"/>
            <color theme="1"/>
            <rFont val="Aptos Narrow"/>
            <family val="2"/>
            <scheme val="minor"/>
          </rPr>
          <t>W6 3390</t>
        </r>
      </text>
    </comment>
    <comment ref="D32" authorId="4" shapeId="0" xr:uid="{00000000-0006-0000-5100-000038000000}">
      <text>
        <r>
          <rPr>
            <sz val="12"/>
            <color theme="1"/>
            <rFont val="Aptos Narrow"/>
            <family val="2"/>
            <scheme val="minor"/>
          </rPr>
          <t>chit trang:
3.490</t>
        </r>
      </text>
    </comment>
    <comment ref="E32" authorId="1" shapeId="0" xr:uid="{00000000-0006-0000-5100-000039000000}">
      <text>
        <r>
          <rPr>
            <sz val="12"/>
            <color theme="1"/>
            <rFont val="Aptos Narrow"/>
            <family val="2"/>
            <scheme val="minor"/>
          </rPr>
          <t xml:space="preserve">was 3490
</t>
        </r>
      </text>
    </comment>
    <comment ref="F32" authorId="2" shapeId="0" xr:uid="{00000000-0006-0000-5100-00003A000000}">
      <text>
        <r>
          <rPr>
            <sz val="12"/>
            <color theme="1"/>
            <rFont val="Aptos Narrow"/>
            <family val="2"/>
            <scheme val="minor"/>
          </rPr>
          <t>Người dùng Không xác định:
3.090</t>
        </r>
      </text>
    </comment>
    <comment ref="E33" authorId="1" shapeId="0" xr:uid="{00000000-0006-0000-5100-00003B000000}">
      <text>
        <r>
          <rPr>
            <sz val="12"/>
            <color theme="1"/>
            <rFont val="Aptos Narrow"/>
            <family val="2"/>
            <scheme val="minor"/>
          </rPr>
          <t xml:space="preserve">was 6590
</t>
        </r>
      </text>
    </comment>
    <comment ref="C34" authorId="0" shapeId="0" xr:uid="{00000000-0006-0000-5100-00003C000000}">
      <text>
        <r>
          <rPr>
            <sz val="12"/>
            <color theme="1"/>
            <rFont val="Aptos Narrow"/>
            <family val="2"/>
            <scheme val="minor"/>
          </rPr>
          <t>W6 19690</t>
        </r>
      </text>
    </comment>
    <comment ref="D34" authorId="3" shapeId="0" xr:uid="{00000000-0006-0000-5100-00003D000000}">
      <text>
        <r>
          <rPr>
            <sz val="12"/>
            <color theme="1"/>
            <rFont val="Aptos Narrow"/>
            <family val="2"/>
            <scheme val="minor"/>
          </rPr>
          <t>19.690k</t>
        </r>
      </text>
    </comment>
    <comment ref="F34" authorId="2" shapeId="0" xr:uid="{00000000-0006-0000-5100-00003E000000}">
      <text>
        <r>
          <rPr>
            <sz val="12"/>
            <color theme="1"/>
            <rFont val="Aptos Narrow"/>
            <family val="2"/>
            <scheme val="minor"/>
          </rPr>
          <t>Người dùng Không xác định: 19.790</t>
        </r>
      </text>
    </comment>
    <comment ref="C35" authorId="0" shapeId="0" xr:uid="{00000000-0006-0000-5100-00003F000000}">
      <text>
        <r>
          <rPr>
            <sz val="12"/>
            <color theme="1"/>
            <rFont val="Aptos Narrow"/>
            <family val="2"/>
            <scheme val="minor"/>
          </rPr>
          <t>W6 25190</t>
        </r>
      </text>
    </comment>
    <comment ref="D35" authorId="4" shapeId="0" xr:uid="{00000000-0006-0000-5100-000040000000}">
      <text>
        <r>
          <rPr>
            <sz val="12"/>
            <color theme="1"/>
            <rFont val="Aptos Narrow"/>
            <family val="2"/>
            <scheme val="minor"/>
          </rPr>
          <t>chit trang:
25.290</t>
        </r>
      </text>
    </comment>
    <comment ref="F35" authorId="2" shapeId="0" xr:uid="{00000000-0006-0000-5100-000041000000}">
      <text>
        <r>
          <rPr>
            <sz val="12"/>
            <color theme="1"/>
            <rFont val="Aptos Narrow"/>
            <family val="2"/>
            <scheme val="minor"/>
          </rPr>
          <t>Người dùng Không xác định:
25.190</t>
        </r>
      </text>
    </comment>
    <comment ref="C36" authorId="0" shapeId="0" xr:uid="{00000000-0006-0000-5100-000042000000}">
      <text>
        <r>
          <rPr>
            <sz val="12"/>
            <color theme="1"/>
            <rFont val="Aptos Narrow"/>
            <family val="2"/>
            <scheme val="minor"/>
          </rPr>
          <t>W6 30390</t>
        </r>
      </text>
    </comment>
  </commentList>
</comments>
</file>

<file path=xl/comments83.xml><?xml version="1.0" encoding="utf-8"?>
<comments xmlns="http://schemas.openxmlformats.org/spreadsheetml/2006/main" xmlns:mc="http://schemas.openxmlformats.org/markup-compatibility/2006" xmlns:xr="http://schemas.microsoft.com/office/spreadsheetml/2014/revision" mc:Ignorable="xr">
  <authors>
    <author>chit trang</author>
    <author>Microsoft Office User</author>
    <author>Người dùng Khách</author>
    <author>danielnguyen6111998@gmail.com</author>
    <author>Dat's MacBook Pro</author>
    <author>Duy</author>
    <author>Việt Hoàng</author>
    <author>Tran Dat</author>
  </authors>
  <commentList>
    <comment ref="D3" authorId="0" shapeId="0" xr:uid="{00000000-0006-0000-5200-000001000000}">
      <text>
        <r>
          <rPr>
            <sz val="12"/>
            <color theme="1"/>
            <rFont val="Aptos Narrow"/>
            <family val="2"/>
            <scheme val="minor"/>
          </rPr>
          <t>chit trang:
31.490</t>
        </r>
      </text>
    </comment>
    <comment ref="E3" authorId="1" shapeId="0" xr:uid="{00000000-0006-0000-5200-000002000000}">
      <text>
        <r>
          <rPr>
            <sz val="12"/>
            <color theme="1"/>
            <rFont val="Aptos Narrow"/>
            <family val="2"/>
            <scheme val="minor"/>
          </rPr>
          <t>was 30490
VNP500</t>
        </r>
      </text>
    </comment>
    <comment ref="F3" authorId="2" shapeId="0" xr:uid="{00000000-0006-0000-5200-000003000000}">
      <text>
        <r>
          <rPr>
            <sz val="12"/>
            <color theme="1"/>
            <rFont val="Aptos Narrow"/>
            <family val="2"/>
            <scheme val="minor"/>
          </rPr>
          <t>Người dùng Không xác định:
31.990</t>
        </r>
      </text>
    </comment>
    <comment ref="F4" authorId="3" shapeId="0" xr:uid="{00000000-0006-0000-5200-000004000000}">
      <text>
        <r>
          <rPr>
            <sz val="12"/>
            <color theme="1"/>
            <rFont val="Aptos Narrow"/>
            <family val="2"/>
            <scheme val="minor"/>
          </rPr>
          <t>danielnguyen6111998@gmail.com:
34790000</t>
        </r>
      </text>
    </comment>
    <comment ref="G4" authorId="4" shapeId="0" xr:uid="{00000000-0006-0000-5200-000005000000}">
      <text>
        <r>
          <rPr>
            <sz val="12"/>
            <color theme="1"/>
            <rFont val="Aptos Narrow"/>
            <family val="2"/>
            <scheme val="minor"/>
          </rPr>
          <t>Dat's MacBook Pro:
34790</t>
        </r>
      </text>
    </comment>
    <comment ref="G5" authorId="4" shapeId="0" xr:uid="{00000000-0006-0000-5200-000006000000}">
      <text>
        <r>
          <rPr>
            <sz val="12"/>
            <color theme="1"/>
            <rFont val="Aptos Narrow"/>
            <family val="2"/>
            <scheme val="minor"/>
          </rPr>
          <t>Dat's MacBook Pro:
37990</t>
        </r>
      </text>
    </comment>
    <comment ref="E6" authorId="1" shapeId="0" xr:uid="{00000000-0006-0000-5200-000007000000}">
      <text>
        <r>
          <rPr>
            <sz val="12"/>
            <color theme="1"/>
            <rFont val="Aptos Narrow"/>
            <family val="2"/>
            <scheme val="minor"/>
          </rPr>
          <t>COmbo gói cước giảm đến 4,5M cam kết 12 tháng</t>
        </r>
      </text>
    </comment>
    <comment ref="G6" authorId="4" shapeId="0" xr:uid="{00000000-0006-0000-5200-000008000000}">
      <text>
        <r>
          <rPr>
            <sz val="12"/>
            <color theme="1"/>
            <rFont val="Aptos Narrow"/>
            <family val="2"/>
            <scheme val="minor"/>
          </rPr>
          <t>Dat's MacBook Pro:
15290</t>
        </r>
      </text>
    </comment>
    <comment ref="E7" authorId="1" shapeId="0" xr:uid="{00000000-0006-0000-5200-000009000000}">
      <text>
        <r>
          <rPr>
            <sz val="12"/>
            <color theme="1"/>
            <rFont val="Aptos Narrow"/>
            <family val="2"/>
            <scheme val="minor"/>
          </rPr>
          <t>was 21290
Giờ vàng</t>
        </r>
      </text>
    </comment>
    <comment ref="F7" authorId="2" shapeId="0" xr:uid="{00000000-0006-0000-5200-00000A000000}">
      <text>
        <r>
          <rPr>
            <sz val="12"/>
            <color theme="1"/>
            <rFont val="Aptos Narrow"/>
            <family val="2"/>
            <scheme val="minor"/>
          </rPr>
          <t>Người dùng Không xác định:
20990000</t>
        </r>
      </text>
    </comment>
    <comment ref="B8" authorId="1" shapeId="0" xr:uid="{00000000-0006-0000-5200-00000B000000}">
      <text>
        <r>
          <rPr>
            <sz val="12"/>
            <color theme="1"/>
            <rFont val="Aptos Narrow"/>
            <family val="2"/>
            <scheme val="minor"/>
          </rPr>
          <t>was 24640000
VNP150</t>
        </r>
      </text>
    </comment>
    <comment ref="E8" authorId="1" shapeId="0" xr:uid="{00000000-0006-0000-5200-00000C000000}">
      <text>
        <r>
          <rPr>
            <sz val="12"/>
            <color theme="1"/>
            <rFont val="Aptos Narrow"/>
            <family val="2"/>
            <scheme val="minor"/>
          </rPr>
          <t xml:space="preserve">was 24490
Giờ vàng giảm 300
</t>
        </r>
      </text>
    </comment>
    <comment ref="G8" authorId="4" shapeId="0" xr:uid="{00000000-0006-0000-5200-00000D000000}">
      <text>
        <r>
          <rPr>
            <sz val="12"/>
            <color theme="1"/>
            <rFont val="Aptos Narrow"/>
            <family val="2"/>
            <scheme val="minor"/>
          </rPr>
          <t>Dat's MacBook Pro:
24.590</t>
        </r>
      </text>
    </comment>
    <comment ref="E9" authorId="1" shapeId="0" xr:uid="{00000000-0006-0000-5200-00000E000000}">
      <text>
        <r>
          <rPr>
            <sz val="12"/>
            <color theme="1"/>
            <rFont val="Aptos Narrow"/>
            <family val="2"/>
            <scheme val="minor"/>
          </rPr>
          <t xml:space="preserve">was 24290
</t>
        </r>
      </text>
    </comment>
    <comment ref="B10" authorId="1" shapeId="0" xr:uid="{00000000-0006-0000-5200-00000F000000}">
      <text>
        <r>
          <rPr>
            <sz val="12"/>
            <color theme="1"/>
            <rFont val="Aptos Narrow"/>
            <family val="2"/>
            <scheme val="minor"/>
          </rPr>
          <t>Tặng phiếu mua hàng mua AirPods và Apple Watch trị giá 500,000đ
 Phiếu mua hàng mua sản phẩm giá niêm yết từ 5 triệu thuộc các nhóm TAI NGHE - LOA hãng HARMAN KARDON, JBL,MONSTER, KLIPSCH, MARSHALL, SONY; Smartwatch hãng HUAWEI, GARMIN, SAMSUNG, IMOO, OPPO, AMAZFIT trị giá 500.000đ</t>
        </r>
      </text>
    </comment>
    <comment ref="C10" authorId="5" shapeId="0" xr:uid="{00000000-0006-0000-5200-000010000000}">
      <text>
        <r>
          <rPr>
            <sz val="12"/>
            <color theme="1"/>
            <rFont val="Aptos Narrow"/>
            <family val="2"/>
            <scheme val="minor"/>
          </rPr>
          <t>W7 30390</t>
        </r>
      </text>
    </comment>
    <comment ref="D10" authorId="6" shapeId="0" xr:uid="{00000000-0006-0000-5200-000011000000}">
      <text>
        <r>
          <rPr>
            <sz val="12"/>
            <color theme="1"/>
            <rFont val="Aptos Narrow"/>
            <family val="2"/>
            <scheme val="minor"/>
          </rPr>
          <t>Việt Hoàng:
30.5900</t>
        </r>
      </text>
    </comment>
    <comment ref="E10" authorId="1" shapeId="0" xr:uid="{00000000-0006-0000-5200-000012000000}">
      <text>
        <r>
          <rPr>
            <sz val="12"/>
            <color theme="1"/>
            <rFont val="Aptos Narrow"/>
            <family val="2"/>
            <scheme val="minor"/>
          </rPr>
          <t xml:space="preserve">was 2999000
</t>
        </r>
      </text>
    </comment>
    <comment ref="F10" authorId="3" shapeId="0" xr:uid="{00000000-0006-0000-5200-000013000000}">
      <text>
        <r>
          <rPr>
            <sz val="12"/>
            <color theme="1"/>
            <rFont val="Aptos Narrow"/>
            <family val="2"/>
            <scheme val="minor"/>
          </rPr>
          <t>danielnguyen6111998@gmail.com:
30390000</t>
        </r>
      </text>
    </comment>
    <comment ref="G10" authorId="4" shapeId="0" xr:uid="{00000000-0006-0000-5200-000014000000}">
      <text>
        <r>
          <rPr>
            <sz val="12"/>
            <color theme="1"/>
            <rFont val="Aptos Narrow"/>
            <family val="2"/>
            <scheme val="minor"/>
          </rPr>
          <t>Dat's MacBook Pro:
30390</t>
        </r>
      </text>
    </comment>
    <comment ref="D11" authorId="0" shapeId="0" xr:uid="{00000000-0006-0000-5200-000015000000}">
      <text>
        <r>
          <rPr>
            <sz val="12"/>
            <color theme="1"/>
            <rFont val="Aptos Narrow"/>
            <family val="2"/>
            <scheme val="minor"/>
          </rPr>
          <t>chit trang:
16.990k</t>
        </r>
      </text>
    </comment>
    <comment ref="E11" authorId="1" shapeId="0" xr:uid="{00000000-0006-0000-5200-000016000000}">
      <text>
        <r>
          <rPr>
            <sz val="12"/>
            <color theme="1"/>
            <rFont val="Aptos Narrow"/>
            <family val="2"/>
            <scheme val="minor"/>
          </rPr>
          <t>was 16990
Giờ vàng 200</t>
        </r>
      </text>
    </comment>
    <comment ref="F11" authorId="2" shapeId="0" xr:uid="{00000000-0006-0000-5200-000017000000}">
      <text>
        <r>
          <rPr>
            <sz val="12"/>
            <color theme="1"/>
            <rFont val="Aptos Narrow"/>
            <family val="2"/>
            <scheme val="minor"/>
          </rPr>
          <t>Người dùng Không xác định:
16990000</t>
        </r>
      </text>
    </comment>
    <comment ref="F12" authorId="2" shapeId="0" xr:uid="{00000000-0006-0000-5200-000018000000}">
      <text>
        <r>
          <rPr>
            <sz val="12"/>
            <color theme="1"/>
            <rFont val="Aptos Narrow"/>
            <family val="2"/>
            <scheme val="minor"/>
          </rPr>
          <t>Người dùng Không xác định:
18.990</t>
        </r>
      </text>
    </comment>
    <comment ref="C13" authorId="5" shapeId="0" xr:uid="{00000000-0006-0000-5200-000019000000}">
      <text>
        <r>
          <rPr>
            <sz val="12"/>
            <color theme="1"/>
            <rFont val="Aptos Narrow"/>
            <family val="2"/>
            <scheme val="minor"/>
          </rPr>
          <t>W7 13890</t>
        </r>
      </text>
    </comment>
    <comment ref="E13" authorId="2" shapeId="0" xr:uid="{00000000-0006-0000-5200-00001A000000}">
      <text>
        <r>
          <rPr>
            <sz val="12"/>
            <color theme="1"/>
            <rFont val="Aptos Narrow"/>
            <family val="2"/>
            <scheme val="minor"/>
          </rPr>
          <t>was 13690
Giờ vàng 300</t>
        </r>
      </text>
    </comment>
    <comment ref="F13" authorId="2" shapeId="0" xr:uid="{00000000-0006-0000-5200-00001B000000}">
      <text>
        <r>
          <rPr>
            <sz val="12"/>
            <color theme="1"/>
            <rFont val="Aptos Narrow"/>
            <family val="2"/>
            <scheme val="minor"/>
          </rPr>
          <t>Người dùng Không xác định:
13590000</t>
        </r>
      </text>
    </comment>
    <comment ref="B14" authorId="1" shapeId="0" xr:uid="{00000000-0006-0000-5200-00001C000000}">
      <text>
        <r>
          <rPr>
            <sz val="12"/>
            <color theme="1"/>
            <rFont val="Aptos Narrow"/>
            <family val="2"/>
            <scheme val="minor"/>
          </rPr>
          <t>was 13190
VNP100</t>
        </r>
      </text>
    </comment>
    <comment ref="E14" authorId="1" shapeId="0" xr:uid="{00000000-0006-0000-5200-00001D000000}">
      <text>
        <r>
          <rPr>
            <sz val="12"/>
            <color theme="1"/>
            <rFont val="Aptos Narrow"/>
            <family val="2"/>
            <scheme val="minor"/>
          </rPr>
          <t>was 12290</t>
        </r>
      </text>
    </comment>
    <comment ref="F14" authorId="2" shapeId="0" xr:uid="{00000000-0006-0000-5200-00001E000000}">
      <text>
        <r>
          <rPr>
            <sz val="12"/>
            <color theme="1"/>
            <rFont val="Aptos Narrow"/>
            <family val="2"/>
            <scheme val="minor"/>
          </rPr>
          <t>Người dùng Không xác định:
12090000</t>
        </r>
      </text>
    </comment>
    <comment ref="D15" authorId="6" shapeId="0" xr:uid="{00000000-0006-0000-5200-00001F000000}">
      <text>
        <r>
          <rPr>
            <sz val="12"/>
            <color theme="1"/>
            <rFont val="Aptos Narrow"/>
            <family val="2"/>
            <scheme val="minor"/>
          </rPr>
          <t>Việt Hoàng:
11.990</t>
        </r>
      </text>
    </comment>
    <comment ref="E15" authorId="1" shapeId="0" xr:uid="{00000000-0006-0000-5200-000020000000}">
      <text>
        <r>
          <rPr>
            <sz val="12"/>
            <color theme="1"/>
            <rFont val="Aptos Narrow"/>
            <family val="2"/>
            <scheme val="minor"/>
          </rPr>
          <t>was 13290
Giảm 200K HSSV</t>
        </r>
      </text>
    </comment>
    <comment ref="B16" authorId="1" shapeId="0" xr:uid="{00000000-0006-0000-5200-000021000000}">
      <text>
        <r>
          <rPr>
            <sz val="12"/>
            <color theme="1"/>
            <rFont val="Aptos Narrow"/>
            <family val="2"/>
            <scheme val="minor"/>
          </rPr>
          <t>was 7040
VNP40</t>
        </r>
      </text>
    </comment>
    <comment ref="C16" authorId="5" shapeId="0" xr:uid="{00000000-0006-0000-5200-000022000000}">
      <text>
        <r>
          <rPr>
            <sz val="12"/>
            <color theme="1"/>
            <rFont val="Aptos Narrow"/>
            <family val="2"/>
            <scheme val="minor"/>
          </rPr>
          <t>W7 8890</t>
        </r>
      </text>
    </comment>
    <comment ref="D16" authorId="0" shapeId="0" xr:uid="{00000000-0006-0000-5200-000023000000}">
      <text>
        <r>
          <rPr>
            <sz val="12"/>
            <color theme="1"/>
            <rFont val="Aptos Narrow"/>
            <family val="2"/>
            <scheme val="minor"/>
          </rPr>
          <t>chit trang:
8.990</t>
        </r>
      </text>
    </comment>
    <comment ref="E16" authorId="1" shapeId="0" xr:uid="{00000000-0006-0000-5200-000024000000}">
      <text>
        <r>
          <rPr>
            <sz val="12"/>
            <color theme="1"/>
            <rFont val="Aptos Narrow"/>
            <family val="2"/>
            <scheme val="minor"/>
          </rPr>
          <t>was 9190
Giả 200K HSSV</t>
        </r>
      </text>
    </comment>
    <comment ref="F16" authorId="2" shapeId="0" xr:uid="{00000000-0006-0000-5200-000025000000}">
      <text>
        <r>
          <rPr>
            <sz val="12"/>
            <color theme="1"/>
            <rFont val="Aptos Narrow"/>
            <family val="2"/>
            <scheme val="minor"/>
          </rPr>
          <t>Người dùng Không xác định:
8.790</t>
        </r>
      </text>
    </comment>
    <comment ref="G16" authorId="7" shapeId="0" xr:uid="{00000000-0006-0000-5200-000026000000}">
      <text>
        <r>
          <rPr>
            <sz val="12"/>
            <color theme="1"/>
            <rFont val="Aptos Narrow"/>
            <family val="2"/>
            <scheme val="minor"/>
          </rPr>
          <t>8990</t>
        </r>
      </text>
    </comment>
    <comment ref="B17" authorId="1" shapeId="0" xr:uid="{00000000-0006-0000-5200-000027000000}">
      <text>
        <r>
          <rPr>
            <sz val="12"/>
            <color theme="1"/>
            <rFont val="Aptos Narrow"/>
            <family val="2"/>
            <scheme val="minor"/>
          </rPr>
          <t>was 14390</t>
        </r>
      </text>
    </comment>
    <comment ref="C17" authorId="5" shapeId="0" xr:uid="{00000000-0006-0000-5200-000028000000}">
      <text>
        <r>
          <rPr>
            <sz val="12"/>
            <color theme="1"/>
            <rFont val="Aptos Narrow"/>
            <family val="2"/>
            <scheme val="minor"/>
          </rPr>
          <t>W7 13690</t>
        </r>
      </text>
    </comment>
    <comment ref="E17" authorId="1" shapeId="0" xr:uid="{00000000-0006-0000-5200-000029000000}">
      <text>
        <r>
          <rPr>
            <sz val="12"/>
            <color theme="1"/>
            <rFont val="Aptos Narrow"/>
            <family val="2"/>
            <scheme val="minor"/>
          </rPr>
          <t>was 15590
hssv 200</t>
        </r>
      </text>
    </comment>
    <comment ref="F17" authorId="2" shapeId="0" xr:uid="{00000000-0006-0000-5200-00002A000000}">
      <text>
        <r>
          <rPr>
            <sz val="12"/>
            <color theme="1"/>
            <rFont val="Aptos Narrow"/>
            <family val="2"/>
            <scheme val="minor"/>
          </rPr>
          <t>Người dùng Không xác định:
13690</t>
        </r>
      </text>
    </comment>
    <comment ref="G17" authorId="7" shapeId="0" xr:uid="{00000000-0006-0000-5200-00002B000000}">
      <text>
        <r>
          <rPr>
            <sz val="12"/>
            <color theme="1"/>
            <rFont val="Aptos Narrow"/>
            <family val="2"/>
            <scheme val="minor"/>
          </rPr>
          <t>15690</t>
        </r>
      </text>
    </comment>
    <comment ref="C18" authorId="5" shapeId="0" xr:uid="{00000000-0006-0000-5200-00002C000000}">
      <text>
        <r>
          <rPr>
            <sz val="12"/>
            <color theme="1"/>
            <rFont val="Aptos Narrow"/>
            <family val="2"/>
            <scheme val="minor"/>
          </rPr>
          <t>W7 19490</t>
        </r>
      </text>
    </comment>
    <comment ref="G18" authorId="7" shapeId="0" xr:uid="{00000000-0006-0000-5200-00002D000000}">
      <text>
        <r>
          <rPr>
            <sz val="12"/>
            <color theme="1"/>
            <rFont val="Aptos Narrow"/>
            <family val="2"/>
            <scheme val="minor"/>
          </rPr>
          <t xml:space="preserve">Tran Dat:
19990
</t>
        </r>
      </text>
    </comment>
    <comment ref="F19" authorId="2" shapeId="0" xr:uid="{00000000-0006-0000-5200-00002E000000}">
      <text>
        <r>
          <rPr>
            <sz val="12"/>
            <color theme="1"/>
            <rFont val="Aptos Narrow"/>
            <family val="2"/>
            <scheme val="minor"/>
          </rPr>
          <t>Người dùng Không xác định:
28190000</t>
        </r>
      </text>
    </comment>
    <comment ref="B20" authorId="1" shapeId="0" xr:uid="{00000000-0006-0000-5200-00002F000000}">
      <text>
        <r>
          <rPr>
            <sz val="12"/>
            <color theme="1"/>
            <rFont val="Aptos Narrow"/>
            <family val="2"/>
            <scheme val="minor"/>
          </rPr>
          <t>was 36640</t>
        </r>
      </text>
    </comment>
    <comment ref="F20" authorId="2" shapeId="0" xr:uid="{00000000-0006-0000-5200-000030000000}">
      <text>
        <r>
          <rPr>
            <sz val="12"/>
            <color theme="1"/>
            <rFont val="Aptos Narrow"/>
            <family val="2"/>
            <scheme val="minor"/>
          </rPr>
          <t>Người dùng Không xác định:
35.890</t>
        </r>
      </text>
    </comment>
    <comment ref="C21" authorId="5" shapeId="0" xr:uid="{00000000-0006-0000-5200-000031000000}">
      <text>
        <r>
          <rPr>
            <sz val="12"/>
            <color theme="1"/>
            <rFont val="Aptos Narrow"/>
            <family val="2"/>
            <scheme val="minor"/>
          </rPr>
          <t>W7 6890</t>
        </r>
      </text>
    </comment>
    <comment ref="F21" authorId="2" shapeId="0" xr:uid="{00000000-0006-0000-5200-000032000000}">
      <text>
        <r>
          <rPr>
            <sz val="12"/>
            <color theme="1"/>
            <rFont val="Aptos Narrow"/>
            <family val="2"/>
            <scheme val="minor"/>
          </rPr>
          <t>Người dùng Không xác định:
6390000</t>
        </r>
      </text>
    </comment>
    <comment ref="G21" authorId="7" shapeId="0" xr:uid="{00000000-0006-0000-5200-000033000000}">
      <text>
        <r>
          <rPr>
            <sz val="12"/>
            <color theme="1"/>
            <rFont val="Aptos Narrow"/>
            <family val="2"/>
            <scheme val="minor"/>
          </rPr>
          <t>Tran Dat:
6990</t>
        </r>
      </text>
    </comment>
    <comment ref="C22" authorId="5" shapeId="0" xr:uid="{00000000-0006-0000-5200-000034000000}">
      <text>
        <r>
          <rPr>
            <sz val="12"/>
            <color theme="1"/>
            <rFont val="Aptos Narrow"/>
            <family val="2"/>
            <scheme val="minor"/>
          </rPr>
          <t>W7 8490</t>
        </r>
      </text>
    </comment>
    <comment ref="F22" authorId="3" shapeId="0" xr:uid="{00000000-0006-0000-5200-000035000000}">
      <text>
        <r>
          <rPr>
            <sz val="12"/>
            <color theme="1"/>
            <rFont val="Aptos Narrow"/>
            <family val="2"/>
            <scheme val="minor"/>
          </rPr>
          <t>danielnguyen6111998@gmail.com:
8290000</t>
        </r>
      </text>
    </comment>
    <comment ref="D23" authorId="0" shapeId="0" xr:uid="{00000000-0006-0000-5200-000036000000}">
      <text>
        <r>
          <rPr>
            <sz val="12"/>
            <color theme="1"/>
            <rFont val="Aptos Narrow"/>
            <family val="2"/>
            <scheme val="minor"/>
          </rPr>
          <t>chit trang:
7.890</t>
        </r>
      </text>
    </comment>
    <comment ref="F23" authorId="3" shapeId="0" xr:uid="{00000000-0006-0000-5200-000037000000}">
      <text>
        <r>
          <rPr>
            <sz val="12"/>
            <color theme="1"/>
            <rFont val="Aptos Narrow"/>
            <family val="2"/>
            <scheme val="minor"/>
          </rPr>
          <t>danielnguyen6111998@gmail.com:
7390000</t>
        </r>
      </text>
    </comment>
    <comment ref="G23" authorId="7" shapeId="0" xr:uid="{00000000-0006-0000-5200-000038000000}">
      <text>
        <r>
          <rPr>
            <sz val="12"/>
            <color theme="1"/>
            <rFont val="Aptos Narrow"/>
            <family val="2"/>
            <scheme val="minor"/>
          </rPr>
          <t>Tran Dat:
7890</t>
        </r>
      </text>
    </comment>
    <comment ref="C25" authorId="5" shapeId="0" xr:uid="{00000000-0006-0000-5200-000039000000}">
      <text>
        <r>
          <rPr>
            <sz val="12"/>
            <color theme="1"/>
            <rFont val="Aptos Narrow"/>
            <family val="2"/>
            <scheme val="minor"/>
          </rPr>
          <t>W7 11490</t>
        </r>
      </text>
    </comment>
    <comment ref="F25" authorId="3" shapeId="0" xr:uid="{00000000-0006-0000-5200-00003A000000}">
      <text>
        <r>
          <rPr>
            <sz val="12"/>
            <color theme="1"/>
            <rFont val="Aptos Narrow"/>
            <family val="2"/>
            <scheme val="minor"/>
          </rPr>
          <t>danielnguyen6111998@gmail.com:
10990000</t>
        </r>
      </text>
    </comment>
    <comment ref="C27" authorId="5" shapeId="0" xr:uid="{00000000-0006-0000-5200-00003B000000}">
      <text>
        <r>
          <rPr>
            <sz val="12"/>
            <color theme="1"/>
            <rFont val="Aptos Narrow"/>
            <family val="2"/>
            <scheme val="minor"/>
          </rPr>
          <t>W7 12350</t>
        </r>
      </text>
    </comment>
    <comment ref="F27" authorId="2" shapeId="0" xr:uid="{00000000-0006-0000-5200-00003C000000}">
      <text>
        <r>
          <rPr>
            <sz val="12"/>
            <color theme="1"/>
            <rFont val="Aptos Narrow"/>
            <family val="2"/>
            <scheme val="minor"/>
          </rPr>
          <t>11990000</t>
        </r>
      </text>
    </comment>
    <comment ref="F28" authorId="3" shapeId="0" xr:uid="{00000000-0006-0000-5200-00003D000000}">
      <text>
        <r>
          <rPr>
            <sz val="12"/>
            <color theme="1"/>
            <rFont val="Aptos Narrow"/>
            <family val="2"/>
            <scheme val="minor"/>
          </rPr>
          <t>danielnguyen6111998@gmail.com:
15349000</t>
        </r>
      </text>
    </comment>
    <comment ref="D29" authorId="0" shapeId="0" xr:uid="{00000000-0006-0000-5200-00003E000000}">
      <text>
        <r>
          <rPr>
            <sz val="12"/>
            <color theme="1"/>
            <rFont val="Aptos Narrow"/>
            <family val="2"/>
            <scheme val="minor"/>
          </rPr>
          <t>chit trang:
23.790k</t>
        </r>
      </text>
    </comment>
    <comment ref="B30" authorId="1" shapeId="0" xr:uid="{00000000-0006-0000-5200-00003F000000}">
      <text>
        <r>
          <rPr>
            <sz val="12"/>
            <color theme="1"/>
            <rFont val="Aptos Narrow"/>
            <family val="2"/>
            <scheme val="minor"/>
          </rPr>
          <t>was 5550
VNP40</t>
        </r>
      </text>
    </comment>
    <comment ref="C30" authorId="5" shapeId="0" xr:uid="{00000000-0006-0000-5200-000040000000}">
      <text>
        <r>
          <rPr>
            <sz val="12"/>
            <color theme="1"/>
            <rFont val="Aptos Narrow"/>
            <family val="2"/>
            <scheme val="minor"/>
          </rPr>
          <t>W7 5290</t>
        </r>
      </text>
    </comment>
    <comment ref="D30" authorId="0" shapeId="0" xr:uid="{00000000-0006-0000-5200-000041000000}">
      <text>
        <r>
          <rPr>
            <sz val="12"/>
            <color theme="1"/>
            <rFont val="Aptos Narrow"/>
            <family val="2"/>
            <scheme val="minor"/>
          </rPr>
          <t>chit trang:
5.390</t>
        </r>
      </text>
    </comment>
    <comment ref="F30" authorId="2" shapeId="0" xr:uid="{00000000-0006-0000-5200-000042000000}">
      <text>
        <r>
          <rPr>
            <sz val="12"/>
            <color theme="1"/>
            <rFont val="Aptos Narrow"/>
            <family val="2"/>
            <scheme val="minor"/>
          </rPr>
          <t>Người dùng Không xác định:
5090000</t>
        </r>
      </text>
    </comment>
    <comment ref="B31" authorId="1" shapeId="0" xr:uid="{00000000-0006-0000-5200-000043000000}">
      <text>
        <r>
          <rPr>
            <sz val="12"/>
            <color theme="1"/>
            <rFont val="Aptos Narrow"/>
            <family val="2"/>
            <scheme val="minor"/>
          </rPr>
          <t xml:space="preserve">was 4490
</t>
        </r>
      </text>
    </comment>
    <comment ref="C31" authorId="5" shapeId="0" xr:uid="{00000000-0006-0000-5200-000044000000}">
      <text>
        <r>
          <rPr>
            <sz val="12"/>
            <color theme="1"/>
            <rFont val="Aptos Narrow"/>
            <family val="2"/>
            <scheme val="minor"/>
          </rPr>
          <t>W7 4890</t>
        </r>
      </text>
    </comment>
    <comment ref="D31" authorId="0" shapeId="0" xr:uid="{00000000-0006-0000-5200-000045000000}">
      <text>
        <r>
          <rPr>
            <sz val="12"/>
            <color theme="1"/>
            <rFont val="Aptos Narrow"/>
            <family val="2"/>
            <scheme val="minor"/>
          </rPr>
          <t>chit trang:
4.490</t>
        </r>
      </text>
    </comment>
    <comment ref="E31" authorId="1" shapeId="0" xr:uid="{00000000-0006-0000-5200-000046000000}">
      <text>
        <r>
          <rPr>
            <sz val="12"/>
            <color theme="1"/>
            <rFont val="Aptos Narrow"/>
            <family val="2"/>
            <scheme val="minor"/>
          </rPr>
          <t xml:space="preserve">was 4490
</t>
        </r>
      </text>
    </comment>
    <comment ref="F31" authorId="2" shapeId="0" xr:uid="{00000000-0006-0000-5200-000047000000}">
      <text>
        <r>
          <rPr>
            <sz val="12"/>
            <color theme="1"/>
            <rFont val="Aptos Narrow"/>
            <family val="2"/>
            <scheme val="minor"/>
          </rPr>
          <t>Người dùng Không xác định:
3.090</t>
        </r>
      </text>
    </comment>
    <comment ref="G31" authorId="4" shapeId="0" xr:uid="{00000000-0006-0000-5200-000048000000}">
      <text>
        <r>
          <rPr>
            <sz val="12"/>
            <color theme="1"/>
            <rFont val="Aptos Narrow"/>
            <family val="2"/>
            <scheme val="minor"/>
          </rPr>
          <t>Dat's MacBook Pro:
4550</t>
        </r>
      </text>
    </comment>
    <comment ref="B32" authorId="1" shapeId="0" xr:uid="{00000000-0006-0000-5200-000049000000}">
      <text>
        <r>
          <rPr>
            <sz val="12"/>
            <color theme="1"/>
            <rFont val="Aptos Narrow"/>
            <family val="2"/>
            <scheme val="minor"/>
          </rPr>
          <t>was 3190</t>
        </r>
      </text>
    </comment>
    <comment ref="C32" authorId="5" shapeId="0" xr:uid="{00000000-0006-0000-5200-00004A000000}">
      <text>
        <r>
          <rPr>
            <sz val="12"/>
            <color theme="1"/>
            <rFont val="Aptos Narrow"/>
            <family val="2"/>
            <scheme val="minor"/>
          </rPr>
          <t>W7 3690</t>
        </r>
      </text>
    </comment>
    <comment ref="D32" authorId="0" shapeId="0" xr:uid="{00000000-0006-0000-5200-00004B000000}">
      <text>
        <r>
          <rPr>
            <sz val="12"/>
            <color theme="1"/>
            <rFont val="Aptos Narrow"/>
            <family val="2"/>
            <scheme val="minor"/>
          </rPr>
          <t>chit trang:
3.390</t>
        </r>
      </text>
    </comment>
    <comment ref="E32" authorId="1" shapeId="0" xr:uid="{00000000-0006-0000-5200-00004C000000}">
      <text>
        <r>
          <rPr>
            <sz val="12"/>
            <color theme="1"/>
            <rFont val="Aptos Narrow"/>
            <family val="2"/>
            <scheme val="minor"/>
          </rPr>
          <t xml:space="preserve">was 3390
</t>
        </r>
      </text>
    </comment>
    <comment ref="G32" authorId="4" shapeId="0" xr:uid="{00000000-0006-0000-5200-00004D000000}">
      <text>
        <r>
          <rPr>
            <sz val="12"/>
            <color theme="1"/>
            <rFont val="Aptos Narrow"/>
            <family val="2"/>
            <scheme val="minor"/>
          </rPr>
          <t>Dat's MacBook Pro:
3390</t>
        </r>
      </text>
    </comment>
    <comment ref="C33" authorId="5" shapeId="0" xr:uid="{00000000-0006-0000-5200-00004E000000}">
      <text>
        <r>
          <rPr>
            <sz val="12"/>
            <color theme="1"/>
            <rFont val="Aptos Narrow"/>
            <family val="2"/>
            <scheme val="minor"/>
          </rPr>
          <t>W7 6790</t>
        </r>
      </text>
    </comment>
    <comment ref="C34" authorId="5" shapeId="0" xr:uid="{00000000-0006-0000-5200-00004F000000}">
      <text>
        <r>
          <rPr>
            <sz val="12"/>
            <color theme="1"/>
            <rFont val="Aptos Narrow"/>
            <family val="2"/>
            <scheme val="minor"/>
          </rPr>
          <t>W7 19890</t>
        </r>
      </text>
    </comment>
    <comment ref="F34" authorId="2" shapeId="0" xr:uid="{00000000-0006-0000-5200-000050000000}">
      <text>
        <r>
          <rPr>
            <sz val="12"/>
            <color theme="1"/>
            <rFont val="Aptos Narrow"/>
            <family val="2"/>
            <scheme val="minor"/>
          </rPr>
          <t>Người dùng Không xác định: 19.790</t>
        </r>
      </text>
    </comment>
    <comment ref="C35" authorId="5" shapeId="0" xr:uid="{00000000-0006-0000-5200-000051000000}">
      <text>
        <r>
          <rPr>
            <sz val="12"/>
            <color theme="1"/>
            <rFont val="Aptos Narrow"/>
            <family val="2"/>
            <scheme val="minor"/>
          </rPr>
          <t>W7 24990</t>
        </r>
      </text>
    </comment>
    <comment ref="F35" authorId="2" shapeId="0" xr:uid="{00000000-0006-0000-5200-000052000000}">
      <text>
        <r>
          <rPr>
            <sz val="12"/>
            <color theme="1"/>
            <rFont val="Aptos Narrow"/>
            <family val="2"/>
            <scheme val="minor"/>
          </rPr>
          <t>Người dùng Không xác định:
25.190</t>
        </r>
      </text>
    </comment>
    <comment ref="C36" authorId="5" shapeId="0" xr:uid="{00000000-0006-0000-5200-000053000000}">
      <text>
        <r>
          <rPr>
            <sz val="12"/>
            <color theme="1"/>
            <rFont val="Aptos Narrow"/>
            <family val="2"/>
            <scheme val="minor"/>
          </rPr>
          <t>W7 29690</t>
        </r>
      </text>
    </comment>
    <comment ref="D36" authorId="0" shapeId="0" xr:uid="{00000000-0006-0000-5200-000054000000}">
      <text>
        <r>
          <rPr>
            <sz val="12"/>
            <color theme="1"/>
            <rFont val="Aptos Narrow"/>
            <family val="2"/>
            <scheme val="minor"/>
          </rPr>
          <t>chit trang:
29.890</t>
        </r>
      </text>
    </comment>
    <comment ref="G36" authorId="4" shapeId="0" xr:uid="{00000000-0006-0000-5200-000055000000}">
      <text>
        <r>
          <rPr>
            <sz val="12"/>
            <color theme="1"/>
            <rFont val="Aptos Narrow"/>
            <family val="2"/>
            <scheme val="minor"/>
          </rPr>
          <t xml:space="preserve">Dat's MacBook Pro:
29690
</t>
        </r>
      </text>
    </comment>
  </commentList>
</comments>
</file>

<file path=xl/comments84.xml><?xml version="1.0" encoding="utf-8"?>
<comments xmlns="http://schemas.openxmlformats.org/spreadsheetml/2006/main" xmlns:mc="http://schemas.openxmlformats.org/markup-compatibility/2006" xmlns:xr="http://schemas.microsoft.com/office/spreadsheetml/2014/revision" mc:Ignorable="xr">
  <authors>
    <author>chit trang</author>
    <author>Người dùng Khách</author>
    <author>danielnguyen6111998@gmail.com</author>
    <author>Dat's MacBook Pro</author>
    <author>Microsoft Office User</author>
    <author>Việt Hoàng</author>
    <author>Duy</author>
    <author>Tran Dat</author>
  </authors>
  <commentList>
    <comment ref="D3" authorId="0" shapeId="0" xr:uid="{00000000-0006-0000-5300-000001000000}">
      <text>
        <r>
          <rPr>
            <sz val="12"/>
            <color theme="1"/>
            <rFont val="Aptos Narrow"/>
            <family val="2"/>
            <scheme val="minor"/>
          </rPr>
          <t>chit trang:
30.890</t>
        </r>
      </text>
    </comment>
    <comment ref="F3" authorId="1" shapeId="0" xr:uid="{00000000-0006-0000-5300-000002000000}">
      <text>
        <r>
          <rPr>
            <sz val="12"/>
            <color theme="1"/>
            <rFont val="Aptos Narrow"/>
            <family val="2"/>
            <scheme val="minor"/>
          </rPr>
          <t>Người dùng Không xác định:
31.990</t>
        </r>
      </text>
    </comment>
    <comment ref="D4" authorId="1" shapeId="0" xr:uid="{00000000-0006-0000-5300-000003000000}">
      <text>
        <r>
          <rPr>
            <sz val="12"/>
            <color theme="1"/>
            <rFont val="Aptos Narrow"/>
            <family val="2"/>
            <scheme val="minor"/>
          </rPr>
          <t>Người dùng Không xác định:
34.990</t>
        </r>
      </text>
    </comment>
    <comment ref="F4" authorId="2" shapeId="0" xr:uid="{00000000-0006-0000-5300-000004000000}">
      <text>
        <r>
          <rPr>
            <sz val="12"/>
            <color theme="1"/>
            <rFont val="Aptos Narrow"/>
            <family val="2"/>
            <scheme val="minor"/>
          </rPr>
          <t>danielnguyen6111998@gmail.com:
34790000</t>
        </r>
      </text>
    </comment>
    <comment ref="G4" authorId="3" shapeId="0" xr:uid="{00000000-0006-0000-5300-000005000000}">
      <text>
        <r>
          <rPr>
            <sz val="12"/>
            <color theme="1"/>
            <rFont val="Aptos Narrow"/>
            <family val="2"/>
            <scheme val="minor"/>
          </rPr>
          <t>Dat's MacBook Pro:
34790</t>
        </r>
      </text>
    </comment>
    <comment ref="G5" authorId="3" shapeId="0" xr:uid="{00000000-0006-0000-5300-000006000000}">
      <text>
        <r>
          <rPr>
            <sz val="12"/>
            <color theme="1"/>
            <rFont val="Aptos Narrow"/>
            <family val="2"/>
            <scheme val="minor"/>
          </rPr>
          <t>Dat's MacBook Pro:
37990</t>
        </r>
      </text>
    </comment>
    <comment ref="G6" authorId="3" shapeId="0" xr:uid="{00000000-0006-0000-5300-000007000000}">
      <text>
        <r>
          <rPr>
            <sz val="12"/>
            <color theme="1"/>
            <rFont val="Aptos Narrow"/>
            <family val="2"/>
            <scheme val="minor"/>
          </rPr>
          <t>Dat's MacBook Pro:
15290</t>
        </r>
      </text>
    </comment>
    <comment ref="D7" authorId="1" shapeId="0" xr:uid="{00000000-0006-0000-5300-000008000000}">
      <text>
        <r>
          <rPr>
            <sz val="12"/>
            <color theme="1"/>
            <rFont val="Aptos Narrow"/>
            <family val="2"/>
            <scheme val="minor"/>
          </rPr>
          <t>Người dùng Không xác định:
21.090</t>
        </r>
      </text>
    </comment>
    <comment ref="F7" authorId="1" shapeId="0" xr:uid="{00000000-0006-0000-5300-000009000000}">
      <text>
        <r>
          <rPr>
            <sz val="12"/>
            <color theme="1"/>
            <rFont val="Aptos Narrow"/>
            <family val="2"/>
            <scheme val="minor"/>
          </rPr>
          <t>Người dùng Không xác định:
20990000</t>
        </r>
      </text>
    </comment>
    <comment ref="B8" authorId="4" shapeId="0" xr:uid="{00000000-0006-0000-5300-00000A000000}">
      <text>
        <r>
          <rPr>
            <sz val="12"/>
            <color theme="1"/>
            <rFont val="Aptos Narrow"/>
            <family val="2"/>
            <scheme val="minor"/>
          </rPr>
          <t>was 24640000
VNP150</t>
        </r>
      </text>
    </comment>
    <comment ref="G8" authorId="3" shapeId="0" xr:uid="{00000000-0006-0000-5300-00000B000000}">
      <text>
        <r>
          <rPr>
            <sz val="12"/>
            <color theme="1"/>
            <rFont val="Aptos Narrow"/>
            <family val="2"/>
            <scheme val="minor"/>
          </rPr>
          <t>Dat's MacBook Pro:
23.990</t>
        </r>
      </text>
    </comment>
    <comment ref="B10" authorId="4" shapeId="0" xr:uid="{00000000-0006-0000-5300-00000C000000}">
      <text>
        <r>
          <rPr>
            <sz val="12"/>
            <color theme="1"/>
            <rFont val="Aptos Narrow"/>
            <family val="2"/>
            <scheme val="minor"/>
          </rPr>
          <t>Tặng phiếu mua hàng mua AirPods và Apple Watch trị giá 500,000đ
 Phiếu mua hàng mua sản phẩm giá niêm yết từ 5 triệu thuộc các nhóm TAI NGHE - LOA hãng HARMAN KARDON, JBL,MONSTER, KLIPSCH, MARSHALL, SONY; Smartwatch hãng HUAWEI, GARMIN, SAMSUNG, IMOO, OPPO, AMAZFIT trị giá 500.000đ</t>
        </r>
      </text>
    </comment>
    <comment ref="D10" authorId="5" shapeId="0" xr:uid="{00000000-0006-0000-5300-00000D000000}">
      <text>
        <r>
          <rPr>
            <sz val="12"/>
            <color theme="1"/>
            <rFont val="Aptos Narrow"/>
            <family val="2"/>
            <scheme val="minor"/>
          </rPr>
          <t>Việt Hoàng:
30.5900</t>
        </r>
      </text>
    </comment>
    <comment ref="F10" authorId="2" shapeId="0" xr:uid="{00000000-0006-0000-5300-00000E000000}">
      <text>
        <r>
          <rPr>
            <sz val="12"/>
            <color theme="1"/>
            <rFont val="Aptos Narrow"/>
            <family val="2"/>
            <scheme val="minor"/>
          </rPr>
          <t>danielnguyen6111998@gmail.com:
30390000</t>
        </r>
      </text>
    </comment>
    <comment ref="G10" authorId="3" shapeId="0" xr:uid="{00000000-0006-0000-5300-00000F000000}">
      <text>
        <r>
          <rPr>
            <sz val="12"/>
            <color theme="1"/>
            <rFont val="Aptos Narrow"/>
            <family val="2"/>
            <scheme val="minor"/>
          </rPr>
          <t>Dat's MacBook Pro:
30390</t>
        </r>
      </text>
    </comment>
    <comment ref="D11" authorId="0" shapeId="0" xr:uid="{00000000-0006-0000-5300-000010000000}">
      <text>
        <r>
          <rPr>
            <sz val="12"/>
            <color theme="1"/>
            <rFont val="Aptos Narrow"/>
            <family val="2"/>
            <scheme val="minor"/>
          </rPr>
          <t>chit trang:
17.090k</t>
        </r>
      </text>
    </comment>
    <comment ref="F11" authorId="1" shapeId="0" xr:uid="{00000000-0006-0000-5300-000011000000}">
      <text>
        <r>
          <rPr>
            <sz val="12"/>
            <color theme="1"/>
            <rFont val="Aptos Narrow"/>
            <family val="2"/>
            <scheme val="minor"/>
          </rPr>
          <t>Người dùng Không xác định:
16990000</t>
        </r>
      </text>
    </comment>
    <comment ref="F12" authorId="1" shapeId="0" xr:uid="{00000000-0006-0000-5300-000012000000}">
      <text>
        <r>
          <rPr>
            <sz val="12"/>
            <color theme="1"/>
            <rFont val="Aptos Narrow"/>
            <family val="2"/>
            <scheme val="minor"/>
          </rPr>
          <t>Người dùng Không xác định:
18.990</t>
        </r>
      </text>
    </comment>
    <comment ref="D13" authorId="1" shapeId="0" xr:uid="{00000000-0006-0000-5300-000013000000}">
      <text>
        <r>
          <rPr>
            <sz val="12"/>
            <color theme="1"/>
            <rFont val="Aptos Narrow"/>
            <family val="2"/>
            <scheme val="minor"/>
          </rPr>
          <t>Người dùng Không xác định:
13.690</t>
        </r>
      </text>
    </comment>
    <comment ref="F13" authorId="1" shapeId="0" xr:uid="{00000000-0006-0000-5300-000014000000}">
      <text>
        <r>
          <rPr>
            <sz val="12"/>
            <color theme="1"/>
            <rFont val="Aptos Narrow"/>
            <family val="2"/>
            <scheme val="minor"/>
          </rPr>
          <t>Người dùng Không xác định:
13590000</t>
        </r>
      </text>
    </comment>
    <comment ref="B14" authorId="4" shapeId="0" xr:uid="{00000000-0006-0000-5300-000015000000}">
      <text>
        <r>
          <rPr>
            <sz val="12"/>
            <color theme="1"/>
            <rFont val="Aptos Narrow"/>
            <family val="2"/>
            <scheme val="minor"/>
          </rPr>
          <t>was 13190
VNP100</t>
        </r>
      </text>
    </comment>
    <comment ref="D14" authorId="1" shapeId="0" xr:uid="{00000000-0006-0000-5300-000016000000}">
      <text>
        <r>
          <rPr>
            <sz val="12"/>
            <color theme="1"/>
            <rFont val="Aptos Narrow"/>
            <family val="2"/>
            <scheme val="minor"/>
          </rPr>
          <t>Người dùng Không xác định:
12.090</t>
        </r>
      </text>
    </comment>
    <comment ref="F14" authorId="1" shapeId="0" xr:uid="{00000000-0006-0000-5300-000017000000}">
      <text>
        <r>
          <rPr>
            <sz val="12"/>
            <color theme="1"/>
            <rFont val="Aptos Narrow"/>
            <family val="2"/>
            <scheme val="minor"/>
          </rPr>
          <t>Người dùng Không xác định:
12090000</t>
        </r>
      </text>
    </comment>
    <comment ref="B16" authorId="4" shapeId="0" xr:uid="{00000000-0006-0000-5300-000018000000}">
      <text>
        <r>
          <rPr>
            <sz val="12"/>
            <color theme="1"/>
            <rFont val="Aptos Narrow"/>
            <family val="2"/>
            <scheme val="minor"/>
          </rPr>
          <t>was 7040
VNP40</t>
        </r>
      </text>
    </comment>
    <comment ref="C16" authorId="6" shapeId="0" xr:uid="{00000000-0006-0000-5300-000019000000}">
      <text>
        <r>
          <rPr>
            <sz val="12"/>
            <color theme="1"/>
            <rFont val="Aptos Narrow"/>
            <family val="2"/>
            <scheme val="minor"/>
          </rPr>
          <t>W8 8790</t>
        </r>
      </text>
    </comment>
    <comment ref="D16" authorId="0" shapeId="0" xr:uid="{00000000-0006-0000-5300-00001A000000}">
      <text>
        <r>
          <rPr>
            <sz val="12"/>
            <color theme="1"/>
            <rFont val="Aptos Narrow"/>
            <family val="2"/>
            <scheme val="minor"/>
          </rPr>
          <t>chit trang:
8.790</t>
        </r>
      </text>
    </comment>
    <comment ref="E16" authorId="4" shapeId="0" xr:uid="{00000000-0006-0000-5300-00001B000000}">
      <text>
        <r>
          <rPr>
            <sz val="12"/>
            <color theme="1"/>
            <rFont val="Aptos Narrow"/>
            <family val="2"/>
            <scheme val="minor"/>
          </rPr>
          <t>was 8790
Giả 200K HSSV</t>
        </r>
      </text>
    </comment>
    <comment ref="F16" authorId="1" shapeId="0" xr:uid="{00000000-0006-0000-5300-00001C000000}">
      <text>
        <r>
          <rPr>
            <sz val="12"/>
            <color theme="1"/>
            <rFont val="Aptos Narrow"/>
            <family val="2"/>
            <scheme val="minor"/>
          </rPr>
          <t>Người dùng Không xác định:
8.790</t>
        </r>
      </text>
    </comment>
    <comment ref="G16" authorId="7" shapeId="0" xr:uid="{00000000-0006-0000-5300-00001D000000}">
      <text>
        <r>
          <rPr>
            <sz val="12"/>
            <color theme="1"/>
            <rFont val="Aptos Narrow"/>
            <family val="2"/>
            <scheme val="minor"/>
          </rPr>
          <t>8990</t>
        </r>
      </text>
    </comment>
    <comment ref="B17" authorId="4" shapeId="0" xr:uid="{00000000-0006-0000-5300-00001E000000}">
      <text>
        <r>
          <rPr>
            <sz val="12"/>
            <color theme="1"/>
            <rFont val="Aptos Narrow"/>
            <family val="2"/>
            <scheme val="minor"/>
          </rPr>
          <t>was 14390</t>
        </r>
      </text>
    </comment>
    <comment ref="C17" authorId="6" shapeId="0" xr:uid="{00000000-0006-0000-5300-00001F000000}">
      <text>
        <r>
          <rPr>
            <sz val="12"/>
            <color theme="1"/>
            <rFont val="Aptos Narrow"/>
            <family val="2"/>
            <scheme val="minor"/>
          </rPr>
          <t>W8 13490</t>
        </r>
      </text>
    </comment>
    <comment ref="D17" authorId="1" shapeId="0" xr:uid="{00000000-0006-0000-5300-000020000000}">
      <text>
        <r>
          <rPr>
            <sz val="12"/>
            <color theme="1"/>
            <rFont val="Aptos Narrow"/>
            <family val="2"/>
            <scheme val="minor"/>
          </rPr>
          <t>Người dùng Không xác định:
13.690</t>
        </r>
      </text>
    </comment>
    <comment ref="E17" authorId="4" shapeId="0" xr:uid="{00000000-0006-0000-5300-000021000000}">
      <text>
        <r>
          <rPr>
            <sz val="12"/>
            <color theme="1"/>
            <rFont val="Aptos Narrow"/>
            <family val="2"/>
            <scheme val="minor"/>
          </rPr>
          <t>was 13290
hssv 200</t>
        </r>
      </text>
    </comment>
    <comment ref="F17" authorId="1" shapeId="0" xr:uid="{00000000-0006-0000-5300-000022000000}">
      <text>
        <r>
          <rPr>
            <sz val="12"/>
            <color theme="1"/>
            <rFont val="Aptos Narrow"/>
            <family val="2"/>
            <scheme val="minor"/>
          </rPr>
          <t>Người dùng Không xác định:
13690</t>
        </r>
      </text>
    </comment>
    <comment ref="G17" authorId="7" shapeId="0" xr:uid="{00000000-0006-0000-5300-000023000000}">
      <text>
        <r>
          <rPr>
            <sz val="12"/>
            <color theme="1"/>
            <rFont val="Aptos Narrow"/>
            <family val="2"/>
            <scheme val="minor"/>
          </rPr>
          <t>15690</t>
        </r>
      </text>
    </comment>
    <comment ref="C18" authorId="6" shapeId="0" xr:uid="{00000000-0006-0000-5300-000024000000}">
      <text>
        <r>
          <rPr>
            <sz val="12"/>
            <color theme="1"/>
            <rFont val="Aptos Narrow"/>
            <family val="2"/>
            <scheme val="minor"/>
          </rPr>
          <t>W8 19090</t>
        </r>
      </text>
    </comment>
    <comment ref="G18" authorId="7" shapeId="0" xr:uid="{00000000-0006-0000-5300-000025000000}">
      <text>
        <r>
          <rPr>
            <sz val="12"/>
            <color theme="1"/>
            <rFont val="Aptos Narrow"/>
            <family val="2"/>
            <scheme val="minor"/>
          </rPr>
          <t xml:space="preserve">Tran Dat:
19990
</t>
        </r>
      </text>
    </comment>
    <comment ref="F19" authorId="1" shapeId="0" xr:uid="{00000000-0006-0000-5300-000026000000}">
      <text>
        <r>
          <rPr>
            <sz val="12"/>
            <color theme="1"/>
            <rFont val="Aptos Narrow"/>
            <family val="2"/>
            <scheme val="minor"/>
          </rPr>
          <t>Người dùng Không xác định:
27.890</t>
        </r>
      </text>
    </comment>
    <comment ref="B20" authorId="4" shapeId="0" xr:uid="{00000000-0006-0000-5300-000027000000}">
      <text>
        <r>
          <rPr>
            <sz val="12"/>
            <color theme="1"/>
            <rFont val="Aptos Narrow"/>
            <family val="2"/>
            <scheme val="minor"/>
          </rPr>
          <t>was 36640</t>
        </r>
      </text>
    </comment>
    <comment ref="F20" authorId="1" shapeId="0" xr:uid="{00000000-0006-0000-5300-000028000000}">
      <text>
        <r>
          <rPr>
            <sz val="12"/>
            <color theme="1"/>
            <rFont val="Aptos Narrow"/>
            <family val="2"/>
            <scheme val="minor"/>
          </rPr>
          <t>Người dùng Không xác định:
35.890</t>
        </r>
      </text>
    </comment>
    <comment ref="C23" authorId="6" shapeId="0" xr:uid="{00000000-0006-0000-5300-000029000000}">
      <text>
        <r>
          <rPr>
            <sz val="12"/>
            <color theme="1"/>
            <rFont val="Aptos Narrow"/>
            <family val="2"/>
            <scheme val="minor"/>
          </rPr>
          <t>W8 6690</t>
        </r>
      </text>
    </comment>
    <comment ref="D23" authorId="1" shapeId="0" xr:uid="{00000000-0006-0000-5300-00002A000000}">
      <text>
        <r>
          <rPr>
            <sz val="12"/>
            <color theme="1"/>
            <rFont val="Aptos Narrow"/>
            <family val="2"/>
            <scheme val="minor"/>
          </rPr>
          <t>Người dùng Không xác định:
6.690</t>
        </r>
      </text>
    </comment>
    <comment ref="E23" authorId="4" shapeId="0" xr:uid="{00000000-0006-0000-5300-00002B000000}">
      <text>
        <r>
          <rPr>
            <sz val="12"/>
            <color theme="1"/>
            <rFont val="Aptos Narrow"/>
            <family val="2"/>
            <scheme val="minor"/>
          </rPr>
          <t>was 6690</t>
        </r>
      </text>
    </comment>
    <comment ref="F23" authorId="1" shapeId="0" xr:uid="{00000000-0006-0000-5300-00002C000000}">
      <text>
        <r>
          <rPr>
            <sz val="12"/>
            <color theme="1"/>
            <rFont val="Aptos Narrow"/>
            <family val="2"/>
            <scheme val="minor"/>
          </rPr>
          <t>Người dùng Không xác định:
6390000</t>
        </r>
      </text>
    </comment>
    <comment ref="G23" authorId="7" shapeId="0" xr:uid="{00000000-0006-0000-5300-00002D000000}">
      <text>
        <r>
          <rPr>
            <sz val="12"/>
            <color theme="1"/>
            <rFont val="Aptos Narrow"/>
            <family val="2"/>
            <scheme val="minor"/>
          </rPr>
          <t>Tran Dat:
6990</t>
        </r>
      </text>
    </comment>
    <comment ref="D24" authorId="1" shapeId="0" xr:uid="{00000000-0006-0000-5300-00002E000000}">
      <text>
        <r>
          <rPr>
            <sz val="12"/>
            <color theme="1"/>
            <rFont val="Aptos Narrow"/>
            <family val="2"/>
            <scheme val="minor"/>
          </rPr>
          <t>Người dùng Không xác định:
8.490k</t>
        </r>
      </text>
    </comment>
    <comment ref="E24" authorId="4" shapeId="0" xr:uid="{00000000-0006-0000-5300-00002F000000}">
      <text>
        <r>
          <rPr>
            <sz val="12"/>
            <color theme="1"/>
            <rFont val="Aptos Narrow"/>
            <family val="2"/>
            <scheme val="minor"/>
          </rPr>
          <t xml:space="preserve">was 8190
</t>
        </r>
      </text>
    </comment>
    <comment ref="F24" authorId="2" shapeId="0" xr:uid="{00000000-0006-0000-5300-000030000000}">
      <text>
        <r>
          <rPr>
            <sz val="12"/>
            <color theme="1"/>
            <rFont val="Aptos Narrow"/>
            <family val="2"/>
            <scheme val="minor"/>
          </rPr>
          <t>danielnguyen6111998@gmail.com:
8290000</t>
        </r>
      </text>
    </comment>
    <comment ref="C25" authorId="6" shapeId="0" xr:uid="{00000000-0006-0000-5300-000031000000}">
      <text>
        <r>
          <rPr>
            <sz val="12"/>
            <color theme="1"/>
            <rFont val="Aptos Narrow"/>
            <family val="2"/>
            <scheme val="minor"/>
          </rPr>
          <t>W8 7650</t>
        </r>
      </text>
    </comment>
    <comment ref="D25" authorId="0" shapeId="0" xr:uid="{00000000-0006-0000-5300-000032000000}">
      <text>
        <r>
          <rPr>
            <sz val="12"/>
            <color theme="1"/>
            <rFont val="Aptos Narrow"/>
            <family val="2"/>
            <scheme val="minor"/>
          </rPr>
          <t>chit trang:
7.890</t>
        </r>
      </text>
    </comment>
    <comment ref="E25" authorId="4" shapeId="0" xr:uid="{00000000-0006-0000-5300-000033000000}">
      <text>
        <r>
          <rPr>
            <sz val="12"/>
            <color theme="1"/>
            <rFont val="Aptos Narrow"/>
            <family val="2"/>
            <scheme val="minor"/>
          </rPr>
          <t>was 7690</t>
        </r>
      </text>
    </comment>
    <comment ref="F25" authorId="2" shapeId="0" xr:uid="{00000000-0006-0000-5300-000034000000}">
      <text>
        <r>
          <rPr>
            <sz val="12"/>
            <color theme="1"/>
            <rFont val="Aptos Narrow"/>
            <family val="2"/>
            <scheme val="minor"/>
          </rPr>
          <t>danielnguyen6111998@gmail.com:
7390000</t>
        </r>
      </text>
    </comment>
    <comment ref="G25" authorId="7" shapeId="0" xr:uid="{00000000-0006-0000-5300-000035000000}">
      <text>
        <r>
          <rPr>
            <sz val="12"/>
            <color theme="1"/>
            <rFont val="Aptos Narrow"/>
            <family val="2"/>
            <scheme val="minor"/>
          </rPr>
          <t>Tran Dat:
7890</t>
        </r>
      </text>
    </comment>
    <comment ref="E26" authorId="4" shapeId="0" xr:uid="{00000000-0006-0000-5300-000036000000}">
      <text>
        <r>
          <rPr>
            <sz val="12"/>
            <color theme="1"/>
            <rFont val="Aptos Narrow"/>
            <family val="2"/>
            <scheme val="minor"/>
          </rPr>
          <t xml:space="preserve">was 8990
</t>
        </r>
      </text>
    </comment>
    <comment ref="C27" authorId="6" shapeId="0" xr:uid="{00000000-0006-0000-5300-000037000000}">
      <text>
        <r>
          <rPr>
            <sz val="12"/>
            <color theme="1"/>
            <rFont val="Aptos Narrow"/>
            <family val="2"/>
            <scheme val="minor"/>
          </rPr>
          <t>W8 11290</t>
        </r>
      </text>
    </comment>
    <comment ref="D27" authorId="1" shapeId="0" xr:uid="{00000000-0006-0000-5300-000038000000}">
      <text>
        <r>
          <rPr>
            <sz val="12"/>
            <color theme="1"/>
            <rFont val="Aptos Narrow"/>
            <family val="2"/>
            <scheme val="minor"/>
          </rPr>
          <t>Người dùng Không xác định:
11.490</t>
        </r>
      </text>
    </comment>
    <comment ref="E27" authorId="4" shapeId="0" xr:uid="{00000000-0006-0000-5300-000039000000}">
      <text>
        <r>
          <rPr>
            <sz val="12"/>
            <color theme="1"/>
            <rFont val="Aptos Narrow"/>
            <family val="2"/>
            <scheme val="minor"/>
          </rPr>
          <t xml:space="preserve">was 11290
</t>
        </r>
      </text>
    </comment>
    <comment ref="F27" authorId="2" shapeId="0" xr:uid="{00000000-0006-0000-5300-00003A000000}">
      <text>
        <r>
          <rPr>
            <sz val="12"/>
            <color theme="1"/>
            <rFont val="Aptos Narrow"/>
            <family val="2"/>
            <scheme val="minor"/>
          </rPr>
          <t>danielnguyen6111998@gmail.com:
10990000</t>
        </r>
      </text>
    </comment>
    <comment ref="D28" authorId="1" shapeId="0" xr:uid="{00000000-0006-0000-5300-00003B000000}">
      <text>
        <r>
          <rPr>
            <sz val="12"/>
            <color theme="1"/>
            <rFont val="Aptos Narrow"/>
            <family val="2"/>
            <scheme val="minor"/>
          </rPr>
          <t>Người dùng Không xác định:
14.490</t>
        </r>
      </text>
    </comment>
    <comment ref="E28" authorId="4" shapeId="0" xr:uid="{00000000-0006-0000-5300-00003C000000}">
      <text>
        <r>
          <rPr>
            <sz val="12"/>
            <color theme="1"/>
            <rFont val="Aptos Narrow"/>
            <family val="2"/>
            <scheme val="minor"/>
          </rPr>
          <t xml:space="preserve">was 14190
</t>
        </r>
      </text>
    </comment>
    <comment ref="D29" authorId="1" shapeId="0" xr:uid="{00000000-0006-0000-5300-00003D000000}">
      <text>
        <r>
          <rPr>
            <sz val="12"/>
            <color theme="1"/>
            <rFont val="Aptos Narrow"/>
            <family val="2"/>
            <scheme val="minor"/>
          </rPr>
          <t>Người dùng Không xác định:
12.390</t>
        </r>
      </text>
    </comment>
    <comment ref="E29" authorId="4" shapeId="0" xr:uid="{00000000-0006-0000-5300-00003E000000}">
      <text>
        <r>
          <rPr>
            <sz val="12"/>
            <color theme="1"/>
            <rFont val="Aptos Narrow"/>
            <family val="2"/>
            <scheme val="minor"/>
          </rPr>
          <t xml:space="preserve">was 12190000
</t>
        </r>
      </text>
    </comment>
    <comment ref="F29" authorId="1" shapeId="0" xr:uid="{00000000-0006-0000-5300-00003F000000}">
      <text>
        <r>
          <rPr>
            <sz val="12"/>
            <color theme="1"/>
            <rFont val="Aptos Narrow"/>
            <family val="2"/>
            <scheme val="minor"/>
          </rPr>
          <t>11990000</t>
        </r>
      </text>
    </comment>
    <comment ref="E30" authorId="4" shapeId="0" xr:uid="{00000000-0006-0000-5300-000040000000}">
      <text>
        <r>
          <rPr>
            <sz val="12"/>
            <color theme="1"/>
            <rFont val="Aptos Narrow"/>
            <family val="2"/>
            <scheme val="minor"/>
          </rPr>
          <t>was 14990</t>
        </r>
      </text>
    </comment>
    <comment ref="F30" authorId="2" shapeId="0" xr:uid="{00000000-0006-0000-5300-000041000000}">
      <text>
        <r>
          <rPr>
            <sz val="12"/>
            <color theme="1"/>
            <rFont val="Aptos Narrow"/>
            <family val="2"/>
            <scheme val="minor"/>
          </rPr>
          <t>danielnguyen6111998@gmail.com:
15349000</t>
        </r>
      </text>
    </comment>
    <comment ref="D31" authorId="0" shapeId="0" xr:uid="{00000000-0006-0000-5300-000042000000}">
      <text>
        <r>
          <rPr>
            <sz val="12"/>
            <color theme="1"/>
            <rFont val="Aptos Narrow"/>
            <family val="2"/>
            <scheme val="minor"/>
          </rPr>
          <t>chit trang:
23.790k</t>
        </r>
      </text>
    </comment>
    <comment ref="B32" authorId="4" shapeId="0" xr:uid="{00000000-0006-0000-5300-000043000000}">
      <text>
        <r>
          <rPr>
            <sz val="12"/>
            <color theme="1"/>
            <rFont val="Aptos Narrow"/>
            <family val="2"/>
            <scheme val="minor"/>
          </rPr>
          <t>was 5550
VNP40</t>
        </r>
      </text>
    </comment>
    <comment ref="C32" authorId="6" shapeId="0" xr:uid="{00000000-0006-0000-5300-000044000000}">
      <text>
        <r>
          <rPr>
            <sz val="12"/>
            <color theme="1"/>
            <rFont val="Aptos Narrow"/>
            <family val="2"/>
            <scheme val="minor"/>
          </rPr>
          <t>W8 5090</t>
        </r>
      </text>
    </comment>
    <comment ref="D32" authorId="0" shapeId="0" xr:uid="{00000000-0006-0000-5300-000045000000}">
      <text>
        <r>
          <rPr>
            <sz val="12"/>
            <color theme="1"/>
            <rFont val="Aptos Narrow"/>
            <family val="2"/>
            <scheme val="minor"/>
          </rPr>
          <t>chit trang:
5.390</t>
        </r>
      </text>
    </comment>
    <comment ref="F32" authorId="1" shapeId="0" xr:uid="{00000000-0006-0000-5300-000046000000}">
      <text>
        <r>
          <rPr>
            <sz val="12"/>
            <color theme="1"/>
            <rFont val="Aptos Narrow"/>
            <family val="2"/>
            <scheme val="minor"/>
          </rPr>
          <t>Người dùng Không xác định:
5090000</t>
        </r>
      </text>
    </comment>
    <comment ref="B33" authorId="4" shapeId="0" xr:uid="{00000000-0006-0000-5300-000047000000}">
      <text>
        <r>
          <rPr>
            <sz val="12"/>
            <color theme="1"/>
            <rFont val="Aptos Narrow"/>
            <family val="2"/>
            <scheme val="minor"/>
          </rPr>
          <t xml:space="preserve">was 4490
</t>
        </r>
      </text>
    </comment>
    <comment ref="C33" authorId="6" shapeId="0" xr:uid="{00000000-0006-0000-5300-000048000000}">
      <text>
        <r>
          <rPr>
            <sz val="12"/>
            <color theme="1"/>
            <rFont val="Aptos Narrow"/>
            <family val="2"/>
            <scheme val="minor"/>
          </rPr>
          <t>W8 4590</t>
        </r>
      </text>
    </comment>
    <comment ref="E33" authorId="4" shapeId="0" xr:uid="{00000000-0006-0000-5300-000049000000}">
      <text>
        <r>
          <rPr>
            <sz val="12"/>
            <color theme="1"/>
            <rFont val="Aptos Narrow"/>
            <family val="2"/>
            <scheme val="minor"/>
          </rPr>
          <t xml:space="preserve">was 4390
</t>
        </r>
      </text>
    </comment>
    <comment ref="F33" authorId="1" shapeId="0" xr:uid="{00000000-0006-0000-5300-00004A000000}">
      <text>
        <r>
          <rPr>
            <sz val="12"/>
            <color theme="1"/>
            <rFont val="Aptos Narrow"/>
            <family val="2"/>
            <scheme val="minor"/>
          </rPr>
          <t>Người dùng Không xác định:
3.090</t>
        </r>
      </text>
    </comment>
    <comment ref="B34" authorId="4" shapeId="0" xr:uid="{00000000-0006-0000-5300-00004B000000}">
      <text>
        <r>
          <rPr>
            <sz val="12"/>
            <color theme="1"/>
            <rFont val="Aptos Narrow"/>
            <family val="2"/>
            <scheme val="minor"/>
          </rPr>
          <t>was 3190</t>
        </r>
      </text>
    </comment>
    <comment ref="C34" authorId="6" shapeId="0" xr:uid="{00000000-0006-0000-5300-00004C000000}">
      <text>
        <r>
          <rPr>
            <sz val="12"/>
            <color theme="1"/>
            <rFont val="Aptos Narrow"/>
            <family val="2"/>
            <scheme val="minor"/>
          </rPr>
          <t>W8 3190</t>
        </r>
      </text>
    </comment>
    <comment ref="D34" authorId="0" shapeId="0" xr:uid="{00000000-0006-0000-5300-00004D000000}">
      <text>
        <r>
          <rPr>
            <sz val="12"/>
            <color theme="1"/>
            <rFont val="Aptos Narrow"/>
            <family val="2"/>
            <scheme val="minor"/>
          </rPr>
          <t>chit trang:
3.390</t>
        </r>
      </text>
    </comment>
    <comment ref="E34" authorId="4" shapeId="0" xr:uid="{00000000-0006-0000-5300-00004E000000}">
      <text>
        <r>
          <rPr>
            <sz val="12"/>
            <color theme="1"/>
            <rFont val="Aptos Narrow"/>
            <family val="2"/>
            <scheme val="minor"/>
          </rPr>
          <t xml:space="preserve">was 2990
</t>
        </r>
      </text>
    </comment>
    <comment ref="G34" authorId="3" shapeId="0" xr:uid="{00000000-0006-0000-5300-00004F000000}">
      <text>
        <r>
          <rPr>
            <sz val="12"/>
            <color theme="1"/>
            <rFont val="Aptos Narrow"/>
            <family val="2"/>
            <scheme val="minor"/>
          </rPr>
          <t>Dat's MacBook Pro:
3390</t>
        </r>
      </text>
    </comment>
    <comment ref="D35" authorId="1" shapeId="0" xr:uid="{00000000-0006-0000-5300-000050000000}">
      <text>
        <r>
          <rPr>
            <sz val="12"/>
            <color theme="1"/>
            <rFont val="Aptos Narrow"/>
            <family val="2"/>
            <scheme val="minor"/>
          </rPr>
          <t>Người dùng Không xác định:
6.790.000</t>
        </r>
      </text>
    </comment>
    <comment ref="F36" authorId="1" shapeId="0" xr:uid="{00000000-0006-0000-5300-000051000000}">
      <text>
        <r>
          <rPr>
            <sz val="12"/>
            <color theme="1"/>
            <rFont val="Aptos Narrow"/>
            <family val="2"/>
            <scheme val="minor"/>
          </rPr>
          <t>Người dùng Không xác định: 19.790</t>
        </r>
      </text>
    </comment>
    <comment ref="D37" authorId="1" shapeId="0" xr:uid="{00000000-0006-0000-5300-000052000000}">
      <text>
        <r>
          <rPr>
            <sz val="12"/>
            <color theme="1"/>
            <rFont val="Aptos Narrow"/>
            <family val="2"/>
            <scheme val="minor"/>
          </rPr>
          <t>Người dùng Không xác định:
25.190k</t>
        </r>
      </text>
    </comment>
    <comment ref="F37" authorId="1" shapeId="0" xr:uid="{00000000-0006-0000-5300-000053000000}">
      <text>
        <r>
          <rPr>
            <sz val="12"/>
            <color theme="1"/>
            <rFont val="Aptos Narrow"/>
            <family val="2"/>
            <scheme val="minor"/>
          </rPr>
          <t>Người dùng Không xác định:
25.190</t>
        </r>
      </text>
    </comment>
    <comment ref="C38" authorId="6" shapeId="0" xr:uid="{00000000-0006-0000-5300-000054000000}">
      <text>
        <r>
          <rPr>
            <sz val="12"/>
            <color theme="1"/>
            <rFont val="Aptos Narrow"/>
            <family val="2"/>
            <scheme val="minor"/>
          </rPr>
          <t>W8 29990</t>
        </r>
      </text>
    </comment>
    <comment ref="D38" authorId="0" shapeId="0" xr:uid="{00000000-0006-0000-5300-000055000000}">
      <text>
        <r>
          <rPr>
            <sz val="12"/>
            <color theme="1"/>
            <rFont val="Aptos Narrow"/>
            <family val="2"/>
            <scheme val="minor"/>
          </rPr>
          <t>chit trang:
29.390</t>
        </r>
      </text>
    </comment>
    <comment ref="G38" authorId="3" shapeId="0" xr:uid="{00000000-0006-0000-5300-000056000000}">
      <text>
        <r>
          <rPr>
            <sz val="12"/>
            <color theme="1"/>
            <rFont val="Aptos Narrow"/>
            <family val="2"/>
            <scheme val="minor"/>
          </rPr>
          <t xml:space="preserve">Dat's MacBook Pro:
29690
</t>
        </r>
      </text>
    </comment>
  </commentList>
</comments>
</file>

<file path=xl/comments85.xml><?xml version="1.0" encoding="utf-8"?>
<comments xmlns="http://schemas.openxmlformats.org/spreadsheetml/2006/main" xmlns:mc="http://schemas.openxmlformats.org/markup-compatibility/2006" xmlns:xr="http://schemas.microsoft.com/office/spreadsheetml/2014/revision" mc:Ignorable="xr">
  <authors>
    <author>chit trang</author>
    <author>Dat's MacBook Pro</author>
    <author>Microsoft Office User</author>
    <author>danielnguyen6111998@gmail.com</author>
    <author>Người dùng Khách</author>
    <author>Duy</author>
    <author>Việt Hoàng</author>
    <author>Tran Dat</author>
  </authors>
  <commentList>
    <comment ref="D3" authorId="0" shapeId="0" xr:uid="{00000000-0006-0000-5400-000001000000}">
      <text>
        <r>
          <rPr>
            <sz val="12"/>
            <color theme="1"/>
            <rFont val="Aptos Narrow"/>
            <family val="2"/>
            <scheme val="minor"/>
          </rPr>
          <t>chit trang:
30.390</t>
        </r>
      </text>
    </comment>
    <comment ref="G3" authorId="1" shapeId="0" xr:uid="{00000000-0006-0000-5400-000003000000}">
      <text>
        <r>
          <rPr>
            <sz val="12"/>
            <color theme="1"/>
            <rFont val="Aptos Narrow"/>
            <family val="2"/>
            <scheme val="minor"/>
          </rPr>
          <t>Dat's MacBook Pro:
30290</t>
        </r>
      </text>
    </comment>
    <comment ref="E4" authorId="2" shapeId="0" xr:uid="{00000000-0006-0000-5400-000004000000}">
      <text>
        <r>
          <rPr>
            <sz val="12"/>
            <color theme="1"/>
            <rFont val="Aptos Narrow"/>
            <family val="2"/>
            <scheme val="minor"/>
          </rPr>
          <t>was 33990
VNP500</t>
        </r>
      </text>
    </comment>
    <comment ref="F4" authorId="3" shapeId="0" xr:uid="{00000000-0006-0000-5400-000005000000}">
      <text>
        <r>
          <rPr>
            <sz val="12"/>
            <color theme="1"/>
            <rFont val="Aptos Narrow"/>
            <family val="2"/>
            <scheme val="minor"/>
          </rPr>
          <t>danielnguyen6111998@gmail.com:
34790000</t>
        </r>
      </text>
    </comment>
    <comment ref="G4" authorId="1" shapeId="0" xr:uid="{00000000-0006-0000-5400-000006000000}">
      <text>
        <r>
          <rPr>
            <sz val="12"/>
            <color theme="1"/>
            <rFont val="Aptos Narrow"/>
            <family val="2"/>
            <scheme val="minor"/>
          </rPr>
          <t>Dat's MacBook Pro:
34790</t>
        </r>
      </text>
    </comment>
    <comment ref="E5" authorId="2" shapeId="0" xr:uid="{00000000-0006-0000-5400-000007000000}">
      <text>
        <r>
          <rPr>
            <sz val="12"/>
            <color theme="1"/>
            <rFont val="Aptos Narrow"/>
            <family val="2"/>
            <scheme val="minor"/>
          </rPr>
          <t>was 37490
VNP500</t>
        </r>
      </text>
    </comment>
    <comment ref="D7" authorId="4" shapeId="0" xr:uid="{00000000-0006-0000-5400-000008000000}">
      <text>
        <r>
          <rPr>
            <sz val="12"/>
            <color theme="1"/>
            <rFont val="Aptos Narrow"/>
            <family val="2"/>
            <scheme val="minor"/>
          </rPr>
          <t>Người dùng Không xác định:
20.690</t>
        </r>
      </text>
    </comment>
    <comment ref="E7" authorId="2" shapeId="0" xr:uid="{00000000-0006-0000-5400-000009000000}">
      <text>
        <r>
          <rPr>
            <sz val="12"/>
            <color theme="1"/>
            <rFont val="Aptos Narrow"/>
            <family val="2"/>
            <scheme val="minor"/>
          </rPr>
          <t>was 20990
Giờ vàng</t>
        </r>
      </text>
    </comment>
    <comment ref="F7" authorId="4" shapeId="0" xr:uid="{00000000-0006-0000-5400-00000A000000}">
      <text>
        <r>
          <rPr>
            <sz val="12"/>
            <color theme="1"/>
            <rFont val="Aptos Narrow"/>
            <family val="2"/>
            <scheme val="minor"/>
          </rPr>
          <t xml:space="preserve">Người dùng Không xác định:
20590000
</t>
        </r>
      </text>
    </comment>
    <comment ref="B8" authorId="2" shapeId="0" xr:uid="{00000000-0006-0000-5400-00000B000000}">
      <text>
        <r>
          <rPr>
            <sz val="12"/>
            <color theme="1"/>
            <rFont val="Aptos Narrow"/>
            <family val="2"/>
            <scheme val="minor"/>
          </rPr>
          <t>was 24640000
VNP150</t>
        </r>
      </text>
    </comment>
    <comment ref="C8" authorId="5" shapeId="0" xr:uid="{00000000-0006-0000-5400-00000C000000}">
      <text>
        <r>
          <rPr>
            <sz val="12"/>
            <color theme="1"/>
            <rFont val="Aptos Narrow"/>
            <family val="2"/>
            <scheme val="minor"/>
          </rPr>
          <t>W9 24990</t>
        </r>
      </text>
    </comment>
    <comment ref="E8" authorId="2" shapeId="0" xr:uid="{00000000-0006-0000-5400-00000D000000}">
      <text>
        <r>
          <rPr>
            <sz val="12"/>
            <color theme="1"/>
            <rFont val="Aptos Narrow"/>
            <family val="2"/>
            <scheme val="minor"/>
          </rPr>
          <t>was 24190
Giờ vàng</t>
        </r>
      </text>
    </comment>
    <comment ref="G8" authorId="1" shapeId="0" xr:uid="{00000000-0006-0000-5400-00000E000000}">
      <text>
        <r>
          <rPr>
            <sz val="12"/>
            <color theme="1"/>
            <rFont val="Aptos Narrow"/>
            <family val="2"/>
            <scheme val="minor"/>
          </rPr>
          <t>Dat's MacBook Pro:
23.990</t>
        </r>
      </text>
    </comment>
    <comment ref="B10" authorId="2" shapeId="0" xr:uid="{00000000-0006-0000-5400-00000F000000}">
      <text>
        <r>
          <rPr>
            <sz val="12"/>
            <color theme="1"/>
            <rFont val="Aptos Narrow"/>
            <family val="2"/>
            <scheme val="minor"/>
          </rPr>
          <t>Tặng phiếu mua hàng mua AirPods và Apple Watch trị giá 500,000đ
 Phiếu mua hàng mua sản phẩm giá niêm yết từ 5 triệu thuộc các nhóm TAI NGHE - LOA hãng HARMAN KARDON, JBL,MONSTER, KLIPSCH, MARSHALL, SONY; Smartwatch hãng HUAWEI, GARMIN, SAMSUNG, IMOO, OPPO, AMAZFIT trị giá 500.000đ</t>
        </r>
      </text>
    </comment>
    <comment ref="D10" authorId="6" shapeId="0" xr:uid="{00000000-0006-0000-5400-000010000000}">
      <text>
        <r>
          <rPr>
            <sz val="12"/>
            <color theme="1"/>
            <rFont val="Aptos Narrow"/>
            <family val="2"/>
            <scheme val="minor"/>
          </rPr>
          <t>Việt Hoàng:
29.900</t>
        </r>
      </text>
    </comment>
    <comment ref="F10" authorId="3" shapeId="0" xr:uid="{00000000-0006-0000-5400-000011000000}">
      <text>
        <r>
          <rPr>
            <sz val="12"/>
            <color theme="1"/>
            <rFont val="Aptos Narrow"/>
            <family val="2"/>
            <scheme val="minor"/>
          </rPr>
          <t>29890000</t>
        </r>
      </text>
    </comment>
    <comment ref="D11" authorId="0" shapeId="0" xr:uid="{00000000-0006-0000-5400-000012000000}">
      <text>
        <r>
          <rPr>
            <sz val="12"/>
            <color theme="1"/>
            <rFont val="Aptos Narrow"/>
            <family val="2"/>
            <scheme val="minor"/>
          </rPr>
          <t>chit trang:
17.090k</t>
        </r>
      </text>
    </comment>
    <comment ref="E11" authorId="2" shapeId="0" xr:uid="{00000000-0006-0000-5400-000013000000}">
      <text>
        <r>
          <rPr>
            <sz val="12"/>
            <color theme="1"/>
            <rFont val="Aptos Narrow"/>
            <family val="2"/>
            <scheme val="minor"/>
          </rPr>
          <t>was 16790
Giờ vàng</t>
        </r>
      </text>
    </comment>
    <comment ref="F11" authorId="4" shapeId="0" xr:uid="{00000000-0006-0000-5400-000014000000}">
      <text>
        <r>
          <rPr>
            <sz val="12"/>
            <color theme="1"/>
            <rFont val="Aptos Narrow"/>
            <family val="2"/>
            <scheme val="minor"/>
          </rPr>
          <t>Người dùng Không xác định:16890000
16990000</t>
        </r>
      </text>
    </comment>
    <comment ref="F12" authorId="4" shapeId="0" xr:uid="{00000000-0006-0000-5400-000015000000}">
      <text>
        <r>
          <rPr>
            <sz val="12"/>
            <color theme="1"/>
            <rFont val="Aptos Narrow"/>
            <family val="2"/>
            <scheme val="minor"/>
          </rPr>
          <t>Người dùng Không xác định:
18.990</t>
        </r>
      </text>
    </comment>
    <comment ref="D13" authorId="4" shapeId="0" xr:uid="{00000000-0006-0000-5400-000016000000}">
      <text>
        <r>
          <rPr>
            <sz val="12"/>
            <color theme="1"/>
            <rFont val="Aptos Narrow"/>
            <family val="2"/>
            <scheme val="minor"/>
          </rPr>
          <t>Người dùng Không xác định:
13.490</t>
        </r>
      </text>
    </comment>
    <comment ref="F13" authorId="4" shapeId="0" xr:uid="{00000000-0006-0000-5400-000017000000}">
      <text>
        <r>
          <rPr>
            <sz val="12"/>
            <color theme="1"/>
            <rFont val="Aptos Narrow"/>
            <family val="2"/>
            <scheme val="minor"/>
          </rPr>
          <t>Người dùng Không xác định:
13390000</t>
        </r>
      </text>
    </comment>
    <comment ref="G13" authorId="1" shapeId="0" xr:uid="{00000000-0006-0000-5400-000018000000}">
      <text>
        <r>
          <rPr>
            <sz val="12"/>
            <color theme="1"/>
            <rFont val="Aptos Narrow"/>
            <family val="2"/>
            <scheme val="minor"/>
          </rPr>
          <t xml:space="preserve">Dat's MacBook Pro:
13490
</t>
        </r>
      </text>
    </comment>
    <comment ref="B14" authorId="2" shapeId="0" xr:uid="{00000000-0006-0000-5400-000019000000}">
      <text>
        <r>
          <rPr>
            <sz val="12"/>
            <color theme="1"/>
            <rFont val="Aptos Narrow"/>
            <family val="2"/>
            <scheme val="minor"/>
          </rPr>
          <t>was 13190
VNP100</t>
        </r>
      </text>
    </comment>
    <comment ref="C14" authorId="5" shapeId="0" xr:uid="{00000000-0006-0000-5400-00001A000000}">
      <text>
        <r>
          <rPr>
            <sz val="12"/>
            <color theme="1"/>
            <rFont val="Aptos Narrow"/>
            <family val="2"/>
            <scheme val="minor"/>
          </rPr>
          <t>W9 12390</t>
        </r>
      </text>
    </comment>
    <comment ref="D14" authorId="4" shapeId="0" xr:uid="{00000000-0006-0000-5400-00001B000000}">
      <text>
        <r>
          <rPr>
            <sz val="12"/>
            <color theme="1"/>
            <rFont val="Aptos Narrow"/>
            <family val="2"/>
            <scheme val="minor"/>
          </rPr>
          <t>Người dùng Không xác định:
11.990</t>
        </r>
      </text>
    </comment>
    <comment ref="F14" authorId="4" shapeId="0" xr:uid="{00000000-0006-0000-5400-00001C000000}">
      <text>
        <r>
          <rPr>
            <sz val="12"/>
            <color theme="1"/>
            <rFont val="Aptos Narrow"/>
            <family val="2"/>
            <scheme val="minor"/>
          </rPr>
          <t>11990000</t>
        </r>
      </text>
    </comment>
    <comment ref="C15" authorId="5" shapeId="0" xr:uid="{00000000-0006-0000-5400-00001D000000}">
      <text>
        <r>
          <rPr>
            <sz val="12"/>
            <color theme="1"/>
            <rFont val="Aptos Narrow"/>
            <family val="2"/>
            <scheme val="minor"/>
          </rPr>
          <t>W9 11790</t>
        </r>
      </text>
    </comment>
    <comment ref="D15" authorId="4" shapeId="0" xr:uid="{00000000-0006-0000-5400-00001E000000}">
      <text>
        <r>
          <rPr>
            <sz val="12"/>
            <color theme="1"/>
            <rFont val="Aptos Narrow"/>
            <family val="2"/>
            <scheme val="minor"/>
          </rPr>
          <t>Người dùng Không xác định:
11.790</t>
        </r>
      </text>
    </comment>
    <comment ref="E15" authorId="2" shapeId="0" xr:uid="{00000000-0006-0000-5400-00001F000000}">
      <text>
        <r>
          <rPr>
            <sz val="12"/>
            <color theme="1"/>
            <rFont val="Aptos Narrow"/>
            <family val="2"/>
            <scheme val="minor"/>
          </rPr>
          <t>was 11590
HSSV 200</t>
        </r>
      </text>
    </comment>
    <comment ref="B16" authorId="2" shapeId="0" xr:uid="{00000000-0006-0000-5400-000021000000}">
      <text>
        <r>
          <rPr>
            <sz val="12"/>
            <color theme="1"/>
            <rFont val="Aptos Narrow"/>
            <family val="2"/>
            <scheme val="minor"/>
          </rPr>
          <t>was 7040
VNP40</t>
        </r>
      </text>
    </comment>
    <comment ref="C16" authorId="5" shapeId="0" xr:uid="{00000000-0006-0000-5400-000022000000}">
      <text>
        <r>
          <rPr>
            <sz val="12"/>
            <color theme="1"/>
            <rFont val="Aptos Narrow"/>
            <family val="2"/>
            <scheme val="minor"/>
          </rPr>
          <t>W9 8490</t>
        </r>
      </text>
    </comment>
    <comment ref="D16" authorId="0" shapeId="0" xr:uid="{00000000-0006-0000-5400-000023000000}">
      <text>
        <r>
          <rPr>
            <sz val="12"/>
            <color theme="1"/>
            <rFont val="Aptos Narrow"/>
            <family val="2"/>
            <scheme val="minor"/>
          </rPr>
          <t>chit trang:
8.490</t>
        </r>
      </text>
    </comment>
    <comment ref="E16" authorId="2" shapeId="0" xr:uid="{00000000-0006-0000-5400-000024000000}">
      <text>
        <r>
          <rPr>
            <sz val="12"/>
            <color theme="1"/>
            <rFont val="Aptos Narrow"/>
            <family val="2"/>
            <scheme val="minor"/>
          </rPr>
          <t>was 8390
Giả 200K HSSV</t>
        </r>
      </text>
    </comment>
    <comment ref="F16" authorId="4" shapeId="0" xr:uid="{00000000-0006-0000-5400-000025000000}">
      <text>
        <r>
          <rPr>
            <sz val="12"/>
            <color theme="1"/>
            <rFont val="Aptos Narrow"/>
            <family val="2"/>
            <scheme val="minor"/>
          </rPr>
          <t>8690000</t>
        </r>
      </text>
    </comment>
    <comment ref="G16" authorId="7" shapeId="0" xr:uid="{00000000-0006-0000-5400-000026000000}">
      <text>
        <r>
          <rPr>
            <sz val="12"/>
            <color theme="1"/>
            <rFont val="Aptos Narrow"/>
            <family val="2"/>
            <scheme val="minor"/>
          </rPr>
          <t>8990</t>
        </r>
      </text>
    </comment>
    <comment ref="B17" authorId="2" shapeId="0" xr:uid="{00000000-0006-0000-5400-000027000000}">
      <text>
        <r>
          <rPr>
            <sz val="12"/>
            <color theme="1"/>
            <rFont val="Aptos Narrow"/>
            <family val="2"/>
            <scheme val="minor"/>
          </rPr>
          <t>was 14390</t>
        </r>
      </text>
    </comment>
    <comment ref="C17" authorId="5" shapeId="0" xr:uid="{00000000-0006-0000-5400-000028000000}">
      <text>
        <r>
          <rPr>
            <sz val="12"/>
            <color theme="1"/>
            <rFont val="Aptos Narrow"/>
            <family val="2"/>
            <scheme val="minor"/>
          </rPr>
          <t>W9 13190</t>
        </r>
      </text>
    </comment>
    <comment ref="D17" authorId="4" shapeId="0" xr:uid="{00000000-0006-0000-5400-000029000000}">
      <text>
        <r>
          <rPr>
            <sz val="12"/>
            <color theme="1"/>
            <rFont val="Aptos Narrow"/>
            <family val="2"/>
            <scheme val="minor"/>
          </rPr>
          <t>Người dùng Không xác định:
13.190</t>
        </r>
      </text>
    </comment>
    <comment ref="E17" authorId="2" shapeId="0" xr:uid="{00000000-0006-0000-5400-00002A000000}">
      <text>
        <r>
          <rPr>
            <sz val="12"/>
            <color theme="1"/>
            <rFont val="Aptos Narrow"/>
            <family val="2"/>
            <scheme val="minor"/>
          </rPr>
          <t>was 12790
hssv 200</t>
        </r>
      </text>
    </comment>
    <comment ref="F17" authorId="4" shapeId="0" xr:uid="{00000000-0006-0000-5400-00002B000000}">
      <text>
        <r>
          <rPr>
            <sz val="12"/>
            <color theme="1"/>
            <rFont val="Aptos Narrow"/>
            <family val="2"/>
            <scheme val="minor"/>
          </rPr>
          <t>Người dùng Không xác định:
13690000</t>
        </r>
      </text>
    </comment>
    <comment ref="G17" authorId="7" shapeId="0" xr:uid="{00000000-0006-0000-5400-00002C000000}">
      <text>
        <r>
          <rPr>
            <sz val="12"/>
            <color theme="1"/>
            <rFont val="Aptos Narrow"/>
            <family val="2"/>
            <scheme val="minor"/>
          </rPr>
          <t>15690</t>
        </r>
      </text>
    </comment>
    <comment ref="C18" authorId="5" shapeId="0" xr:uid="{00000000-0006-0000-5400-00002D000000}">
      <text>
        <r>
          <rPr>
            <sz val="12"/>
            <color theme="1"/>
            <rFont val="Aptos Narrow"/>
            <family val="2"/>
            <scheme val="minor"/>
          </rPr>
          <t>W9 18890</t>
        </r>
      </text>
    </comment>
    <comment ref="D18" authorId="4" shapeId="0" xr:uid="{00000000-0006-0000-5400-00002E000000}">
      <text>
        <r>
          <rPr>
            <sz val="12"/>
            <color theme="1"/>
            <rFont val="Aptos Narrow"/>
            <family val="2"/>
            <scheme val="minor"/>
          </rPr>
          <t>Người dùng Không xác định:
18.890</t>
        </r>
      </text>
    </comment>
    <comment ref="G18" authorId="7" shapeId="0" xr:uid="{00000000-0006-0000-5400-000030000000}">
      <text>
        <r>
          <rPr>
            <sz val="12"/>
            <color theme="1"/>
            <rFont val="Aptos Narrow"/>
            <family val="2"/>
            <scheme val="minor"/>
          </rPr>
          <t xml:space="preserve">Tran Dat:
19990
</t>
        </r>
      </text>
    </comment>
    <comment ref="F19" authorId="4" shapeId="0" xr:uid="{00000000-0006-0000-5400-000031000000}">
      <text>
        <r>
          <rPr>
            <sz val="12"/>
            <color theme="1"/>
            <rFont val="Aptos Narrow"/>
            <family val="2"/>
            <scheme val="minor"/>
          </rPr>
          <t>28190000</t>
        </r>
      </text>
    </comment>
    <comment ref="B20" authorId="2" shapeId="0" xr:uid="{00000000-0006-0000-5400-000032000000}">
      <text>
        <r>
          <rPr>
            <sz val="12"/>
            <color theme="1"/>
            <rFont val="Aptos Narrow"/>
            <family val="2"/>
            <scheme val="minor"/>
          </rPr>
          <t>was 36640</t>
        </r>
      </text>
    </comment>
    <comment ref="E20" authorId="2" shapeId="0" xr:uid="{00000000-0006-0000-5400-000033000000}">
      <text>
        <r>
          <rPr>
            <sz val="12"/>
            <color theme="1"/>
            <rFont val="Aptos Narrow"/>
            <family val="2"/>
            <scheme val="minor"/>
          </rPr>
          <t xml:space="preserve">was 34490
</t>
        </r>
      </text>
    </comment>
    <comment ref="F20" authorId="4" shapeId="0" xr:uid="{00000000-0006-0000-5400-000034000000}">
      <text>
        <r>
          <rPr>
            <sz val="12"/>
            <color theme="1"/>
            <rFont val="Aptos Narrow"/>
            <family val="2"/>
            <scheme val="minor"/>
          </rPr>
          <t>Người dùng Không xác định:
35.890</t>
        </r>
      </text>
    </comment>
    <comment ref="E21" authorId="2" shapeId="0" xr:uid="{00000000-0006-0000-5400-000035000000}">
      <text>
        <r>
          <rPr>
            <sz val="12"/>
            <color theme="1"/>
            <rFont val="Aptos Narrow"/>
            <family val="2"/>
            <scheme val="minor"/>
          </rPr>
          <t>was 29490</t>
        </r>
      </text>
    </comment>
    <comment ref="E22" authorId="2" shapeId="0" xr:uid="{00000000-0006-0000-5400-000036000000}">
      <text>
        <r>
          <rPr>
            <sz val="12"/>
            <color theme="1"/>
            <rFont val="Aptos Narrow"/>
            <family val="2"/>
            <scheme val="minor"/>
          </rPr>
          <t>was 39490</t>
        </r>
      </text>
    </comment>
    <comment ref="C23" authorId="5" shapeId="0" xr:uid="{00000000-0006-0000-5400-000037000000}">
      <text>
        <r>
          <rPr>
            <sz val="12"/>
            <color theme="1"/>
            <rFont val="Aptos Narrow"/>
            <family val="2"/>
            <scheme val="minor"/>
          </rPr>
          <t>W9 6390</t>
        </r>
      </text>
    </comment>
    <comment ref="D23" authorId="4" shapeId="0" xr:uid="{00000000-0006-0000-5400-000038000000}">
      <text>
        <r>
          <rPr>
            <sz val="12"/>
            <color theme="1"/>
            <rFont val="Aptos Narrow"/>
            <family val="2"/>
            <scheme val="minor"/>
          </rPr>
          <t>Người dùng Không xác định:
6.290</t>
        </r>
      </text>
    </comment>
    <comment ref="F23" authorId="4" shapeId="0" xr:uid="{00000000-0006-0000-5400-000039000000}">
      <text>
        <r>
          <rPr>
            <sz val="12"/>
            <color theme="1"/>
            <rFont val="Aptos Narrow"/>
            <family val="2"/>
            <scheme val="minor"/>
          </rPr>
          <t>Người dùng Không xác định:
6390000</t>
        </r>
      </text>
    </comment>
    <comment ref="C24" authorId="5" shapeId="0" xr:uid="{00000000-0006-0000-5400-00003A000000}">
      <text>
        <r>
          <rPr>
            <sz val="12"/>
            <color theme="1"/>
            <rFont val="Aptos Narrow"/>
            <family val="2"/>
            <scheme val="minor"/>
          </rPr>
          <t>W9 8290</t>
        </r>
      </text>
    </comment>
    <comment ref="D24" authorId="4" shapeId="0" xr:uid="{00000000-0006-0000-5400-00003B000000}">
      <text>
        <r>
          <rPr>
            <sz val="12"/>
            <color theme="1"/>
            <rFont val="Aptos Narrow"/>
            <family val="2"/>
            <scheme val="minor"/>
          </rPr>
          <t>Người dùng Không xác định:
8.290</t>
        </r>
      </text>
    </comment>
    <comment ref="F24" authorId="3" shapeId="0" xr:uid="{00000000-0006-0000-5400-00003C000000}">
      <text>
        <r>
          <rPr>
            <sz val="12"/>
            <color theme="1"/>
            <rFont val="Aptos Narrow"/>
            <family val="2"/>
            <scheme val="minor"/>
          </rPr>
          <t>danielnguyen6111998@gmail.com:
8290000</t>
        </r>
      </text>
    </comment>
    <comment ref="C25" authorId="5" shapeId="0" xr:uid="{00000000-0006-0000-5400-00003D000000}">
      <text>
        <r>
          <rPr>
            <sz val="12"/>
            <color theme="1"/>
            <rFont val="Aptos Narrow"/>
            <family val="2"/>
            <scheme val="minor"/>
          </rPr>
          <t>W9 7390</t>
        </r>
      </text>
    </comment>
    <comment ref="D25" authorId="0" shapeId="0" xr:uid="{00000000-0006-0000-5400-00003E000000}">
      <text>
        <r>
          <rPr>
            <sz val="12"/>
            <color theme="1"/>
            <rFont val="Aptos Narrow"/>
            <family val="2"/>
            <scheme val="minor"/>
          </rPr>
          <t>chit trang:
7.390</t>
        </r>
      </text>
    </comment>
    <comment ref="F25" authorId="3" shapeId="0" xr:uid="{00000000-0006-0000-5400-00003F000000}">
      <text>
        <r>
          <rPr>
            <sz val="12"/>
            <color theme="1"/>
            <rFont val="Aptos Narrow"/>
            <family val="2"/>
            <scheme val="minor"/>
          </rPr>
          <t>danielnguyen6111998@gmail.com:
7390000</t>
        </r>
      </text>
    </comment>
    <comment ref="C26" authorId="5" shapeId="0" xr:uid="{00000000-0006-0000-5400-000040000000}">
      <text>
        <r>
          <rPr>
            <sz val="12"/>
            <color theme="1"/>
            <rFont val="Aptos Narrow"/>
            <family val="2"/>
            <scheme val="minor"/>
          </rPr>
          <t>W9 9090</t>
        </r>
      </text>
    </comment>
    <comment ref="D26" authorId="4" shapeId="0" xr:uid="{00000000-0006-0000-5400-000041000000}">
      <text>
        <r>
          <rPr>
            <sz val="12"/>
            <color theme="1"/>
            <rFont val="Aptos Narrow"/>
            <family val="2"/>
            <scheme val="minor"/>
          </rPr>
          <t>Người dùng Không xác định:
9.390</t>
        </r>
      </text>
    </comment>
    <comment ref="C27" authorId="5" shapeId="0" xr:uid="{00000000-0006-0000-5400-000042000000}">
      <text>
        <r>
          <rPr>
            <sz val="12"/>
            <color theme="1"/>
            <rFont val="Aptos Narrow"/>
            <family val="2"/>
            <scheme val="minor"/>
          </rPr>
          <t>W9 10990</t>
        </r>
      </text>
    </comment>
    <comment ref="D27" authorId="4" shapeId="0" xr:uid="{00000000-0006-0000-5400-000043000000}">
      <text>
        <r>
          <rPr>
            <sz val="12"/>
            <color theme="1"/>
            <rFont val="Aptos Narrow"/>
            <family val="2"/>
            <scheme val="minor"/>
          </rPr>
          <t>Người dùng Không xác định:
11.890</t>
        </r>
      </text>
    </comment>
    <comment ref="E27" authorId="2" shapeId="0" xr:uid="{00000000-0006-0000-5400-000044000000}">
      <text>
        <r>
          <rPr>
            <sz val="12"/>
            <color theme="1"/>
            <rFont val="Aptos Narrow"/>
            <family val="2"/>
            <scheme val="minor"/>
          </rPr>
          <t xml:space="preserve">was 10990
</t>
        </r>
      </text>
    </comment>
    <comment ref="F27" authorId="3" shapeId="0" xr:uid="{00000000-0006-0000-5400-000045000000}">
      <text>
        <r>
          <rPr>
            <sz val="12"/>
            <color theme="1"/>
            <rFont val="Aptos Narrow"/>
            <family val="2"/>
            <scheme val="minor"/>
          </rPr>
          <t>10790000</t>
        </r>
      </text>
    </comment>
    <comment ref="C28" authorId="5" shapeId="0" xr:uid="{00000000-0006-0000-5400-000046000000}">
      <text>
        <r>
          <rPr>
            <sz val="12"/>
            <color theme="1"/>
            <rFont val="Aptos Narrow"/>
            <family val="2"/>
            <scheme val="minor"/>
          </rPr>
          <t>W9 14490</t>
        </r>
      </text>
    </comment>
    <comment ref="D28" authorId="4" shapeId="0" xr:uid="{00000000-0006-0000-5400-000047000000}">
      <text>
        <r>
          <rPr>
            <sz val="12"/>
            <color theme="1"/>
            <rFont val="Aptos Narrow"/>
            <family val="2"/>
            <scheme val="minor"/>
          </rPr>
          <t>Người dùng Không xác định:
14.290</t>
        </r>
      </text>
    </comment>
    <comment ref="C29" authorId="5" shapeId="0" xr:uid="{00000000-0006-0000-5400-000048000000}">
      <text>
        <r>
          <rPr>
            <sz val="12"/>
            <color theme="1"/>
            <rFont val="Aptos Narrow"/>
            <family val="2"/>
            <scheme val="minor"/>
          </rPr>
          <t>W9 12090</t>
        </r>
      </text>
    </comment>
    <comment ref="E29" authorId="2" shapeId="0" xr:uid="{00000000-0006-0000-5400-000049000000}">
      <text>
        <r>
          <rPr>
            <sz val="12"/>
            <color theme="1"/>
            <rFont val="Aptos Narrow"/>
            <family val="2"/>
            <scheme val="minor"/>
          </rPr>
          <t xml:space="preserve">was 11490
</t>
        </r>
      </text>
    </comment>
    <comment ref="F29" authorId="4" shapeId="0" xr:uid="{00000000-0006-0000-5400-00004A000000}">
      <text>
        <r>
          <rPr>
            <sz val="12"/>
            <color theme="1"/>
            <rFont val="Aptos Narrow"/>
            <family val="2"/>
            <scheme val="minor"/>
          </rPr>
          <t>11990000</t>
        </r>
      </text>
    </comment>
    <comment ref="C30" authorId="5" shapeId="0" xr:uid="{00000000-0006-0000-5400-00004B000000}">
      <text>
        <r>
          <rPr>
            <sz val="12"/>
            <color theme="1"/>
            <rFont val="Aptos Narrow"/>
            <family val="2"/>
            <scheme val="minor"/>
          </rPr>
          <t>W9 15350</t>
        </r>
      </text>
    </comment>
    <comment ref="D30" authorId="4" shapeId="0" xr:uid="{00000000-0006-0000-5400-00004C000000}">
      <text>
        <r>
          <rPr>
            <sz val="12"/>
            <color theme="1"/>
            <rFont val="Aptos Narrow"/>
            <family val="2"/>
            <scheme val="minor"/>
          </rPr>
          <t>Người dùng Không xác định:
15.350</t>
        </r>
      </text>
    </comment>
    <comment ref="F30" authorId="3" shapeId="0" xr:uid="{00000000-0006-0000-5400-00004D000000}">
      <text>
        <r>
          <rPr>
            <sz val="12"/>
            <color theme="1"/>
            <rFont val="Aptos Narrow"/>
            <family val="2"/>
            <scheme val="minor"/>
          </rPr>
          <t>15290000</t>
        </r>
      </text>
    </comment>
    <comment ref="C31" authorId="5" shapeId="0" xr:uid="{00000000-0006-0000-5400-00004E000000}">
      <text>
        <r>
          <rPr>
            <sz val="12"/>
            <color theme="1"/>
            <rFont val="Aptos Narrow"/>
            <family val="2"/>
            <scheme val="minor"/>
          </rPr>
          <t>W9 23990</t>
        </r>
      </text>
    </comment>
    <comment ref="D31" authorId="0" shapeId="0" xr:uid="{00000000-0006-0000-5400-00004F000000}">
      <text>
        <r>
          <rPr>
            <sz val="12"/>
            <color theme="1"/>
            <rFont val="Aptos Narrow"/>
            <family val="2"/>
            <scheme val="minor"/>
          </rPr>
          <t>chit trang:
23.990k</t>
        </r>
      </text>
    </comment>
    <comment ref="B32" authorId="2" shapeId="0" xr:uid="{00000000-0006-0000-5400-000051000000}">
      <text>
        <r>
          <rPr>
            <sz val="12"/>
            <color theme="1"/>
            <rFont val="Aptos Narrow"/>
            <family val="2"/>
            <scheme val="minor"/>
          </rPr>
          <t>was 5550
VNP40</t>
        </r>
      </text>
    </comment>
    <comment ref="C32" authorId="5" shapeId="0" xr:uid="{00000000-0006-0000-5400-000052000000}">
      <text>
        <r>
          <rPr>
            <sz val="12"/>
            <color theme="1"/>
            <rFont val="Aptos Narrow"/>
            <family val="2"/>
            <scheme val="minor"/>
          </rPr>
          <t>W9 4790</t>
        </r>
      </text>
    </comment>
    <comment ref="D32" authorId="0" shapeId="0" xr:uid="{00000000-0006-0000-5400-000053000000}">
      <text>
        <r>
          <rPr>
            <sz val="12"/>
            <color theme="1"/>
            <rFont val="Aptos Narrow"/>
            <family val="2"/>
            <scheme val="minor"/>
          </rPr>
          <t>chit trang:
5.390</t>
        </r>
      </text>
    </comment>
    <comment ref="E32" authorId="2" shapeId="0" xr:uid="{00000000-0006-0000-5400-000054000000}">
      <text>
        <r>
          <rPr>
            <sz val="12"/>
            <color theme="1"/>
            <rFont val="Aptos Narrow"/>
            <family val="2"/>
            <scheme val="minor"/>
          </rPr>
          <t>was 5590</t>
        </r>
      </text>
    </comment>
    <comment ref="F32" authorId="4" shapeId="0" xr:uid="{00000000-0006-0000-5400-000055000000}">
      <text>
        <r>
          <rPr>
            <sz val="12"/>
            <color theme="1"/>
            <rFont val="Aptos Narrow"/>
            <family val="2"/>
            <scheme val="minor"/>
          </rPr>
          <t>Người dùng Không xác định:
4790000</t>
        </r>
      </text>
    </comment>
    <comment ref="B33" authorId="2" shapeId="0" xr:uid="{00000000-0006-0000-5400-000056000000}">
      <text>
        <r>
          <rPr>
            <sz val="12"/>
            <color theme="1"/>
            <rFont val="Aptos Narrow"/>
            <family val="2"/>
            <scheme val="minor"/>
          </rPr>
          <t xml:space="preserve">was 4490
</t>
        </r>
      </text>
    </comment>
    <comment ref="C33" authorId="5" shapeId="0" xr:uid="{00000000-0006-0000-5400-000057000000}">
      <text>
        <r>
          <rPr>
            <sz val="12"/>
            <color theme="1"/>
            <rFont val="Aptos Narrow"/>
            <family val="2"/>
            <scheme val="minor"/>
          </rPr>
          <t>W9 4290</t>
        </r>
      </text>
    </comment>
    <comment ref="D33" authorId="4" shapeId="0" xr:uid="{00000000-0006-0000-5400-000058000000}">
      <text>
        <r>
          <rPr>
            <sz val="12"/>
            <color theme="1"/>
            <rFont val="Aptos Narrow"/>
            <family val="2"/>
            <scheme val="minor"/>
          </rPr>
          <t>Người dùng Không xác định:
4.290k</t>
        </r>
      </text>
    </comment>
    <comment ref="E33" authorId="2" shapeId="0" xr:uid="{00000000-0006-0000-5400-000059000000}">
      <text>
        <r>
          <rPr>
            <sz val="12"/>
            <color theme="1"/>
            <rFont val="Aptos Narrow"/>
            <family val="2"/>
            <scheme val="minor"/>
          </rPr>
          <t xml:space="preserve">was 4190
</t>
        </r>
      </text>
    </comment>
    <comment ref="F33" authorId="4" shapeId="0" xr:uid="{00000000-0006-0000-5400-00005A000000}">
      <text>
        <r>
          <rPr>
            <sz val="12"/>
            <color theme="1"/>
            <rFont val="Aptos Narrow"/>
            <family val="2"/>
            <scheme val="minor"/>
          </rPr>
          <t>Người dùng Không xác định:
4390000</t>
        </r>
      </text>
    </comment>
    <comment ref="B34" authorId="2" shapeId="0" xr:uid="{00000000-0006-0000-5400-00005B000000}">
      <text>
        <r>
          <rPr>
            <sz val="12"/>
            <color theme="1"/>
            <rFont val="Aptos Narrow"/>
            <family val="2"/>
            <scheme val="minor"/>
          </rPr>
          <t>was 3190</t>
        </r>
      </text>
    </comment>
    <comment ref="C34" authorId="5" shapeId="0" xr:uid="{00000000-0006-0000-5400-00005C000000}">
      <text>
        <r>
          <rPr>
            <sz val="12"/>
            <color theme="1"/>
            <rFont val="Aptos Narrow"/>
            <family val="2"/>
            <scheme val="minor"/>
          </rPr>
          <t>W9 3090</t>
        </r>
      </text>
    </comment>
    <comment ref="D34" authorId="0" shapeId="0" xr:uid="{00000000-0006-0000-5400-00005D000000}">
      <text>
        <r>
          <rPr>
            <sz val="12"/>
            <color theme="1"/>
            <rFont val="Aptos Narrow"/>
            <family val="2"/>
            <scheme val="minor"/>
          </rPr>
          <t>chit trang:
2.990</t>
        </r>
      </text>
    </comment>
    <comment ref="E34" authorId="2" shapeId="0" xr:uid="{00000000-0006-0000-5400-00005E000000}">
      <text>
        <r>
          <rPr>
            <sz val="12"/>
            <color theme="1"/>
            <rFont val="Aptos Narrow"/>
            <family val="2"/>
            <scheme val="minor"/>
          </rPr>
          <t xml:space="preserve">was 2890
</t>
        </r>
      </text>
    </comment>
    <comment ref="C35" authorId="5" shapeId="0" xr:uid="{00000000-0006-0000-5400-000060000000}">
      <text>
        <r>
          <rPr>
            <sz val="12"/>
            <color theme="1"/>
            <rFont val="Aptos Narrow"/>
            <family val="2"/>
            <scheme val="minor"/>
          </rPr>
          <t>W9 6690</t>
        </r>
      </text>
    </comment>
    <comment ref="D35" authorId="4" shapeId="0" xr:uid="{00000000-0006-0000-5400-000061000000}">
      <text>
        <r>
          <rPr>
            <sz val="12"/>
            <color theme="1"/>
            <rFont val="Aptos Narrow"/>
            <family val="2"/>
            <scheme val="minor"/>
          </rPr>
          <t>Người dùng Không xác định:
6.690.000</t>
        </r>
      </text>
    </comment>
    <comment ref="F36" authorId="4" shapeId="0" xr:uid="{00000000-0006-0000-5400-000062000000}">
      <text>
        <r>
          <rPr>
            <sz val="12"/>
            <color theme="1"/>
            <rFont val="Aptos Narrow"/>
            <family val="2"/>
            <scheme val="minor"/>
          </rPr>
          <t>Người dùng Không xác định: 19.790</t>
        </r>
      </text>
    </comment>
    <comment ref="F37" authorId="4" shapeId="0" xr:uid="{00000000-0006-0000-5400-000063000000}">
      <text>
        <r>
          <rPr>
            <sz val="12"/>
            <color theme="1"/>
            <rFont val="Aptos Narrow"/>
            <family val="2"/>
            <scheme val="minor"/>
          </rPr>
          <t>Người dùng Không xác định:
25.190</t>
        </r>
      </text>
    </comment>
    <comment ref="C38" authorId="5" shapeId="0" xr:uid="{00000000-0006-0000-5400-000064000000}">
      <text>
        <r>
          <rPr>
            <sz val="12"/>
            <color theme="1"/>
            <rFont val="Aptos Narrow"/>
            <family val="2"/>
            <scheme val="minor"/>
          </rPr>
          <t>W9 29590</t>
        </r>
      </text>
    </comment>
    <comment ref="D38" authorId="0" shapeId="0" xr:uid="{00000000-0006-0000-5400-000065000000}">
      <text>
        <r>
          <rPr>
            <sz val="12"/>
            <color theme="1"/>
            <rFont val="Aptos Narrow"/>
            <family val="2"/>
            <scheme val="minor"/>
          </rPr>
          <t>chit trang:
28.990</t>
        </r>
      </text>
    </comment>
    <comment ref="F38" authorId="1" shapeId="0" xr:uid="{00000000-0006-0000-5400-000066000000}">
      <text>
        <r>
          <rPr>
            <sz val="12"/>
            <color theme="1"/>
            <rFont val="Aptos Narrow"/>
            <family val="2"/>
            <scheme val="minor"/>
          </rPr>
          <t xml:space="preserve">Dat's MacBook Pro:
29690
</t>
        </r>
      </text>
    </comment>
    <comment ref="G38" authorId="1" shapeId="0" xr:uid="{00000000-0006-0000-5400-000067000000}">
      <text>
        <r>
          <rPr>
            <sz val="12"/>
            <color theme="1"/>
            <rFont val="Aptos Narrow"/>
            <family val="2"/>
            <scheme val="minor"/>
          </rPr>
          <t xml:space="preserve">Dat's MacBook Pro:
29690
</t>
        </r>
      </text>
    </comment>
  </commentList>
</comments>
</file>

<file path=xl/comments86.xml><?xml version="1.0" encoding="utf-8"?>
<comments xmlns="http://schemas.openxmlformats.org/spreadsheetml/2006/main" xmlns:mc="http://schemas.openxmlformats.org/markup-compatibility/2006" xmlns:xr="http://schemas.microsoft.com/office/spreadsheetml/2014/revision" mc:Ignorable="xr">
  <authors>
    <author>Dat's MacBook Pro</author>
    <author>Người dùng Khách</author>
    <author>danielnguyen6111998@gmail.com</author>
    <author>Microsoft Office User</author>
    <author>Duy</author>
    <author>Việt Hoàng</author>
    <author>chit trang</author>
  </authors>
  <commentList>
    <comment ref="G3" authorId="0" shapeId="0" xr:uid="{00000000-0006-0000-5500-000002000000}">
      <text>
        <r>
          <rPr>
            <sz val="12"/>
            <color theme="1"/>
            <rFont val="Aptos Narrow"/>
            <family val="2"/>
            <scheme val="minor"/>
          </rPr>
          <t>Dat's MacBook Pro:
30290</t>
        </r>
      </text>
    </comment>
    <comment ref="D4" authorId="1" shapeId="0" xr:uid="{00000000-0006-0000-5500-000003000000}">
      <text>
        <r>
          <rPr>
            <sz val="12"/>
            <color theme="1"/>
            <rFont val="Aptos Narrow"/>
            <family val="2"/>
            <scheme val="minor"/>
          </rPr>
          <t>Người dùng Không xác định:
34.7890</t>
        </r>
      </text>
    </comment>
    <comment ref="F4" authorId="2" shapeId="0" xr:uid="{00000000-0006-0000-5500-000004000000}">
      <text>
        <r>
          <rPr>
            <sz val="12"/>
            <color theme="1"/>
            <rFont val="Aptos Narrow"/>
            <family val="2"/>
            <scheme val="minor"/>
          </rPr>
          <t>danielnguyen6111998@gmail.com:
33990000</t>
        </r>
      </text>
    </comment>
    <comment ref="G4" authorId="0" shapeId="0" xr:uid="{00000000-0006-0000-5500-000005000000}">
      <text>
        <r>
          <rPr>
            <sz val="12"/>
            <color theme="1"/>
            <rFont val="Aptos Narrow"/>
            <family val="2"/>
            <scheme val="minor"/>
          </rPr>
          <t>Dat's MacBook Pro:
34790</t>
        </r>
      </text>
    </comment>
    <comment ref="E5" authorId="3" shapeId="0" xr:uid="{00000000-0006-0000-5500-000006000000}">
      <text>
        <r>
          <rPr>
            <sz val="12"/>
            <color theme="1"/>
            <rFont val="Aptos Narrow"/>
            <family val="2"/>
            <scheme val="minor"/>
          </rPr>
          <t>was 37190
Cam
VNP500</t>
        </r>
      </text>
    </comment>
    <comment ref="F5" authorId="2" shapeId="0" xr:uid="{00000000-0006-0000-5500-000007000000}">
      <text>
        <r>
          <rPr>
            <sz val="12"/>
            <color theme="1"/>
            <rFont val="Aptos Narrow"/>
            <family val="2"/>
            <scheme val="minor"/>
          </rPr>
          <t>danielnguyen6111998@gmail.com:
37990</t>
        </r>
      </text>
    </comment>
    <comment ref="G7" authorId="0" shapeId="0" xr:uid="{00000000-0006-0000-5500-000008000000}">
      <text>
        <r>
          <rPr>
            <sz val="12"/>
            <color theme="1"/>
            <rFont val="Aptos Narrow"/>
            <family val="2"/>
            <scheme val="minor"/>
          </rPr>
          <t>Dat's MacBook Pro:
20790</t>
        </r>
      </text>
    </comment>
    <comment ref="B8" authorId="3" shapeId="0" xr:uid="{00000000-0006-0000-5500-000009000000}">
      <text>
        <r>
          <rPr>
            <sz val="12"/>
            <color theme="1"/>
            <rFont val="Aptos Narrow"/>
            <family val="2"/>
            <scheme val="minor"/>
          </rPr>
          <t>was 24640000
VNP150</t>
        </r>
      </text>
    </comment>
    <comment ref="G8" authorId="0" shapeId="0" xr:uid="{00000000-0006-0000-5500-00000A000000}">
      <text>
        <r>
          <rPr>
            <sz val="12"/>
            <color theme="1"/>
            <rFont val="Aptos Narrow"/>
            <family val="2"/>
            <scheme val="minor"/>
          </rPr>
          <t>Dat's MacBook Pro:
23.990</t>
        </r>
      </text>
    </comment>
    <comment ref="F9" authorId="2" shapeId="0" xr:uid="{00000000-0006-0000-5500-00000B000000}">
      <text>
        <r>
          <rPr>
            <sz val="12"/>
            <color theme="1"/>
            <rFont val="Aptos Narrow"/>
            <family val="2"/>
            <scheme val="minor"/>
          </rPr>
          <t>danielnguyen6111998@gmail.com:
25690000</t>
        </r>
      </text>
    </comment>
    <comment ref="B10" authorId="3" shapeId="0" xr:uid="{00000000-0006-0000-5500-00000C000000}">
      <text>
        <r>
          <rPr>
            <sz val="12"/>
            <color theme="1"/>
            <rFont val="Aptos Narrow"/>
            <family val="2"/>
            <scheme val="minor"/>
          </rPr>
          <t>Tặng phiếu mua hàng mua AirPods và Apple Watch trị giá 500,000đ
 Phiếu mua hàng mua sản phẩm giá niêm yết từ 5 triệu thuộc các nhóm TAI NGHE - LOA hãng HARMAN KARDON, JBL,MONSTER, KLIPSCH, MARSHALL, SONY; Smartwatch hãng HUAWEI, GARMIN, SAMSUNG, IMOO, OPPO, AMAZFIT trị giá 500.000đ</t>
        </r>
      </text>
    </comment>
    <comment ref="C10" authorId="4" shapeId="0" xr:uid="{00000000-0006-0000-5500-00000D000000}">
      <text>
        <r>
          <rPr>
            <sz val="12"/>
            <color theme="1"/>
            <rFont val="Aptos Narrow"/>
            <family val="2"/>
            <scheme val="minor"/>
          </rPr>
          <t>W10 30590</t>
        </r>
      </text>
    </comment>
    <comment ref="D10" authorId="5" shapeId="0" xr:uid="{00000000-0006-0000-5500-00000E000000}">
      <text>
        <r>
          <rPr>
            <sz val="12"/>
            <color theme="1"/>
            <rFont val="Aptos Narrow"/>
            <family val="2"/>
            <scheme val="minor"/>
          </rPr>
          <t>Việt Hoàng:30.490</t>
        </r>
      </text>
    </comment>
    <comment ref="F10" authorId="2" shapeId="0" xr:uid="{00000000-0006-0000-5500-00000F000000}">
      <text>
        <r>
          <rPr>
            <sz val="12"/>
            <color theme="1"/>
            <rFont val="Aptos Narrow"/>
            <family val="2"/>
            <scheme val="minor"/>
          </rPr>
          <t>30590000</t>
        </r>
      </text>
    </comment>
    <comment ref="G10" authorId="0" shapeId="0" xr:uid="{00000000-0006-0000-5500-000010000000}">
      <text>
        <r>
          <rPr>
            <sz val="12"/>
            <color theme="1"/>
            <rFont val="Aptos Narrow"/>
            <family val="2"/>
            <scheme val="minor"/>
          </rPr>
          <t>Dat's MacBook Pro:
29690</t>
        </r>
      </text>
    </comment>
    <comment ref="D11" authorId="6" shapeId="0" xr:uid="{00000000-0006-0000-5500-000011000000}">
      <text>
        <r>
          <rPr>
            <sz val="12"/>
            <color theme="1"/>
            <rFont val="Aptos Narrow"/>
            <family val="2"/>
            <scheme val="minor"/>
          </rPr>
          <t>chit trang:
17.090k</t>
        </r>
      </text>
    </comment>
    <comment ref="F11" authorId="1" shapeId="0" xr:uid="{00000000-0006-0000-5500-000012000000}">
      <text>
        <r>
          <rPr>
            <sz val="12"/>
            <color theme="1"/>
            <rFont val="Aptos Narrow"/>
            <family val="2"/>
            <scheme val="minor"/>
          </rPr>
          <t>Người dùng Không xác định:16890000
16990000</t>
        </r>
      </text>
    </comment>
    <comment ref="G13" authorId="0" shapeId="0" xr:uid="{00000000-0006-0000-5500-000013000000}">
      <text>
        <r>
          <rPr>
            <sz val="12"/>
            <color theme="1"/>
            <rFont val="Aptos Narrow"/>
            <family val="2"/>
            <scheme val="minor"/>
          </rPr>
          <t xml:space="preserve">Dat's MacBook Pro:
13490
</t>
        </r>
      </text>
    </comment>
    <comment ref="B14" authorId="3" shapeId="0" xr:uid="{00000000-0006-0000-5500-000014000000}">
      <text>
        <r>
          <rPr>
            <sz val="12"/>
            <color theme="1"/>
            <rFont val="Aptos Narrow"/>
            <family val="2"/>
            <scheme val="minor"/>
          </rPr>
          <t>was 13190
VNP100</t>
        </r>
      </text>
    </comment>
    <comment ref="D14" authorId="1" shapeId="0" xr:uid="{00000000-0006-0000-5500-000015000000}">
      <text>
        <r>
          <rPr>
            <sz val="12"/>
            <color theme="1"/>
            <rFont val="Aptos Narrow"/>
            <family val="2"/>
            <scheme val="minor"/>
          </rPr>
          <t>Người dùng Không xác định:
11.990</t>
        </r>
      </text>
    </comment>
    <comment ref="B16" authorId="3" shapeId="0" xr:uid="{00000000-0006-0000-5500-000016000000}">
      <text>
        <r>
          <rPr>
            <sz val="12"/>
            <color theme="1"/>
            <rFont val="Aptos Narrow"/>
            <family val="2"/>
            <scheme val="minor"/>
          </rPr>
          <t>was 7040
VNP40</t>
        </r>
      </text>
    </comment>
    <comment ref="D16" authorId="6" shapeId="0" xr:uid="{00000000-0006-0000-5500-000017000000}">
      <text>
        <r>
          <rPr>
            <sz val="12"/>
            <color theme="1"/>
            <rFont val="Aptos Narrow"/>
            <family val="2"/>
            <scheme val="minor"/>
          </rPr>
          <t>chit trang:
9.490</t>
        </r>
      </text>
    </comment>
    <comment ref="B17" authorId="3" shapeId="0" xr:uid="{00000000-0006-0000-5500-000018000000}">
      <text>
        <r>
          <rPr>
            <sz val="12"/>
            <color theme="1"/>
            <rFont val="Aptos Narrow"/>
            <family val="2"/>
            <scheme val="minor"/>
          </rPr>
          <t>was 14390</t>
        </r>
      </text>
    </comment>
    <comment ref="B20" authorId="3" shapeId="0" xr:uid="{00000000-0006-0000-5500-000019000000}">
      <text>
        <r>
          <rPr>
            <sz val="12"/>
            <color theme="1"/>
            <rFont val="Aptos Narrow"/>
            <family val="2"/>
            <scheme val="minor"/>
          </rPr>
          <t>was 36640</t>
        </r>
      </text>
    </comment>
    <comment ref="G21" authorId="0" shapeId="0" xr:uid="{00000000-0006-0000-5500-00001A000000}">
      <text>
        <r>
          <rPr>
            <sz val="12"/>
            <color theme="1"/>
            <rFont val="Aptos Narrow"/>
            <family val="2"/>
            <scheme val="minor"/>
          </rPr>
          <t>Dat's MacBook Pro:
29.590</t>
        </r>
      </text>
    </comment>
    <comment ref="C23" authorId="4" shapeId="0" xr:uid="{00000000-0006-0000-5500-00001B000000}">
      <text>
        <r>
          <rPr>
            <sz val="12"/>
            <color theme="1"/>
            <rFont val="Aptos Narrow"/>
            <family val="2"/>
            <scheme val="minor"/>
          </rPr>
          <t>W10 6190</t>
        </r>
      </text>
    </comment>
    <comment ref="D23" authorId="1" shapeId="0" xr:uid="{00000000-0006-0000-5500-00001C000000}">
      <text>
        <r>
          <rPr>
            <sz val="12"/>
            <color theme="1"/>
            <rFont val="Aptos Narrow"/>
            <family val="2"/>
            <scheme val="minor"/>
          </rPr>
          <t>Người dùng Không xác định:
6.090</t>
        </r>
      </text>
    </comment>
    <comment ref="E23" authorId="3" shapeId="0" xr:uid="{00000000-0006-0000-5500-00001D000000}">
      <text>
        <r>
          <rPr>
            <sz val="12"/>
            <color theme="1"/>
            <rFont val="Aptos Narrow"/>
            <family val="2"/>
            <scheme val="minor"/>
          </rPr>
          <t>was 6590
new 500</t>
        </r>
      </text>
    </comment>
    <comment ref="C24" authorId="4" shapeId="0" xr:uid="{00000000-0006-0000-5500-00001E000000}">
      <text>
        <r>
          <rPr>
            <sz val="12"/>
            <color theme="1"/>
            <rFont val="Aptos Narrow"/>
            <family val="2"/>
            <scheme val="minor"/>
          </rPr>
          <t>W10 8090</t>
        </r>
      </text>
    </comment>
    <comment ref="D24" authorId="1" shapeId="0" xr:uid="{00000000-0006-0000-5500-00001F000000}">
      <text>
        <r>
          <rPr>
            <sz val="12"/>
            <color theme="1"/>
            <rFont val="Aptos Narrow"/>
            <family val="2"/>
            <scheme val="minor"/>
          </rPr>
          <t>Người dùng Không xác định:
8.290</t>
        </r>
      </text>
    </comment>
    <comment ref="E24" authorId="3" shapeId="0" xr:uid="{00000000-0006-0000-5500-000020000000}">
      <text>
        <r>
          <rPr>
            <sz val="12"/>
            <color theme="1"/>
            <rFont val="Aptos Narrow"/>
            <family val="2"/>
            <scheme val="minor"/>
          </rPr>
          <t>was 7990
new 500</t>
        </r>
      </text>
    </comment>
    <comment ref="F24" authorId="2" shapeId="0" xr:uid="{00000000-0006-0000-5500-000021000000}">
      <text>
        <r>
          <rPr>
            <sz val="12"/>
            <color theme="1"/>
            <rFont val="Aptos Narrow"/>
            <family val="2"/>
            <scheme val="minor"/>
          </rPr>
          <t>danielnguyen6111998@gmail.com:
8190000</t>
        </r>
      </text>
    </comment>
    <comment ref="E25" authorId="3" shapeId="0" xr:uid="{00000000-0006-0000-5500-000022000000}">
      <text>
        <r>
          <rPr>
            <sz val="12"/>
            <color theme="1"/>
            <rFont val="Aptos Narrow"/>
            <family val="2"/>
            <scheme val="minor"/>
          </rPr>
          <t>was 7290
new 500</t>
        </r>
      </text>
    </comment>
    <comment ref="F25" authorId="2" shapeId="0" xr:uid="{00000000-0006-0000-5500-000023000000}">
      <text>
        <r>
          <rPr>
            <sz val="12"/>
            <color theme="1"/>
            <rFont val="Aptos Narrow"/>
            <family val="2"/>
            <scheme val="minor"/>
          </rPr>
          <t>danielnguyen6111998@gmail.com:
7290000</t>
        </r>
      </text>
    </comment>
    <comment ref="D26" authorId="1" shapeId="0" xr:uid="{00000000-0006-0000-5500-000024000000}">
      <text>
        <r>
          <rPr>
            <sz val="12"/>
            <color theme="1"/>
            <rFont val="Aptos Narrow"/>
            <family val="2"/>
            <scheme val="minor"/>
          </rPr>
          <t>Người dùng Không xác định:
9.390</t>
        </r>
      </text>
    </comment>
    <comment ref="E26" authorId="3" shapeId="0" xr:uid="{00000000-0006-0000-5500-000025000000}">
      <text>
        <r>
          <rPr>
            <sz val="12"/>
            <color theme="1"/>
            <rFont val="Aptos Narrow"/>
            <family val="2"/>
            <scheme val="minor"/>
          </rPr>
          <t>was 8990
New 500</t>
        </r>
      </text>
    </comment>
    <comment ref="F26" authorId="2" shapeId="0" xr:uid="{00000000-0006-0000-5500-000026000000}">
      <text>
        <r>
          <rPr>
            <sz val="12"/>
            <color theme="1"/>
            <rFont val="Aptos Narrow"/>
            <family val="2"/>
            <scheme val="minor"/>
          </rPr>
          <t xml:space="preserve">danielnguyen6111998@gmail.com:
8990000
</t>
        </r>
      </text>
    </comment>
    <comment ref="C27" authorId="4" shapeId="0" xr:uid="{00000000-0006-0000-5500-000027000000}">
      <text>
        <r>
          <rPr>
            <sz val="12"/>
            <color theme="1"/>
            <rFont val="Aptos Narrow"/>
            <family val="2"/>
            <scheme val="minor"/>
          </rPr>
          <t>W10 10690</t>
        </r>
      </text>
    </comment>
    <comment ref="D27" authorId="1" shapeId="0" xr:uid="{00000000-0006-0000-5500-000028000000}">
      <text>
        <r>
          <rPr>
            <sz val="12"/>
            <color theme="1"/>
            <rFont val="Aptos Narrow"/>
            <family val="2"/>
            <scheme val="minor"/>
          </rPr>
          <t>Người dùng Không xác định:
10.690</t>
        </r>
      </text>
    </comment>
    <comment ref="E27" authorId="3" shapeId="0" xr:uid="{00000000-0006-0000-5500-000029000000}">
      <text>
        <r>
          <rPr>
            <sz val="12"/>
            <color theme="1"/>
            <rFont val="Aptos Narrow"/>
            <family val="2"/>
            <scheme val="minor"/>
          </rPr>
          <t>was 10790
New 500</t>
        </r>
      </text>
    </comment>
    <comment ref="F27" authorId="2" shapeId="0" xr:uid="{00000000-0006-0000-5500-00002A000000}">
      <text>
        <r>
          <rPr>
            <sz val="12"/>
            <color theme="1"/>
            <rFont val="Aptos Narrow"/>
            <family val="2"/>
            <scheme val="minor"/>
          </rPr>
          <t>10890000</t>
        </r>
      </text>
    </comment>
    <comment ref="C28" authorId="4" shapeId="0" xr:uid="{00000000-0006-0000-5500-00002B000000}">
      <text>
        <r>
          <rPr>
            <sz val="12"/>
            <color theme="1"/>
            <rFont val="Aptos Narrow"/>
            <family val="2"/>
            <scheme val="minor"/>
          </rPr>
          <t>W10 14090</t>
        </r>
      </text>
    </comment>
    <comment ref="D28" authorId="1" shapeId="0" xr:uid="{00000000-0006-0000-5500-00002C000000}">
      <text>
        <r>
          <rPr>
            <sz val="12"/>
            <color theme="1"/>
            <rFont val="Aptos Narrow"/>
            <family val="2"/>
            <scheme val="minor"/>
          </rPr>
          <t>Người dùng Không xác định:
14.290</t>
        </r>
      </text>
    </comment>
    <comment ref="E28" authorId="3" shapeId="0" xr:uid="{00000000-0006-0000-5500-00002D000000}">
      <text>
        <r>
          <rPr>
            <sz val="12"/>
            <color theme="1"/>
            <rFont val="Aptos Narrow"/>
            <family val="2"/>
            <scheme val="minor"/>
          </rPr>
          <t>was 13590
new 500</t>
        </r>
      </text>
    </comment>
    <comment ref="F28" authorId="2" shapeId="0" xr:uid="{00000000-0006-0000-5500-00002E000000}">
      <text>
        <r>
          <rPr>
            <sz val="12"/>
            <color theme="1"/>
            <rFont val="Aptos Narrow"/>
            <family val="2"/>
            <scheme val="minor"/>
          </rPr>
          <t>danielnguyen6111998@gmail.com:
14290000</t>
        </r>
      </text>
    </comment>
    <comment ref="E29" authorId="3" shapeId="0" xr:uid="{00000000-0006-0000-5500-00002F000000}">
      <text>
        <r>
          <rPr>
            <sz val="12"/>
            <color theme="1"/>
            <rFont val="Aptos Narrow"/>
            <family val="2"/>
            <scheme val="minor"/>
          </rPr>
          <t xml:space="preserve">was 12190
new 500
</t>
        </r>
      </text>
    </comment>
    <comment ref="F29" authorId="1" shapeId="0" xr:uid="{00000000-0006-0000-5500-000030000000}">
      <text>
        <r>
          <rPr>
            <sz val="12"/>
            <color theme="1"/>
            <rFont val="Aptos Narrow"/>
            <family val="2"/>
            <scheme val="minor"/>
          </rPr>
          <t>11990000</t>
        </r>
      </text>
    </comment>
    <comment ref="C30" authorId="4" shapeId="0" xr:uid="{00000000-0006-0000-5500-000031000000}">
      <text>
        <r>
          <rPr>
            <sz val="12"/>
            <color theme="1"/>
            <rFont val="Aptos Narrow"/>
            <family val="2"/>
            <scheme val="minor"/>
          </rPr>
          <t>W10 14990</t>
        </r>
      </text>
    </comment>
    <comment ref="D30" authorId="1" shapeId="0" xr:uid="{00000000-0006-0000-5500-000032000000}">
      <text>
        <r>
          <rPr>
            <sz val="12"/>
            <color theme="1"/>
            <rFont val="Aptos Narrow"/>
            <family val="2"/>
            <scheme val="minor"/>
          </rPr>
          <t>Người dùng Không xác định:
15.350</t>
        </r>
      </text>
    </comment>
    <comment ref="E30" authorId="3" shapeId="0" xr:uid="{00000000-0006-0000-5500-000033000000}">
      <text>
        <r>
          <rPr>
            <sz val="12"/>
            <color theme="1"/>
            <rFont val="Aptos Narrow"/>
            <family val="2"/>
            <scheme val="minor"/>
          </rPr>
          <t>was 14390
New: 500</t>
        </r>
      </text>
    </comment>
    <comment ref="F30" authorId="2" shapeId="0" xr:uid="{00000000-0006-0000-5500-000034000000}">
      <text>
        <r>
          <rPr>
            <sz val="12"/>
            <color theme="1"/>
            <rFont val="Aptos Narrow"/>
            <family val="2"/>
            <scheme val="minor"/>
          </rPr>
          <t>15090000</t>
        </r>
      </text>
    </comment>
    <comment ref="C31" authorId="4" shapeId="0" xr:uid="{00000000-0006-0000-5500-000035000000}">
      <text>
        <r>
          <rPr>
            <sz val="12"/>
            <color theme="1"/>
            <rFont val="Aptos Narrow"/>
            <family val="2"/>
            <scheme val="minor"/>
          </rPr>
          <t>W10 23590</t>
        </r>
      </text>
    </comment>
    <comment ref="D31" authorId="6" shapeId="0" xr:uid="{00000000-0006-0000-5500-000036000000}">
      <text>
        <r>
          <rPr>
            <sz val="12"/>
            <color theme="1"/>
            <rFont val="Aptos Narrow"/>
            <family val="2"/>
            <scheme val="minor"/>
          </rPr>
          <t>chit trang:
23.590k</t>
        </r>
      </text>
    </comment>
    <comment ref="F31" authorId="2" shapeId="0" xr:uid="{00000000-0006-0000-5500-000037000000}">
      <text>
        <r>
          <rPr>
            <sz val="12"/>
            <color theme="1"/>
            <rFont val="Aptos Narrow"/>
            <family val="2"/>
            <scheme val="minor"/>
          </rPr>
          <t xml:space="preserve">danielnguyen6111998@gmail.com:
23.590
</t>
        </r>
      </text>
    </comment>
    <comment ref="B32" authorId="3" shapeId="0" xr:uid="{00000000-0006-0000-5500-000038000000}">
      <text>
        <r>
          <rPr>
            <sz val="12"/>
            <color theme="1"/>
            <rFont val="Aptos Narrow"/>
            <family val="2"/>
            <scheme val="minor"/>
          </rPr>
          <t>was 5550
VNP40</t>
        </r>
      </text>
    </comment>
    <comment ref="C32" authorId="4" shapeId="0" xr:uid="{00000000-0006-0000-5500-000039000000}">
      <text>
        <r>
          <rPr>
            <sz val="12"/>
            <color theme="1"/>
            <rFont val="Aptos Narrow"/>
            <family val="2"/>
            <scheme val="minor"/>
          </rPr>
          <t>W10 5190</t>
        </r>
      </text>
    </comment>
    <comment ref="D32" authorId="6" shapeId="0" xr:uid="{00000000-0006-0000-5500-00003A000000}">
      <text>
        <r>
          <rPr>
            <sz val="12"/>
            <color theme="1"/>
            <rFont val="Aptos Narrow"/>
            <family val="2"/>
            <scheme val="minor"/>
          </rPr>
          <t>chit trang:
5.390</t>
        </r>
      </text>
    </comment>
    <comment ref="F32" authorId="1" shapeId="0" xr:uid="{00000000-0006-0000-5500-00003B000000}">
      <text>
        <r>
          <rPr>
            <sz val="12"/>
            <color theme="1"/>
            <rFont val="Aptos Narrow"/>
            <family val="2"/>
            <scheme val="minor"/>
          </rPr>
          <t>Người dùng Không xác định:
5190000</t>
        </r>
      </text>
    </comment>
    <comment ref="B33" authorId="3" shapeId="0" xr:uid="{00000000-0006-0000-5500-00003C000000}">
      <text>
        <r>
          <rPr>
            <sz val="12"/>
            <color theme="1"/>
            <rFont val="Aptos Narrow"/>
            <family val="2"/>
            <scheme val="minor"/>
          </rPr>
          <t xml:space="preserve">was 4490
</t>
        </r>
      </text>
    </comment>
    <comment ref="C33" authorId="4" shapeId="0" xr:uid="{00000000-0006-0000-5500-00003D000000}">
      <text>
        <r>
          <rPr>
            <sz val="12"/>
            <color theme="1"/>
            <rFont val="Aptos Narrow"/>
            <family val="2"/>
            <scheme val="minor"/>
          </rPr>
          <t>W10 4790</t>
        </r>
      </text>
    </comment>
    <comment ref="D33" authorId="1" shapeId="0" xr:uid="{00000000-0006-0000-5500-00003E000000}">
      <text>
        <r>
          <rPr>
            <sz val="12"/>
            <color theme="1"/>
            <rFont val="Aptos Narrow"/>
            <family val="2"/>
            <scheme val="minor"/>
          </rPr>
          <t>Người dùng Không xác định:
4.690</t>
        </r>
      </text>
    </comment>
    <comment ref="E33" authorId="3" shapeId="0" xr:uid="{00000000-0006-0000-5500-00003F000000}">
      <text>
        <r>
          <rPr>
            <sz val="12"/>
            <color theme="1"/>
            <rFont val="Aptos Narrow"/>
            <family val="2"/>
            <scheme val="minor"/>
          </rPr>
          <t xml:space="preserve">was 4490
</t>
        </r>
      </text>
    </comment>
    <comment ref="F33" authorId="1" shapeId="0" xr:uid="{00000000-0006-0000-5500-000040000000}">
      <text>
        <r>
          <rPr>
            <sz val="12"/>
            <color theme="1"/>
            <rFont val="Aptos Narrow"/>
            <family val="2"/>
            <scheme val="minor"/>
          </rPr>
          <t>Người dùng Không xác định:
4690000</t>
        </r>
      </text>
    </comment>
    <comment ref="B34" authorId="3" shapeId="0" xr:uid="{00000000-0006-0000-5500-000041000000}">
      <text>
        <r>
          <rPr>
            <sz val="12"/>
            <color theme="1"/>
            <rFont val="Aptos Narrow"/>
            <family val="2"/>
            <scheme val="minor"/>
          </rPr>
          <t>was 3190</t>
        </r>
      </text>
    </comment>
    <comment ref="C34" authorId="4" shapeId="0" xr:uid="{00000000-0006-0000-5500-000042000000}">
      <text>
        <r>
          <rPr>
            <sz val="12"/>
            <color theme="1"/>
            <rFont val="Aptos Narrow"/>
            <family val="2"/>
            <scheme val="minor"/>
          </rPr>
          <t>W10 3590</t>
        </r>
      </text>
    </comment>
    <comment ref="D34" authorId="6" shapeId="0" xr:uid="{00000000-0006-0000-5500-000043000000}">
      <text>
        <r>
          <rPr>
            <sz val="12"/>
            <color theme="1"/>
            <rFont val="Aptos Narrow"/>
            <family val="2"/>
            <scheme val="minor"/>
          </rPr>
          <t>chit trang:
3490</t>
        </r>
      </text>
    </comment>
    <comment ref="E34" authorId="3" shapeId="0" xr:uid="{00000000-0006-0000-5500-000044000000}">
      <text>
        <r>
          <rPr>
            <sz val="12"/>
            <color theme="1"/>
            <rFont val="Aptos Narrow"/>
            <family val="2"/>
            <scheme val="minor"/>
          </rPr>
          <t xml:space="preserve">was 3290
</t>
        </r>
      </text>
    </comment>
    <comment ref="F34" authorId="2" shapeId="0" xr:uid="{00000000-0006-0000-5500-000045000000}">
      <text>
        <r>
          <rPr>
            <sz val="12"/>
            <color theme="1"/>
            <rFont val="Aptos Narrow"/>
            <family val="2"/>
            <scheme val="minor"/>
          </rPr>
          <t>danielnguyen6111998@gmail.com:
3550000</t>
        </r>
      </text>
    </comment>
    <comment ref="D36" authorId="1" shapeId="0" xr:uid="{00000000-0006-0000-5500-000046000000}">
      <text>
        <r>
          <rPr>
            <sz val="12"/>
            <color theme="1"/>
            <rFont val="Aptos Narrow"/>
            <family val="2"/>
            <scheme val="minor"/>
          </rPr>
          <t>Người dùng Không xác định:
19.690</t>
        </r>
      </text>
    </comment>
    <comment ref="F36" authorId="1" shapeId="0" xr:uid="{00000000-0006-0000-5500-000047000000}">
      <text>
        <r>
          <rPr>
            <sz val="12"/>
            <color theme="1"/>
            <rFont val="Aptos Narrow"/>
            <family val="2"/>
            <scheme val="minor"/>
          </rPr>
          <t>Người dùng Không xác định: 19690000</t>
        </r>
      </text>
    </comment>
    <comment ref="D37" authorId="1" shapeId="0" xr:uid="{00000000-0006-0000-5500-000048000000}">
      <text>
        <r>
          <rPr>
            <sz val="12"/>
            <color theme="1"/>
            <rFont val="Aptos Narrow"/>
            <family val="2"/>
            <scheme val="minor"/>
          </rPr>
          <t>Người dùng Không xác định:
24990</t>
        </r>
      </text>
    </comment>
    <comment ref="F37" authorId="1" shapeId="0" xr:uid="{00000000-0006-0000-5500-000049000000}">
      <text>
        <r>
          <rPr>
            <sz val="12"/>
            <color theme="1"/>
            <rFont val="Aptos Narrow"/>
            <family val="2"/>
            <scheme val="minor"/>
          </rPr>
          <t>Người dùng Không xác định:
24990000</t>
        </r>
      </text>
    </comment>
    <comment ref="C38" authorId="4" shapeId="0" xr:uid="{00000000-0006-0000-5500-00004A000000}">
      <text>
        <r>
          <rPr>
            <sz val="12"/>
            <color theme="1"/>
            <rFont val="Aptos Narrow"/>
            <family val="2"/>
            <scheme val="minor"/>
          </rPr>
          <t>W10 29290</t>
        </r>
      </text>
    </comment>
    <comment ref="F38" authorId="0" shapeId="0" xr:uid="{00000000-0006-0000-5500-00004B000000}">
      <text>
        <r>
          <rPr>
            <sz val="12"/>
            <color theme="1"/>
            <rFont val="Aptos Narrow"/>
            <family val="2"/>
            <scheme val="minor"/>
          </rPr>
          <t xml:space="preserve">Dat's MacBook Pro:
29690
</t>
        </r>
      </text>
    </comment>
  </commentList>
</comments>
</file>

<file path=xl/comments87.xml><?xml version="1.0" encoding="utf-8"?>
<comments xmlns="http://schemas.openxmlformats.org/spreadsheetml/2006/main" xmlns:mc="http://schemas.openxmlformats.org/markup-compatibility/2006" xmlns:xr="http://schemas.microsoft.com/office/spreadsheetml/2014/revision" mc:Ignorable="xr">
  <authors>
    <author>Người dùng Khách</author>
    <author>Dat's MacBook Pro</author>
    <author>Duy</author>
    <author>danielnguyen6111998@gmail.com</author>
    <author>Microsoft Office User</author>
    <author>Việt Hoàng</author>
    <author>chit trang</author>
  </authors>
  <commentList>
    <comment ref="D2" authorId="0" shapeId="0" xr:uid="{00000000-0006-0000-5600-000001000000}">
      <text>
        <r>
          <rPr>
            <sz val="12"/>
            <color theme="1"/>
            <rFont val="Aptos Narrow"/>
            <family val="2"/>
            <scheme val="minor"/>
          </rPr>
          <t>Người dùng Không xác định:
24.990k</t>
        </r>
      </text>
    </comment>
    <comment ref="F2" authorId="0" shapeId="0" xr:uid="{00000000-0006-0000-5600-000002000000}">
      <text>
        <r>
          <rPr>
            <sz val="12"/>
            <color theme="1"/>
            <rFont val="Aptos Narrow"/>
            <family val="2"/>
            <scheme val="minor"/>
          </rPr>
          <t>Người dùng Không xác định:
24990000</t>
        </r>
      </text>
    </comment>
    <comment ref="G2" authorId="1" shapeId="0" xr:uid="{00000000-0006-0000-5600-000003000000}">
      <text>
        <r>
          <rPr>
            <sz val="12"/>
            <color theme="1"/>
            <rFont val="Aptos Narrow"/>
            <family val="2"/>
            <scheme val="minor"/>
          </rPr>
          <t>Dat's MacBook Pro:
24.990</t>
        </r>
      </text>
    </comment>
    <comment ref="C3" authorId="2" shapeId="0" xr:uid="{00000000-0006-0000-5600-000004000000}">
      <text>
        <r>
          <rPr>
            <sz val="12"/>
            <color theme="1"/>
            <rFont val="Aptos Narrow"/>
            <family val="2"/>
            <scheme val="minor"/>
          </rPr>
          <t>W11 30990</t>
        </r>
      </text>
    </comment>
    <comment ref="D3" authorId="0" shapeId="0" xr:uid="{00000000-0006-0000-5600-000005000000}">
      <text>
        <r>
          <rPr>
            <sz val="12"/>
            <color theme="1"/>
            <rFont val="Aptos Narrow"/>
            <family val="2"/>
            <scheme val="minor"/>
          </rPr>
          <t>Người dùng Không xác định:
30.790k</t>
        </r>
      </text>
    </comment>
    <comment ref="F3" authorId="0" shapeId="0" xr:uid="{00000000-0006-0000-5600-000006000000}">
      <text>
        <r>
          <rPr>
            <sz val="12"/>
            <color theme="1"/>
            <rFont val="Aptos Narrow"/>
            <family val="2"/>
            <scheme val="minor"/>
          </rPr>
          <t>Người dùng Không xác định:
30790000</t>
        </r>
      </text>
    </comment>
    <comment ref="G3" authorId="1" shapeId="0" xr:uid="{00000000-0006-0000-5600-000007000000}">
      <text>
        <r>
          <rPr>
            <sz val="12"/>
            <color theme="1"/>
            <rFont val="Aptos Narrow"/>
            <family val="2"/>
            <scheme val="minor"/>
          </rPr>
          <t>Dat's MacBook Pro:
30290</t>
        </r>
      </text>
    </comment>
    <comment ref="C4" authorId="2" shapeId="0" xr:uid="{00000000-0006-0000-5600-000008000000}">
      <text>
        <r>
          <rPr>
            <sz val="12"/>
            <color theme="1"/>
            <rFont val="Aptos Narrow"/>
            <family val="2"/>
            <scheme val="minor"/>
          </rPr>
          <t>w11 34990</t>
        </r>
      </text>
    </comment>
    <comment ref="D4" authorId="0" shapeId="0" xr:uid="{00000000-0006-0000-5600-000009000000}">
      <text>
        <r>
          <rPr>
            <sz val="12"/>
            <color theme="1"/>
            <rFont val="Aptos Narrow"/>
            <family val="2"/>
            <scheme val="minor"/>
          </rPr>
          <t>Người dùng Không xác định:
34.790</t>
        </r>
      </text>
    </comment>
    <comment ref="F4" authorId="3" shapeId="0" xr:uid="{00000000-0006-0000-5600-00000A000000}">
      <text>
        <r>
          <rPr>
            <sz val="12"/>
            <color theme="1"/>
            <rFont val="Aptos Narrow"/>
            <family val="2"/>
            <scheme val="minor"/>
          </rPr>
          <t>danielnguyen6111998@gmail.com:
34590000</t>
        </r>
      </text>
    </comment>
    <comment ref="G4" authorId="1" shapeId="0" xr:uid="{00000000-0006-0000-5600-00000B000000}">
      <text>
        <r>
          <rPr>
            <sz val="12"/>
            <color theme="1"/>
            <rFont val="Aptos Narrow"/>
            <family val="2"/>
            <scheme val="minor"/>
          </rPr>
          <t>Dat's MacBook Pro:
34790</t>
        </r>
      </text>
    </comment>
    <comment ref="E5" authorId="4" shapeId="0" xr:uid="{00000000-0006-0000-5600-00000C000000}">
      <text>
        <r>
          <rPr>
            <sz val="12"/>
            <color theme="1"/>
            <rFont val="Aptos Narrow"/>
            <family val="2"/>
            <scheme val="minor"/>
          </rPr>
          <t>was 36490
Cam Xanh
VNP500</t>
        </r>
      </text>
    </comment>
    <comment ref="F5" authorId="3" shapeId="0" xr:uid="{00000000-0006-0000-5600-00000D000000}">
      <text>
        <r>
          <rPr>
            <sz val="12"/>
            <color theme="1"/>
            <rFont val="Aptos Narrow"/>
            <family val="2"/>
            <scheme val="minor"/>
          </rPr>
          <t>danielnguyen6111998@gmail.com:
37990</t>
        </r>
      </text>
    </comment>
    <comment ref="C6" authorId="2" shapeId="0" xr:uid="{00000000-0006-0000-5600-00000E000000}">
      <text>
        <r>
          <rPr>
            <sz val="12"/>
            <color theme="1"/>
            <rFont val="Aptos Narrow"/>
            <family val="2"/>
            <scheme val="minor"/>
          </rPr>
          <t>W11 14990</t>
        </r>
      </text>
    </comment>
    <comment ref="D6" authorId="0" shapeId="0" xr:uid="{00000000-0006-0000-5600-00000F000000}">
      <text>
        <r>
          <rPr>
            <sz val="12"/>
            <color theme="1"/>
            <rFont val="Aptos Narrow"/>
            <family val="2"/>
            <scheme val="minor"/>
          </rPr>
          <t>Người dùng Không xác định:
14.990k</t>
        </r>
      </text>
    </comment>
    <comment ref="C7" authorId="2" shapeId="0" xr:uid="{00000000-0006-0000-5600-000010000000}">
      <text>
        <r>
          <rPr>
            <sz val="12"/>
            <color theme="1"/>
            <rFont val="Aptos Narrow"/>
            <family val="2"/>
            <scheme val="minor"/>
          </rPr>
          <t>W11 21290</t>
        </r>
      </text>
    </comment>
    <comment ref="E7" authorId="4" shapeId="0" xr:uid="{00000000-0006-0000-5600-000011000000}">
      <text>
        <r>
          <rPr>
            <sz val="12"/>
            <color theme="1"/>
            <rFont val="Aptos Narrow"/>
            <family val="2"/>
            <scheme val="minor"/>
          </rPr>
          <t>Giờ vàng</t>
        </r>
      </text>
    </comment>
    <comment ref="G7" authorId="1" shapeId="0" xr:uid="{00000000-0006-0000-5600-000012000000}">
      <text>
        <r>
          <rPr>
            <sz val="12"/>
            <color theme="1"/>
            <rFont val="Aptos Narrow"/>
            <family val="2"/>
            <scheme val="minor"/>
          </rPr>
          <t>Dat's MacBook Pro:
20790</t>
        </r>
      </text>
    </comment>
    <comment ref="B8" authorId="4" shapeId="0" xr:uid="{00000000-0006-0000-5600-000013000000}">
      <text>
        <r>
          <rPr>
            <sz val="12"/>
            <color theme="1"/>
            <rFont val="Aptos Narrow"/>
            <family val="2"/>
            <scheme val="minor"/>
          </rPr>
          <t>was 24640000
VNP150</t>
        </r>
      </text>
    </comment>
    <comment ref="C8" authorId="2" shapeId="0" xr:uid="{00000000-0006-0000-5600-000014000000}">
      <text>
        <r>
          <rPr>
            <sz val="12"/>
            <color theme="1"/>
            <rFont val="Aptos Narrow"/>
            <family val="2"/>
            <scheme val="minor"/>
          </rPr>
          <t>W11 25090</t>
        </r>
      </text>
    </comment>
    <comment ref="D8" authorId="0" shapeId="0" xr:uid="{00000000-0006-0000-5600-000015000000}">
      <text>
        <r>
          <rPr>
            <sz val="12"/>
            <color theme="1"/>
            <rFont val="Aptos Narrow"/>
            <family val="2"/>
            <scheme val="minor"/>
          </rPr>
          <t>Người dùng Không xác định:
24.790</t>
        </r>
      </text>
    </comment>
    <comment ref="E8" authorId="4" shapeId="0" xr:uid="{00000000-0006-0000-5600-000016000000}">
      <text>
        <r>
          <rPr>
            <sz val="12"/>
            <color theme="1"/>
            <rFont val="Aptos Narrow"/>
            <family val="2"/>
            <scheme val="minor"/>
          </rPr>
          <t>Giờ vàng</t>
        </r>
      </text>
    </comment>
    <comment ref="G8" authorId="1" shapeId="0" xr:uid="{00000000-0006-0000-5600-000017000000}">
      <text>
        <r>
          <rPr>
            <sz val="12"/>
            <color theme="1"/>
            <rFont val="Aptos Narrow"/>
            <family val="2"/>
            <scheme val="minor"/>
          </rPr>
          <t>Dat's MacBook Pro:
23.990</t>
        </r>
      </text>
    </comment>
    <comment ref="B10" authorId="4" shapeId="0" xr:uid="{00000000-0006-0000-5600-000018000000}">
      <text>
        <r>
          <rPr>
            <sz val="12"/>
            <color theme="1"/>
            <rFont val="Aptos Narrow"/>
            <family val="2"/>
            <scheme val="minor"/>
          </rPr>
          <t>Tặng phiếu mua hàng mua AirPods và Apple Watch trị giá 500,000đ
 Phiếu mua hàng mua sản phẩm giá niêm yết từ 5 triệu thuộc các nhóm TAI NGHE - LOA hãng HARMAN KARDON, JBL,MONSTER, KLIPSCH, MARSHALL, SONY; Smartwatch hãng HUAWEI, GARMIN, SAMSUNG, IMOO, OPPO, AMAZFIT trị giá 500.000đ</t>
        </r>
      </text>
    </comment>
    <comment ref="C10" authorId="2" shapeId="0" xr:uid="{00000000-0006-0000-5600-000019000000}">
      <text>
        <r>
          <rPr>
            <sz val="12"/>
            <color theme="1"/>
            <rFont val="Aptos Narrow"/>
            <family val="2"/>
            <scheme val="minor"/>
          </rPr>
          <t>W11 31590</t>
        </r>
      </text>
    </comment>
    <comment ref="D10" authorId="5" shapeId="0" xr:uid="{00000000-0006-0000-5600-00001A000000}">
      <text>
        <r>
          <rPr>
            <sz val="12"/>
            <color theme="1"/>
            <rFont val="Aptos Narrow"/>
            <family val="2"/>
            <scheme val="minor"/>
          </rPr>
          <t>31.490</t>
        </r>
      </text>
    </comment>
    <comment ref="E10" authorId="4" shapeId="0" xr:uid="{00000000-0006-0000-5600-00001B000000}">
      <text>
        <r>
          <rPr>
            <sz val="12"/>
            <color theme="1"/>
            <rFont val="Aptos Narrow"/>
            <family val="2"/>
            <scheme val="minor"/>
          </rPr>
          <t xml:space="preserve">was 30990
</t>
        </r>
      </text>
    </comment>
    <comment ref="F10" authorId="3" shapeId="0" xr:uid="{00000000-0006-0000-5600-00001C000000}">
      <text>
        <r>
          <rPr>
            <sz val="12"/>
            <color theme="1"/>
            <rFont val="Aptos Narrow"/>
            <family val="2"/>
            <scheme val="minor"/>
          </rPr>
          <t>31390000</t>
        </r>
      </text>
    </comment>
    <comment ref="G10" authorId="1" shapeId="0" xr:uid="{00000000-0006-0000-5600-00001D000000}">
      <text>
        <r>
          <rPr>
            <sz val="12"/>
            <color theme="1"/>
            <rFont val="Aptos Narrow"/>
            <family val="2"/>
            <scheme val="minor"/>
          </rPr>
          <t>Dat's MacBook Pro:
29690</t>
        </r>
      </text>
    </comment>
    <comment ref="D11" authorId="6" shapeId="0" xr:uid="{00000000-0006-0000-5600-00001E000000}">
      <text>
        <r>
          <rPr>
            <sz val="12"/>
            <color theme="1"/>
            <rFont val="Aptos Narrow"/>
            <family val="2"/>
            <scheme val="minor"/>
          </rPr>
          <t>chit trang:
17.090k</t>
        </r>
      </text>
    </comment>
    <comment ref="E11" authorId="4" shapeId="0" xr:uid="{00000000-0006-0000-5600-00001F000000}">
      <text>
        <r>
          <rPr>
            <sz val="12"/>
            <color theme="1"/>
            <rFont val="Aptos Narrow"/>
            <family val="2"/>
            <scheme val="minor"/>
          </rPr>
          <t>Giờ vàng</t>
        </r>
      </text>
    </comment>
    <comment ref="F11" authorId="0" shapeId="0" xr:uid="{00000000-0006-0000-5600-000020000000}">
      <text>
        <r>
          <rPr>
            <sz val="12"/>
            <color theme="1"/>
            <rFont val="Aptos Narrow"/>
            <family val="2"/>
            <scheme val="minor"/>
          </rPr>
          <t>Người dùng Không xác định:16890000
16990000</t>
        </r>
      </text>
    </comment>
    <comment ref="G13" authorId="1" shapeId="0" xr:uid="{00000000-0006-0000-5600-000021000000}">
      <text>
        <r>
          <rPr>
            <sz val="12"/>
            <color theme="1"/>
            <rFont val="Aptos Narrow"/>
            <family val="2"/>
            <scheme val="minor"/>
          </rPr>
          <t xml:space="preserve">Dat's MacBook Pro:
13490
</t>
        </r>
      </text>
    </comment>
    <comment ref="B14" authorId="4" shapeId="0" xr:uid="{00000000-0006-0000-5600-000022000000}">
      <text>
        <r>
          <rPr>
            <sz val="12"/>
            <color theme="1"/>
            <rFont val="Aptos Narrow"/>
            <family val="2"/>
            <scheme val="minor"/>
          </rPr>
          <t>was 13190
VNP100</t>
        </r>
      </text>
    </comment>
    <comment ref="D14" authorId="0" shapeId="0" xr:uid="{00000000-0006-0000-5600-000023000000}">
      <text>
        <r>
          <rPr>
            <sz val="12"/>
            <color theme="1"/>
            <rFont val="Aptos Narrow"/>
            <family val="2"/>
            <scheme val="minor"/>
          </rPr>
          <t>Người dùng Không xác định:
11.990</t>
        </r>
      </text>
    </comment>
    <comment ref="E14" authorId="4" shapeId="0" xr:uid="{00000000-0006-0000-5600-000024000000}">
      <text>
        <r>
          <rPr>
            <sz val="12"/>
            <color theme="1"/>
            <rFont val="Aptos Narrow"/>
            <family val="2"/>
            <scheme val="minor"/>
          </rPr>
          <t>Giờ vàng</t>
        </r>
      </text>
    </comment>
    <comment ref="C15" authorId="2" shapeId="0" xr:uid="{00000000-0006-0000-5600-000025000000}">
      <text>
        <r>
          <rPr>
            <sz val="12"/>
            <color theme="1"/>
            <rFont val="Aptos Narrow"/>
            <family val="2"/>
            <scheme val="minor"/>
          </rPr>
          <t>W11 13590</t>
        </r>
      </text>
    </comment>
    <comment ref="D15" authorId="0" shapeId="0" xr:uid="{00000000-0006-0000-5600-000026000000}">
      <text>
        <r>
          <rPr>
            <sz val="12"/>
            <color theme="1"/>
            <rFont val="Aptos Narrow"/>
            <family val="2"/>
            <scheme val="minor"/>
          </rPr>
          <t>Người dùng Không xác định:
13.590</t>
        </r>
      </text>
    </comment>
    <comment ref="E15" authorId="4" shapeId="0" xr:uid="{00000000-0006-0000-5600-000027000000}">
      <text>
        <r>
          <rPr>
            <sz val="12"/>
            <color theme="1"/>
            <rFont val="Aptos Narrow"/>
            <family val="2"/>
            <scheme val="minor"/>
          </rPr>
          <t>was 13290
HSSV 200</t>
        </r>
      </text>
    </comment>
    <comment ref="F15" authorId="0" shapeId="0" xr:uid="{00000000-0006-0000-5600-000028000000}">
      <text>
        <r>
          <rPr>
            <sz val="12"/>
            <color theme="1"/>
            <rFont val="Aptos Narrow"/>
            <family val="2"/>
            <scheme val="minor"/>
          </rPr>
          <t>Người dùng Không xác định:
13590000</t>
        </r>
      </text>
    </comment>
    <comment ref="B16" authorId="4" shapeId="0" xr:uid="{00000000-0006-0000-5600-000029000000}">
      <text>
        <r>
          <rPr>
            <sz val="12"/>
            <color theme="1"/>
            <rFont val="Aptos Narrow"/>
            <family val="2"/>
            <scheme val="minor"/>
          </rPr>
          <t>was 7040
VNP40</t>
        </r>
      </text>
    </comment>
    <comment ref="C16" authorId="2" shapeId="0" xr:uid="{00000000-0006-0000-5600-00002A000000}">
      <text>
        <r>
          <rPr>
            <sz val="12"/>
            <color theme="1"/>
            <rFont val="Aptos Narrow"/>
            <family val="2"/>
            <scheme val="minor"/>
          </rPr>
          <t>W11 9390</t>
        </r>
      </text>
    </comment>
    <comment ref="D16" authorId="6" shapeId="0" xr:uid="{00000000-0006-0000-5600-00002B000000}">
      <text>
        <r>
          <rPr>
            <sz val="12"/>
            <color theme="1"/>
            <rFont val="Aptos Narrow"/>
            <family val="2"/>
            <scheme val="minor"/>
          </rPr>
          <t>chit trang:
9.190</t>
        </r>
      </text>
    </comment>
    <comment ref="E16" authorId="4" shapeId="0" xr:uid="{00000000-0006-0000-5600-00002C000000}">
      <text>
        <r>
          <rPr>
            <sz val="12"/>
            <color theme="1"/>
            <rFont val="Aptos Narrow"/>
            <family val="2"/>
            <scheme val="minor"/>
          </rPr>
          <t>was 9190
HSSV 200</t>
        </r>
      </text>
    </comment>
    <comment ref="F16" authorId="0" shapeId="0" xr:uid="{00000000-0006-0000-5600-00002D000000}">
      <text>
        <r>
          <rPr>
            <sz val="12"/>
            <color theme="1"/>
            <rFont val="Aptos Narrow"/>
            <family val="2"/>
            <scheme val="minor"/>
          </rPr>
          <t>Người dùng Không xác định:
9390000</t>
        </r>
      </text>
    </comment>
    <comment ref="G16" authorId="1" shapeId="0" xr:uid="{00000000-0006-0000-5600-00002E000000}">
      <text>
        <r>
          <rPr>
            <sz val="12"/>
            <color theme="1"/>
            <rFont val="Aptos Narrow"/>
            <family val="2"/>
            <scheme val="minor"/>
          </rPr>
          <t>Dat's MacBook Pro:
8890</t>
        </r>
      </text>
    </comment>
    <comment ref="B17" authorId="4" shapeId="0" xr:uid="{00000000-0006-0000-5600-00002F000000}">
      <text>
        <r>
          <rPr>
            <sz val="12"/>
            <color theme="1"/>
            <rFont val="Aptos Narrow"/>
            <family val="2"/>
            <scheme val="minor"/>
          </rPr>
          <t>was 14390</t>
        </r>
      </text>
    </comment>
    <comment ref="C17" authorId="2" shapeId="0" xr:uid="{00000000-0006-0000-5600-000030000000}">
      <text>
        <r>
          <rPr>
            <sz val="12"/>
            <color theme="1"/>
            <rFont val="Aptos Narrow"/>
            <family val="2"/>
            <scheme val="minor"/>
          </rPr>
          <t>W11 16190</t>
        </r>
      </text>
    </comment>
    <comment ref="D17" authorId="0" shapeId="0" xr:uid="{00000000-0006-0000-5600-000031000000}">
      <text>
        <r>
          <rPr>
            <sz val="12"/>
            <color theme="1"/>
            <rFont val="Aptos Narrow"/>
            <family val="2"/>
            <scheme val="minor"/>
          </rPr>
          <t>Người dùng Không xác định:
16.190</t>
        </r>
      </text>
    </comment>
    <comment ref="E17" authorId="4" shapeId="0" xr:uid="{00000000-0006-0000-5600-000032000000}">
      <text>
        <r>
          <rPr>
            <sz val="12"/>
            <color theme="1"/>
            <rFont val="Aptos Narrow"/>
            <family val="2"/>
            <scheme val="minor"/>
          </rPr>
          <t>was 15590
HSSV 200</t>
        </r>
      </text>
    </comment>
    <comment ref="F17" authorId="0" shapeId="0" xr:uid="{00000000-0006-0000-5600-000033000000}">
      <text>
        <r>
          <rPr>
            <sz val="12"/>
            <color theme="1"/>
            <rFont val="Aptos Narrow"/>
            <family val="2"/>
            <scheme val="minor"/>
          </rPr>
          <t>Người dùng Không xác định:
16190000</t>
        </r>
      </text>
    </comment>
    <comment ref="G17" authorId="1" shapeId="0" xr:uid="{00000000-0006-0000-5600-000034000000}">
      <text>
        <r>
          <rPr>
            <sz val="12"/>
            <color theme="1"/>
            <rFont val="Aptos Narrow"/>
            <family val="2"/>
            <scheme val="minor"/>
          </rPr>
          <t>Dat's MacBook Pro:
15490</t>
        </r>
      </text>
    </comment>
    <comment ref="C18" authorId="2" shapeId="0" xr:uid="{00000000-0006-0000-5600-000035000000}">
      <text>
        <r>
          <rPr>
            <sz val="12"/>
            <color theme="1"/>
            <rFont val="Aptos Narrow"/>
            <family val="2"/>
            <scheme val="minor"/>
          </rPr>
          <t>W11 21490</t>
        </r>
      </text>
    </comment>
    <comment ref="D18" authorId="0" shapeId="0" xr:uid="{00000000-0006-0000-5600-000036000000}">
      <text>
        <r>
          <rPr>
            <sz val="12"/>
            <color theme="1"/>
            <rFont val="Aptos Narrow"/>
            <family val="2"/>
            <scheme val="minor"/>
          </rPr>
          <t>Người dùng Không xác định:
21.490</t>
        </r>
      </text>
    </comment>
    <comment ref="F18" authorId="0" shapeId="0" xr:uid="{00000000-0006-0000-5600-000037000000}">
      <text>
        <r>
          <rPr>
            <sz val="12"/>
            <color theme="1"/>
            <rFont val="Aptos Narrow"/>
            <family val="2"/>
            <scheme val="minor"/>
          </rPr>
          <t>Người dùng Không xác định:
21490000</t>
        </r>
      </text>
    </comment>
    <comment ref="G18" authorId="1" shapeId="0" xr:uid="{00000000-0006-0000-5600-000038000000}">
      <text>
        <r>
          <rPr>
            <sz val="12"/>
            <color theme="1"/>
            <rFont val="Aptos Narrow"/>
            <family val="2"/>
            <scheme val="minor"/>
          </rPr>
          <t>Dat's MacBook Pro:
21390</t>
        </r>
      </text>
    </comment>
    <comment ref="F19" authorId="0" shapeId="0" xr:uid="{00000000-0006-0000-5600-000039000000}">
      <text>
        <r>
          <rPr>
            <sz val="12"/>
            <color theme="1"/>
            <rFont val="Aptos Narrow"/>
            <family val="2"/>
            <scheme val="minor"/>
          </rPr>
          <t>Người dùng Không xác định:
27990000</t>
        </r>
      </text>
    </comment>
    <comment ref="B20" authorId="4" shapeId="0" xr:uid="{00000000-0006-0000-5600-00003A000000}">
      <text>
        <r>
          <rPr>
            <sz val="12"/>
            <color theme="1"/>
            <rFont val="Aptos Narrow"/>
            <family val="2"/>
            <scheme val="minor"/>
          </rPr>
          <t>was 36640</t>
        </r>
      </text>
    </comment>
    <comment ref="F20" authorId="0" shapeId="0" xr:uid="{00000000-0006-0000-5600-00003B000000}">
      <text>
        <r>
          <rPr>
            <sz val="12"/>
            <color theme="1"/>
            <rFont val="Aptos Narrow"/>
            <family val="2"/>
            <scheme val="minor"/>
          </rPr>
          <t>Người dùng Không xác định:
36490000</t>
        </r>
      </text>
    </comment>
    <comment ref="G21" authorId="1" shapeId="0" xr:uid="{00000000-0006-0000-5600-00003C000000}">
      <text>
        <r>
          <rPr>
            <sz val="12"/>
            <color theme="1"/>
            <rFont val="Aptos Narrow"/>
            <family val="2"/>
            <scheme val="minor"/>
          </rPr>
          <t>Dat's MacBook Pro:
29.590</t>
        </r>
      </text>
    </comment>
    <comment ref="C23" authorId="2" shapeId="0" xr:uid="{00000000-0006-0000-5600-00003D000000}">
      <text>
        <r>
          <rPr>
            <sz val="12"/>
            <color theme="1"/>
            <rFont val="Aptos Narrow"/>
            <family val="2"/>
            <scheme val="minor"/>
          </rPr>
          <t>W11 5990</t>
        </r>
      </text>
    </comment>
    <comment ref="D23" authorId="0" shapeId="0" xr:uid="{00000000-0006-0000-5600-00003E000000}">
      <text>
        <r>
          <rPr>
            <sz val="12"/>
            <color theme="1"/>
            <rFont val="Aptos Narrow"/>
            <family val="2"/>
            <scheme val="minor"/>
          </rPr>
          <t>Người dùng Không xác định:5.890</t>
        </r>
      </text>
    </comment>
    <comment ref="E23" authorId="4" shapeId="0" xr:uid="{00000000-0006-0000-5600-00003F000000}">
      <text>
        <r>
          <rPr>
            <sz val="12"/>
            <color theme="1"/>
            <rFont val="Aptos Narrow"/>
            <family val="2"/>
            <scheme val="minor"/>
          </rPr>
          <t>was 6190
new 500</t>
        </r>
      </text>
    </comment>
    <comment ref="F23" authorId="0" shapeId="0" xr:uid="{00000000-0006-0000-5600-000040000000}">
      <text>
        <r>
          <rPr>
            <sz val="12"/>
            <color theme="1"/>
            <rFont val="Aptos Narrow"/>
            <family val="2"/>
            <scheme val="minor"/>
          </rPr>
          <t xml:space="preserve">Người dùng Không xác định:
5990000
</t>
        </r>
      </text>
    </comment>
    <comment ref="G23" authorId="1" shapeId="0" xr:uid="{00000000-0006-0000-5600-000041000000}">
      <text>
        <r>
          <rPr>
            <sz val="12"/>
            <color theme="1"/>
            <rFont val="Aptos Narrow"/>
            <family val="2"/>
            <scheme val="minor"/>
          </rPr>
          <t>Dat's MacBook Pro:
6690</t>
        </r>
      </text>
    </comment>
    <comment ref="C24" authorId="2" shapeId="0" xr:uid="{00000000-0006-0000-5600-000042000000}">
      <text>
        <r>
          <rPr>
            <sz val="12"/>
            <color theme="1"/>
            <rFont val="Aptos Narrow"/>
            <family val="2"/>
            <scheme val="minor"/>
          </rPr>
          <t>W11 7990</t>
        </r>
      </text>
    </comment>
    <comment ref="D24" authorId="0" shapeId="0" xr:uid="{00000000-0006-0000-5600-000043000000}">
      <text>
        <r>
          <rPr>
            <sz val="12"/>
            <color theme="1"/>
            <rFont val="Aptos Narrow"/>
            <family val="2"/>
            <scheme val="minor"/>
          </rPr>
          <t>Người dùng Không xác định:
8.290</t>
        </r>
      </text>
    </comment>
    <comment ref="E24" authorId="4" shapeId="0" xr:uid="{00000000-0006-0000-5600-000044000000}">
      <text>
        <r>
          <rPr>
            <sz val="12"/>
            <color theme="1"/>
            <rFont val="Aptos Narrow"/>
            <family val="2"/>
            <scheme val="minor"/>
          </rPr>
          <t>was 7690
new 500</t>
        </r>
      </text>
    </comment>
    <comment ref="F24" authorId="3" shapeId="0" xr:uid="{00000000-0006-0000-5600-000045000000}">
      <text>
        <r>
          <rPr>
            <sz val="12"/>
            <color theme="1"/>
            <rFont val="Aptos Narrow"/>
            <family val="2"/>
            <scheme val="minor"/>
          </rPr>
          <t>danielnguyen6111998@gmail.com:
7990</t>
        </r>
      </text>
    </comment>
    <comment ref="G24" authorId="1" shapeId="0" xr:uid="{00000000-0006-0000-5600-000046000000}">
      <text>
        <r>
          <rPr>
            <sz val="12"/>
            <color theme="1"/>
            <rFont val="Aptos Narrow"/>
            <family val="2"/>
            <scheme val="minor"/>
          </rPr>
          <t>Dat's MacBook Pro:
7990</t>
        </r>
      </text>
    </comment>
    <comment ref="C25" authorId="2" shapeId="0" xr:uid="{00000000-0006-0000-5600-000047000000}">
      <text>
        <r>
          <rPr>
            <sz val="12"/>
            <color theme="1"/>
            <rFont val="Aptos Narrow"/>
            <family val="2"/>
            <scheme val="minor"/>
          </rPr>
          <t>W11 7190</t>
        </r>
      </text>
    </comment>
    <comment ref="D25" authorId="0" shapeId="0" xr:uid="{00000000-0006-0000-5600-000048000000}">
      <text>
        <r>
          <rPr>
            <sz val="12"/>
            <color theme="1"/>
            <rFont val="Aptos Narrow"/>
            <family val="2"/>
            <scheme val="minor"/>
          </rPr>
          <t>Người dùng Không xác định:
7.190</t>
        </r>
      </text>
    </comment>
    <comment ref="E25" authorId="4" shapeId="0" xr:uid="{00000000-0006-0000-5600-000049000000}">
      <text>
        <r>
          <rPr>
            <sz val="12"/>
            <color theme="1"/>
            <rFont val="Aptos Narrow"/>
            <family val="2"/>
            <scheme val="minor"/>
          </rPr>
          <t>was 7190
new 500</t>
        </r>
      </text>
    </comment>
    <comment ref="F25" authorId="3" shapeId="0" xr:uid="{00000000-0006-0000-5600-00004A000000}">
      <text>
        <r>
          <rPr>
            <sz val="12"/>
            <color theme="1"/>
            <rFont val="Aptos Narrow"/>
            <family val="2"/>
            <scheme val="minor"/>
          </rPr>
          <t>danielnguyen6111998@gmail.com:
7290000</t>
        </r>
      </text>
    </comment>
    <comment ref="C26" authorId="2" shapeId="0" xr:uid="{00000000-0006-0000-5600-00004B000000}">
      <text>
        <r>
          <rPr>
            <sz val="12"/>
            <color theme="1"/>
            <rFont val="Aptos Narrow"/>
            <family val="2"/>
            <scheme val="minor"/>
          </rPr>
          <t>W11 8790</t>
        </r>
      </text>
    </comment>
    <comment ref="E26" authorId="4" shapeId="0" xr:uid="{00000000-0006-0000-5600-00004C000000}">
      <text>
        <r>
          <rPr>
            <sz val="12"/>
            <color theme="1"/>
            <rFont val="Aptos Narrow"/>
            <family val="2"/>
            <scheme val="minor"/>
          </rPr>
          <t>was 8490
New 500</t>
        </r>
      </text>
    </comment>
    <comment ref="F26" authorId="3" shapeId="0" xr:uid="{00000000-0006-0000-5600-00004D000000}">
      <text>
        <r>
          <rPr>
            <sz val="12"/>
            <color theme="1"/>
            <rFont val="Aptos Narrow"/>
            <family val="2"/>
            <scheme val="minor"/>
          </rPr>
          <t xml:space="preserve">danielnguyen6111998@gmail.com:
8990000
</t>
        </r>
      </text>
    </comment>
    <comment ref="C27" authorId="2" shapeId="0" xr:uid="{00000000-0006-0000-5600-00004E000000}">
      <text>
        <r>
          <rPr>
            <sz val="12"/>
            <color theme="1"/>
            <rFont val="Aptos Narrow"/>
            <family val="2"/>
            <scheme val="minor"/>
          </rPr>
          <t>W11 10590</t>
        </r>
      </text>
    </comment>
    <comment ref="D27" authorId="0" shapeId="0" xr:uid="{00000000-0006-0000-5600-00004F000000}">
      <text>
        <r>
          <rPr>
            <sz val="12"/>
            <color theme="1"/>
            <rFont val="Aptos Narrow"/>
            <family val="2"/>
            <scheme val="minor"/>
          </rPr>
          <t>Người dùng Không xác định:
10.490</t>
        </r>
      </text>
    </comment>
    <comment ref="E27" authorId="4" shapeId="0" xr:uid="{00000000-0006-0000-5600-000050000000}">
      <text>
        <r>
          <rPr>
            <sz val="12"/>
            <color theme="1"/>
            <rFont val="Aptos Narrow"/>
            <family val="2"/>
            <scheme val="minor"/>
          </rPr>
          <t>was 10790
New 500</t>
        </r>
      </text>
    </comment>
    <comment ref="F27" authorId="3" shapeId="0" xr:uid="{00000000-0006-0000-5600-000051000000}">
      <text>
        <r>
          <rPr>
            <sz val="12"/>
            <color theme="1"/>
            <rFont val="Aptos Narrow"/>
            <family val="2"/>
            <scheme val="minor"/>
          </rPr>
          <t>10490000</t>
        </r>
      </text>
    </comment>
    <comment ref="G27" authorId="1" shapeId="0" xr:uid="{00000000-0006-0000-5600-000052000000}">
      <text>
        <r>
          <rPr>
            <sz val="12"/>
            <color theme="1"/>
            <rFont val="Aptos Narrow"/>
            <family val="2"/>
            <scheme val="minor"/>
          </rPr>
          <t>Dat's MacBook Pro:
9890</t>
        </r>
      </text>
    </comment>
    <comment ref="C28" authorId="2" shapeId="0" xr:uid="{00000000-0006-0000-5600-000053000000}">
      <text>
        <r>
          <rPr>
            <sz val="12"/>
            <color theme="1"/>
            <rFont val="Aptos Narrow"/>
            <family val="2"/>
            <scheme val="minor"/>
          </rPr>
          <t>W11 13990</t>
        </r>
      </text>
    </comment>
    <comment ref="D28" authorId="0" shapeId="0" xr:uid="{00000000-0006-0000-5600-000054000000}">
      <text>
        <r>
          <rPr>
            <sz val="12"/>
            <color theme="1"/>
            <rFont val="Aptos Narrow"/>
            <family val="2"/>
            <scheme val="minor"/>
          </rPr>
          <t>Người dùng Không xác định:
14.290</t>
        </r>
      </text>
    </comment>
    <comment ref="E28" authorId="4" shapeId="0" xr:uid="{00000000-0006-0000-5600-000055000000}">
      <text>
        <r>
          <rPr>
            <sz val="12"/>
            <color theme="1"/>
            <rFont val="Aptos Narrow"/>
            <family val="2"/>
            <scheme val="minor"/>
          </rPr>
          <t>was 13690
new 500</t>
        </r>
      </text>
    </comment>
    <comment ref="F28" authorId="3" shapeId="0" xr:uid="{00000000-0006-0000-5600-000056000000}">
      <text>
        <r>
          <rPr>
            <sz val="12"/>
            <color theme="1"/>
            <rFont val="Aptos Narrow"/>
            <family val="2"/>
            <scheme val="minor"/>
          </rPr>
          <t>danielnguyen6111998@gmail.com:
14290000</t>
        </r>
      </text>
    </comment>
    <comment ref="C29" authorId="2" shapeId="0" xr:uid="{00000000-0006-0000-5600-000057000000}">
      <text>
        <r>
          <rPr>
            <sz val="12"/>
            <color theme="1"/>
            <rFont val="Aptos Narrow"/>
            <family val="2"/>
            <scheme val="minor"/>
          </rPr>
          <t>W11 11890</t>
        </r>
      </text>
    </comment>
    <comment ref="E29" authorId="4" shapeId="0" xr:uid="{00000000-0006-0000-5600-000058000000}">
      <text>
        <r>
          <rPr>
            <sz val="12"/>
            <color theme="1"/>
            <rFont val="Aptos Narrow"/>
            <family val="2"/>
            <scheme val="minor"/>
          </rPr>
          <t xml:space="preserve">was 11690
new 500
</t>
        </r>
      </text>
    </comment>
    <comment ref="F29" authorId="0" shapeId="0" xr:uid="{00000000-0006-0000-5600-000059000000}">
      <text>
        <r>
          <rPr>
            <sz val="12"/>
            <color theme="1"/>
            <rFont val="Aptos Narrow"/>
            <family val="2"/>
            <scheme val="minor"/>
          </rPr>
          <t>11890000</t>
        </r>
      </text>
    </comment>
    <comment ref="G29" authorId="1" shapeId="0" xr:uid="{00000000-0006-0000-5600-00005A000000}">
      <text>
        <r>
          <rPr>
            <sz val="12"/>
            <color theme="1"/>
            <rFont val="Aptos Narrow"/>
            <family val="2"/>
            <scheme val="minor"/>
          </rPr>
          <t>Dat's MacBook Pro:
11750</t>
        </r>
      </text>
    </comment>
    <comment ref="D30" authorId="0" shapeId="0" xr:uid="{00000000-0006-0000-5600-00005B000000}">
      <text>
        <r>
          <rPr>
            <sz val="12"/>
            <color theme="1"/>
            <rFont val="Aptos Narrow"/>
            <family val="2"/>
            <scheme val="minor"/>
          </rPr>
          <t>Người dùng Không xác định:
14.890</t>
        </r>
      </text>
    </comment>
    <comment ref="E30" authorId="4" shapeId="0" xr:uid="{00000000-0006-0000-5600-00005C000000}">
      <text>
        <r>
          <rPr>
            <sz val="12"/>
            <color theme="1"/>
            <rFont val="Aptos Narrow"/>
            <family val="2"/>
            <scheme val="minor"/>
          </rPr>
          <t>was 14490
New: 500</t>
        </r>
      </text>
    </comment>
    <comment ref="F30" authorId="3" shapeId="0" xr:uid="{00000000-0006-0000-5600-00005D000000}">
      <text>
        <r>
          <rPr>
            <sz val="12"/>
            <color theme="1"/>
            <rFont val="Aptos Narrow"/>
            <family val="2"/>
            <scheme val="minor"/>
          </rPr>
          <t>14890000</t>
        </r>
      </text>
    </comment>
    <comment ref="G30" authorId="1" shapeId="0" xr:uid="{00000000-0006-0000-5600-00005E000000}">
      <text>
        <r>
          <rPr>
            <sz val="12"/>
            <color theme="1"/>
            <rFont val="Aptos Narrow"/>
            <family val="2"/>
            <scheme val="minor"/>
          </rPr>
          <t>Dat's MacBook Pro:
15290</t>
        </r>
      </text>
    </comment>
    <comment ref="C31" authorId="2" shapeId="0" xr:uid="{00000000-0006-0000-5600-00005F000000}">
      <text>
        <r>
          <rPr>
            <sz val="12"/>
            <color theme="1"/>
            <rFont val="Aptos Narrow"/>
            <family val="2"/>
            <scheme val="minor"/>
          </rPr>
          <t>W11 23390</t>
        </r>
      </text>
    </comment>
    <comment ref="D31" authorId="6" shapeId="0" xr:uid="{00000000-0006-0000-5600-000060000000}">
      <text>
        <r>
          <rPr>
            <sz val="12"/>
            <color theme="1"/>
            <rFont val="Aptos Narrow"/>
            <family val="2"/>
            <scheme val="minor"/>
          </rPr>
          <t>chit trang:
23.390k</t>
        </r>
      </text>
    </comment>
    <comment ref="E31" authorId="4" shapeId="0" xr:uid="{00000000-0006-0000-5600-000061000000}">
      <text>
        <r>
          <rPr>
            <sz val="12"/>
            <color theme="1"/>
            <rFont val="Aptos Narrow"/>
            <family val="2"/>
            <scheme val="minor"/>
          </rPr>
          <t xml:space="preserve">was 23490
new 500
</t>
        </r>
      </text>
    </comment>
    <comment ref="F31" authorId="0" shapeId="0" xr:uid="{00000000-0006-0000-5600-000062000000}">
      <text>
        <r>
          <rPr>
            <sz val="12"/>
            <color theme="1"/>
            <rFont val="Aptos Narrow"/>
            <family val="2"/>
            <scheme val="minor"/>
          </rPr>
          <t>Người dùng Không xác định:
23390000</t>
        </r>
      </text>
    </comment>
    <comment ref="B32" authorId="4" shapeId="0" xr:uid="{00000000-0006-0000-5600-000063000000}">
      <text>
        <r>
          <rPr>
            <sz val="12"/>
            <color theme="1"/>
            <rFont val="Aptos Narrow"/>
            <family val="2"/>
            <scheme val="minor"/>
          </rPr>
          <t>was 5550
VNP40</t>
        </r>
      </text>
    </comment>
    <comment ref="D32" authorId="6" shapeId="0" xr:uid="{00000000-0006-0000-5600-000064000000}">
      <text>
        <r>
          <rPr>
            <sz val="12"/>
            <color theme="1"/>
            <rFont val="Aptos Narrow"/>
            <family val="2"/>
            <scheme val="minor"/>
          </rPr>
          <t>chit trang:
5.390</t>
        </r>
      </text>
    </comment>
    <comment ref="F32" authorId="0" shapeId="0" xr:uid="{00000000-0006-0000-5600-000065000000}">
      <text>
        <r>
          <rPr>
            <sz val="12"/>
            <color theme="1"/>
            <rFont val="Aptos Narrow"/>
            <family val="2"/>
            <scheme val="minor"/>
          </rPr>
          <t>Người dùng Không xác định:
5090000</t>
        </r>
      </text>
    </comment>
    <comment ref="B33" authorId="4" shapeId="0" xr:uid="{00000000-0006-0000-5600-000066000000}">
      <text>
        <r>
          <rPr>
            <sz val="12"/>
            <color theme="1"/>
            <rFont val="Aptos Narrow"/>
            <family val="2"/>
            <scheme val="minor"/>
          </rPr>
          <t xml:space="preserve">was 4490
</t>
        </r>
      </text>
    </comment>
    <comment ref="D33" authorId="0" shapeId="0" xr:uid="{00000000-0006-0000-5600-000067000000}">
      <text>
        <r>
          <rPr>
            <sz val="12"/>
            <color theme="1"/>
            <rFont val="Aptos Narrow"/>
            <family val="2"/>
            <scheme val="minor"/>
          </rPr>
          <t>Người dùng Không xác định:
4.490</t>
        </r>
      </text>
    </comment>
    <comment ref="E33" authorId="4" shapeId="0" xr:uid="{00000000-0006-0000-5600-000068000000}">
      <text>
        <r>
          <rPr>
            <sz val="12"/>
            <color theme="1"/>
            <rFont val="Aptos Narrow"/>
            <family val="2"/>
            <scheme val="minor"/>
          </rPr>
          <t xml:space="preserve">was 4290
</t>
        </r>
      </text>
    </comment>
    <comment ref="F33" authorId="0" shapeId="0" xr:uid="{00000000-0006-0000-5600-000069000000}">
      <text>
        <r>
          <rPr>
            <sz val="12"/>
            <color theme="1"/>
            <rFont val="Aptos Narrow"/>
            <family val="2"/>
            <scheme val="minor"/>
          </rPr>
          <t>Người dùng Không xác định:
4690000</t>
        </r>
      </text>
    </comment>
    <comment ref="B34" authorId="4" shapeId="0" xr:uid="{00000000-0006-0000-5600-00006A000000}">
      <text>
        <r>
          <rPr>
            <sz val="12"/>
            <color theme="1"/>
            <rFont val="Aptos Narrow"/>
            <family val="2"/>
            <scheme val="minor"/>
          </rPr>
          <t>was 3190</t>
        </r>
      </text>
    </comment>
    <comment ref="D34" authorId="6" shapeId="0" xr:uid="{00000000-0006-0000-5600-00006B000000}">
      <text>
        <r>
          <rPr>
            <sz val="12"/>
            <color theme="1"/>
            <rFont val="Aptos Narrow"/>
            <family val="2"/>
            <scheme val="minor"/>
          </rPr>
          <t>chit trang:
3.090</t>
        </r>
      </text>
    </comment>
    <comment ref="E34" authorId="4" shapeId="0" xr:uid="{00000000-0006-0000-5600-00006C000000}">
      <text>
        <r>
          <rPr>
            <sz val="12"/>
            <color theme="1"/>
            <rFont val="Aptos Narrow"/>
            <family val="2"/>
            <scheme val="minor"/>
          </rPr>
          <t xml:space="preserve">was 3190
</t>
        </r>
      </text>
    </comment>
    <comment ref="F34" authorId="3" shapeId="0" xr:uid="{00000000-0006-0000-5600-00006D000000}">
      <text>
        <r>
          <rPr>
            <sz val="12"/>
            <color theme="1"/>
            <rFont val="Aptos Narrow"/>
            <family val="2"/>
            <scheme val="minor"/>
          </rPr>
          <t>danielnguyen6111998@gmail.com:
3090000</t>
        </r>
      </text>
    </comment>
    <comment ref="D36" authorId="0" shapeId="0" xr:uid="{00000000-0006-0000-5600-00006E000000}">
      <text>
        <r>
          <rPr>
            <sz val="12"/>
            <color theme="1"/>
            <rFont val="Aptos Narrow"/>
            <family val="2"/>
            <scheme val="minor"/>
          </rPr>
          <t>Người dùng Không xác định:
19.390</t>
        </r>
      </text>
    </comment>
    <comment ref="F36" authorId="0" shapeId="0" xr:uid="{00000000-0006-0000-5600-00006F000000}">
      <text>
        <r>
          <rPr>
            <sz val="12"/>
            <color theme="1"/>
            <rFont val="Aptos Narrow"/>
            <family val="2"/>
            <scheme val="minor"/>
          </rPr>
          <t>Người dùng Không xác định: 19490000</t>
        </r>
      </text>
    </comment>
    <comment ref="D37" authorId="0" shapeId="0" xr:uid="{00000000-0006-0000-5600-000070000000}">
      <text>
        <r>
          <rPr>
            <sz val="12"/>
            <color theme="1"/>
            <rFont val="Aptos Narrow"/>
            <family val="2"/>
            <scheme val="minor"/>
          </rPr>
          <t>Người dùng Không xác định:
24590</t>
        </r>
      </text>
    </comment>
    <comment ref="F37" authorId="0" shapeId="0" xr:uid="{00000000-0006-0000-5600-000071000000}">
      <text>
        <r>
          <rPr>
            <sz val="12"/>
            <color theme="1"/>
            <rFont val="Aptos Narrow"/>
            <family val="2"/>
            <scheme val="minor"/>
          </rPr>
          <t>Người dùng Không xác định:
25090000</t>
        </r>
      </text>
    </comment>
    <comment ref="F38" authorId="1" shapeId="0" xr:uid="{00000000-0006-0000-5600-000072000000}">
      <text>
        <r>
          <rPr>
            <sz val="12"/>
            <color theme="1"/>
            <rFont val="Aptos Narrow"/>
            <family val="2"/>
            <scheme val="minor"/>
          </rPr>
          <t xml:space="preserve">Dat's MacBook Pro:
29690
</t>
        </r>
      </text>
    </comment>
  </commentList>
</comments>
</file>

<file path=xl/comments88.xml><?xml version="1.0" encoding="utf-8"?>
<comments xmlns="http://schemas.openxmlformats.org/spreadsheetml/2006/main" xmlns:mc="http://schemas.openxmlformats.org/markup-compatibility/2006" xmlns:xr="http://schemas.microsoft.com/office/spreadsheetml/2014/revision" mc:Ignorable="xr">
  <authors>
    <author>Người dùng Khách</author>
    <author>Microsoft Office User</author>
    <author>Duy</author>
    <author>danielnguyen6111998@gmail.com</author>
    <author>Dat's MacBook Pro</author>
    <author>chit trang</author>
  </authors>
  <commentList>
    <comment ref="D2" authorId="0" shapeId="0" xr:uid="{00000000-0006-0000-5700-000001000000}">
      <text>
        <r>
          <rPr>
            <sz val="12"/>
            <color theme="1"/>
            <rFont val="Aptos Narrow"/>
            <family val="2"/>
            <scheme val="minor"/>
          </rPr>
          <t>Người dùng Không xác định:
24890</t>
        </r>
      </text>
    </comment>
    <comment ref="E2" authorId="1" shapeId="0" xr:uid="{00000000-0006-0000-5700-000002000000}">
      <text>
        <r>
          <rPr>
            <sz val="12"/>
            <color theme="1"/>
            <rFont val="Aptos Narrow"/>
            <family val="2"/>
            <scheme val="minor"/>
          </rPr>
          <t xml:space="preserve">was 24490
VNP500
</t>
        </r>
      </text>
    </comment>
    <comment ref="C3" authorId="2" shapeId="0" xr:uid="{00000000-0006-0000-5700-000003000000}">
      <text>
        <r>
          <rPr>
            <sz val="12"/>
            <color theme="1"/>
            <rFont val="Aptos Narrow"/>
            <family val="2"/>
            <scheme val="minor"/>
          </rPr>
          <t>W12 30890</t>
        </r>
      </text>
    </comment>
    <comment ref="D3" authorId="0" shapeId="0" xr:uid="{00000000-0006-0000-5700-000004000000}">
      <text>
        <r>
          <rPr>
            <sz val="12"/>
            <color theme="1"/>
            <rFont val="Aptos Narrow"/>
            <family val="2"/>
            <scheme val="minor"/>
          </rPr>
          <t>Người dùng Không xác định:30.590</t>
        </r>
      </text>
    </comment>
    <comment ref="F3" authorId="0" shapeId="0" xr:uid="{00000000-0006-0000-5700-000005000000}">
      <text>
        <r>
          <rPr>
            <sz val="12"/>
            <color theme="1"/>
            <rFont val="Aptos Narrow"/>
            <family val="2"/>
            <scheme val="minor"/>
          </rPr>
          <t>Người dùng Không xác định:
30590000</t>
        </r>
      </text>
    </comment>
    <comment ref="F4" authorId="3" shapeId="0" xr:uid="{00000000-0006-0000-5700-000006000000}">
      <text>
        <r>
          <rPr>
            <sz val="12"/>
            <color theme="1"/>
            <rFont val="Aptos Narrow"/>
            <family val="2"/>
            <scheme val="minor"/>
          </rPr>
          <t>danielnguyen6111998@gmail.com:
34590000</t>
        </r>
      </text>
    </comment>
    <comment ref="D5" authorId="0" shapeId="0" xr:uid="{00000000-0006-0000-5700-000007000000}">
      <text>
        <r>
          <rPr>
            <sz val="12"/>
            <color theme="1"/>
            <rFont val="Aptos Narrow"/>
            <family val="2"/>
            <scheme val="minor"/>
          </rPr>
          <t>Người dùng Không xác định:
37.990</t>
        </r>
      </text>
    </comment>
    <comment ref="E5" authorId="1" shapeId="0" xr:uid="{00000000-0006-0000-5700-000008000000}">
      <text>
        <r>
          <rPr>
            <sz val="12"/>
            <color theme="1"/>
            <rFont val="Aptos Narrow"/>
            <family val="2"/>
            <scheme val="minor"/>
          </rPr>
          <t>was 36690
Cam Xanh
VNP500</t>
        </r>
      </text>
    </comment>
    <comment ref="E7" authorId="1" shapeId="0" xr:uid="{00000000-0006-0000-5700-000009000000}">
      <text>
        <r>
          <rPr>
            <sz val="12"/>
            <color theme="1"/>
            <rFont val="Aptos Narrow"/>
            <family val="2"/>
            <scheme val="minor"/>
          </rPr>
          <t>Giờ vàng</t>
        </r>
      </text>
    </comment>
    <comment ref="B8" authorId="1" shapeId="0" xr:uid="{00000000-0006-0000-5700-00000A000000}">
      <text>
        <r>
          <rPr>
            <sz val="12"/>
            <color theme="1"/>
            <rFont val="Aptos Narrow"/>
            <family val="2"/>
            <scheme val="minor"/>
          </rPr>
          <t>was 24640000
VNP150</t>
        </r>
      </text>
    </comment>
    <comment ref="D8" authorId="0" shapeId="0" xr:uid="{00000000-0006-0000-5700-00000B000000}">
      <text>
        <r>
          <rPr>
            <sz val="12"/>
            <color theme="1"/>
            <rFont val="Aptos Narrow"/>
            <family val="2"/>
            <scheme val="minor"/>
          </rPr>
          <t>Người dùng Không xác định:
24.590</t>
        </r>
      </text>
    </comment>
    <comment ref="E8" authorId="1" shapeId="0" xr:uid="{00000000-0006-0000-5700-00000C000000}">
      <text>
        <r>
          <rPr>
            <sz val="12"/>
            <color theme="1"/>
            <rFont val="Aptos Narrow"/>
            <family val="2"/>
            <scheme val="minor"/>
          </rPr>
          <t>Giờ vàng</t>
        </r>
      </text>
    </comment>
    <comment ref="B10" authorId="1" shapeId="0" xr:uid="{00000000-0006-0000-5700-00000D000000}">
      <text>
        <r>
          <rPr>
            <sz val="12"/>
            <color theme="1"/>
            <rFont val="Aptos Narrow"/>
            <family val="2"/>
            <scheme val="minor"/>
          </rPr>
          <t>Tặng phiếu mua hàng mua AirPods và Apple Watch trị giá 500,000đ
 Phiếu mua hàng mua sản phẩm giá niêm yết từ 5 triệu thuộc các nhóm TAI NGHE - LOA hãng HARMAN KARDON, JBL,MONSTER, KLIPSCH, MARSHALL, SONY; Smartwatch hãng HUAWEI, GARMIN, SAMSUNG, IMOO, OPPO, AMAZFIT trị giá 500.000đ</t>
        </r>
      </text>
    </comment>
    <comment ref="G10" authorId="4" shapeId="0" xr:uid="{00000000-0006-0000-5700-00000E000000}">
      <text>
        <r>
          <rPr>
            <sz val="12"/>
            <color theme="1"/>
            <rFont val="Aptos Narrow"/>
            <family val="2"/>
            <scheme val="minor"/>
          </rPr>
          <t>Dat's MacBook Pro:
29690</t>
        </r>
      </text>
    </comment>
    <comment ref="E11" authorId="1" shapeId="0" xr:uid="{00000000-0006-0000-5700-00000F000000}">
      <text>
        <r>
          <rPr>
            <sz val="12"/>
            <color theme="1"/>
            <rFont val="Aptos Narrow"/>
            <family val="2"/>
            <scheme val="minor"/>
          </rPr>
          <t>Giờ vàng</t>
        </r>
      </text>
    </comment>
    <comment ref="F11" authorId="0" shapeId="0" xr:uid="{00000000-0006-0000-5700-000010000000}">
      <text>
        <r>
          <rPr>
            <sz val="12"/>
            <color theme="1"/>
            <rFont val="Aptos Narrow"/>
            <family val="2"/>
            <scheme val="minor"/>
          </rPr>
          <t>Người dùng Không xác định:16890000
16990000</t>
        </r>
      </text>
    </comment>
    <comment ref="C13" authorId="2" shapeId="0" xr:uid="{00000000-0006-0000-5700-000011000000}">
      <text>
        <r>
          <rPr>
            <sz val="12"/>
            <color theme="1"/>
            <rFont val="Aptos Narrow"/>
            <family val="2"/>
            <scheme val="minor"/>
          </rPr>
          <t>W12 13990</t>
        </r>
      </text>
    </comment>
    <comment ref="B14" authorId="1" shapeId="0" xr:uid="{00000000-0006-0000-5700-000012000000}">
      <text>
        <r>
          <rPr>
            <sz val="12"/>
            <color theme="1"/>
            <rFont val="Aptos Narrow"/>
            <family val="2"/>
            <scheme val="minor"/>
          </rPr>
          <t>was 13190
VNP100</t>
        </r>
      </text>
    </comment>
    <comment ref="C14" authorId="2" shapeId="0" xr:uid="{00000000-0006-0000-5700-000013000000}">
      <text>
        <r>
          <rPr>
            <sz val="12"/>
            <color theme="1"/>
            <rFont val="Aptos Narrow"/>
            <family val="2"/>
            <scheme val="minor"/>
          </rPr>
          <t>W12 12490</t>
        </r>
      </text>
    </comment>
    <comment ref="D14" authorId="0" shapeId="0" xr:uid="{00000000-0006-0000-5700-000014000000}">
      <text>
        <r>
          <rPr>
            <sz val="12"/>
            <color theme="1"/>
            <rFont val="Aptos Narrow"/>
            <family val="2"/>
            <scheme val="minor"/>
          </rPr>
          <t>Người dùng Không xác định:
12190</t>
        </r>
      </text>
    </comment>
    <comment ref="E14" authorId="1" shapeId="0" xr:uid="{00000000-0006-0000-5700-000015000000}">
      <text>
        <r>
          <rPr>
            <sz val="12"/>
            <color theme="1"/>
            <rFont val="Aptos Narrow"/>
            <family val="2"/>
            <scheme val="minor"/>
          </rPr>
          <t>Giờ vàng</t>
        </r>
      </text>
    </comment>
    <comment ref="B16" authorId="1" shapeId="0" xr:uid="{00000000-0006-0000-5700-000016000000}">
      <text>
        <r>
          <rPr>
            <sz val="12"/>
            <color theme="1"/>
            <rFont val="Aptos Narrow"/>
            <family val="2"/>
            <scheme val="minor"/>
          </rPr>
          <t>was 7040
VNP40</t>
        </r>
      </text>
    </comment>
    <comment ref="D16" authorId="5" shapeId="0" xr:uid="{00000000-0006-0000-5700-000017000000}">
      <text>
        <r>
          <rPr>
            <sz val="12"/>
            <color theme="1"/>
            <rFont val="Aptos Narrow"/>
            <family val="2"/>
            <scheme val="minor"/>
          </rPr>
          <t>chit trang:
8690</t>
        </r>
      </text>
    </comment>
    <comment ref="E16" authorId="1" shapeId="0" xr:uid="{00000000-0006-0000-5700-000018000000}">
      <text>
        <r>
          <rPr>
            <sz val="12"/>
            <color theme="1"/>
            <rFont val="Aptos Narrow"/>
            <family val="2"/>
            <scheme val="minor"/>
          </rPr>
          <t>was 8490
HSSV 200</t>
        </r>
      </text>
    </comment>
    <comment ref="F16" authorId="0" shapeId="0" xr:uid="{00000000-0006-0000-5700-000019000000}">
      <text>
        <r>
          <rPr>
            <sz val="12"/>
            <color theme="1"/>
            <rFont val="Aptos Narrow"/>
            <family val="2"/>
            <scheme val="minor"/>
          </rPr>
          <t>Người dùng Không xác định:
8690000</t>
        </r>
      </text>
    </comment>
    <comment ref="B17" authorId="1" shapeId="0" xr:uid="{00000000-0006-0000-5700-00001A000000}">
      <text>
        <r>
          <rPr>
            <sz val="12"/>
            <color theme="1"/>
            <rFont val="Aptos Narrow"/>
            <family val="2"/>
            <scheme val="minor"/>
          </rPr>
          <t>was 14390</t>
        </r>
      </text>
    </comment>
    <comment ref="C17" authorId="2" shapeId="0" xr:uid="{00000000-0006-0000-5700-00001B000000}">
      <text>
        <r>
          <rPr>
            <sz val="12"/>
            <color theme="1"/>
            <rFont val="Aptos Narrow"/>
            <family val="2"/>
            <scheme val="minor"/>
          </rPr>
          <t>W12 13290</t>
        </r>
      </text>
    </comment>
    <comment ref="D17" authorId="0" shapeId="0" xr:uid="{00000000-0006-0000-5700-00001C000000}">
      <text>
        <r>
          <rPr>
            <sz val="12"/>
            <color theme="1"/>
            <rFont val="Aptos Narrow"/>
            <family val="2"/>
            <scheme val="minor"/>
          </rPr>
          <t>Người dùng Không xác định:
13.190</t>
        </r>
      </text>
    </comment>
    <comment ref="E17" authorId="1" shapeId="0" xr:uid="{00000000-0006-0000-5700-00001D000000}">
      <text>
        <r>
          <rPr>
            <sz val="12"/>
            <color theme="1"/>
            <rFont val="Aptos Narrow"/>
            <family val="2"/>
            <scheme val="minor"/>
          </rPr>
          <t>was 12990
HSSV 200</t>
        </r>
      </text>
    </comment>
    <comment ref="F17" authorId="0" shapeId="0" xr:uid="{00000000-0006-0000-5700-00001E000000}">
      <text>
        <r>
          <rPr>
            <sz val="12"/>
            <color theme="1"/>
            <rFont val="Aptos Narrow"/>
            <family val="2"/>
            <scheme val="minor"/>
          </rPr>
          <t>Người dùng Không xác định:
13290000</t>
        </r>
      </text>
    </comment>
    <comment ref="G17" authorId="4" shapeId="0" xr:uid="{00000000-0006-0000-5700-00001F000000}">
      <text>
        <r>
          <rPr>
            <sz val="12"/>
            <color theme="1"/>
            <rFont val="Aptos Narrow"/>
            <family val="2"/>
            <scheme val="minor"/>
          </rPr>
          <t>Dat's MacBook Pro:
15490</t>
        </r>
      </text>
    </comment>
    <comment ref="C18" authorId="2" shapeId="0" xr:uid="{00000000-0006-0000-5700-000020000000}">
      <text>
        <r>
          <rPr>
            <sz val="12"/>
            <color theme="1"/>
            <rFont val="Aptos Narrow"/>
            <family val="2"/>
            <scheme val="minor"/>
          </rPr>
          <t>W12 19290</t>
        </r>
      </text>
    </comment>
    <comment ref="D18" authorId="0" shapeId="0" xr:uid="{00000000-0006-0000-5700-000021000000}">
      <text>
        <r>
          <rPr>
            <sz val="12"/>
            <color theme="1"/>
            <rFont val="Aptos Narrow"/>
            <family val="2"/>
            <scheme val="minor"/>
          </rPr>
          <t>19.290</t>
        </r>
      </text>
    </comment>
    <comment ref="F18" authorId="0" shapeId="0" xr:uid="{00000000-0006-0000-5700-000022000000}">
      <text>
        <r>
          <rPr>
            <sz val="12"/>
            <color theme="1"/>
            <rFont val="Aptos Narrow"/>
            <family val="2"/>
            <scheme val="minor"/>
          </rPr>
          <t>Người dùng Không xác định:
19290000</t>
        </r>
      </text>
    </comment>
    <comment ref="B20" authorId="1" shapeId="0" xr:uid="{00000000-0006-0000-5700-000023000000}">
      <text>
        <r>
          <rPr>
            <sz val="12"/>
            <color theme="1"/>
            <rFont val="Aptos Narrow"/>
            <family val="2"/>
            <scheme val="minor"/>
          </rPr>
          <t>was 36640</t>
        </r>
      </text>
    </comment>
    <comment ref="C23" authorId="2" shapeId="0" xr:uid="{00000000-0006-0000-5700-000024000000}">
      <text>
        <r>
          <rPr>
            <sz val="12"/>
            <color theme="1"/>
            <rFont val="Aptos Narrow"/>
            <family val="2"/>
            <scheme val="minor"/>
          </rPr>
          <t>W12 5890</t>
        </r>
      </text>
    </comment>
    <comment ref="D23" authorId="0" shapeId="0" xr:uid="{00000000-0006-0000-5700-000025000000}">
      <text>
        <r>
          <rPr>
            <sz val="12"/>
            <color theme="1"/>
            <rFont val="Aptos Narrow"/>
            <family val="2"/>
            <scheme val="minor"/>
          </rPr>
          <t>5.690</t>
        </r>
      </text>
    </comment>
    <comment ref="D24" authorId="0" shapeId="0" xr:uid="{00000000-0006-0000-5700-000026000000}">
      <text>
        <r>
          <rPr>
            <sz val="12"/>
            <color theme="1"/>
            <rFont val="Aptos Narrow"/>
            <family val="2"/>
            <scheme val="minor"/>
          </rPr>
          <t>7.990</t>
        </r>
      </text>
    </comment>
    <comment ref="E24" authorId="1" shapeId="0" xr:uid="{00000000-0006-0000-5700-000027000000}">
      <text>
        <r>
          <rPr>
            <sz val="12"/>
            <color theme="1"/>
            <rFont val="Aptos Narrow"/>
            <family val="2"/>
            <scheme val="minor"/>
          </rPr>
          <t>was 7490
new 500</t>
        </r>
      </text>
    </comment>
    <comment ref="C26" authorId="2" shapeId="0" xr:uid="{00000000-0006-0000-5700-000028000000}">
      <text>
        <r>
          <rPr>
            <sz val="12"/>
            <color theme="1"/>
            <rFont val="Aptos Narrow"/>
            <family val="2"/>
            <scheme val="minor"/>
          </rPr>
          <t>W12 8590</t>
        </r>
      </text>
    </comment>
    <comment ref="D26" authorId="0" shapeId="0" xr:uid="{00000000-0006-0000-5700-000029000000}">
      <text>
        <r>
          <rPr>
            <sz val="12"/>
            <color theme="1"/>
            <rFont val="Aptos Narrow"/>
            <family val="2"/>
            <scheme val="minor"/>
          </rPr>
          <t>Người dùng Không xác định:
8.790</t>
        </r>
      </text>
    </comment>
    <comment ref="C27" authorId="2" shapeId="0" xr:uid="{00000000-0006-0000-5700-00002A000000}">
      <text>
        <r>
          <rPr>
            <sz val="12"/>
            <color theme="1"/>
            <rFont val="Aptos Narrow"/>
            <family val="2"/>
            <scheme val="minor"/>
          </rPr>
          <t>W12 9290</t>
        </r>
      </text>
    </comment>
    <comment ref="D27" authorId="0" shapeId="0" xr:uid="{00000000-0006-0000-5700-00002B000000}">
      <text>
        <r>
          <rPr>
            <sz val="12"/>
            <color theme="1"/>
            <rFont val="Aptos Narrow"/>
            <family val="2"/>
            <scheme val="minor"/>
          </rPr>
          <t>9290</t>
        </r>
      </text>
    </comment>
    <comment ref="D28" authorId="0" shapeId="0" xr:uid="{00000000-0006-0000-5700-00002C000000}">
      <text>
        <r>
          <rPr>
            <sz val="12"/>
            <color theme="1"/>
            <rFont val="Aptos Narrow"/>
            <family val="2"/>
            <scheme val="minor"/>
          </rPr>
          <t>Người dùng Không xác định:
13.290</t>
        </r>
      </text>
    </comment>
    <comment ref="F28" authorId="3" shapeId="0" xr:uid="{00000000-0006-0000-5700-00002D000000}">
      <text>
        <r>
          <rPr>
            <sz val="12"/>
            <color theme="1"/>
            <rFont val="Aptos Narrow"/>
            <family val="2"/>
            <scheme val="minor"/>
          </rPr>
          <t>danielnguyen6111998@gmail.com:
13690000</t>
        </r>
      </text>
    </comment>
    <comment ref="C29" authorId="2" shapeId="0" xr:uid="{00000000-0006-0000-5700-00002E000000}">
      <text>
        <r>
          <rPr>
            <sz val="12"/>
            <color theme="1"/>
            <rFont val="Aptos Narrow"/>
            <family val="2"/>
            <scheme val="minor"/>
          </rPr>
          <t>W12 10150</t>
        </r>
      </text>
    </comment>
    <comment ref="C30" authorId="2" shapeId="0" xr:uid="{00000000-0006-0000-5700-00002F000000}">
      <text>
        <r>
          <rPr>
            <sz val="12"/>
            <color theme="1"/>
            <rFont val="Aptos Narrow"/>
            <family val="2"/>
            <scheme val="minor"/>
          </rPr>
          <t>W12 14890</t>
        </r>
      </text>
    </comment>
    <comment ref="D31" authorId="5" shapeId="0" xr:uid="{00000000-0006-0000-5700-000030000000}">
      <text>
        <r>
          <rPr>
            <sz val="12"/>
            <color theme="1"/>
            <rFont val="Aptos Narrow"/>
            <family val="2"/>
            <scheme val="minor"/>
          </rPr>
          <t>chit trang:
23.390k</t>
        </r>
      </text>
    </comment>
    <comment ref="B32" authorId="1" shapeId="0" xr:uid="{00000000-0006-0000-5700-000031000000}">
      <text>
        <r>
          <rPr>
            <sz val="12"/>
            <color theme="1"/>
            <rFont val="Aptos Narrow"/>
            <family val="2"/>
            <scheme val="minor"/>
          </rPr>
          <t>was 5550
VNP40</t>
        </r>
      </text>
    </comment>
    <comment ref="D32" authorId="5" shapeId="0" xr:uid="{00000000-0006-0000-5700-000032000000}">
      <text>
        <r>
          <rPr>
            <sz val="12"/>
            <color theme="1"/>
            <rFont val="Aptos Narrow"/>
            <family val="2"/>
            <scheme val="minor"/>
          </rPr>
          <t>chit tran4.290</t>
        </r>
      </text>
    </comment>
    <comment ref="B33" authorId="1" shapeId="0" xr:uid="{00000000-0006-0000-5700-000033000000}">
      <text>
        <r>
          <rPr>
            <sz val="12"/>
            <color theme="1"/>
            <rFont val="Aptos Narrow"/>
            <family val="2"/>
            <scheme val="minor"/>
          </rPr>
          <t xml:space="preserve">was 4490
</t>
        </r>
      </text>
    </comment>
    <comment ref="B34" authorId="1" shapeId="0" xr:uid="{00000000-0006-0000-5700-000034000000}">
      <text>
        <r>
          <rPr>
            <sz val="12"/>
            <color theme="1"/>
            <rFont val="Aptos Narrow"/>
            <family val="2"/>
            <scheme val="minor"/>
          </rPr>
          <t>was 3190</t>
        </r>
      </text>
    </comment>
    <comment ref="D34" authorId="5" shapeId="0" xr:uid="{00000000-0006-0000-5700-000035000000}">
      <text>
        <r>
          <rPr>
            <sz val="12"/>
            <color theme="1"/>
            <rFont val="Aptos Narrow"/>
            <family val="2"/>
            <scheme val="minor"/>
          </rPr>
          <t>2.990</t>
        </r>
      </text>
    </comment>
    <comment ref="F36" authorId="0" shapeId="0" xr:uid="{00000000-0006-0000-5700-000036000000}">
      <text>
        <r>
          <rPr>
            <sz val="12"/>
            <color theme="1"/>
            <rFont val="Aptos Narrow"/>
            <family val="2"/>
            <scheme val="minor"/>
          </rPr>
          <t>Người dùng Không xác định: 19490000</t>
        </r>
      </text>
    </comment>
    <comment ref="D37" authorId="0" shapeId="0" xr:uid="{00000000-0006-0000-5700-000037000000}">
      <text>
        <r>
          <rPr>
            <sz val="12"/>
            <color theme="1"/>
            <rFont val="Aptos Narrow"/>
            <family val="2"/>
            <scheme val="minor"/>
          </rPr>
          <t>Người dùng Không xác định:
25090</t>
        </r>
      </text>
    </comment>
    <comment ref="F37" authorId="0" shapeId="0" xr:uid="{00000000-0006-0000-5700-000038000000}">
      <text>
        <r>
          <rPr>
            <sz val="12"/>
            <color theme="1"/>
            <rFont val="Aptos Narrow"/>
            <family val="2"/>
            <scheme val="minor"/>
          </rPr>
          <t>Người dùng Không xác định:
25090000</t>
        </r>
      </text>
    </comment>
    <comment ref="F38" authorId="4" shapeId="0" xr:uid="{00000000-0006-0000-5700-000039000000}">
      <text>
        <r>
          <rPr>
            <sz val="12"/>
            <color theme="1"/>
            <rFont val="Aptos Narrow"/>
            <family val="2"/>
            <scheme val="minor"/>
          </rPr>
          <t xml:space="preserve">Dat's MacBook Pro:
29690
</t>
        </r>
      </text>
    </comment>
  </commentList>
</comments>
</file>

<file path=xl/comments89.xml><?xml version="1.0" encoding="utf-8"?>
<comments xmlns="http://schemas.openxmlformats.org/spreadsheetml/2006/main" xmlns:mc="http://schemas.openxmlformats.org/markup-compatibility/2006" xmlns:xr="http://schemas.microsoft.com/office/spreadsheetml/2014/revision" mc:Ignorable="xr">
  <authors>
    <author>Người dùng Khách</author>
    <author>Microsoft Office User</author>
    <author>Duy Ha Minh</author>
    <author>Duy</author>
    <author>danielnguyen6111998@gmail.com</author>
    <author>Dat's MacBook Pro</author>
    <author>chit trang</author>
  </authors>
  <commentList>
    <comment ref="D2" authorId="0" shapeId="0" xr:uid="{00000000-0006-0000-5800-000001000000}">
      <text>
        <r>
          <rPr>
            <sz val="12"/>
            <color theme="1"/>
            <rFont val="Aptos Narrow"/>
            <family val="2"/>
            <scheme val="minor"/>
          </rPr>
          <t>Người dùng Không xác định:
24690</t>
        </r>
      </text>
    </comment>
    <comment ref="E2" authorId="1" shapeId="0" xr:uid="{00000000-0006-0000-5800-000002000000}">
      <text>
        <r>
          <rPr>
            <sz val="12"/>
            <color theme="1"/>
            <rFont val="Aptos Narrow"/>
            <family val="2"/>
            <scheme val="minor"/>
          </rPr>
          <t xml:space="preserve">was 24190
</t>
        </r>
      </text>
    </comment>
    <comment ref="F2" authorId="2" shapeId="0" xr:uid="{00000000-0006-0000-5800-000003000000}">
      <text>
        <r>
          <rPr>
            <sz val="12"/>
            <color theme="1"/>
            <rFont val="Aptos Narrow"/>
            <family val="2"/>
            <scheme val="minor"/>
          </rPr>
          <t>W13 24690</t>
        </r>
      </text>
    </comment>
    <comment ref="C3" authorId="3" shapeId="0" xr:uid="{00000000-0006-0000-5800-000004000000}">
      <text>
        <r>
          <rPr>
            <sz val="12"/>
            <color theme="1"/>
            <rFont val="Aptos Narrow"/>
            <family val="2"/>
            <scheme val="minor"/>
          </rPr>
          <t>W12 30290000</t>
        </r>
      </text>
    </comment>
    <comment ref="D3" authorId="0" shapeId="0" xr:uid="{00000000-0006-0000-5800-000005000000}">
      <text>
        <r>
          <rPr>
            <sz val="12"/>
            <color theme="1"/>
            <rFont val="Aptos Narrow"/>
            <family val="2"/>
            <scheme val="minor"/>
          </rPr>
          <t>27.990</t>
        </r>
      </text>
    </comment>
    <comment ref="E3" authorId="0" shapeId="0" xr:uid="{00000000-0006-0000-5800-000006000000}">
      <text>
        <r>
          <rPr>
            <sz val="12"/>
            <color theme="1"/>
            <rFont val="Aptos Narrow"/>
            <family val="2"/>
            <scheme val="minor"/>
          </rPr>
          <t>Người dùng Không xác định:
29.990</t>
        </r>
      </text>
    </comment>
    <comment ref="F3" authorId="0" shapeId="0" xr:uid="{00000000-0006-0000-5800-000007000000}">
      <text>
        <r>
          <rPr>
            <sz val="12"/>
            <color theme="1"/>
            <rFont val="Aptos Narrow"/>
            <family val="2"/>
            <scheme val="minor"/>
          </rPr>
          <t>W13 29990</t>
        </r>
      </text>
    </comment>
    <comment ref="D4" authorId="0" shapeId="0" xr:uid="{00000000-0006-0000-5800-000008000000}">
      <text>
        <r>
          <rPr>
            <sz val="12"/>
            <color theme="1"/>
            <rFont val="Aptos Narrow"/>
            <family val="2"/>
            <scheme val="minor"/>
          </rPr>
          <t>Người dùng Không xác định:
34.390</t>
        </r>
      </text>
    </comment>
    <comment ref="E4" authorId="0" shapeId="0" xr:uid="{00000000-0006-0000-5800-000009000000}">
      <text>
        <r>
          <rPr>
            <sz val="12"/>
            <color theme="1"/>
            <rFont val="Aptos Narrow"/>
            <family val="2"/>
            <scheme val="minor"/>
          </rPr>
          <t>Người dùng Không xác định:
33.490</t>
        </r>
      </text>
    </comment>
    <comment ref="F4" authorId="4" shapeId="0" xr:uid="{00000000-0006-0000-5800-00000A000000}">
      <text>
        <r>
          <rPr>
            <sz val="12"/>
            <color theme="1"/>
            <rFont val="Aptos Narrow"/>
            <family val="2"/>
            <scheme val="minor"/>
          </rPr>
          <t>W13 34590</t>
        </r>
      </text>
    </comment>
    <comment ref="D5" authorId="0" shapeId="0" xr:uid="{00000000-0006-0000-5800-00000B000000}">
      <text>
        <r>
          <rPr>
            <sz val="12"/>
            <color theme="1"/>
            <rFont val="Aptos Narrow"/>
            <family val="2"/>
            <scheme val="minor"/>
          </rPr>
          <t>Người dùng Không xác định:
37.790</t>
        </r>
      </text>
    </comment>
    <comment ref="E5" authorId="1" shapeId="0" xr:uid="{00000000-0006-0000-5800-00000C000000}">
      <text>
        <r>
          <rPr>
            <sz val="12"/>
            <color theme="1"/>
            <rFont val="Aptos Narrow"/>
            <family val="2"/>
            <scheme val="minor"/>
          </rPr>
          <t xml:space="preserve">was 36490
</t>
        </r>
      </text>
    </comment>
    <comment ref="F5" authorId="2" shapeId="0" xr:uid="{00000000-0006-0000-5800-00000D000000}">
      <text>
        <r>
          <rPr>
            <sz val="12"/>
            <color theme="1"/>
            <rFont val="Aptos Narrow"/>
            <family val="2"/>
            <scheme val="minor"/>
          </rPr>
          <t>W13 37790</t>
        </r>
      </text>
    </comment>
    <comment ref="C7" authorId="0" shapeId="0" xr:uid="{00000000-0006-0000-5800-00000E000000}">
      <text>
        <r>
          <rPr>
            <sz val="12"/>
            <color theme="1"/>
            <rFont val="Aptos Narrow"/>
            <family val="2"/>
            <scheme val="minor"/>
          </rPr>
          <t>Người dùng Không xác định:
21190000</t>
        </r>
      </text>
    </comment>
    <comment ref="D7" authorId="0" shapeId="0" xr:uid="{00000000-0006-0000-5800-00000F000000}">
      <text>
        <r>
          <rPr>
            <sz val="12"/>
            <color theme="1"/>
            <rFont val="Aptos Narrow"/>
            <family val="2"/>
            <scheme val="minor"/>
          </rPr>
          <t>20.890</t>
        </r>
      </text>
    </comment>
    <comment ref="E7" authorId="1" shapeId="0" xr:uid="{00000000-0006-0000-5800-000010000000}">
      <text>
        <r>
          <rPr>
            <sz val="12"/>
            <color theme="1"/>
            <rFont val="Aptos Narrow"/>
            <family val="2"/>
            <scheme val="minor"/>
          </rPr>
          <t>20.490</t>
        </r>
      </text>
    </comment>
    <comment ref="F7" authorId="2" shapeId="0" xr:uid="{00000000-0006-0000-5800-000011000000}">
      <text>
        <r>
          <rPr>
            <sz val="12"/>
            <color theme="1"/>
            <rFont val="Aptos Narrow"/>
            <family val="2"/>
            <scheme val="minor"/>
          </rPr>
          <t>W13 20890</t>
        </r>
      </text>
    </comment>
    <comment ref="B8" authorId="1" shapeId="0" xr:uid="{00000000-0006-0000-5800-000012000000}">
      <text>
        <r>
          <rPr>
            <sz val="12"/>
            <color theme="1"/>
            <rFont val="Aptos Narrow"/>
            <family val="2"/>
            <scheme val="minor"/>
          </rPr>
          <t>was 24640000
VNP150</t>
        </r>
      </text>
    </comment>
    <comment ref="C8" authorId="0" shapeId="0" xr:uid="{00000000-0006-0000-5800-000013000000}">
      <text>
        <r>
          <rPr>
            <sz val="12"/>
            <color theme="1"/>
            <rFont val="Aptos Narrow"/>
            <family val="2"/>
            <scheme val="minor"/>
          </rPr>
          <t>Người dùng Không xác định:
24890000</t>
        </r>
      </text>
    </comment>
    <comment ref="D8" authorId="0" shapeId="0" xr:uid="{00000000-0006-0000-5800-000014000000}">
      <text>
        <r>
          <rPr>
            <sz val="12"/>
            <color theme="1"/>
            <rFont val="Aptos Narrow"/>
            <family val="2"/>
            <scheme val="minor"/>
          </rPr>
          <t>25.490</t>
        </r>
      </text>
    </comment>
    <comment ref="F8" authorId="2" shapeId="0" xr:uid="{00000000-0006-0000-5800-000015000000}">
      <text>
        <r>
          <rPr>
            <sz val="12"/>
            <color theme="1"/>
            <rFont val="Aptos Narrow"/>
            <family val="2"/>
            <scheme val="minor"/>
          </rPr>
          <t>W13 24490</t>
        </r>
      </text>
    </comment>
    <comment ref="F9" authorId="2" shapeId="0" xr:uid="{00000000-0006-0000-5800-000016000000}">
      <text>
        <r>
          <rPr>
            <sz val="12"/>
            <color theme="1"/>
            <rFont val="Aptos Narrow"/>
            <family val="2"/>
            <scheme val="minor"/>
          </rPr>
          <t>W13 25390</t>
        </r>
      </text>
    </comment>
    <comment ref="B10" authorId="1" shapeId="0" xr:uid="{00000000-0006-0000-5800-000017000000}">
      <text>
        <r>
          <rPr>
            <sz val="12"/>
            <color theme="1"/>
            <rFont val="Aptos Narrow"/>
            <family val="2"/>
            <scheme val="minor"/>
          </rPr>
          <t>Tặng phiếu mua hàng mua AirPods và Apple Watch trị giá 500,000đ
 Phiếu mua hàng mua sản phẩm giá niêm yết từ 5 triệu thuộc các nhóm TAI NGHE - LOA hãng HARMAN KARDON, JBL,MONSTER, KLIPSCH, MARSHALL, SONY; Smartwatch hãng HUAWEI, GARMIN, SAMSUNG, IMOO, OPPO, AMAZFIT trị giá 500.000đ</t>
        </r>
      </text>
    </comment>
    <comment ref="C10" authorId="0" shapeId="0" xr:uid="{00000000-0006-0000-5800-000018000000}">
      <text>
        <r>
          <rPr>
            <sz val="12"/>
            <color theme="1"/>
            <rFont val="Aptos Narrow"/>
            <family val="2"/>
            <scheme val="minor"/>
          </rPr>
          <t>Người dùng Không xác định:
31290000</t>
        </r>
      </text>
    </comment>
    <comment ref="D10" authorId="0" shapeId="0" xr:uid="{00000000-0006-0000-5800-000019000000}">
      <text>
        <r>
          <rPr>
            <sz val="12"/>
            <color theme="1"/>
            <rFont val="Aptos Narrow"/>
            <family val="2"/>
            <scheme val="minor"/>
          </rPr>
          <t>Người dùng Không xác định:
30.990</t>
        </r>
      </text>
    </comment>
    <comment ref="E10" authorId="0" shapeId="0" xr:uid="{00000000-0006-0000-5800-00001A000000}">
      <text>
        <r>
          <rPr>
            <sz val="12"/>
            <color theme="1"/>
            <rFont val="Aptos Narrow"/>
            <family val="2"/>
            <scheme val="minor"/>
          </rPr>
          <t>Người dùng Không xác định:
30490</t>
        </r>
      </text>
    </comment>
    <comment ref="F10" authorId="2" shapeId="0" xr:uid="{00000000-0006-0000-5800-00001B000000}">
      <text>
        <r>
          <rPr>
            <sz val="12"/>
            <color theme="1"/>
            <rFont val="Aptos Narrow"/>
            <family val="2"/>
            <scheme val="minor"/>
          </rPr>
          <t>W13 30990</t>
        </r>
      </text>
    </comment>
    <comment ref="G10" authorId="5" shapeId="0" xr:uid="{00000000-0006-0000-5800-00001C000000}">
      <text>
        <r>
          <rPr>
            <sz val="12"/>
            <color theme="1"/>
            <rFont val="Aptos Narrow"/>
            <family val="2"/>
            <scheme val="minor"/>
          </rPr>
          <t>Dat's MacBook Pro:
29690</t>
        </r>
      </text>
    </comment>
    <comment ref="C11" authorId="0" shapeId="0" xr:uid="{00000000-0006-0000-5800-00001D000000}">
      <text>
        <r>
          <rPr>
            <sz val="12"/>
            <color theme="1"/>
            <rFont val="Aptos Narrow"/>
            <family val="2"/>
            <scheme val="minor"/>
          </rPr>
          <t>Người dùng Không xác định:
17290000</t>
        </r>
      </text>
    </comment>
    <comment ref="D11" authorId="0" shapeId="0" xr:uid="{00000000-0006-0000-5800-00001E000000}">
      <text>
        <r>
          <rPr>
            <sz val="12"/>
            <color theme="1"/>
            <rFont val="Aptos Narrow"/>
            <family val="2"/>
            <scheme val="minor"/>
          </rPr>
          <t>Người dùng Không xác định:
16.990</t>
        </r>
      </text>
    </comment>
    <comment ref="F11" authorId="0" shapeId="0" xr:uid="{00000000-0006-0000-5800-00001F000000}">
      <text>
        <r>
          <rPr>
            <sz val="12"/>
            <color theme="1"/>
            <rFont val="Aptos Narrow"/>
            <family val="2"/>
            <scheme val="minor"/>
          </rPr>
          <t>W13 16990</t>
        </r>
      </text>
    </comment>
    <comment ref="D13" authorId="0" shapeId="0" xr:uid="{00000000-0006-0000-5800-000020000000}">
      <text>
        <r>
          <rPr>
            <sz val="12"/>
            <color theme="1"/>
            <rFont val="Aptos Narrow"/>
            <family val="2"/>
            <scheme val="minor"/>
          </rPr>
          <t xml:space="preserve">15.390
</t>
        </r>
      </text>
    </comment>
    <comment ref="B14" authorId="1" shapeId="0" xr:uid="{00000000-0006-0000-5800-000021000000}">
      <text>
        <r>
          <rPr>
            <sz val="12"/>
            <color theme="1"/>
            <rFont val="Aptos Narrow"/>
            <family val="2"/>
            <scheme val="minor"/>
          </rPr>
          <t>was 13190
VNP100</t>
        </r>
      </text>
    </comment>
    <comment ref="D14" authorId="0" shapeId="0" xr:uid="{00000000-0006-0000-5800-000022000000}">
      <text>
        <r>
          <rPr>
            <sz val="12"/>
            <color theme="1"/>
            <rFont val="Aptos Narrow"/>
            <family val="2"/>
            <scheme val="minor"/>
          </rPr>
          <t>Người dùng Không xác định:
12.290</t>
        </r>
      </text>
    </comment>
    <comment ref="E14" authorId="1" shapeId="0" xr:uid="{00000000-0006-0000-5800-000023000000}">
      <text>
        <r>
          <rPr>
            <sz val="12"/>
            <color theme="1"/>
            <rFont val="Aptos Narrow"/>
            <family val="2"/>
            <scheme val="minor"/>
          </rPr>
          <t>Giờ vàng</t>
        </r>
      </text>
    </comment>
    <comment ref="D15" authorId="0" shapeId="0" xr:uid="{00000000-0006-0000-5800-000024000000}">
      <text>
        <r>
          <rPr>
            <sz val="12"/>
            <color theme="1"/>
            <rFont val="Aptos Narrow"/>
            <family val="2"/>
            <scheme val="minor"/>
          </rPr>
          <t>11.790</t>
        </r>
      </text>
    </comment>
    <comment ref="B16" authorId="1" shapeId="0" xr:uid="{00000000-0006-0000-5800-000025000000}">
      <text>
        <r>
          <rPr>
            <sz val="12"/>
            <color theme="1"/>
            <rFont val="Aptos Narrow"/>
            <family val="2"/>
            <scheme val="minor"/>
          </rPr>
          <t>was 7040
VNP40</t>
        </r>
      </text>
    </comment>
    <comment ref="C16" authorId="0" shapeId="0" xr:uid="{00000000-0006-0000-5800-000026000000}">
      <text>
        <r>
          <rPr>
            <sz val="12"/>
            <color theme="1"/>
            <rFont val="Aptos Narrow"/>
            <family val="2"/>
            <scheme val="minor"/>
          </rPr>
          <t>Người dùng Không xác định:
8.690</t>
        </r>
      </text>
    </comment>
    <comment ref="E16" authorId="1" shapeId="0" xr:uid="{00000000-0006-0000-5800-000027000000}">
      <text>
        <r>
          <rPr>
            <sz val="12"/>
            <color theme="1"/>
            <rFont val="Aptos Narrow"/>
            <family val="2"/>
            <scheme val="minor"/>
          </rPr>
          <t>was 8390
HSSV 200</t>
        </r>
      </text>
    </comment>
    <comment ref="F16" authorId="0" shapeId="0" xr:uid="{00000000-0006-0000-5800-000028000000}">
      <text>
        <r>
          <rPr>
            <sz val="12"/>
            <color theme="1"/>
            <rFont val="Aptos Narrow"/>
            <family val="2"/>
            <scheme val="minor"/>
          </rPr>
          <t>W13 8490</t>
        </r>
      </text>
    </comment>
    <comment ref="B17" authorId="1" shapeId="0" xr:uid="{00000000-0006-0000-5800-000029000000}">
      <text>
        <r>
          <rPr>
            <sz val="12"/>
            <color theme="1"/>
            <rFont val="Aptos Narrow"/>
            <family val="2"/>
            <scheme val="minor"/>
          </rPr>
          <t>was 14390</t>
        </r>
      </text>
    </comment>
    <comment ref="C17" authorId="3" shapeId="0" xr:uid="{00000000-0006-0000-5800-00002A000000}">
      <text>
        <r>
          <rPr>
            <sz val="12"/>
            <color theme="1"/>
            <rFont val="Aptos Narrow"/>
            <family val="2"/>
            <scheme val="minor"/>
          </rPr>
          <t>W12 12890000</t>
        </r>
      </text>
    </comment>
    <comment ref="D17" authorId="0" shapeId="0" xr:uid="{00000000-0006-0000-5800-00002B000000}">
      <text>
        <r>
          <rPr>
            <sz val="12"/>
            <color theme="1"/>
            <rFont val="Aptos Narrow"/>
            <family val="2"/>
            <scheme val="minor"/>
          </rPr>
          <t>12.890</t>
        </r>
      </text>
    </comment>
    <comment ref="E17" authorId="1" shapeId="0" xr:uid="{00000000-0006-0000-5800-00002C000000}">
      <text>
        <r>
          <rPr>
            <sz val="12"/>
            <color theme="1"/>
            <rFont val="Aptos Narrow"/>
            <family val="2"/>
            <scheme val="minor"/>
          </rPr>
          <t>was 12490
HSSV 200</t>
        </r>
      </text>
    </comment>
    <comment ref="F17" authorId="0" shapeId="0" xr:uid="{00000000-0006-0000-5800-00002D000000}">
      <text>
        <r>
          <rPr>
            <sz val="12"/>
            <color theme="1"/>
            <rFont val="Aptos Narrow"/>
            <family val="2"/>
            <scheme val="minor"/>
          </rPr>
          <t>W13 12890</t>
        </r>
      </text>
    </comment>
    <comment ref="G17" authorId="5" shapeId="0" xr:uid="{00000000-0006-0000-5800-00002E000000}">
      <text>
        <r>
          <rPr>
            <sz val="12"/>
            <color theme="1"/>
            <rFont val="Aptos Narrow"/>
            <family val="2"/>
            <scheme val="minor"/>
          </rPr>
          <t>Dat's MacBook Pro:
15490</t>
        </r>
      </text>
    </comment>
    <comment ref="C18" authorId="3" shapeId="0" xr:uid="{00000000-0006-0000-5800-00002F000000}">
      <text>
        <r>
          <rPr>
            <sz val="12"/>
            <color theme="1"/>
            <rFont val="Aptos Narrow"/>
            <family val="2"/>
            <scheme val="minor"/>
          </rPr>
          <t>W12 18690000</t>
        </r>
      </text>
    </comment>
    <comment ref="D18" authorId="0" shapeId="0" xr:uid="{00000000-0006-0000-5800-000030000000}">
      <text>
        <r>
          <rPr>
            <sz val="12"/>
            <color theme="1"/>
            <rFont val="Aptos Narrow"/>
            <family val="2"/>
            <scheme val="minor"/>
          </rPr>
          <t>18.690</t>
        </r>
      </text>
    </comment>
    <comment ref="F18" authorId="0" shapeId="0" xr:uid="{00000000-0006-0000-5800-000031000000}">
      <text>
        <r>
          <rPr>
            <sz val="12"/>
            <color theme="1"/>
            <rFont val="Aptos Narrow"/>
            <family val="2"/>
            <scheme val="minor"/>
          </rPr>
          <t>W13 18690</t>
        </r>
      </text>
    </comment>
    <comment ref="B20" authorId="1" shapeId="0" xr:uid="{00000000-0006-0000-5800-000032000000}">
      <text>
        <r>
          <rPr>
            <sz val="12"/>
            <color theme="1"/>
            <rFont val="Aptos Narrow"/>
            <family val="2"/>
            <scheme val="minor"/>
          </rPr>
          <t>was 36640</t>
        </r>
      </text>
    </comment>
    <comment ref="D21" authorId="0" shapeId="0" xr:uid="{00000000-0006-0000-5800-000033000000}">
      <text>
        <r>
          <rPr>
            <sz val="12"/>
            <color theme="1"/>
            <rFont val="Aptos Narrow"/>
            <family val="2"/>
            <scheme val="minor"/>
          </rPr>
          <t>29.990</t>
        </r>
      </text>
    </comment>
    <comment ref="F21" authorId="2" shapeId="0" xr:uid="{00000000-0006-0000-5800-000034000000}">
      <text>
        <r>
          <rPr>
            <sz val="12"/>
            <color theme="1"/>
            <rFont val="Aptos Narrow"/>
            <family val="2"/>
            <scheme val="minor"/>
          </rPr>
          <t xml:space="preserve">W13 29990
</t>
        </r>
      </text>
    </comment>
    <comment ref="D23" authorId="0" shapeId="0" xr:uid="{00000000-0006-0000-5800-000035000000}">
      <text>
        <r>
          <rPr>
            <sz val="12"/>
            <color theme="1"/>
            <rFont val="Aptos Narrow"/>
            <family val="2"/>
            <scheme val="minor"/>
          </rPr>
          <t>5.490</t>
        </r>
      </text>
    </comment>
    <comment ref="E23" authorId="0" shapeId="0" xr:uid="{00000000-0006-0000-5800-000036000000}">
      <text>
        <r>
          <rPr>
            <sz val="12"/>
            <color theme="1"/>
            <rFont val="Aptos Narrow"/>
            <family val="2"/>
            <scheme val="minor"/>
          </rPr>
          <t>Người dùng Không xác định:
5.890</t>
        </r>
      </text>
    </comment>
    <comment ref="F23" authorId="2" shapeId="0" xr:uid="{00000000-0006-0000-5800-000037000000}">
      <text>
        <r>
          <rPr>
            <sz val="12"/>
            <color theme="1"/>
            <rFont val="Aptos Narrow"/>
            <family val="2"/>
            <scheme val="minor"/>
          </rPr>
          <t>W13 5590</t>
        </r>
      </text>
    </comment>
    <comment ref="D24" authorId="0" shapeId="0" xr:uid="{00000000-0006-0000-5800-000038000000}">
      <text>
        <r>
          <rPr>
            <sz val="12"/>
            <color theme="1"/>
            <rFont val="Aptos Narrow"/>
            <family val="2"/>
            <scheme val="minor"/>
          </rPr>
          <t>7.990</t>
        </r>
      </text>
    </comment>
    <comment ref="E24" authorId="1" shapeId="0" xr:uid="{00000000-0006-0000-5800-000039000000}">
      <text>
        <r>
          <rPr>
            <sz val="12"/>
            <color theme="1"/>
            <rFont val="Aptos Narrow"/>
            <family val="2"/>
            <scheme val="minor"/>
          </rPr>
          <t>was 7490
new 500</t>
        </r>
      </text>
    </comment>
    <comment ref="F24" authorId="2" shapeId="0" xr:uid="{00000000-0006-0000-5800-00003A000000}">
      <text>
        <r>
          <rPr>
            <sz val="12"/>
            <color theme="1"/>
            <rFont val="Aptos Narrow"/>
            <family val="2"/>
            <scheme val="minor"/>
          </rPr>
          <t>W13 7590</t>
        </r>
      </text>
    </comment>
    <comment ref="E25" authorId="0" shapeId="0" xr:uid="{00000000-0006-0000-5800-00003B000000}">
      <text>
        <r>
          <rPr>
            <sz val="12"/>
            <color theme="1"/>
            <rFont val="Aptos Narrow"/>
            <family val="2"/>
            <scheme val="minor"/>
          </rPr>
          <t>Người dùng Không xác định:
6.490k</t>
        </r>
      </text>
    </comment>
    <comment ref="F25" authorId="2" shapeId="0" xr:uid="{00000000-0006-0000-5800-00003C000000}">
      <text>
        <r>
          <rPr>
            <sz val="12"/>
            <color theme="1"/>
            <rFont val="Aptos Narrow"/>
            <family val="2"/>
            <scheme val="minor"/>
          </rPr>
          <t xml:space="preserve">W13 7190
</t>
        </r>
      </text>
    </comment>
    <comment ref="D26" authorId="0" shapeId="0" xr:uid="{00000000-0006-0000-5800-00003D000000}">
      <text>
        <r>
          <rPr>
            <sz val="12"/>
            <color theme="1"/>
            <rFont val="Aptos Narrow"/>
            <family val="2"/>
            <scheme val="minor"/>
          </rPr>
          <t>Người dùng Không xác định:
8.790</t>
        </r>
      </text>
    </comment>
    <comment ref="E26" authorId="1" shapeId="0" xr:uid="{00000000-0006-0000-5800-00003E000000}">
      <text>
        <r>
          <rPr>
            <sz val="12"/>
            <color theme="1"/>
            <rFont val="Aptos Narrow"/>
            <family val="2"/>
            <scheme val="minor"/>
          </rPr>
          <t xml:space="preserve">was 7990
</t>
        </r>
      </text>
    </comment>
    <comment ref="F26" authorId="2" shapeId="0" xr:uid="{00000000-0006-0000-5800-00003F000000}">
      <text>
        <r>
          <rPr>
            <sz val="12"/>
            <color theme="1"/>
            <rFont val="Aptos Narrow"/>
            <family val="2"/>
            <scheme val="minor"/>
          </rPr>
          <t xml:space="preserve">W13 8790
</t>
        </r>
      </text>
    </comment>
    <comment ref="E27" authorId="0" shapeId="0" xr:uid="{00000000-0006-0000-5800-000040000000}">
      <text>
        <r>
          <rPr>
            <sz val="12"/>
            <color theme="1"/>
            <rFont val="Aptos Narrow"/>
            <family val="2"/>
            <scheme val="minor"/>
          </rPr>
          <t>Người dùng Không xác định:
8.490</t>
        </r>
      </text>
    </comment>
    <comment ref="F27" authorId="2" shapeId="0" xr:uid="{00000000-0006-0000-5800-000041000000}">
      <text>
        <r>
          <rPr>
            <sz val="12"/>
            <color theme="1"/>
            <rFont val="Aptos Narrow"/>
            <family val="2"/>
            <scheme val="minor"/>
          </rPr>
          <t xml:space="preserve">W13 9190
</t>
        </r>
      </text>
    </comment>
    <comment ref="D28" authorId="0" shapeId="0" xr:uid="{00000000-0006-0000-5800-000042000000}">
      <text>
        <r>
          <rPr>
            <sz val="12"/>
            <color theme="1"/>
            <rFont val="Aptos Narrow"/>
            <family val="2"/>
            <scheme val="minor"/>
          </rPr>
          <t>Người dùng Không xác định:
13.290</t>
        </r>
      </text>
    </comment>
    <comment ref="E28" authorId="1" shapeId="0" xr:uid="{00000000-0006-0000-5800-000043000000}">
      <text>
        <r>
          <rPr>
            <sz val="12"/>
            <color theme="1"/>
            <rFont val="Aptos Narrow"/>
            <family val="2"/>
            <scheme val="minor"/>
          </rPr>
          <t xml:space="preserve">was 11490
</t>
        </r>
      </text>
    </comment>
    <comment ref="E29" authorId="0" shapeId="0" xr:uid="{00000000-0006-0000-5800-000044000000}">
      <text>
        <r>
          <rPr>
            <sz val="12"/>
            <color theme="1"/>
            <rFont val="Aptos Narrow"/>
            <family val="2"/>
            <scheme val="minor"/>
          </rPr>
          <t>Người dùng Không xác định:
9.190</t>
        </r>
      </text>
    </comment>
    <comment ref="F29" authorId="2" shapeId="0" xr:uid="{00000000-0006-0000-5800-000045000000}">
      <text>
        <r>
          <rPr>
            <sz val="12"/>
            <color theme="1"/>
            <rFont val="Aptos Narrow"/>
            <family val="2"/>
            <scheme val="minor"/>
          </rPr>
          <t xml:space="preserve">W13 9990
</t>
        </r>
      </text>
    </comment>
    <comment ref="C30" authorId="3" shapeId="0" xr:uid="{00000000-0006-0000-5800-000046000000}">
      <text>
        <r>
          <rPr>
            <sz val="12"/>
            <color theme="1"/>
            <rFont val="Aptos Narrow"/>
            <family val="2"/>
            <scheme val="minor"/>
          </rPr>
          <t>W12 14890</t>
        </r>
      </text>
    </comment>
    <comment ref="D30" authorId="0" shapeId="0" xr:uid="{00000000-0006-0000-5800-000047000000}">
      <text>
        <r>
          <rPr>
            <sz val="12"/>
            <color theme="1"/>
            <rFont val="Aptos Narrow"/>
            <family val="2"/>
            <scheme val="minor"/>
          </rPr>
          <t>Người dùng Không xác định:
13.090</t>
        </r>
      </text>
    </comment>
    <comment ref="E30" authorId="1" shapeId="0" xr:uid="{00000000-0006-0000-5800-000048000000}">
      <text>
        <r>
          <rPr>
            <sz val="12"/>
            <color theme="1"/>
            <rFont val="Aptos Narrow"/>
            <family val="2"/>
            <scheme val="minor"/>
          </rPr>
          <t xml:space="preserve">was 12490
</t>
        </r>
      </text>
    </comment>
    <comment ref="D31" authorId="6" shapeId="0" xr:uid="{00000000-0006-0000-5800-000049000000}">
      <text>
        <r>
          <rPr>
            <sz val="12"/>
            <color theme="1"/>
            <rFont val="Aptos Narrow"/>
            <family val="2"/>
            <scheme val="minor"/>
          </rPr>
          <t>chit trang:
23.190k</t>
        </r>
      </text>
    </comment>
    <comment ref="E31" authorId="0" shapeId="0" xr:uid="{00000000-0006-0000-5800-00004A000000}">
      <text>
        <r>
          <rPr>
            <sz val="12"/>
            <color theme="1"/>
            <rFont val="Aptos Narrow"/>
            <family val="2"/>
            <scheme val="minor"/>
          </rPr>
          <t>Người dùng Không xác định:
22.990</t>
        </r>
      </text>
    </comment>
    <comment ref="B32" authorId="1" shapeId="0" xr:uid="{00000000-0006-0000-5800-00004B000000}">
      <text>
        <r>
          <rPr>
            <sz val="12"/>
            <color theme="1"/>
            <rFont val="Aptos Narrow"/>
            <family val="2"/>
            <scheme val="minor"/>
          </rPr>
          <t>was 5550
VNP40</t>
        </r>
      </text>
    </comment>
    <comment ref="D32" authorId="6" shapeId="0" xr:uid="{00000000-0006-0000-5800-00004C000000}">
      <text>
        <r>
          <rPr>
            <sz val="12"/>
            <color theme="1"/>
            <rFont val="Aptos Narrow"/>
            <family val="2"/>
            <scheme val="minor"/>
          </rPr>
          <t>chit tran4.290</t>
        </r>
      </text>
    </comment>
    <comment ref="E32" authorId="1" shapeId="0" xr:uid="{00000000-0006-0000-5800-00004D000000}">
      <text>
        <r>
          <rPr>
            <sz val="12"/>
            <color theme="1"/>
            <rFont val="Aptos Narrow"/>
            <family val="2"/>
            <scheme val="minor"/>
          </rPr>
          <t xml:space="preserve">was 4290
</t>
        </r>
      </text>
    </comment>
    <comment ref="B33" authorId="1" shapeId="0" xr:uid="{00000000-0006-0000-5800-00004E000000}">
      <text>
        <r>
          <rPr>
            <sz val="12"/>
            <color theme="1"/>
            <rFont val="Aptos Narrow"/>
            <family val="2"/>
            <scheme val="minor"/>
          </rPr>
          <t xml:space="preserve">was 4490
</t>
        </r>
      </text>
    </comment>
    <comment ref="B34" authorId="1" shapeId="0" xr:uid="{00000000-0006-0000-5800-00004F000000}">
      <text>
        <r>
          <rPr>
            <sz val="12"/>
            <color theme="1"/>
            <rFont val="Aptos Narrow"/>
            <family val="2"/>
            <scheme val="minor"/>
          </rPr>
          <t>was 3190</t>
        </r>
      </text>
    </comment>
    <comment ref="D36" authorId="0" shapeId="0" xr:uid="{00000000-0006-0000-5800-000050000000}">
      <text>
        <r>
          <rPr>
            <sz val="12"/>
            <color theme="1"/>
            <rFont val="Aptos Narrow"/>
            <family val="2"/>
            <scheme val="minor"/>
          </rPr>
          <t xml:space="preserve">19.690
</t>
        </r>
      </text>
    </comment>
    <comment ref="C37" authorId="0" shapeId="0" xr:uid="{00000000-0006-0000-5800-000051000000}">
      <text>
        <r>
          <rPr>
            <sz val="12"/>
            <color theme="1"/>
            <rFont val="Aptos Narrow"/>
            <family val="2"/>
            <scheme val="minor"/>
          </rPr>
          <t>Người dùng Không xác định:
25290000</t>
        </r>
      </text>
    </comment>
    <comment ref="D37" authorId="0" shapeId="0" xr:uid="{00000000-0006-0000-5800-000052000000}">
      <text>
        <r>
          <rPr>
            <sz val="12"/>
            <color theme="1"/>
            <rFont val="Aptos Narrow"/>
            <family val="2"/>
            <scheme val="minor"/>
          </rPr>
          <t>Người dùng Không xác định:
24.990</t>
        </r>
      </text>
    </comment>
    <comment ref="F37" authorId="0" shapeId="0" xr:uid="{00000000-0006-0000-5800-000053000000}">
      <text>
        <r>
          <rPr>
            <sz val="12"/>
            <color theme="1"/>
            <rFont val="Aptos Narrow"/>
            <family val="2"/>
            <scheme val="minor"/>
          </rPr>
          <t>W13 24990</t>
        </r>
      </text>
    </comment>
    <comment ref="D38" authorId="0" shapeId="0" xr:uid="{00000000-0006-0000-5800-000054000000}">
      <text>
        <r>
          <rPr>
            <sz val="12"/>
            <color theme="1"/>
            <rFont val="Aptos Narrow"/>
            <family val="2"/>
            <scheme val="minor"/>
          </rPr>
          <t>29.990</t>
        </r>
      </text>
    </comment>
    <comment ref="F38" authorId="5" shapeId="0" xr:uid="{00000000-0006-0000-5800-000055000000}">
      <text>
        <r>
          <rPr>
            <sz val="12"/>
            <color theme="1"/>
            <rFont val="Aptos Narrow"/>
            <family val="2"/>
            <scheme val="minor"/>
          </rPr>
          <t xml:space="preserve">W13 29990
</t>
        </r>
      </text>
    </comment>
    <comment ref="D41" authorId="0" shapeId="0" xr:uid="{00000000-0006-0000-5800-000056000000}">
      <text>
        <r>
          <rPr>
            <sz val="12"/>
            <color theme="1"/>
            <rFont val="Aptos Narrow"/>
            <family val="2"/>
            <scheme val="minor"/>
          </rPr>
          <t>Người dùng Không xác định:
64.490</t>
        </r>
      </text>
    </comment>
  </commentList>
</comments>
</file>

<file path=xl/comments90.xml><?xml version="1.0" encoding="utf-8"?>
<comments xmlns="http://schemas.openxmlformats.org/spreadsheetml/2006/main" xmlns:mc="http://schemas.openxmlformats.org/markup-compatibility/2006" xmlns:xr="http://schemas.microsoft.com/office/spreadsheetml/2014/revision" mc:Ignorable="xr">
  <authors>
    <author>Người dùng Khách</author>
    <author>Mia</author>
    <author>Duy Ha Minh</author>
    <author>Duy</author>
    <author>Microsoft Office User</author>
    <author>Dat's MacBook Pro</author>
    <author>chit trang</author>
  </authors>
  <commentList>
    <comment ref="D2" authorId="0" shapeId="0" xr:uid="{00000000-0006-0000-5900-000001000000}">
      <text>
        <r>
          <rPr>
            <sz val="12"/>
            <color theme="1"/>
            <rFont val="Aptos Narrow"/>
            <family val="2"/>
            <scheme val="minor"/>
          </rPr>
          <t>Người dùng Không xác định:
24490</t>
        </r>
      </text>
    </comment>
    <comment ref="E2" authorId="1" shapeId="0" xr:uid="{00000000-0006-0000-5900-000002000000}">
      <text>
        <r>
          <rPr>
            <sz val="12"/>
            <color theme="1"/>
            <rFont val="Aptos Narrow"/>
            <family val="2"/>
            <scheme val="minor"/>
          </rPr>
          <t xml:space="preserve">was 24690
KH cũ giảm 500
</t>
        </r>
      </text>
    </comment>
    <comment ref="F2" authorId="2" shapeId="0" xr:uid="{00000000-0006-0000-5900-000003000000}">
      <text>
        <r>
          <rPr>
            <sz val="12"/>
            <color theme="1"/>
            <rFont val="Aptos Narrow"/>
            <family val="2"/>
            <scheme val="minor"/>
          </rPr>
          <t>W1 24890</t>
        </r>
      </text>
    </comment>
    <comment ref="C3" authorId="3" shapeId="0" xr:uid="{00000000-0006-0000-5900-000004000000}">
      <text>
        <r>
          <rPr>
            <sz val="12"/>
            <color theme="1"/>
            <rFont val="Aptos Narrow"/>
            <family val="2"/>
            <scheme val="minor"/>
          </rPr>
          <t>W12 26990000</t>
        </r>
      </text>
    </comment>
    <comment ref="E3" authorId="0" shapeId="0" xr:uid="{00000000-0006-0000-5900-000005000000}">
      <text>
        <r>
          <rPr>
            <sz val="12"/>
            <color theme="1"/>
            <rFont val="Aptos Narrow"/>
            <family val="2"/>
            <scheme val="minor"/>
          </rPr>
          <t>was 25990
KH cũ 500</t>
        </r>
      </text>
    </comment>
    <comment ref="D4" authorId="0" shapeId="0" xr:uid="{00000000-0006-0000-5900-000006000000}">
      <text>
        <r>
          <rPr>
            <sz val="12"/>
            <color theme="1"/>
            <rFont val="Aptos Narrow"/>
            <family val="2"/>
            <scheme val="minor"/>
          </rPr>
          <t>Người dùng Không xác định:
32.990</t>
        </r>
      </text>
    </comment>
    <comment ref="E4" authorId="0" shapeId="0" xr:uid="{00000000-0006-0000-5900-000007000000}">
      <text>
        <r>
          <rPr>
            <sz val="12"/>
            <color theme="1"/>
            <rFont val="Aptos Narrow"/>
            <family val="2"/>
            <scheme val="minor"/>
          </rPr>
          <t>was 34090
KH cũ 500</t>
        </r>
      </text>
    </comment>
    <comment ref="E5" authorId="1" shapeId="0" xr:uid="{00000000-0006-0000-5900-000008000000}">
      <text>
        <r>
          <rPr>
            <sz val="12"/>
            <color theme="1"/>
            <rFont val="Aptos Narrow"/>
            <family val="2"/>
            <scheme val="minor"/>
          </rPr>
          <t>was 36990
KH mới 500</t>
        </r>
      </text>
    </comment>
    <comment ref="D6" authorId="0" shapeId="0" xr:uid="{00000000-0006-0000-5900-000009000000}">
      <text>
        <r>
          <rPr>
            <sz val="12"/>
            <color theme="1"/>
            <rFont val="Aptos Narrow"/>
            <family val="2"/>
            <scheme val="minor"/>
          </rPr>
          <t>Người dùng Không xác định:
15.990</t>
        </r>
      </text>
    </comment>
    <comment ref="D7" authorId="0" shapeId="0" xr:uid="{00000000-0006-0000-5900-00000A000000}">
      <text>
        <r>
          <rPr>
            <sz val="12"/>
            <color theme="1"/>
            <rFont val="Aptos Narrow"/>
            <family val="2"/>
            <scheme val="minor"/>
          </rPr>
          <t>19.490</t>
        </r>
      </text>
    </comment>
    <comment ref="E7" authorId="4" shapeId="0" xr:uid="{00000000-0006-0000-5900-00000B000000}">
      <text>
        <r>
          <rPr>
            <sz val="12"/>
            <color theme="1"/>
            <rFont val="Aptos Narrow"/>
            <family val="2"/>
            <scheme val="minor"/>
          </rPr>
          <t>was 19690
Giờ vàng</t>
        </r>
      </text>
    </comment>
    <comment ref="B8" authorId="4" shapeId="0" xr:uid="{00000000-0006-0000-5900-00000C000000}">
      <text>
        <r>
          <rPr>
            <sz val="12"/>
            <color theme="1"/>
            <rFont val="Aptos Narrow"/>
            <family val="2"/>
            <scheme val="minor"/>
          </rPr>
          <t>was 24640000
VNP150</t>
        </r>
      </text>
    </comment>
    <comment ref="E8" authorId="1" shapeId="0" xr:uid="{00000000-0006-0000-5900-00000D000000}">
      <text>
        <r>
          <rPr>
            <sz val="12"/>
            <color theme="1"/>
            <rFont val="Aptos Narrow"/>
            <family val="2"/>
            <scheme val="minor"/>
          </rPr>
          <t xml:space="preserve">was 23490
Giờ vàng
</t>
        </r>
      </text>
    </comment>
    <comment ref="F9" authorId="2" shapeId="0" xr:uid="{00000000-0006-0000-5900-00000E000000}">
      <text>
        <r>
          <rPr>
            <sz val="12"/>
            <color theme="1"/>
            <rFont val="Aptos Narrow"/>
            <family val="2"/>
            <scheme val="minor"/>
          </rPr>
          <t>W1 25490</t>
        </r>
      </text>
    </comment>
    <comment ref="B10" authorId="4" shapeId="0" xr:uid="{00000000-0006-0000-5900-00000F000000}">
      <text>
        <r>
          <rPr>
            <sz val="12"/>
            <color theme="1"/>
            <rFont val="Aptos Narrow"/>
            <family val="2"/>
            <scheme val="minor"/>
          </rPr>
          <t>Tặng phiếu mua hàng mua AirPods và Apple Watch trị giá 500,000đ
 Phiếu mua hàng mua sản phẩm giá niêm yết từ 5 triệu thuộc các nhóm TAI NGHE - LOA hãng HARMAN KARDON, JBL,MONSTER, KLIPSCH, MARSHALL, SONY; Smartwatch hãng HUAWEI, GARMIN, SAMSUNG, IMOO, OPPO, AMAZFIT trị giá 500.000đ</t>
        </r>
      </text>
    </comment>
    <comment ref="D10" authorId="0" shapeId="0" xr:uid="{00000000-0006-0000-5900-000010000000}">
      <text>
        <r>
          <rPr>
            <sz val="12"/>
            <color theme="1"/>
            <rFont val="Aptos Narrow"/>
            <family val="2"/>
            <scheme val="minor"/>
          </rPr>
          <t>Người dùng Không xác định:
30.590</t>
        </r>
      </text>
    </comment>
    <comment ref="F10" authorId="2" shapeId="0" xr:uid="{00000000-0006-0000-5900-000011000000}">
      <text>
        <r>
          <rPr>
            <sz val="12"/>
            <color theme="1"/>
            <rFont val="Aptos Narrow"/>
            <family val="2"/>
            <scheme val="minor"/>
          </rPr>
          <t>W1 31390</t>
        </r>
      </text>
    </comment>
    <comment ref="G10" authorId="5" shapeId="0" xr:uid="{00000000-0006-0000-5900-000012000000}">
      <text>
        <r>
          <rPr>
            <sz val="12"/>
            <color theme="1"/>
            <rFont val="Aptos Narrow"/>
            <family val="2"/>
            <scheme val="minor"/>
          </rPr>
          <t>Dat's MacBook Pro:
31.990</t>
        </r>
      </text>
    </comment>
    <comment ref="D11" authorId="0" shapeId="0" xr:uid="{00000000-0006-0000-5900-000013000000}">
      <text>
        <r>
          <rPr>
            <sz val="12"/>
            <color theme="1"/>
            <rFont val="Aptos Narrow"/>
            <family val="2"/>
            <scheme val="minor"/>
          </rPr>
          <t>Người dùng Không xác định:
16.490</t>
        </r>
      </text>
    </comment>
    <comment ref="E11" authorId="1" shapeId="0" xr:uid="{00000000-0006-0000-5900-000014000000}">
      <text>
        <r>
          <rPr>
            <sz val="12"/>
            <color theme="1"/>
            <rFont val="Aptos Narrow"/>
            <family val="2"/>
            <scheme val="minor"/>
          </rPr>
          <t xml:space="preserve">was 16690
Giờ vàng
</t>
        </r>
      </text>
    </comment>
    <comment ref="F11" authorId="0" shapeId="0" xr:uid="{00000000-0006-0000-5900-000015000000}">
      <text>
        <r>
          <rPr>
            <sz val="12"/>
            <color theme="1"/>
            <rFont val="Aptos Narrow"/>
            <family val="2"/>
            <scheme val="minor"/>
          </rPr>
          <t>W1 16790</t>
        </r>
      </text>
    </comment>
    <comment ref="G11" authorId="5" shapeId="0" xr:uid="{00000000-0006-0000-5900-000016000000}">
      <text>
        <r>
          <rPr>
            <sz val="12"/>
            <color theme="1"/>
            <rFont val="Aptos Narrow"/>
            <family val="2"/>
            <scheme val="minor"/>
          </rPr>
          <t>Dat's MacBook Pro:
16590</t>
        </r>
      </text>
    </comment>
    <comment ref="E13" authorId="1" shapeId="0" xr:uid="{00000000-0006-0000-5900-000017000000}">
      <text>
        <r>
          <rPr>
            <sz val="12"/>
            <color theme="1"/>
            <rFont val="Aptos Narrow"/>
            <family val="2"/>
            <scheme val="minor"/>
          </rPr>
          <t xml:space="preserve">was 13390
</t>
        </r>
      </text>
    </comment>
    <comment ref="B14" authorId="4" shapeId="0" xr:uid="{00000000-0006-0000-5900-000018000000}">
      <text>
        <r>
          <rPr>
            <sz val="12"/>
            <color theme="1"/>
            <rFont val="Aptos Narrow"/>
            <family val="2"/>
            <scheme val="minor"/>
          </rPr>
          <t>was 13190
VNP100</t>
        </r>
      </text>
    </comment>
    <comment ref="D14" authorId="0" shapeId="0" xr:uid="{00000000-0006-0000-5900-000019000000}">
      <text>
        <r>
          <rPr>
            <sz val="12"/>
            <color theme="1"/>
            <rFont val="Aptos Narrow"/>
            <family val="2"/>
            <scheme val="minor"/>
          </rPr>
          <t>Người dùng Không xác định:
11.890</t>
        </r>
      </text>
    </comment>
    <comment ref="E14" authorId="4" shapeId="0" xr:uid="{00000000-0006-0000-5900-00001A000000}">
      <text>
        <r>
          <rPr>
            <sz val="12"/>
            <color theme="1"/>
            <rFont val="Aptos Narrow"/>
            <family val="2"/>
            <scheme val="minor"/>
          </rPr>
          <t>was 11990</t>
        </r>
      </text>
    </comment>
    <comment ref="F14" authorId="3" shapeId="0" xr:uid="{00000000-0006-0000-5900-00001B000000}">
      <text>
        <r>
          <rPr>
            <sz val="12"/>
            <color theme="1"/>
            <rFont val="Aptos Narrow"/>
            <family val="2"/>
            <scheme val="minor"/>
          </rPr>
          <t>W1 12090</t>
        </r>
      </text>
    </comment>
    <comment ref="D15" authorId="0" shapeId="0" xr:uid="{00000000-0006-0000-5900-00001C000000}">
      <text>
        <r>
          <rPr>
            <sz val="12"/>
            <color theme="1"/>
            <rFont val="Aptos Narrow"/>
            <family val="2"/>
            <scheme val="minor"/>
          </rPr>
          <t>11.490</t>
        </r>
      </text>
    </comment>
    <comment ref="B16" authorId="4" shapeId="0" xr:uid="{00000000-0006-0000-5900-00001D000000}">
      <text>
        <r>
          <rPr>
            <sz val="12"/>
            <color theme="1"/>
            <rFont val="Aptos Narrow"/>
            <family val="2"/>
            <scheme val="minor"/>
          </rPr>
          <t>was 7040
VNP40</t>
        </r>
      </text>
    </comment>
    <comment ref="F16" authorId="0" shapeId="0" xr:uid="{00000000-0006-0000-5900-00001E000000}">
      <text>
        <r>
          <rPr>
            <sz val="12"/>
            <color theme="1"/>
            <rFont val="Aptos Narrow"/>
            <family val="2"/>
            <scheme val="minor"/>
          </rPr>
          <t>W1 8590</t>
        </r>
      </text>
    </comment>
    <comment ref="B17" authorId="4" shapeId="0" xr:uid="{00000000-0006-0000-5900-00001F000000}">
      <text>
        <r>
          <rPr>
            <sz val="12"/>
            <color theme="1"/>
            <rFont val="Aptos Narrow"/>
            <family val="2"/>
            <scheme val="minor"/>
          </rPr>
          <t>was 14390</t>
        </r>
      </text>
    </comment>
    <comment ref="C17" authorId="3" shapeId="0" xr:uid="{00000000-0006-0000-5900-000020000000}">
      <text>
        <r>
          <rPr>
            <sz val="12"/>
            <color theme="1"/>
            <rFont val="Aptos Narrow"/>
            <family val="2"/>
            <scheme val="minor"/>
          </rPr>
          <t>W12 15790000</t>
        </r>
      </text>
    </comment>
    <comment ref="D17" authorId="0" shapeId="0" xr:uid="{00000000-0006-0000-5900-000021000000}">
      <text>
        <r>
          <rPr>
            <sz val="12"/>
            <color theme="1"/>
            <rFont val="Aptos Narrow"/>
            <family val="2"/>
            <scheme val="minor"/>
          </rPr>
          <t>12.890</t>
        </r>
      </text>
    </comment>
    <comment ref="E17" authorId="4" shapeId="0" xr:uid="{00000000-0006-0000-5900-000022000000}">
      <text>
        <r>
          <rPr>
            <sz val="12"/>
            <color theme="1"/>
            <rFont val="Aptos Narrow"/>
            <family val="2"/>
            <scheme val="minor"/>
          </rPr>
          <t>was 15390
HSSV 200</t>
        </r>
      </text>
    </comment>
    <comment ref="F17" authorId="0" shapeId="0" xr:uid="{00000000-0006-0000-5900-000023000000}">
      <text>
        <r>
          <rPr>
            <sz val="12"/>
            <color theme="1"/>
            <rFont val="Aptos Narrow"/>
            <family val="2"/>
            <scheme val="minor"/>
          </rPr>
          <t>W1 15790</t>
        </r>
      </text>
    </comment>
    <comment ref="G17" authorId="5" shapeId="0" xr:uid="{00000000-0006-0000-5900-000024000000}">
      <text>
        <r>
          <rPr>
            <sz val="12"/>
            <color theme="1"/>
            <rFont val="Aptos Narrow"/>
            <family val="2"/>
            <scheme val="minor"/>
          </rPr>
          <t>Dat's MacBook Pro:
15490</t>
        </r>
      </text>
    </comment>
    <comment ref="C18" authorId="3" shapeId="0" xr:uid="{00000000-0006-0000-5900-000025000000}">
      <text>
        <r>
          <rPr>
            <sz val="12"/>
            <color theme="1"/>
            <rFont val="Aptos Narrow"/>
            <family val="2"/>
            <scheme val="minor"/>
          </rPr>
          <t>W12 21790000</t>
        </r>
      </text>
    </comment>
    <comment ref="D18" authorId="0" shapeId="0" xr:uid="{00000000-0006-0000-5900-000026000000}">
      <text>
        <r>
          <rPr>
            <sz val="12"/>
            <color theme="1"/>
            <rFont val="Aptos Narrow"/>
            <family val="2"/>
            <scheme val="minor"/>
          </rPr>
          <t>21.190</t>
        </r>
      </text>
    </comment>
    <comment ref="F18" authorId="0" shapeId="0" xr:uid="{00000000-0006-0000-5900-000027000000}">
      <text>
        <r>
          <rPr>
            <sz val="12"/>
            <color theme="1"/>
            <rFont val="Aptos Narrow"/>
            <family val="2"/>
            <scheme val="minor"/>
          </rPr>
          <t>W1 21390</t>
        </r>
      </text>
    </comment>
    <comment ref="F19" authorId="3" shapeId="0" xr:uid="{00000000-0006-0000-5900-000028000000}">
      <text>
        <r>
          <rPr>
            <sz val="12"/>
            <color theme="1"/>
            <rFont val="Aptos Narrow"/>
            <family val="2"/>
            <scheme val="minor"/>
          </rPr>
          <t>W1 28190</t>
        </r>
      </text>
    </comment>
    <comment ref="B20" authorId="4" shapeId="0" xr:uid="{00000000-0006-0000-5900-000029000000}">
      <text>
        <r>
          <rPr>
            <sz val="12"/>
            <color theme="1"/>
            <rFont val="Aptos Narrow"/>
            <family val="2"/>
            <scheme val="minor"/>
          </rPr>
          <t>was 36640</t>
        </r>
      </text>
    </comment>
    <comment ref="E21" authorId="3" shapeId="0" xr:uid="{00000000-0006-0000-5900-00002A000000}">
      <text>
        <r>
          <rPr>
            <sz val="12"/>
            <color theme="1"/>
            <rFont val="Aptos Narrow"/>
            <family val="2"/>
            <scheme val="minor"/>
          </rPr>
          <t>W1 28990</t>
        </r>
      </text>
    </comment>
    <comment ref="F21" authorId="2" shapeId="0" xr:uid="{00000000-0006-0000-5900-00002B000000}">
      <text>
        <r>
          <rPr>
            <sz val="12"/>
            <color theme="1"/>
            <rFont val="Aptos Narrow"/>
            <family val="2"/>
            <scheme val="minor"/>
          </rPr>
          <t xml:space="preserve">W1 29990
</t>
        </r>
      </text>
    </comment>
    <comment ref="D22" authorId="0" shapeId="0" xr:uid="{00000000-0006-0000-5900-00002C000000}">
      <text>
        <r>
          <rPr>
            <sz val="12"/>
            <color theme="1"/>
            <rFont val="Aptos Narrow"/>
            <family val="2"/>
            <scheme val="minor"/>
          </rPr>
          <t>Người dùng Không xác định:
39.990</t>
        </r>
      </text>
    </comment>
    <comment ref="F22" authorId="3" shapeId="0" xr:uid="{00000000-0006-0000-5900-00002D000000}">
      <text>
        <r>
          <rPr>
            <sz val="12"/>
            <color theme="1"/>
            <rFont val="Aptos Narrow"/>
            <family val="2"/>
            <scheme val="minor"/>
          </rPr>
          <t>W1 39990</t>
        </r>
      </text>
    </comment>
    <comment ref="C23" authorId="0" shapeId="0" xr:uid="{00000000-0006-0000-5900-00002E000000}">
      <text>
        <r>
          <rPr>
            <sz val="12"/>
            <color theme="1"/>
            <rFont val="Aptos Narrow"/>
            <family val="2"/>
            <scheme val="minor"/>
          </rPr>
          <t>Người dùng Không xác định:
5690000</t>
        </r>
      </text>
    </comment>
    <comment ref="D23" authorId="0" shapeId="0" xr:uid="{00000000-0006-0000-5900-00002F000000}">
      <text>
        <r>
          <rPr>
            <sz val="12"/>
            <color theme="1"/>
            <rFont val="Aptos Narrow"/>
            <family val="2"/>
            <scheme val="minor"/>
          </rPr>
          <t>5.690</t>
        </r>
      </text>
    </comment>
    <comment ref="F23" authorId="2" shapeId="0" xr:uid="{00000000-0006-0000-5900-000030000000}">
      <text>
        <r>
          <rPr>
            <sz val="12"/>
            <color theme="1"/>
            <rFont val="Aptos Narrow"/>
            <family val="2"/>
            <scheme val="minor"/>
          </rPr>
          <t>W1 6090</t>
        </r>
      </text>
    </comment>
    <comment ref="C24" authorId="0" shapeId="0" xr:uid="{00000000-0006-0000-5900-000031000000}">
      <text>
        <r>
          <rPr>
            <sz val="12"/>
            <color theme="1"/>
            <rFont val="Aptos Narrow"/>
            <family val="2"/>
            <scheme val="minor"/>
          </rPr>
          <t>Người dùng Không xác định:
7690000</t>
        </r>
      </text>
    </comment>
    <comment ref="D24" authorId="0" shapeId="0" xr:uid="{00000000-0006-0000-5900-000032000000}">
      <text>
        <r>
          <rPr>
            <sz val="12"/>
            <color theme="1"/>
            <rFont val="Aptos Narrow"/>
            <family val="2"/>
            <scheme val="minor"/>
          </rPr>
          <t>7.290</t>
        </r>
      </text>
    </comment>
    <comment ref="F24" authorId="2" shapeId="0" xr:uid="{00000000-0006-0000-5900-000033000000}">
      <text>
        <r>
          <rPr>
            <sz val="12"/>
            <color theme="1"/>
            <rFont val="Aptos Narrow"/>
            <family val="2"/>
            <scheme val="minor"/>
          </rPr>
          <t>W1 7790</t>
        </r>
      </text>
    </comment>
    <comment ref="C25" authorId="0" shapeId="0" xr:uid="{00000000-0006-0000-5900-000034000000}">
      <text>
        <r>
          <rPr>
            <sz val="12"/>
            <color theme="1"/>
            <rFont val="Aptos Narrow"/>
            <family val="2"/>
            <scheme val="minor"/>
          </rPr>
          <t>Người dùng Không xác định:
6990000</t>
        </r>
      </text>
    </comment>
    <comment ref="D25" authorId="0" shapeId="0" xr:uid="{00000000-0006-0000-5900-000035000000}">
      <text>
        <r>
          <rPr>
            <sz val="12"/>
            <color theme="1"/>
            <rFont val="Aptos Narrow"/>
            <family val="2"/>
            <scheme val="minor"/>
          </rPr>
          <t>Người dùng Không xác định:
6.990</t>
        </r>
      </text>
    </comment>
    <comment ref="F25" authorId="2" shapeId="0" xr:uid="{00000000-0006-0000-5900-000036000000}">
      <text>
        <r>
          <rPr>
            <sz val="12"/>
            <color theme="1"/>
            <rFont val="Aptos Narrow"/>
            <family val="2"/>
            <scheme val="minor"/>
          </rPr>
          <t>W1 6990</t>
        </r>
      </text>
    </comment>
    <comment ref="C26" authorId="0" shapeId="0" xr:uid="{00000000-0006-0000-5900-000037000000}">
      <text>
        <r>
          <rPr>
            <sz val="12"/>
            <color theme="1"/>
            <rFont val="Aptos Narrow"/>
            <family val="2"/>
            <scheme val="minor"/>
          </rPr>
          <t>Người dùng Không xác định:
8390000</t>
        </r>
      </text>
    </comment>
    <comment ref="D26" authorId="0" shapeId="0" xr:uid="{00000000-0006-0000-5900-000038000000}">
      <text>
        <r>
          <rPr>
            <sz val="12"/>
            <color theme="1"/>
            <rFont val="Aptos Narrow"/>
            <family val="2"/>
            <scheme val="minor"/>
          </rPr>
          <t>Người dùng Không xác định:
8.290</t>
        </r>
      </text>
    </comment>
    <comment ref="F26" authorId="2" shapeId="0" xr:uid="{00000000-0006-0000-5900-000039000000}">
      <text>
        <r>
          <rPr>
            <sz val="12"/>
            <color theme="1"/>
            <rFont val="Aptos Narrow"/>
            <family val="2"/>
            <scheme val="minor"/>
          </rPr>
          <t>W1 8490</t>
        </r>
      </text>
    </comment>
    <comment ref="C27" authorId="0" shapeId="0" xr:uid="{00000000-0006-0000-5900-00003A000000}">
      <text>
        <r>
          <rPr>
            <sz val="12"/>
            <color theme="1"/>
            <rFont val="Aptos Narrow"/>
            <family val="2"/>
            <scheme val="minor"/>
          </rPr>
          <t>Người dùng Không xác định:
9290000</t>
        </r>
      </text>
    </comment>
    <comment ref="D27" authorId="0" shapeId="0" xr:uid="{00000000-0006-0000-5900-00003B000000}">
      <text>
        <r>
          <rPr>
            <sz val="12"/>
            <color theme="1"/>
            <rFont val="Aptos Narrow"/>
            <family val="2"/>
            <scheme val="minor"/>
          </rPr>
          <t>Người dùng Không xác định:
9.190</t>
        </r>
      </text>
    </comment>
    <comment ref="F27" authorId="2" shapeId="0" xr:uid="{00000000-0006-0000-5900-00003C000000}">
      <text>
        <r>
          <rPr>
            <sz val="12"/>
            <color theme="1"/>
            <rFont val="Aptos Narrow"/>
            <family val="2"/>
            <scheme val="minor"/>
          </rPr>
          <t>W1 9290</t>
        </r>
      </text>
    </comment>
    <comment ref="C28" authorId="0" shapeId="0" xr:uid="{00000000-0006-0000-5900-00003D000000}">
      <text>
        <r>
          <rPr>
            <sz val="12"/>
            <color theme="1"/>
            <rFont val="Aptos Narrow"/>
            <family val="2"/>
            <scheme val="minor"/>
          </rPr>
          <t>Người dùng Không xác định:
12190000</t>
        </r>
      </text>
    </comment>
    <comment ref="D28" authorId="0" shapeId="0" xr:uid="{00000000-0006-0000-5900-00003E000000}">
      <text>
        <r>
          <rPr>
            <sz val="12"/>
            <color theme="1"/>
            <rFont val="Aptos Narrow"/>
            <family val="2"/>
            <scheme val="minor"/>
          </rPr>
          <t>Người dùng Không xác định:
13.290</t>
        </r>
      </text>
    </comment>
    <comment ref="C29" authorId="0" shapeId="0" xr:uid="{00000000-0006-0000-5900-00003F000000}">
      <text>
        <r>
          <rPr>
            <sz val="12"/>
            <color theme="1"/>
            <rFont val="Aptos Narrow"/>
            <family val="2"/>
            <scheme val="minor"/>
          </rPr>
          <t>Người dùng Không xác định:
9990000</t>
        </r>
      </text>
    </comment>
    <comment ref="D29" authorId="0" shapeId="0" xr:uid="{00000000-0006-0000-5900-000040000000}">
      <text>
        <r>
          <rPr>
            <sz val="12"/>
            <color theme="1"/>
            <rFont val="Aptos Narrow"/>
            <family val="2"/>
            <scheme val="minor"/>
          </rPr>
          <t>Người dùng Không xác định:
9.090</t>
        </r>
      </text>
    </comment>
    <comment ref="F29" authorId="2" shapeId="0" xr:uid="{00000000-0006-0000-5900-000041000000}">
      <text>
        <r>
          <rPr>
            <sz val="12"/>
            <color theme="1"/>
            <rFont val="Aptos Narrow"/>
            <family val="2"/>
            <scheme val="minor"/>
          </rPr>
          <t>W1 10190</t>
        </r>
      </text>
    </comment>
    <comment ref="D30" authorId="0" shapeId="0" xr:uid="{00000000-0006-0000-5900-000042000000}">
      <text>
        <r>
          <rPr>
            <sz val="12"/>
            <color theme="1"/>
            <rFont val="Aptos Narrow"/>
            <family val="2"/>
            <scheme val="minor"/>
          </rPr>
          <t>Người dùng Không xác định:
13.090</t>
        </r>
      </text>
    </comment>
    <comment ref="E30" authorId="4" shapeId="0" xr:uid="{00000000-0006-0000-5900-000043000000}">
      <text>
        <r>
          <rPr>
            <sz val="12"/>
            <color theme="1"/>
            <rFont val="Aptos Narrow"/>
            <family val="2"/>
            <scheme val="minor"/>
          </rPr>
          <t xml:space="preserve">was 12990
</t>
        </r>
      </text>
    </comment>
    <comment ref="D31" authorId="6" shapeId="0" xr:uid="{00000000-0006-0000-5900-000044000000}">
      <text>
        <r>
          <rPr>
            <sz val="12"/>
            <color theme="1"/>
            <rFont val="Aptos Narrow"/>
            <family val="2"/>
            <scheme val="minor"/>
          </rPr>
          <t>chit trang:
23.290k</t>
        </r>
      </text>
    </comment>
    <comment ref="B32" authorId="4" shapeId="0" xr:uid="{00000000-0006-0000-5900-000045000000}">
      <text>
        <r>
          <rPr>
            <sz val="12"/>
            <color theme="1"/>
            <rFont val="Aptos Narrow"/>
            <family val="2"/>
            <scheme val="minor"/>
          </rPr>
          <t>was 5550
VNP40</t>
        </r>
      </text>
    </comment>
    <comment ref="D32" authorId="6" shapeId="0" xr:uid="{00000000-0006-0000-5900-000046000000}">
      <text>
        <r>
          <rPr>
            <sz val="12"/>
            <color theme="1"/>
            <rFont val="Aptos Narrow"/>
            <family val="2"/>
            <scheme val="minor"/>
          </rPr>
          <t>chit tran4.290</t>
        </r>
      </text>
    </comment>
    <comment ref="E32" authorId="4" shapeId="0" xr:uid="{00000000-0006-0000-5900-000047000000}">
      <text>
        <r>
          <rPr>
            <sz val="12"/>
            <color theme="1"/>
            <rFont val="Aptos Narrow"/>
            <family val="2"/>
            <scheme val="minor"/>
          </rPr>
          <t xml:space="preserve">was 6490
</t>
        </r>
      </text>
    </comment>
    <comment ref="B33" authorId="4" shapeId="0" xr:uid="{00000000-0006-0000-5900-000048000000}">
      <text>
        <r>
          <rPr>
            <sz val="12"/>
            <color theme="1"/>
            <rFont val="Aptos Narrow"/>
            <family val="2"/>
            <scheme val="minor"/>
          </rPr>
          <t xml:space="preserve">was 4490
</t>
        </r>
      </text>
    </comment>
    <comment ref="B34" authorId="4" shapeId="0" xr:uid="{00000000-0006-0000-5900-000049000000}">
      <text>
        <r>
          <rPr>
            <sz val="12"/>
            <color theme="1"/>
            <rFont val="Aptos Narrow"/>
            <family val="2"/>
            <scheme val="minor"/>
          </rPr>
          <t>was 3190</t>
        </r>
      </text>
    </comment>
    <comment ref="D36" authorId="0" shapeId="0" xr:uid="{00000000-0006-0000-5900-00004A000000}">
      <text>
        <r>
          <rPr>
            <sz val="12"/>
            <color theme="1"/>
            <rFont val="Aptos Narrow"/>
            <family val="2"/>
            <scheme val="minor"/>
          </rPr>
          <t xml:space="preserve">19.190
</t>
        </r>
      </text>
    </comment>
    <comment ref="D37" authorId="0" shapeId="0" xr:uid="{00000000-0006-0000-5900-00004B000000}">
      <text>
        <r>
          <rPr>
            <sz val="12"/>
            <color theme="1"/>
            <rFont val="Aptos Narrow"/>
            <family val="2"/>
            <scheme val="minor"/>
          </rPr>
          <t>Người dùng Không xác định:
24.490</t>
        </r>
      </text>
    </comment>
  </commentList>
</comments>
</file>

<file path=xl/comments91.xml><?xml version="1.0" encoding="utf-8"?>
<comments xmlns="http://schemas.openxmlformats.org/spreadsheetml/2006/main" xmlns:mc="http://schemas.openxmlformats.org/markup-compatibility/2006" xmlns:xr="http://schemas.microsoft.com/office/spreadsheetml/2014/revision" mc:Ignorable="xr">
  <authors>
    <author>Người dùng Khách</author>
    <author>Duy Ha Minh</author>
    <author>Duy</author>
    <author>Microsoft Office User</author>
    <author>Mia</author>
    <author>Dat's MacBook Pro</author>
    <author>chit trang</author>
  </authors>
  <commentList>
    <comment ref="D2" authorId="0" shapeId="0" xr:uid="{00000000-0006-0000-5A00-000001000000}">
      <text>
        <r>
          <rPr>
            <sz val="12"/>
            <color theme="1"/>
            <rFont val="Aptos Narrow"/>
            <family val="2"/>
            <scheme val="minor"/>
          </rPr>
          <t>Người dùng Không xác định:
24990</t>
        </r>
      </text>
    </comment>
    <comment ref="F2" authorId="1" shapeId="0" xr:uid="{00000000-0006-0000-5A00-000002000000}">
      <text>
        <r>
          <rPr>
            <sz val="12"/>
            <color theme="1"/>
            <rFont val="Aptos Narrow"/>
            <family val="2"/>
            <scheme val="minor"/>
          </rPr>
          <t>W1 24890</t>
        </r>
      </text>
    </comment>
    <comment ref="C3" authorId="2" shapeId="0" xr:uid="{00000000-0006-0000-5A00-000003000000}">
      <text>
        <r>
          <rPr>
            <sz val="12"/>
            <color theme="1"/>
            <rFont val="Aptos Narrow"/>
            <family val="2"/>
            <scheme val="minor"/>
          </rPr>
          <t>W12 26790000</t>
        </r>
      </text>
    </comment>
    <comment ref="D3" authorId="0" shapeId="0" xr:uid="{00000000-0006-0000-5A00-000004000000}">
      <text>
        <r>
          <rPr>
            <sz val="12"/>
            <color theme="1"/>
            <rFont val="Aptos Narrow"/>
            <family val="2"/>
            <scheme val="minor"/>
          </rPr>
          <t>Người dùng Không xác định:
26.490</t>
        </r>
      </text>
    </comment>
    <comment ref="E7" authorId="3" shapeId="0" xr:uid="{00000000-0006-0000-5A00-000005000000}">
      <text>
        <r>
          <rPr>
            <sz val="12"/>
            <color theme="1"/>
            <rFont val="Aptos Narrow"/>
            <family val="2"/>
            <scheme val="minor"/>
          </rPr>
          <t>was 19490
Giờ vàng</t>
        </r>
      </text>
    </comment>
    <comment ref="B8" authorId="3" shapeId="0" xr:uid="{00000000-0006-0000-5A00-000006000000}">
      <text>
        <r>
          <rPr>
            <sz val="12"/>
            <color theme="1"/>
            <rFont val="Aptos Narrow"/>
            <family val="2"/>
            <scheme val="minor"/>
          </rPr>
          <t>was 24640000
VNP150</t>
        </r>
      </text>
    </comment>
    <comment ref="E8" authorId="4" shapeId="0" xr:uid="{00000000-0006-0000-5A00-000007000000}">
      <text>
        <r>
          <rPr>
            <sz val="12"/>
            <color theme="1"/>
            <rFont val="Aptos Narrow"/>
            <family val="2"/>
            <scheme val="minor"/>
          </rPr>
          <t xml:space="preserve">was 23190
Giờ vàng
</t>
        </r>
      </text>
    </comment>
    <comment ref="F9" authorId="1" shapeId="0" xr:uid="{00000000-0006-0000-5A00-000008000000}">
      <text>
        <r>
          <rPr>
            <sz val="12"/>
            <color theme="1"/>
            <rFont val="Aptos Narrow"/>
            <family val="2"/>
            <scheme val="minor"/>
          </rPr>
          <t>W1 25490</t>
        </r>
      </text>
    </comment>
    <comment ref="B10" authorId="3" shapeId="0" xr:uid="{00000000-0006-0000-5A00-000009000000}">
      <text>
        <r>
          <rPr>
            <sz val="12"/>
            <color theme="1"/>
            <rFont val="Aptos Narrow"/>
            <family val="2"/>
            <scheme val="minor"/>
          </rPr>
          <t>Tặng phiếu mua hàng mua AirPods và Apple Watch trị giá 500,000đ
 Phiếu mua hàng mua sản phẩm giá niêm yết từ 5 triệu thuộc các nhóm TAI NGHE - LOA hãng HARMAN KARDON, JBL,MONSTER, KLIPSCH, MARSHALL, SONY; Smartwatch hãng HUAWEI, GARMIN, SAMSUNG, IMOO, OPPO, AMAZFIT trị giá 500.000đ</t>
        </r>
      </text>
    </comment>
    <comment ref="C10" authorId="0" shapeId="0" xr:uid="{00000000-0006-0000-5A00-00000A000000}">
      <text>
        <r>
          <rPr>
            <sz val="12"/>
            <color theme="1"/>
            <rFont val="Aptos Narrow"/>
            <family val="2"/>
            <scheme val="minor"/>
          </rPr>
          <t>Người dùng Không xác định:
31590000</t>
        </r>
      </text>
    </comment>
    <comment ref="D10" authorId="0" shapeId="0" xr:uid="{00000000-0006-0000-5A00-00000B000000}">
      <text>
        <r>
          <rPr>
            <sz val="12"/>
            <color theme="1"/>
            <rFont val="Aptos Narrow"/>
            <family val="2"/>
            <scheme val="minor"/>
          </rPr>
          <t>Người dùng Không xác định:
30.590</t>
        </r>
      </text>
    </comment>
    <comment ref="F10" authorId="1" shapeId="0" xr:uid="{00000000-0006-0000-5A00-00000C000000}">
      <text>
        <r>
          <rPr>
            <sz val="12"/>
            <color theme="1"/>
            <rFont val="Aptos Narrow"/>
            <family val="2"/>
            <scheme val="minor"/>
          </rPr>
          <t>W1 31390</t>
        </r>
      </text>
    </comment>
    <comment ref="G10" authorId="5" shapeId="0" xr:uid="{00000000-0006-0000-5A00-00000D000000}">
      <text>
        <r>
          <rPr>
            <sz val="12"/>
            <color theme="1"/>
            <rFont val="Aptos Narrow"/>
            <family val="2"/>
            <scheme val="minor"/>
          </rPr>
          <t>Dat's MacBook Pro:
31.990</t>
        </r>
      </text>
    </comment>
    <comment ref="F11" authorId="0" shapeId="0" xr:uid="{00000000-0006-0000-5A00-00000E000000}">
      <text>
        <r>
          <rPr>
            <sz val="12"/>
            <color theme="1"/>
            <rFont val="Aptos Narrow"/>
            <family val="2"/>
            <scheme val="minor"/>
          </rPr>
          <t>W1 16790</t>
        </r>
      </text>
    </comment>
    <comment ref="G11" authorId="5" shapeId="0" xr:uid="{00000000-0006-0000-5A00-00000F000000}">
      <text>
        <r>
          <rPr>
            <sz val="12"/>
            <color theme="1"/>
            <rFont val="Aptos Narrow"/>
            <family val="2"/>
            <scheme val="minor"/>
          </rPr>
          <t>Dat's MacBook Pro:
16590</t>
        </r>
      </text>
    </comment>
    <comment ref="C12" authorId="0" shapeId="0" xr:uid="{00000000-0006-0000-5A00-000010000000}">
      <text>
        <r>
          <rPr>
            <sz val="12"/>
            <color theme="1"/>
            <rFont val="Aptos Narrow"/>
            <family val="2"/>
            <scheme val="minor"/>
          </rPr>
          <t>Người dùng Không xác định:
19590000</t>
        </r>
      </text>
    </comment>
    <comment ref="B14" authorId="3" shapeId="0" xr:uid="{00000000-0006-0000-5A00-000011000000}">
      <text>
        <r>
          <rPr>
            <sz val="12"/>
            <color theme="1"/>
            <rFont val="Aptos Narrow"/>
            <family val="2"/>
            <scheme val="minor"/>
          </rPr>
          <t>was 13190
VNP100</t>
        </r>
      </text>
    </comment>
    <comment ref="E14" authorId="3" shapeId="0" xr:uid="{00000000-0006-0000-5A00-000012000000}">
      <text>
        <r>
          <rPr>
            <sz val="12"/>
            <color theme="1"/>
            <rFont val="Aptos Narrow"/>
            <family val="2"/>
            <scheme val="minor"/>
          </rPr>
          <t>was 12090
Giờ vàng</t>
        </r>
      </text>
    </comment>
    <comment ref="F14" authorId="2" shapeId="0" xr:uid="{00000000-0006-0000-5A00-000013000000}">
      <text>
        <r>
          <rPr>
            <sz val="12"/>
            <color theme="1"/>
            <rFont val="Aptos Narrow"/>
            <family val="2"/>
            <scheme val="minor"/>
          </rPr>
          <t>W1 12090</t>
        </r>
      </text>
    </comment>
    <comment ref="C15" authorId="0" shapeId="0" xr:uid="{00000000-0006-0000-5A00-000014000000}">
      <text>
        <r>
          <rPr>
            <sz val="12"/>
            <color theme="1"/>
            <rFont val="Aptos Narrow"/>
            <family val="2"/>
            <scheme val="minor"/>
          </rPr>
          <t>Người dùng Không xác định:
11790000</t>
        </r>
      </text>
    </comment>
    <comment ref="D15" authorId="0" shapeId="0" xr:uid="{00000000-0006-0000-5A00-000015000000}">
      <text>
        <r>
          <rPr>
            <sz val="12"/>
            <color theme="1"/>
            <rFont val="Aptos Narrow"/>
            <family val="2"/>
            <scheme val="minor"/>
          </rPr>
          <t>11.790</t>
        </r>
      </text>
    </comment>
    <comment ref="E15" authorId="4" shapeId="0" xr:uid="{00000000-0006-0000-5A00-000016000000}">
      <text>
        <r>
          <rPr>
            <sz val="12"/>
            <color theme="1"/>
            <rFont val="Aptos Narrow"/>
            <family val="2"/>
            <scheme val="minor"/>
          </rPr>
          <t>was 11290</t>
        </r>
      </text>
    </comment>
    <comment ref="B16" authorId="3" shapeId="0" xr:uid="{00000000-0006-0000-5A00-000017000000}">
      <text>
        <r>
          <rPr>
            <sz val="12"/>
            <color theme="1"/>
            <rFont val="Aptos Narrow"/>
            <family val="2"/>
            <scheme val="minor"/>
          </rPr>
          <t>was 7040
VNP40</t>
        </r>
      </text>
    </comment>
    <comment ref="C16" authorId="0" shapeId="0" xr:uid="{00000000-0006-0000-5A00-000018000000}">
      <text>
        <r>
          <rPr>
            <sz val="12"/>
            <color theme="1"/>
            <rFont val="Aptos Narrow"/>
            <family val="2"/>
            <scheme val="minor"/>
          </rPr>
          <t>Người dùng Không xác định:
8490000</t>
        </r>
      </text>
    </comment>
    <comment ref="D16" authorId="0" shapeId="0" xr:uid="{00000000-0006-0000-5A00-000019000000}">
      <text>
        <r>
          <rPr>
            <sz val="12"/>
            <color theme="1"/>
            <rFont val="Aptos Narrow"/>
            <family val="2"/>
            <scheme val="minor"/>
          </rPr>
          <t>Người dùng Không xác định:
8.490</t>
        </r>
      </text>
    </comment>
    <comment ref="E16" authorId="4" shapeId="0" xr:uid="{00000000-0006-0000-5A00-00001A000000}">
      <text>
        <r>
          <rPr>
            <sz val="12"/>
            <color theme="1"/>
            <rFont val="Aptos Narrow"/>
            <family val="2"/>
            <scheme val="minor"/>
          </rPr>
          <t xml:space="preserve">was 8490
</t>
        </r>
      </text>
    </comment>
    <comment ref="F16" authorId="0" shapeId="0" xr:uid="{00000000-0006-0000-5A00-00001B000000}">
      <text>
        <r>
          <rPr>
            <sz val="12"/>
            <color theme="1"/>
            <rFont val="Aptos Narrow"/>
            <family val="2"/>
            <scheme val="minor"/>
          </rPr>
          <t>W1 8590</t>
        </r>
      </text>
    </comment>
    <comment ref="B17" authorId="3" shapeId="0" xr:uid="{00000000-0006-0000-5A00-00001C000000}">
      <text>
        <r>
          <rPr>
            <sz val="12"/>
            <color theme="1"/>
            <rFont val="Aptos Narrow"/>
            <family val="2"/>
            <scheme val="minor"/>
          </rPr>
          <t>was 14390</t>
        </r>
      </text>
    </comment>
    <comment ref="D17" authorId="0" shapeId="0" xr:uid="{00000000-0006-0000-5A00-00001D000000}">
      <text>
        <r>
          <rPr>
            <sz val="12"/>
            <color theme="1"/>
            <rFont val="Aptos Narrow"/>
            <family val="2"/>
            <scheme val="minor"/>
          </rPr>
          <t>15.790</t>
        </r>
      </text>
    </comment>
    <comment ref="F17" authorId="0" shapeId="0" xr:uid="{00000000-0006-0000-5A00-00001E000000}">
      <text>
        <r>
          <rPr>
            <sz val="12"/>
            <color theme="1"/>
            <rFont val="Aptos Narrow"/>
            <family val="2"/>
            <scheme val="minor"/>
          </rPr>
          <t>W1 15790</t>
        </r>
      </text>
    </comment>
    <comment ref="G17" authorId="5" shapeId="0" xr:uid="{00000000-0006-0000-5A00-00001F000000}">
      <text>
        <r>
          <rPr>
            <sz val="12"/>
            <color theme="1"/>
            <rFont val="Aptos Narrow"/>
            <family val="2"/>
            <scheme val="minor"/>
          </rPr>
          <t>Dat's MacBook Pro:
15490</t>
        </r>
      </text>
    </comment>
    <comment ref="F18" authorId="0" shapeId="0" xr:uid="{00000000-0006-0000-5A00-000020000000}">
      <text>
        <r>
          <rPr>
            <sz val="12"/>
            <color theme="1"/>
            <rFont val="Aptos Narrow"/>
            <family val="2"/>
            <scheme val="minor"/>
          </rPr>
          <t>W1 21390</t>
        </r>
      </text>
    </comment>
    <comment ref="F19" authorId="2" shapeId="0" xr:uid="{00000000-0006-0000-5A00-000021000000}">
      <text>
        <r>
          <rPr>
            <sz val="12"/>
            <color theme="1"/>
            <rFont val="Aptos Narrow"/>
            <family val="2"/>
            <scheme val="minor"/>
          </rPr>
          <t>W1 28190</t>
        </r>
      </text>
    </comment>
    <comment ref="B20" authorId="3" shapeId="0" xr:uid="{00000000-0006-0000-5A00-000022000000}">
      <text>
        <r>
          <rPr>
            <sz val="12"/>
            <color theme="1"/>
            <rFont val="Aptos Narrow"/>
            <family val="2"/>
            <scheme val="minor"/>
          </rPr>
          <t>was 36640</t>
        </r>
      </text>
    </comment>
    <comment ref="C21" authorId="0" shapeId="0" xr:uid="{00000000-0006-0000-5A00-000023000000}">
      <text>
        <r>
          <rPr>
            <sz val="12"/>
            <color theme="1"/>
            <rFont val="Aptos Narrow"/>
            <family val="2"/>
            <scheme val="minor"/>
          </rPr>
          <t>Người dùng Không xác định:
299
90000</t>
        </r>
      </text>
    </comment>
    <comment ref="E21" authorId="2" shapeId="0" xr:uid="{00000000-0006-0000-5A00-000024000000}">
      <text>
        <r>
          <rPr>
            <sz val="12"/>
            <color theme="1"/>
            <rFont val="Aptos Narrow"/>
            <family val="2"/>
            <scheme val="minor"/>
          </rPr>
          <t>was 27990</t>
        </r>
      </text>
    </comment>
    <comment ref="F21" authorId="1" shapeId="0" xr:uid="{00000000-0006-0000-5A00-000025000000}">
      <text>
        <r>
          <rPr>
            <sz val="12"/>
            <color theme="1"/>
            <rFont val="Aptos Narrow"/>
            <family val="2"/>
            <scheme val="minor"/>
          </rPr>
          <t xml:space="preserve">W1 29990
</t>
        </r>
      </text>
    </comment>
    <comment ref="C22" authorId="0" shapeId="0" xr:uid="{00000000-0006-0000-5A00-000026000000}">
      <text>
        <r>
          <rPr>
            <sz val="12"/>
            <color theme="1"/>
            <rFont val="Aptos Narrow"/>
            <family val="2"/>
            <scheme val="minor"/>
          </rPr>
          <t>Người dùng Không xác định:
39990000</t>
        </r>
      </text>
    </comment>
    <comment ref="F22" authorId="2" shapeId="0" xr:uid="{00000000-0006-0000-5A00-000027000000}">
      <text>
        <r>
          <rPr>
            <sz val="12"/>
            <color theme="1"/>
            <rFont val="Aptos Narrow"/>
            <family val="2"/>
            <scheme val="minor"/>
          </rPr>
          <t>W1 39990</t>
        </r>
      </text>
    </comment>
    <comment ref="C23" authorId="0" shapeId="0" xr:uid="{00000000-0006-0000-5A00-000028000000}">
      <text>
        <r>
          <rPr>
            <sz val="12"/>
            <color theme="1"/>
            <rFont val="Aptos Narrow"/>
            <family val="2"/>
            <scheme val="minor"/>
          </rPr>
          <t>Người dùng Không xác định:
6590000</t>
        </r>
      </text>
    </comment>
    <comment ref="D23" authorId="0" shapeId="0" xr:uid="{00000000-0006-0000-5A00-000029000000}">
      <text>
        <r>
          <rPr>
            <sz val="12"/>
            <color theme="1"/>
            <rFont val="Aptos Narrow"/>
            <family val="2"/>
            <scheme val="minor"/>
          </rPr>
          <t>6.390</t>
        </r>
      </text>
    </comment>
    <comment ref="E23" authorId="4" shapeId="0" xr:uid="{00000000-0006-0000-5A00-00002A000000}">
      <text>
        <r>
          <rPr>
            <sz val="12"/>
            <color theme="1"/>
            <rFont val="Aptos Narrow"/>
            <family val="2"/>
            <scheme val="minor"/>
          </rPr>
          <t xml:space="preserve">was 6190
</t>
        </r>
      </text>
    </comment>
    <comment ref="F23" authorId="1" shapeId="0" xr:uid="{00000000-0006-0000-5A00-00002B000000}">
      <text>
        <r>
          <rPr>
            <sz val="12"/>
            <color theme="1"/>
            <rFont val="Aptos Narrow"/>
            <family val="2"/>
            <scheme val="minor"/>
          </rPr>
          <t>W1 6090</t>
        </r>
      </text>
    </comment>
    <comment ref="D24" authorId="0" shapeId="0" xr:uid="{00000000-0006-0000-5A00-00002C000000}">
      <text>
        <r>
          <rPr>
            <sz val="12"/>
            <color theme="1"/>
            <rFont val="Aptos Narrow"/>
            <family val="2"/>
            <scheme val="minor"/>
          </rPr>
          <t>8.190</t>
        </r>
      </text>
    </comment>
    <comment ref="E24" authorId="4" shapeId="0" xr:uid="{00000000-0006-0000-5A00-00002D000000}">
      <text>
        <r>
          <rPr>
            <sz val="12"/>
            <color theme="1"/>
            <rFont val="Aptos Narrow"/>
            <family val="2"/>
            <scheme val="minor"/>
          </rPr>
          <t xml:space="preserve">was 7790
</t>
        </r>
      </text>
    </comment>
    <comment ref="F24" authorId="1" shapeId="0" xr:uid="{00000000-0006-0000-5A00-00002E000000}">
      <text>
        <r>
          <rPr>
            <sz val="12"/>
            <color theme="1"/>
            <rFont val="Aptos Narrow"/>
            <family val="2"/>
            <scheme val="minor"/>
          </rPr>
          <t>W1 7790</t>
        </r>
      </text>
    </comment>
    <comment ref="D25" authorId="0" shapeId="0" xr:uid="{00000000-0006-0000-5A00-00002F000000}">
      <text>
        <r>
          <rPr>
            <sz val="12"/>
            <color theme="1"/>
            <rFont val="Aptos Narrow"/>
            <family val="2"/>
            <scheme val="minor"/>
          </rPr>
          <t>Người dùng Không xác định:
7.290</t>
        </r>
      </text>
    </comment>
    <comment ref="E25" authorId="4" shapeId="0" xr:uid="{00000000-0006-0000-5A00-000030000000}">
      <text>
        <r>
          <rPr>
            <sz val="12"/>
            <color theme="1"/>
            <rFont val="Aptos Narrow"/>
            <family val="2"/>
            <scheme val="minor"/>
          </rPr>
          <t xml:space="preserve">was 6990
</t>
        </r>
      </text>
    </comment>
    <comment ref="F25" authorId="1" shapeId="0" xr:uid="{00000000-0006-0000-5A00-000031000000}">
      <text>
        <r>
          <rPr>
            <sz val="12"/>
            <color theme="1"/>
            <rFont val="Aptos Narrow"/>
            <family val="2"/>
            <scheme val="minor"/>
          </rPr>
          <t>W1 6990</t>
        </r>
      </text>
    </comment>
    <comment ref="D26" authorId="0" shapeId="0" xr:uid="{00000000-0006-0000-5A00-000032000000}">
      <text>
        <r>
          <rPr>
            <sz val="12"/>
            <color theme="1"/>
            <rFont val="Aptos Narrow"/>
            <family val="2"/>
            <scheme val="minor"/>
          </rPr>
          <t>Người dùng Không xác định:
8.990</t>
        </r>
      </text>
    </comment>
    <comment ref="E26" authorId="4" shapeId="0" xr:uid="{00000000-0006-0000-5A00-000033000000}">
      <text>
        <r>
          <rPr>
            <sz val="12"/>
            <color theme="1"/>
            <rFont val="Aptos Narrow"/>
            <family val="2"/>
            <scheme val="minor"/>
          </rPr>
          <t xml:space="preserve">was 8590
</t>
        </r>
      </text>
    </comment>
    <comment ref="F26" authorId="1" shapeId="0" xr:uid="{00000000-0006-0000-5A00-000034000000}">
      <text>
        <r>
          <rPr>
            <sz val="12"/>
            <color theme="1"/>
            <rFont val="Aptos Narrow"/>
            <family val="2"/>
            <scheme val="minor"/>
          </rPr>
          <t>W1 8490</t>
        </r>
      </text>
    </comment>
    <comment ref="C27" authorId="0" shapeId="0" xr:uid="{00000000-0006-0000-5A00-000035000000}">
      <text>
        <r>
          <rPr>
            <sz val="12"/>
            <color theme="1"/>
            <rFont val="Aptos Narrow"/>
            <family val="2"/>
            <scheme val="minor"/>
          </rPr>
          <t>Người dùng Không xác định:
9490000</t>
        </r>
      </text>
    </comment>
    <comment ref="D27" authorId="0" shapeId="0" xr:uid="{00000000-0006-0000-5A00-000036000000}">
      <text>
        <r>
          <rPr>
            <sz val="12"/>
            <color theme="1"/>
            <rFont val="Aptos Narrow"/>
            <family val="2"/>
            <scheme val="minor"/>
          </rPr>
          <t>Người dùng Không xác định:
9.690</t>
        </r>
      </text>
    </comment>
    <comment ref="E27" authorId="4" shapeId="0" xr:uid="{00000000-0006-0000-5A00-000037000000}">
      <text>
        <r>
          <rPr>
            <sz val="12"/>
            <color theme="1"/>
            <rFont val="Aptos Narrow"/>
            <family val="2"/>
            <scheme val="minor"/>
          </rPr>
          <t xml:space="preserve">was 8990
</t>
        </r>
      </text>
    </comment>
    <comment ref="F27" authorId="1" shapeId="0" xr:uid="{00000000-0006-0000-5A00-000038000000}">
      <text>
        <r>
          <rPr>
            <sz val="12"/>
            <color theme="1"/>
            <rFont val="Aptos Narrow"/>
            <family val="2"/>
            <scheme val="minor"/>
          </rPr>
          <t>W1 9290</t>
        </r>
      </text>
    </comment>
    <comment ref="C28" authorId="0" shapeId="0" xr:uid="{00000000-0006-0000-5A00-000039000000}">
      <text>
        <r>
          <rPr>
            <sz val="12"/>
            <color theme="1"/>
            <rFont val="Aptos Narrow"/>
            <family val="2"/>
            <scheme val="minor"/>
          </rPr>
          <t>Người dùng Không xác định:
12190000</t>
        </r>
      </text>
    </comment>
    <comment ref="D28" authorId="0" shapeId="0" xr:uid="{00000000-0006-0000-5A00-00003A000000}">
      <text>
        <r>
          <rPr>
            <sz val="12"/>
            <color theme="1"/>
            <rFont val="Aptos Narrow"/>
            <family val="2"/>
            <scheme val="minor"/>
          </rPr>
          <t>Người dùng Không xác định:
13.290</t>
        </r>
      </text>
    </comment>
    <comment ref="E28" authorId="4" shapeId="0" xr:uid="{00000000-0006-0000-5A00-00003B000000}">
      <text>
        <r>
          <rPr>
            <sz val="12"/>
            <color theme="1"/>
            <rFont val="Aptos Narrow"/>
            <family val="2"/>
            <scheme val="minor"/>
          </rPr>
          <t xml:space="preserve">was 11990
</t>
        </r>
      </text>
    </comment>
    <comment ref="C29" authorId="0" shapeId="0" xr:uid="{00000000-0006-0000-5A00-00003C000000}">
      <text>
        <r>
          <rPr>
            <sz val="12"/>
            <color theme="1"/>
            <rFont val="Aptos Narrow"/>
            <family val="2"/>
            <scheme val="minor"/>
          </rPr>
          <t>Người dùng Không xác định:
10290000</t>
        </r>
      </text>
    </comment>
    <comment ref="D29" authorId="0" shapeId="0" xr:uid="{00000000-0006-0000-5A00-00003D000000}">
      <text>
        <r>
          <rPr>
            <sz val="12"/>
            <color theme="1"/>
            <rFont val="Aptos Narrow"/>
            <family val="2"/>
            <scheme val="minor"/>
          </rPr>
          <t>Người dùng Không xác định:
10.690</t>
        </r>
      </text>
    </comment>
    <comment ref="E29" authorId="4" shapeId="0" xr:uid="{00000000-0006-0000-5A00-00003E000000}">
      <text>
        <r>
          <rPr>
            <sz val="12"/>
            <color theme="1"/>
            <rFont val="Aptos Narrow"/>
            <family val="2"/>
            <scheme val="minor"/>
          </rPr>
          <t xml:space="preserve">was 9690
</t>
        </r>
      </text>
    </comment>
    <comment ref="F29" authorId="1" shapeId="0" xr:uid="{00000000-0006-0000-5A00-00003F000000}">
      <text>
        <r>
          <rPr>
            <sz val="12"/>
            <color theme="1"/>
            <rFont val="Aptos Narrow"/>
            <family val="2"/>
            <scheme val="minor"/>
          </rPr>
          <t>W1 10190</t>
        </r>
      </text>
    </comment>
    <comment ref="C30" authorId="0" shapeId="0" xr:uid="{00000000-0006-0000-5A00-000040000000}">
      <text>
        <r>
          <rPr>
            <sz val="12"/>
            <color theme="1"/>
            <rFont val="Aptos Narrow"/>
            <family val="2"/>
            <scheme val="minor"/>
          </rPr>
          <t>Người dùng Không xác định:
13290000</t>
        </r>
      </text>
    </comment>
    <comment ref="D30" authorId="0" shapeId="0" xr:uid="{00000000-0006-0000-5A00-000041000000}">
      <text>
        <r>
          <rPr>
            <sz val="12"/>
            <color theme="1"/>
            <rFont val="Aptos Narrow"/>
            <family val="2"/>
            <scheme val="minor"/>
          </rPr>
          <t>Người dùng Không xác định:
12.990</t>
        </r>
      </text>
    </comment>
    <comment ref="E30" authorId="3" shapeId="0" xr:uid="{00000000-0006-0000-5A00-000042000000}">
      <text>
        <r>
          <rPr>
            <sz val="12"/>
            <color theme="1"/>
            <rFont val="Aptos Narrow"/>
            <family val="2"/>
            <scheme val="minor"/>
          </rPr>
          <t xml:space="preserve">was 12490
</t>
        </r>
      </text>
    </comment>
    <comment ref="C31" authorId="0" shapeId="0" xr:uid="{00000000-0006-0000-5A00-000043000000}">
      <text>
        <r>
          <rPr>
            <sz val="12"/>
            <color theme="1"/>
            <rFont val="Aptos Narrow"/>
            <family val="2"/>
            <scheme val="minor"/>
          </rPr>
          <t>Người dùng Không xác định:
23290000</t>
        </r>
      </text>
    </comment>
    <comment ref="B32" authorId="3" shapeId="0" xr:uid="{00000000-0006-0000-5A00-000044000000}">
      <text>
        <r>
          <rPr>
            <sz val="12"/>
            <color theme="1"/>
            <rFont val="Aptos Narrow"/>
            <family val="2"/>
            <scheme val="minor"/>
          </rPr>
          <t>was 5550
VNP40</t>
        </r>
      </text>
    </comment>
    <comment ref="C32" authorId="0" shapeId="0" xr:uid="{00000000-0006-0000-5A00-000045000000}">
      <text>
        <r>
          <rPr>
            <sz val="12"/>
            <color theme="1"/>
            <rFont val="Aptos Narrow"/>
            <family val="2"/>
            <scheme val="minor"/>
          </rPr>
          <t>Người dùng Không xác định:
4.990</t>
        </r>
      </text>
    </comment>
    <comment ref="D32" authorId="6" shapeId="0" xr:uid="{00000000-0006-0000-5A00-000046000000}">
      <text>
        <r>
          <rPr>
            <sz val="12"/>
            <color theme="1"/>
            <rFont val="Aptos Narrow"/>
            <family val="2"/>
            <scheme val="minor"/>
          </rPr>
          <t>chit tran4.290</t>
        </r>
      </text>
    </comment>
    <comment ref="B33" authorId="3" shapeId="0" xr:uid="{00000000-0006-0000-5A00-000047000000}">
      <text>
        <r>
          <rPr>
            <sz val="12"/>
            <color theme="1"/>
            <rFont val="Aptos Narrow"/>
            <family val="2"/>
            <scheme val="minor"/>
          </rPr>
          <t xml:space="preserve">was 4490
</t>
        </r>
      </text>
    </comment>
    <comment ref="C33" authorId="0" shapeId="0" xr:uid="{00000000-0006-0000-5A00-000048000000}">
      <text>
        <r>
          <rPr>
            <sz val="12"/>
            <color theme="1"/>
            <rFont val="Aptos Narrow"/>
            <family val="2"/>
            <scheme val="minor"/>
          </rPr>
          <t>Người dùng Không xác định:
4490000</t>
        </r>
      </text>
    </comment>
    <comment ref="D33" authorId="0" shapeId="0" xr:uid="{00000000-0006-0000-5A00-000049000000}">
      <text>
        <r>
          <rPr>
            <sz val="12"/>
            <color theme="1"/>
            <rFont val="Aptos Narrow"/>
            <family val="2"/>
            <scheme val="minor"/>
          </rPr>
          <t>Người dùng Không xác định:
4.290</t>
        </r>
      </text>
    </comment>
    <comment ref="E33" authorId="4" shapeId="0" xr:uid="{00000000-0006-0000-5A00-00004A000000}">
      <text>
        <r>
          <rPr>
            <sz val="12"/>
            <color theme="1"/>
            <rFont val="Aptos Narrow"/>
            <family val="2"/>
            <scheme val="minor"/>
          </rPr>
          <t xml:space="preserve">was 4390
</t>
        </r>
      </text>
    </comment>
    <comment ref="B34" authorId="3" shapeId="0" xr:uid="{00000000-0006-0000-5A00-00004B000000}">
      <text>
        <r>
          <rPr>
            <sz val="12"/>
            <color theme="1"/>
            <rFont val="Aptos Narrow"/>
            <family val="2"/>
            <scheme val="minor"/>
          </rPr>
          <t>was 3190</t>
        </r>
      </text>
    </comment>
    <comment ref="C34" authorId="0" shapeId="0" xr:uid="{00000000-0006-0000-5A00-00004C000000}">
      <text>
        <r>
          <rPr>
            <sz val="12"/>
            <color theme="1"/>
            <rFont val="Aptos Narrow"/>
            <family val="2"/>
            <scheme val="minor"/>
          </rPr>
          <t>Người dùng Không xác định:
3090000</t>
        </r>
      </text>
    </comment>
    <comment ref="D34" authorId="0" shapeId="0" xr:uid="{00000000-0006-0000-5A00-00004D000000}">
      <text>
        <r>
          <rPr>
            <sz val="12"/>
            <color theme="1"/>
            <rFont val="Aptos Narrow"/>
            <family val="2"/>
            <scheme val="minor"/>
          </rPr>
          <t>Người dùng Không xác định:
2.990</t>
        </r>
      </text>
    </comment>
    <comment ref="E34" authorId="4" shapeId="0" xr:uid="{00000000-0006-0000-5A00-00004E000000}">
      <text>
        <r>
          <rPr>
            <sz val="12"/>
            <color theme="1"/>
            <rFont val="Aptos Narrow"/>
            <family val="2"/>
            <scheme val="minor"/>
          </rPr>
          <t>was 2990</t>
        </r>
      </text>
    </comment>
    <comment ref="D35" authorId="0" shapeId="0" xr:uid="{00000000-0006-0000-5A00-00004F000000}">
      <text>
        <r>
          <rPr>
            <sz val="12"/>
            <color theme="1"/>
            <rFont val="Aptos Narrow"/>
            <family val="2"/>
            <scheme val="minor"/>
          </rPr>
          <t>Người dùng Không xác định:
6.790</t>
        </r>
      </text>
    </comment>
    <comment ref="C40" authorId="0" shapeId="0" xr:uid="{00000000-0006-0000-5A00-000050000000}">
      <text>
        <r>
          <rPr>
            <sz val="12"/>
            <color theme="1"/>
            <rFont val="Aptos Narrow"/>
            <family val="2"/>
            <scheme val="minor"/>
          </rPr>
          <t>Người dùng Không xác định:
41990000</t>
        </r>
      </text>
    </comment>
  </commentList>
</comments>
</file>

<file path=xl/comments92.xml><?xml version="1.0" encoding="utf-8"?>
<comments xmlns="http://schemas.openxmlformats.org/spreadsheetml/2006/main" xmlns:mc="http://schemas.openxmlformats.org/markup-compatibility/2006" xmlns:xr="http://schemas.microsoft.com/office/spreadsheetml/2014/revision" mc:Ignorable="xr">
  <authors>
    <author>Người dùng Khách</author>
    <author>Duy</author>
    <author>Mia</author>
    <author>Microsoft Office User</author>
    <author>Duy Ha Minh</author>
    <author>Dat's MacBook Pro</author>
  </authors>
  <commentList>
    <comment ref="D2" authorId="0" shapeId="0" xr:uid="{00000000-0006-0000-5B00-000001000000}">
      <text>
        <r>
          <rPr>
            <sz val="12"/>
            <color theme="1"/>
            <rFont val="Aptos Narrow"/>
            <family val="2"/>
            <scheme val="minor"/>
          </rPr>
          <t>Người dùng Không xác định:
24990</t>
        </r>
      </text>
    </comment>
    <comment ref="D3" authorId="0" shapeId="0" xr:uid="{00000000-0006-0000-5B00-000002000000}">
      <text>
        <r>
          <rPr>
            <sz val="12"/>
            <color theme="1"/>
            <rFont val="Aptos Narrow"/>
            <family val="2"/>
            <scheme val="minor"/>
          </rPr>
          <t>Người dùng Không xác định:
25.990</t>
        </r>
      </text>
    </comment>
    <comment ref="F3" authorId="1" shapeId="0" xr:uid="{00000000-0006-0000-5B00-000003000000}">
      <text>
        <r>
          <rPr>
            <sz val="12"/>
            <color theme="1"/>
            <rFont val="Aptos Narrow"/>
            <family val="2"/>
            <scheme val="minor"/>
          </rPr>
          <t>W3 25990</t>
        </r>
      </text>
    </comment>
    <comment ref="E4" authorId="2" shapeId="0" xr:uid="{00000000-0006-0000-5B00-000004000000}">
      <text>
        <r>
          <rPr>
            <sz val="12"/>
            <color theme="1"/>
            <rFont val="Aptos Narrow"/>
            <family val="2"/>
            <scheme val="minor"/>
          </rPr>
          <t xml:space="preserve">was 34190
KH cũ 500
</t>
        </r>
      </text>
    </comment>
    <comment ref="D7" authorId="0" shapeId="0" xr:uid="{00000000-0006-0000-5B00-000005000000}">
      <text>
        <r>
          <rPr>
            <sz val="12"/>
            <color theme="1"/>
            <rFont val="Aptos Narrow"/>
            <family val="2"/>
            <scheme val="minor"/>
          </rPr>
          <t>Người dùng Không xác định:
19.790</t>
        </r>
      </text>
    </comment>
    <comment ref="B8" authorId="3" shapeId="0" xr:uid="{00000000-0006-0000-5B00-000006000000}">
      <text>
        <r>
          <rPr>
            <sz val="12"/>
            <color theme="1"/>
            <rFont val="Aptos Narrow"/>
            <family val="2"/>
            <scheme val="minor"/>
          </rPr>
          <t>was 24640000
VNP150</t>
        </r>
      </text>
    </comment>
    <comment ref="B10" authorId="3" shapeId="0" xr:uid="{00000000-0006-0000-5B00-000007000000}">
      <text>
        <r>
          <rPr>
            <sz val="12"/>
            <color theme="1"/>
            <rFont val="Aptos Narrow"/>
            <family val="2"/>
            <scheme val="minor"/>
          </rPr>
          <t>Tặng phiếu mua hàng mua AirPods và Apple Watch trị giá 500,000đ
 Phiếu mua hàng mua sản phẩm giá niêm yết từ 5 triệu thuộc các nhóm TAI NGHE - LOA hãng HARMAN KARDON, JBL,MONSTER, KLIPSCH, MARSHALL, SONY; Smartwatch hãng HUAWEI, GARMIN, SAMSUNG, IMOO, OPPO, AMAZFIT trị giá 500.000đ</t>
        </r>
      </text>
    </comment>
    <comment ref="C10" authorId="0" shapeId="0" xr:uid="{00000000-0006-0000-5B00-000008000000}">
      <text>
        <r>
          <rPr>
            <sz val="12"/>
            <color theme="1"/>
            <rFont val="Aptos Narrow"/>
            <family val="2"/>
            <scheme val="minor"/>
          </rPr>
          <t>Người dùng Không xác định:
31990000</t>
        </r>
      </text>
    </comment>
    <comment ref="D10" authorId="0" shapeId="0" xr:uid="{00000000-0006-0000-5B00-000009000000}">
      <text>
        <r>
          <rPr>
            <sz val="12"/>
            <color theme="1"/>
            <rFont val="Aptos Narrow"/>
            <family val="2"/>
            <scheme val="minor"/>
          </rPr>
          <t>Người dùng Không xác định:31.590</t>
        </r>
      </text>
    </comment>
    <comment ref="F10" authorId="4" shapeId="0" xr:uid="{00000000-0006-0000-5B00-00000A000000}">
      <text>
        <r>
          <rPr>
            <sz val="12"/>
            <color theme="1"/>
            <rFont val="Aptos Narrow"/>
            <family val="2"/>
            <scheme val="minor"/>
          </rPr>
          <t>W3 31790</t>
        </r>
      </text>
    </comment>
    <comment ref="G10" authorId="5" shapeId="0" xr:uid="{00000000-0006-0000-5B00-00000B000000}">
      <text>
        <r>
          <rPr>
            <sz val="12"/>
            <color theme="1"/>
            <rFont val="Aptos Narrow"/>
            <family val="2"/>
            <scheme val="minor"/>
          </rPr>
          <t>Dat's MacBook Pro:
31.990</t>
        </r>
      </text>
    </comment>
    <comment ref="D11" authorId="0" shapeId="0" xr:uid="{00000000-0006-0000-5B00-00000C000000}">
      <text>
        <r>
          <rPr>
            <sz val="12"/>
            <color theme="1"/>
            <rFont val="Aptos Narrow"/>
            <family val="2"/>
            <scheme val="minor"/>
          </rPr>
          <t>Người dùng Không xác định:
16.890</t>
        </r>
      </text>
    </comment>
    <comment ref="F11" authorId="0" shapeId="0" xr:uid="{00000000-0006-0000-5B00-00000D000000}">
      <text>
        <r>
          <rPr>
            <sz val="12"/>
            <color theme="1"/>
            <rFont val="Aptos Narrow"/>
            <family val="2"/>
            <scheme val="minor"/>
          </rPr>
          <t>W3 16890</t>
        </r>
      </text>
    </comment>
    <comment ref="G11" authorId="5" shapeId="0" xr:uid="{00000000-0006-0000-5B00-00000E000000}">
      <text>
        <r>
          <rPr>
            <sz val="12"/>
            <color theme="1"/>
            <rFont val="Aptos Narrow"/>
            <family val="2"/>
            <scheme val="minor"/>
          </rPr>
          <t>Dat's MacBook Pro:
16590</t>
        </r>
      </text>
    </comment>
    <comment ref="C12" authorId="0" shapeId="0" xr:uid="{00000000-0006-0000-5B00-00000F000000}">
      <text>
        <r>
          <rPr>
            <sz val="12"/>
            <color theme="1"/>
            <rFont val="Aptos Narrow"/>
            <family val="2"/>
            <scheme val="minor"/>
          </rPr>
          <t>Người dùng Không xác định:
19590000</t>
        </r>
      </text>
    </comment>
    <comment ref="B14" authorId="3" shapeId="0" xr:uid="{00000000-0006-0000-5B00-000010000000}">
      <text>
        <r>
          <rPr>
            <sz val="12"/>
            <color theme="1"/>
            <rFont val="Aptos Narrow"/>
            <family val="2"/>
            <scheme val="minor"/>
          </rPr>
          <t>was 13190
VNP100</t>
        </r>
      </text>
    </comment>
    <comment ref="C15" authorId="0" shapeId="0" xr:uid="{00000000-0006-0000-5B00-000011000000}">
      <text>
        <r>
          <rPr>
            <sz val="12"/>
            <color theme="1"/>
            <rFont val="Aptos Narrow"/>
            <family val="2"/>
            <scheme val="minor"/>
          </rPr>
          <t>Người dùng Không xác định:
11790000</t>
        </r>
      </text>
    </comment>
    <comment ref="D15" authorId="0" shapeId="0" xr:uid="{00000000-0006-0000-5B00-000012000000}">
      <text>
        <r>
          <rPr>
            <sz val="12"/>
            <color theme="1"/>
            <rFont val="Aptos Narrow"/>
            <family val="2"/>
            <scheme val="minor"/>
          </rPr>
          <t>13.590</t>
        </r>
      </text>
    </comment>
    <comment ref="E15" authorId="2" shapeId="0" xr:uid="{00000000-0006-0000-5B00-000013000000}">
      <text>
        <r>
          <rPr>
            <sz val="12"/>
            <color theme="1"/>
            <rFont val="Aptos Narrow"/>
            <family val="2"/>
            <scheme val="minor"/>
          </rPr>
          <t>was 13490
HSSV 200</t>
        </r>
      </text>
    </comment>
    <comment ref="F15" authorId="1" shapeId="0" xr:uid="{00000000-0006-0000-5B00-000014000000}">
      <text>
        <r>
          <rPr>
            <sz val="12"/>
            <color theme="1"/>
            <rFont val="Aptos Narrow"/>
            <family val="2"/>
            <scheme val="minor"/>
          </rPr>
          <t>W3 13590</t>
        </r>
      </text>
    </comment>
    <comment ref="B16" authorId="3" shapeId="0" xr:uid="{00000000-0006-0000-5B00-000015000000}">
      <text>
        <r>
          <rPr>
            <sz val="12"/>
            <color theme="1"/>
            <rFont val="Aptos Narrow"/>
            <family val="2"/>
            <scheme val="minor"/>
          </rPr>
          <t>was 7040
VNP40</t>
        </r>
      </text>
    </comment>
    <comment ref="C16" authorId="0" shapeId="0" xr:uid="{00000000-0006-0000-5B00-000016000000}">
      <text>
        <r>
          <rPr>
            <sz val="12"/>
            <color theme="1"/>
            <rFont val="Aptos Narrow"/>
            <family val="2"/>
            <scheme val="minor"/>
          </rPr>
          <t>Người dùng Không xác định:
8490000</t>
        </r>
      </text>
    </comment>
    <comment ref="D16" authorId="0" shapeId="0" xr:uid="{00000000-0006-0000-5B00-000017000000}">
      <text>
        <r>
          <rPr>
            <sz val="12"/>
            <color theme="1"/>
            <rFont val="Aptos Narrow"/>
            <family val="2"/>
            <scheme val="minor"/>
          </rPr>
          <t>Người dùng Không xác định:
9.490</t>
        </r>
      </text>
    </comment>
    <comment ref="E16" authorId="2" shapeId="0" xr:uid="{00000000-0006-0000-5B00-000018000000}">
      <text>
        <r>
          <rPr>
            <sz val="12"/>
            <color theme="1"/>
            <rFont val="Aptos Narrow"/>
            <family val="2"/>
            <scheme val="minor"/>
          </rPr>
          <t xml:space="preserve">was 9390
HSSV 200
</t>
        </r>
      </text>
    </comment>
    <comment ref="F16" authorId="0" shapeId="0" xr:uid="{00000000-0006-0000-5B00-000019000000}">
      <text>
        <r>
          <rPr>
            <sz val="12"/>
            <color theme="1"/>
            <rFont val="Aptos Narrow"/>
            <family val="2"/>
            <scheme val="minor"/>
          </rPr>
          <t>W3 9490</t>
        </r>
      </text>
    </comment>
    <comment ref="B17" authorId="3" shapeId="0" xr:uid="{00000000-0006-0000-5B00-00001A000000}">
      <text>
        <r>
          <rPr>
            <sz val="12"/>
            <color theme="1"/>
            <rFont val="Aptos Narrow"/>
            <family val="2"/>
            <scheme val="minor"/>
          </rPr>
          <t>was 14390</t>
        </r>
      </text>
    </comment>
    <comment ref="C17" authorId="0" shapeId="0" xr:uid="{00000000-0006-0000-5B00-00001B000000}">
      <text>
        <r>
          <rPr>
            <sz val="12"/>
            <color theme="1"/>
            <rFont val="Aptos Narrow"/>
            <family val="2"/>
            <scheme val="minor"/>
          </rPr>
          <t>Người dùng Không xác định:
13690000</t>
        </r>
      </text>
    </comment>
    <comment ref="D17" authorId="0" shapeId="0" xr:uid="{00000000-0006-0000-5B00-00001C000000}">
      <text>
        <r>
          <rPr>
            <sz val="12"/>
            <color theme="1"/>
            <rFont val="Aptos Narrow"/>
            <family val="2"/>
            <scheme val="minor"/>
          </rPr>
          <t>13.590</t>
        </r>
      </text>
    </comment>
    <comment ref="E17" authorId="2" shapeId="0" xr:uid="{00000000-0006-0000-5B00-00001D000000}">
      <text>
        <r>
          <rPr>
            <sz val="12"/>
            <color theme="1"/>
            <rFont val="Aptos Narrow"/>
            <family val="2"/>
            <scheme val="minor"/>
          </rPr>
          <t xml:space="preserve">was 13290
HSSV 200:
</t>
        </r>
      </text>
    </comment>
    <comment ref="F17" authorId="0" shapeId="0" xr:uid="{00000000-0006-0000-5B00-00001E000000}">
      <text>
        <r>
          <rPr>
            <sz val="12"/>
            <color theme="1"/>
            <rFont val="Aptos Narrow"/>
            <family val="2"/>
            <scheme val="minor"/>
          </rPr>
          <t>W3 13590</t>
        </r>
      </text>
    </comment>
    <comment ref="G17" authorId="5" shapeId="0" xr:uid="{00000000-0006-0000-5B00-00001F000000}">
      <text>
        <r>
          <rPr>
            <sz val="12"/>
            <color theme="1"/>
            <rFont val="Aptos Narrow"/>
            <family val="2"/>
            <scheme val="minor"/>
          </rPr>
          <t>Dat's MacBook Pro:
15490</t>
        </r>
      </text>
    </comment>
    <comment ref="C18" authorId="0" shapeId="0" xr:uid="{00000000-0006-0000-5B00-000020000000}">
      <text>
        <r>
          <rPr>
            <sz val="12"/>
            <color theme="1"/>
            <rFont val="Aptos Narrow"/>
            <family val="2"/>
            <scheme val="minor"/>
          </rPr>
          <t>Người dùng Không xác định:
19490000</t>
        </r>
      </text>
    </comment>
    <comment ref="D18" authorId="0" shapeId="0" xr:uid="{00000000-0006-0000-5B00-000021000000}">
      <text>
        <r>
          <rPr>
            <sz val="12"/>
            <color theme="1"/>
            <rFont val="Aptos Narrow"/>
            <family val="2"/>
            <scheme val="minor"/>
          </rPr>
          <t>Người dùng Không xác định:
19.290</t>
        </r>
      </text>
    </comment>
    <comment ref="E18" authorId="2" shapeId="0" xr:uid="{00000000-0006-0000-5B00-000022000000}">
      <text>
        <r>
          <rPr>
            <sz val="12"/>
            <color theme="1"/>
            <rFont val="Aptos Narrow"/>
            <family val="2"/>
            <scheme val="minor"/>
          </rPr>
          <t xml:space="preserve">was 18990
HSSV 200
</t>
        </r>
      </text>
    </comment>
    <comment ref="F18" authorId="0" shapeId="0" xr:uid="{00000000-0006-0000-5B00-000023000000}">
      <text>
        <r>
          <rPr>
            <sz val="12"/>
            <color theme="1"/>
            <rFont val="Aptos Narrow"/>
            <family val="2"/>
            <scheme val="minor"/>
          </rPr>
          <t>W3 19290</t>
        </r>
      </text>
    </comment>
    <comment ref="D19" authorId="0" shapeId="0" xr:uid="{00000000-0006-0000-5B00-000024000000}">
      <text>
        <r>
          <rPr>
            <sz val="12"/>
            <color theme="1"/>
            <rFont val="Aptos Narrow"/>
            <family val="2"/>
            <scheme val="minor"/>
          </rPr>
          <t>Người dùng Không xác định:
27.990</t>
        </r>
      </text>
    </comment>
    <comment ref="F19" authorId="1" shapeId="0" xr:uid="{00000000-0006-0000-5B00-000025000000}">
      <text>
        <r>
          <rPr>
            <sz val="12"/>
            <color theme="1"/>
            <rFont val="Aptos Narrow"/>
            <family val="2"/>
            <scheme val="minor"/>
          </rPr>
          <t>W1 28190</t>
        </r>
      </text>
    </comment>
    <comment ref="B20" authorId="3" shapeId="0" xr:uid="{00000000-0006-0000-5B00-000026000000}">
      <text>
        <r>
          <rPr>
            <sz val="12"/>
            <color theme="1"/>
            <rFont val="Aptos Narrow"/>
            <family val="2"/>
            <scheme val="minor"/>
          </rPr>
          <t>was 36640</t>
        </r>
      </text>
    </comment>
    <comment ref="C21" authorId="0" shapeId="0" xr:uid="{00000000-0006-0000-5B00-000027000000}">
      <text>
        <r>
          <rPr>
            <sz val="12"/>
            <color theme="1"/>
            <rFont val="Aptos Narrow"/>
            <family val="2"/>
            <scheme val="minor"/>
          </rPr>
          <t>Người dùng Không xác định:
299
90000</t>
        </r>
      </text>
    </comment>
    <comment ref="D21" authorId="0" shapeId="0" xr:uid="{00000000-0006-0000-5B00-000028000000}">
      <text>
        <r>
          <rPr>
            <sz val="12"/>
            <color theme="1"/>
            <rFont val="Aptos Narrow"/>
            <family val="2"/>
            <scheme val="minor"/>
          </rPr>
          <t>Người dùng Không xác định:
29.790</t>
        </r>
      </text>
    </comment>
    <comment ref="F21" authorId="4" shapeId="0" xr:uid="{00000000-0006-0000-5B00-000029000000}">
      <text>
        <r>
          <rPr>
            <sz val="12"/>
            <color theme="1"/>
            <rFont val="Aptos Narrow"/>
            <family val="2"/>
            <scheme val="minor"/>
          </rPr>
          <t>W3 29790</t>
        </r>
      </text>
    </comment>
    <comment ref="D22" authorId="0" shapeId="0" xr:uid="{00000000-0006-0000-5B00-00002A000000}">
      <text>
        <r>
          <rPr>
            <sz val="12"/>
            <color theme="1"/>
            <rFont val="Aptos Narrow"/>
            <family val="2"/>
            <scheme val="minor"/>
          </rPr>
          <t>Người dùng Không xác định:
39.590</t>
        </r>
      </text>
    </comment>
    <comment ref="F22" authorId="1" shapeId="0" xr:uid="{00000000-0006-0000-5B00-00002B000000}">
      <text>
        <r>
          <rPr>
            <sz val="12"/>
            <color theme="1"/>
            <rFont val="Aptos Narrow"/>
            <family val="2"/>
            <scheme val="minor"/>
          </rPr>
          <t>W3 39590</t>
        </r>
      </text>
    </comment>
    <comment ref="C28" authorId="0" shapeId="0" xr:uid="{00000000-0006-0000-5B00-00002C000000}">
      <text>
        <r>
          <rPr>
            <sz val="12"/>
            <color theme="1"/>
            <rFont val="Aptos Narrow"/>
            <family val="2"/>
            <scheme val="minor"/>
          </rPr>
          <t>Người dùng Không xác định:
14090000</t>
        </r>
      </text>
    </comment>
    <comment ref="D28" authorId="0" shapeId="0" xr:uid="{00000000-0006-0000-5B00-00002D000000}">
      <text>
        <r>
          <rPr>
            <sz val="12"/>
            <color theme="1"/>
            <rFont val="Aptos Narrow"/>
            <family val="2"/>
            <scheme val="minor"/>
          </rPr>
          <t>Người dùng Không xác định:
13.290</t>
        </r>
      </text>
    </comment>
    <comment ref="C29" authorId="0" shapeId="0" xr:uid="{00000000-0006-0000-5B00-00002E000000}">
      <text>
        <r>
          <rPr>
            <sz val="12"/>
            <color theme="1"/>
            <rFont val="Aptos Narrow"/>
            <family val="2"/>
            <scheme val="minor"/>
          </rPr>
          <t>Người dùng Không xác định:
11990000</t>
        </r>
      </text>
    </comment>
    <comment ref="D29" authorId="0" shapeId="0" xr:uid="{00000000-0006-0000-5B00-00002F000000}">
      <text>
        <r>
          <rPr>
            <sz val="12"/>
            <color theme="1"/>
            <rFont val="Aptos Narrow"/>
            <family val="2"/>
            <scheme val="minor"/>
          </rPr>
          <t>Người dùng Không xác định:
11.990</t>
        </r>
      </text>
    </comment>
    <comment ref="C30" authorId="0" shapeId="0" xr:uid="{00000000-0006-0000-5B00-000030000000}">
      <text>
        <r>
          <rPr>
            <sz val="12"/>
            <color theme="1"/>
            <rFont val="Aptos Narrow"/>
            <family val="2"/>
            <scheme val="minor"/>
          </rPr>
          <t>Người dùng Không xác định:
14090000</t>
        </r>
      </text>
    </comment>
    <comment ref="D30" authorId="0" shapeId="0" xr:uid="{00000000-0006-0000-5B00-000031000000}">
      <text>
        <r>
          <rPr>
            <sz val="12"/>
            <color theme="1"/>
            <rFont val="Aptos Narrow"/>
            <family val="2"/>
            <scheme val="minor"/>
          </rPr>
          <t>Người dùng Không xác định:
12.990</t>
        </r>
      </text>
    </comment>
    <comment ref="F30" authorId="1" shapeId="0" xr:uid="{00000000-0006-0000-5B00-000032000000}">
      <text>
        <r>
          <rPr>
            <sz val="12"/>
            <color theme="1"/>
            <rFont val="Aptos Narrow"/>
            <family val="2"/>
            <scheme val="minor"/>
          </rPr>
          <t>W3 14990</t>
        </r>
      </text>
    </comment>
    <comment ref="B32" authorId="3" shapeId="0" xr:uid="{00000000-0006-0000-5B00-000033000000}">
      <text>
        <r>
          <rPr>
            <sz val="12"/>
            <color theme="1"/>
            <rFont val="Aptos Narrow"/>
            <family val="2"/>
            <scheme val="minor"/>
          </rPr>
          <t>was 5550
VNP40</t>
        </r>
      </text>
    </comment>
    <comment ref="C32" authorId="0" shapeId="0" xr:uid="{00000000-0006-0000-5B00-000034000000}">
      <text>
        <r>
          <rPr>
            <sz val="12"/>
            <color theme="1"/>
            <rFont val="Aptos Narrow"/>
            <family val="2"/>
            <scheme val="minor"/>
          </rPr>
          <t>Người dùng Không xác định:
4890000</t>
        </r>
      </text>
    </comment>
    <comment ref="B33" authorId="3" shapeId="0" xr:uid="{00000000-0006-0000-5B00-000035000000}">
      <text>
        <r>
          <rPr>
            <sz val="12"/>
            <color theme="1"/>
            <rFont val="Aptos Narrow"/>
            <family val="2"/>
            <scheme val="minor"/>
          </rPr>
          <t xml:space="preserve">was 4490
</t>
        </r>
      </text>
    </comment>
    <comment ref="C33" authorId="0" shapeId="0" xr:uid="{00000000-0006-0000-5B00-000036000000}">
      <text>
        <r>
          <rPr>
            <sz val="12"/>
            <color theme="1"/>
            <rFont val="Aptos Narrow"/>
            <family val="2"/>
            <scheme val="minor"/>
          </rPr>
          <t>Người dùng Không xác định:
4690000</t>
        </r>
      </text>
    </comment>
    <comment ref="F33" authorId="1" shapeId="0" xr:uid="{00000000-0006-0000-5B00-000037000000}">
      <text>
        <r>
          <rPr>
            <sz val="12"/>
            <color theme="1"/>
            <rFont val="Aptos Narrow"/>
            <family val="2"/>
            <scheme val="minor"/>
          </rPr>
          <t>W3 4690</t>
        </r>
      </text>
    </comment>
    <comment ref="B34" authorId="3" shapeId="0" xr:uid="{00000000-0006-0000-5B00-000038000000}">
      <text>
        <r>
          <rPr>
            <sz val="12"/>
            <color theme="1"/>
            <rFont val="Aptos Narrow"/>
            <family val="2"/>
            <scheme val="minor"/>
          </rPr>
          <t>was 3190</t>
        </r>
      </text>
    </comment>
    <comment ref="C34" authorId="0" shapeId="0" xr:uid="{00000000-0006-0000-5B00-000039000000}">
      <text>
        <r>
          <rPr>
            <sz val="12"/>
            <color theme="1"/>
            <rFont val="Aptos Narrow"/>
            <family val="2"/>
            <scheme val="minor"/>
          </rPr>
          <t>Người dùng Không xác định:
3590000</t>
        </r>
      </text>
    </comment>
    <comment ref="F34" authorId="1" shapeId="0" xr:uid="{00000000-0006-0000-5B00-00003A000000}">
      <text>
        <r>
          <rPr>
            <sz val="12"/>
            <color theme="1"/>
            <rFont val="Aptos Narrow"/>
            <family val="2"/>
            <scheme val="minor"/>
          </rPr>
          <t>W3 3550</t>
        </r>
      </text>
    </comment>
    <comment ref="C35" authorId="0" shapeId="0" xr:uid="{00000000-0006-0000-5B00-00003B000000}">
      <text>
        <r>
          <rPr>
            <sz val="12"/>
            <color theme="1"/>
            <rFont val="Aptos Narrow"/>
            <family val="2"/>
            <scheme val="minor"/>
          </rPr>
          <t>Người dùng Không xác định:
6790000</t>
        </r>
      </text>
    </comment>
    <comment ref="E35" authorId="2" shapeId="0" xr:uid="{00000000-0006-0000-5B00-00003C000000}">
      <text>
        <r>
          <rPr>
            <sz val="12"/>
            <color theme="1"/>
            <rFont val="Aptos Narrow"/>
            <family val="2"/>
            <scheme val="minor"/>
          </rPr>
          <t xml:space="preserve">was 6490
</t>
        </r>
      </text>
    </comment>
    <comment ref="F35" authorId="1" shapeId="0" xr:uid="{00000000-0006-0000-5B00-00003D000000}">
      <text>
        <r>
          <rPr>
            <sz val="12"/>
            <color theme="1"/>
            <rFont val="Aptos Narrow"/>
            <family val="2"/>
            <scheme val="minor"/>
          </rPr>
          <t>W3 6790</t>
        </r>
      </text>
    </comment>
    <comment ref="C37" authorId="0" shapeId="0" xr:uid="{00000000-0006-0000-5B00-00003E000000}">
      <text>
        <r>
          <rPr>
            <sz val="12"/>
            <color theme="1"/>
            <rFont val="Aptos Narrow"/>
            <family val="2"/>
            <scheme val="minor"/>
          </rPr>
          <t>Người dùng Không xác định:
23990000</t>
        </r>
      </text>
    </comment>
    <comment ref="D37" authorId="0" shapeId="0" xr:uid="{00000000-0006-0000-5B00-00003F000000}">
      <text>
        <r>
          <rPr>
            <sz val="12"/>
            <color theme="1"/>
            <rFont val="Aptos Narrow"/>
            <family val="2"/>
            <scheme val="minor"/>
          </rPr>
          <t>Người dùng Không xác định:
23.990</t>
        </r>
      </text>
    </comment>
    <comment ref="F37" authorId="1" shapeId="0" xr:uid="{00000000-0006-0000-5B00-000040000000}">
      <text>
        <r>
          <rPr>
            <sz val="12"/>
            <color theme="1"/>
            <rFont val="Aptos Narrow"/>
            <family val="2"/>
            <scheme val="minor"/>
          </rPr>
          <t>W3 23990</t>
        </r>
      </text>
    </comment>
    <comment ref="C38" authorId="0" shapeId="0" xr:uid="{00000000-0006-0000-5B00-000041000000}">
      <text>
        <r>
          <rPr>
            <sz val="12"/>
            <color theme="1"/>
            <rFont val="Aptos Narrow"/>
            <family val="2"/>
            <scheme val="minor"/>
          </rPr>
          <t>Người dùng Không xác định:
28990000</t>
        </r>
      </text>
    </comment>
    <comment ref="D38" authorId="0" shapeId="0" xr:uid="{00000000-0006-0000-5B00-000042000000}">
      <text>
        <r>
          <rPr>
            <sz val="12"/>
            <color theme="1"/>
            <rFont val="Aptos Narrow"/>
            <family val="2"/>
            <scheme val="minor"/>
          </rPr>
          <t>Người dùng Không xác định:
28.990</t>
        </r>
      </text>
    </comment>
    <comment ref="F38" authorId="1" shapeId="0" xr:uid="{00000000-0006-0000-5B00-000043000000}">
      <text>
        <r>
          <rPr>
            <sz val="12"/>
            <color theme="1"/>
            <rFont val="Aptos Narrow"/>
            <family val="2"/>
            <scheme val="minor"/>
          </rPr>
          <t>W3 28990</t>
        </r>
      </text>
    </comment>
    <comment ref="C40" authorId="0" shapeId="0" xr:uid="{00000000-0006-0000-5B00-000044000000}">
      <text>
        <r>
          <rPr>
            <sz val="12"/>
            <color theme="1"/>
            <rFont val="Aptos Narrow"/>
            <family val="2"/>
            <scheme val="minor"/>
          </rPr>
          <t>Người dùng Không xác định:
41690000</t>
        </r>
      </text>
    </comment>
  </commentList>
</comments>
</file>

<file path=xl/comments93.xml><?xml version="1.0" encoding="utf-8"?>
<comments xmlns="http://schemas.openxmlformats.org/spreadsheetml/2006/main" xmlns:mc="http://schemas.openxmlformats.org/markup-compatibility/2006" xmlns:xr="http://schemas.microsoft.com/office/spreadsheetml/2014/revision" mc:Ignorable="xr">
  <authors>
    <author>Duy</author>
    <author>Microsoft Office User</author>
    <author>Người dùng Khách</author>
    <author>Duy Ha Minh</author>
    <author>Dat's MacBook Pro</author>
    <author>Mia</author>
  </authors>
  <commentList>
    <comment ref="F2" authorId="0" shapeId="0" xr:uid="{00000000-0006-0000-5C00-000001000000}">
      <text>
        <r>
          <rPr>
            <sz val="12"/>
            <color theme="1"/>
            <rFont val="Aptos Narrow"/>
            <family val="2"/>
            <scheme val="minor"/>
          </rPr>
          <t>W4 24890</t>
        </r>
      </text>
    </comment>
    <comment ref="F6" authorId="0" shapeId="0" xr:uid="{00000000-0006-0000-5C00-000002000000}">
      <text>
        <r>
          <rPr>
            <sz val="12"/>
            <color theme="1"/>
            <rFont val="Aptos Narrow"/>
            <family val="2"/>
            <scheme val="minor"/>
          </rPr>
          <t>W4 12490</t>
        </r>
      </text>
    </comment>
    <comment ref="F7" authorId="0" shapeId="0" xr:uid="{00000000-0006-0000-5C00-000003000000}">
      <text>
        <r>
          <rPr>
            <sz val="12"/>
            <color theme="1"/>
            <rFont val="Aptos Narrow"/>
            <family val="2"/>
            <scheme val="minor"/>
          </rPr>
          <t>W4 19790</t>
        </r>
      </text>
    </comment>
    <comment ref="B8" authorId="1" shapeId="0" xr:uid="{00000000-0006-0000-5C00-000004000000}">
      <text>
        <r>
          <rPr>
            <sz val="12"/>
            <color theme="1"/>
            <rFont val="Aptos Narrow"/>
            <family val="2"/>
            <scheme val="minor"/>
          </rPr>
          <t>was 24640000
VNP150</t>
        </r>
      </text>
    </comment>
    <comment ref="F8" authorId="0" shapeId="0" xr:uid="{00000000-0006-0000-5C00-000005000000}">
      <text>
        <r>
          <rPr>
            <sz val="12"/>
            <color theme="1"/>
            <rFont val="Aptos Narrow"/>
            <family val="2"/>
            <scheme val="minor"/>
          </rPr>
          <t>W4 23790</t>
        </r>
      </text>
    </comment>
    <comment ref="F9" authorId="0" shapeId="0" xr:uid="{00000000-0006-0000-5C00-000006000000}">
      <text>
        <r>
          <rPr>
            <sz val="12"/>
            <color theme="1"/>
            <rFont val="Aptos Narrow"/>
            <family val="2"/>
            <scheme val="minor"/>
          </rPr>
          <t>W4 25990</t>
        </r>
      </text>
    </comment>
    <comment ref="B10" authorId="1" shapeId="0" xr:uid="{00000000-0006-0000-5C00-000007000000}">
      <text>
        <r>
          <rPr>
            <sz val="12"/>
            <color theme="1"/>
            <rFont val="Aptos Narrow"/>
            <family val="2"/>
            <scheme val="minor"/>
          </rPr>
          <t>Tặng phiếu mua hàng mua AirPods và Apple Watch trị giá 500,000đ
 Phiếu mua hàng mua sản phẩm giá niêm yết từ 5 triệu thuộc các nhóm TAI NGHE - LOA hãng HARMAN KARDON, JBL,MONSTER, KLIPSCH, MARSHALL, SONY; Smartwatch hãng HUAWEI, GARMIN, SAMSUNG, IMOO, OPPO, AMAZFIT trị giá 500.000đ</t>
        </r>
      </text>
    </comment>
    <comment ref="C10" authorId="2" shapeId="0" xr:uid="{00000000-0006-0000-5C00-000008000000}">
      <text>
        <r>
          <rPr>
            <sz val="12"/>
            <color theme="1"/>
            <rFont val="Aptos Narrow"/>
            <family val="2"/>
            <scheme val="minor"/>
          </rPr>
          <t>Người dùng Không xác định:
32590000</t>
        </r>
      </text>
    </comment>
    <comment ref="D10" authorId="2" shapeId="0" xr:uid="{00000000-0006-0000-5C00-000009000000}">
      <text>
        <r>
          <rPr>
            <sz val="12"/>
            <color theme="1"/>
            <rFont val="Aptos Narrow"/>
            <family val="2"/>
            <scheme val="minor"/>
          </rPr>
          <t>Người dùng Không xác định:32.490</t>
        </r>
      </text>
    </comment>
    <comment ref="F10" authorId="3" shapeId="0" xr:uid="{00000000-0006-0000-5C00-00000A000000}">
      <text>
        <r>
          <rPr>
            <sz val="12"/>
            <color theme="1"/>
            <rFont val="Aptos Narrow"/>
            <family val="2"/>
            <scheme val="minor"/>
          </rPr>
          <t>W4 32490</t>
        </r>
      </text>
    </comment>
    <comment ref="G10" authorId="4" shapeId="0" xr:uid="{00000000-0006-0000-5C00-00000B000000}">
      <text>
        <r>
          <rPr>
            <sz val="12"/>
            <color theme="1"/>
            <rFont val="Aptos Narrow"/>
            <family val="2"/>
            <scheme val="minor"/>
          </rPr>
          <t>Dat's MacBook Pro:
31.990</t>
        </r>
      </text>
    </comment>
    <comment ref="G11" authorId="4" shapeId="0" xr:uid="{00000000-0006-0000-5C00-00000C000000}">
      <text>
        <r>
          <rPr>
            <sz val="12"/>
            <color theme="1"/>
            <rFont val="Aptos Narrow"/>
            <family val="2"/>
            <scheme val="minor"/>
          </rPr>
          <t>Dat's MacBook Pro:
16590</t>
        </r>
      </text>
    </comment>
    <comment ref="C12" authorId="2" shapeId="0" xr:uid="{00000000-0006-0000-5C00-00000D000000}">
      <text>
        <r>
          <rPr>
            <sz val="12"/>
            <color theme="1"/>
            <rFont val="Aptos Narrow"/>
            <family val="2"/>
            <scheme val="minor"/>
          </rPr>
          <t>Người dùng Không xác định:
19590000</t>
        </r>
      </text>
    </comment>
    <comment ref="B14" authorId="1" shapeId="0" xr:uid="{00000000-0006-0000-5C00-00000E000000}">
      <text>
        <r>
          <rPr>
            <sz val="12"/>
            <color theme="1"/>
            <rFont val="Aptos Narrow"/>
            <family val="2"/>
            <scheme val="minor"/>
          </rPr>
          <t>was 13190
VNP100</t>
        </r>
      </text>
    </comment>
    <comment ref="C15" authorId="2" shapeId="0" xr:uid="{00000000-0006-0000-5C00-00000F000000}">
      <text>
        <r>
          <rPr>
            <sz val="12"/>
            <color theme="1"/>
            <rFont val="Aptos Narrow"/>
            <family val="2"/>
            <scheme val="minor"/>
          </rPr>
          <t>Người dùng Không xác định:
13590000</t>
        </r>
      </text>
    </comment>
    <comment ref="B16" authorId="1" shapeId="0" xr:uid="{00000000-0006-0000-5C00-000010000000}">
      <text>
        <r>
          <rPr>
            <sz val="12"/>
            <color theme="1"/>
            <rFont val="Aptos Narrow"/>
            <family val="2"/>
            <scheme val="minor"/>
          </rPr>
          <t>was 7040
VNP40</t>
        </r>
      </text>
    </comment>
    <comment ref="C16" authorId="2" shapeId="0" xr:uid="{00000000-0006-0000-5C00-000011000000}">
      <text>
        <r>
          <rPr>
            <sz val="12"/>
            <color theme="1"/>
            <rFont val="Aptos Narrow"/>
            <family val="2"/>
            <scheme val="minor"/>
          </rPr>
          <t>Người dùng Không xác định:
8490000</t>
        </r>
      </text>
    </comment>
    <comment ref="D16" authorId="2" shapeId="0" xr:uid="{00000000-0006-0000-5C00-000012000000}">
      <text>
        <r>
          <rPr>
            <sz val="12"/>
            <color theme="1"/>
            <rFont val="Aptos Narrow"/>
            <family val="2"/>
            <scheme val="minor"/>
          </rPr>
          <t>Người dùng Không xác định:
9.390</t>
        </r>
      </text>
    </comment>
    <comment ref="B17" authorId="1" shapeId="0" xr:uid="{00000000-0006-0000-5C00-000013000000}">
      <text>
        <r>
          <rPr>
            <sz val="12"/>
            <color theme="1"/>
            <rFont val="Aptos Narrow"/>
            <family val="2"/>
            <scheme val="minor"/>
          </rPr>
          <t>was 14390</t>
        </r>
      </text>
    </comment>
    <comment ref="C17" authorId="2" shapeId="0" xr:uid="{00000000-0006-0000-5C00-000014000000}">
      <text>
        <r>
          <rPr>
            <sz val="12"/>
            <color theme="1"/>
            <rFont val="Aptos Narrow"/>
            <family val="2"/>
            <scheme val="minor"/>
          </rPr>
          <t>Người dùng Không xác định:
16090000</t>
        </r>
      </text>
    </comment>
    <comment ref="D17" authorId="2" shapeId="0" xr:uid="{00000000-0006-0000-5C00-000015000000}">
      <text>
        <r>
          <rPr>
            <sz val="12"/>
            <color theme="1"/>
            <rFont val="Aptos Narrow"/>
            <family val="2"/>
            <scheme val="minor"/>
          </rPr>
          <t>16.090</t>
        </r>
      </text>
    </comment>
    <comment ref="E17" authorId="5" shapeId="0" xr:uid="{00000000-0006-0000-5C00-000016000000}">
      <text>
        <r>
          <rPr>
            <sz val="12"/>
            <color theme="1"/>
            <rFont val="Aptos Narrow"/>
            <family val="2"/>
            <scheme val="minor"/>
          </rPr>
          <t xml:space="preserve">was 15390
HSSV 200:
</t>
        </r>
      </text>
    </comment>
    <comment ref="F17" authorId="2" shapeId="0" xr:uid="{00000000-0006-0000-5C00-000017000000}">
      <text>
        <r>
          <rPr>
            <sz val="12"/>
            <color theme="1"/>
            <rFont val="Aptos Narrow"/>
            <family val="2"/>
            <scheme val="minor"/>
          </rPr>
          <t>W4 16090</t>
        </r>
      </text>
    </comment>
    <comment ref="G17" authorId="4" shapeId="0" xr:uid="{00000000-0006-0000-5C00-000018000000}">
      <text>
        <r>
          <rPr>
            <sz val="12"/>
            <color theme="1"/>
            <rFont val="Aptos Narrow"/>
            <family val="2"/>
            <scheme val="minor"/>
          </rPr>
          <t>Dat's MacBook Pro:
15490</t>
        </r>
      </text>
    </comment>
    <comment ref="C18" authorId="2" shapeId="0" xr:uid="{00000000-0006-0000-5C00-000019000000}">
      <text>
        <r>
          <rPr>
            <sz val="12"/>
            <color theme="1"/>
            <rFont val="Aptos Narrow"/>
            <family val="2"/>
            <scheme val="minor"/>
          </rPr>
          <t>Người dùng Không xác định:
19490000</t>
        </r>
      </text>
    </comment>
    <comment ref="D18" authorId="2" shapeId="0" xr:uid="{00000000-0006-0000-5C00-00001A000000}">
      <text>
        <r>
          <rPr>
            <sz val="12"/>
            <color theme="1"/>
            <rFont val="Aptos Narrow"/>
            <family val="2"/>
            <scheme val="minor"/>
          </rPr>
          <t>Người dùng Không xác định:
21790</t>
        </r>
      </text>
    </comment>
    <comment ref="E18" authorId="5" shapeId="0" xr:uid="{00000000-0006-0000-5C00-00001B000000}">
      <text>
        <r>
          <rPr>
            <sz val="12"/>
            <color theme="1"/>
            <rFont val="Aptos Narrow"/>
            <family val="2"/>
            <scheme val="minor"/>
          </rPr>
          <t xml:space="preserve">was 20290
HSSV 200
</t>
        </r>
      </text>
    </comment>
    <comment ref="F18" authorId="2" shapeId="0" xr:uid="{00000000-0006-0000-5C00-00001C000000}">
      <text>
        <r>
          <rPr>
            <sz val="12"/>
            <color theme="1"/>
            <rFont val="Aptos Narrow"/>
            <family val="2"/>
            <scheme val="minor"/>
          </rPr>
          <t>W4 18990</t>
        </r>
      </text>
    </comment>
    <comment ref="D19" authorId="2" shapeId="0" xr:uid="{00000000-0006-0000-5C00-00001D000000}">
      <text>
        <r>
          <rPr>
            <sz val="12"/>
            <color theme="1"/>
            <rFont val="Aptos Narrow"/>
            <family val="2"/>
            <scheme val="minor"/>
          </rPr>
          <t>Người dùng Không xác định:
27.990</t>
        </r>
      </text>
    </comment>
    <comment ref="F19" authorId="0" shapeId="0" xr:uid="{00000000-0006-0000-5C00-00001E000000}">
      <text>
        <r>
          <rPr>
            <sz val="12"/>
            <color theme="1"/>
            <rFont val="Aptos Narrow"/>
            <family val="2"/>
            <scheme val="minor"/>
          </rPr>
          <t>W1 28190</t>
        </r>
      </text>
    </comment>
    <comment ref="B20" authorId="1" shapeId="0" xr:uid="{00000000-0006-0000-5C00-00001F000000}">
      <text>
        <r>
          <rPr>
            <sz val="12"/>
            <color theme="1"/>
            <rFont val="Aptos Narrow"/>
            <family val="2"/>
            <scheme val="minor"/>
          </rPr>
          <t>was 36640</t>
        </r>
      </text>
    </comment>
    <comment ref="C21" authorId="2" shapeId="0" xr:uid="{00000000-0006-0000-5C00-000020000000}">
      <text>
        <r>
          <rPr>
            <sz val="12"/>
            <color theme="1"/>
            <rFont val="Aptos Narrow"/>
            <family val="2"/>
            <scheme val="minor"/>
          </rPr>
          <t>Người dùng Không xác định:
29690000</t>
        </r>
      </text>
    </comment>
    <comment ref="D21" authorId="2" shapeId="0" xr:uid="{00000000-0006-0000-5C00-000021000000}">
      <text>
        <r>
          <rPr>
            <sz val="12"/>
            <color theme="1"/>
            <rFont val="Aptos Narrow"/>
            <family val="2"/>
            <scheme val="minor"/>
          </rPr>
          <t>Người dùng Không xác định:
29.490</t>
        </r>
      </text>
    </comment>
    <comment ref="F21" authorId="3" shapeId="0" xr:uid="{00000000-0006-0000-5C00-000022000000}">
      <text>
        <r>
          <rPr>
            <sz val="12"/>
            <color theme="1"/>
            <rFont val="Aptos Narrow"/>
            <family val="2"/>
            <scheme val="minor"/>
          </rPr>
          <t>W4 29190</t>
        </r>
      </text>
    </comment>
    <comment ref="C22" authorId="2" shapeId="0" xr:uid="{00000000-0006-0000-5C00-000023000000}">
      <text>
        <r>
          <rPr>
            <sz val="12"/>
            <color theme="1"/>
            <rFont val="Aptos Narrow"/>
            <family val="2"/>
            <scheme val="minor"/>
          </rPr>
          <t>Người dùng Không xác định:
39590000</t>
        </r>
      </text>
    </comment>
    <comment ref="D22" authorId="2" shapeId="0" xr:uid="{00000000-0006-0000-5C00-000024000000}">
      <text>
        <r>
          <rPr>
            <sz val="12"/>
            <color theme="1"/>
            <rFont val="Aptos Narrow"/>
            <family val="2"/>
            <scheme val="minor"/>
          </rPr>
          <t>Người dùng Không xác định:
39.390</t>
        </r>
      </text>
    </comment>
    <comment ref="F22" authorId="0" shapeId="0" xr:uid="{00000000-0006-0000-5C00-000025000000}">
      <text>
        <r>
          <rPr>
            <sz val="12"/>
            <color theme="1"/>
            <rFont val="Aptos Narrow"/>
            <family val="2"/>
            <scheme val="minor"/>
          </rPr>
          <t>W4 39390</t>
        </r>
      </text>
    </comment>
    <comment ref="C28" authorId="2" shapeId="0" xr:uid="{00000000-0006-0000-5C00-000026000000}">
      <text>
        <r>
          <rPr>
            <sz val="12"/>
            <color theme="1"/>
            <rFont val="Aptos Narrow"/>
            <family val="2"/>
            <scheme val="minor"/>
          </rPr>
          <t>Người dùng Không xác định:
14090000</t>
        </r>
      </text>
    </comment>
    <comment ref="D28" authorId="2" shapeId="0" xr:uid="{00000000-0006-0000-5C00-000027000000}">
      <text>
        <r>
          <rPr>
            <sz val="12"/>
            <color theme="1"/>
            <rFont val="Aptos Narrow"/>
            <family val="2"/>
            <scheme val="minor"/>
          </rPr>
          <t>Người dùng Không xác định:
13.290</t>
        </r>
      </text>
    </comment>
    <comment ref="C29" authorId="2" shapeId="0" xr:uid="{00000000-0006-0000-5C00-000028000000}">
      <text>
        <r>
          <rPr>
            <sz val="12"/>
            <color theme="1"/>
            <rFont val="Aptos Narrow"/>
            <family val="2"/>
            <scheme val="minor"/>
          </rPr>
          <t>Người dùng Không xác định:
11990000</t>
        </r>
      </text>
    </comment>
    <comment ref="D29" authorId="2" shapeId="0" xr:uid="{00000000-0006-0000-5C00-000029000000}">
      <text>
        <r>
          <rPr>
            <sz val="12"/>
            <color theme="1"/>
            <rFont val="Aptos Narrow"/>
            <family val="2"/>
            <scheme val="minor"/>
          </rPr>
          <t>Người dùng Không xác định:
11.590</t>
        </r>
      </text>
    </comment>
    <comment ref="C30" authorId="2" shapeId="0" xr:uid="{00000000-0006-0000-5C00-00002A000000}">
      <text>
        <r>
          <rPr>
            <sz val="12"/>
            <color theme="1"/>
            <rFont val="Aptos Narrow"/>
            <family val="2"/>
            <scheme val="minor"/>
          </rPr>
          <t>Người dùng Không xác định:
14990000</t>
        </r>
      </text>
    </comment>
    <comment ref="D30" authorId="2" shapeId="0" xr:uid="{00000000-0006-0000-5C00-00002B000000}">
      <text>
        <r>
          <rPr>
            <sz val="12"/>
            <color theme="1"/>
            <rFont val="Aptos Narrow"/>
            <family val="2"/>
            <scheme val="minor"/>
          </rPr>
          <t>Người dùng Không xác định:
14990</t>
        </r>
      </text>
    </comment>
    <comment ref="B32" authorId="1" shapeId="0" xr:uid="{00000000-0006-0000-5C00-00002C000000}">
      <text>
        <r>
          <rPr>
            <sz val="12"/>
            <color theme="1"/>
            <rFont val="Aptos Narrow"/>
            <family val="2"/>
            <scheme val="minor"/>
          </rPr>
          <t>was 5550
VNP40</t>
        </r>
      </text>
    </comment>
    <comment ref="C32" authorId="2" shapeId="0" xr:uid="{00000000-0006-0000-5C00-00002D000000}">
      <text>
        <r>
          <rPr>
            <sz val="12"/>
            <color theme="1"/>
            <rFont val="Aptos Narrow"/>
            <family val="2"/>
            <scheme val="minor"/>
          </rPr>
          <t>Người dùng Không xác định:
49
90000</t>
        </r>
      </text>
    </comment>
    <comment ref="B33" authorId="1" shapeId="0" xr:uid="{00000000-0006-0000-5C00-00002E000000}">
      <text>
        <r>
          <rPr>
            <sz val="12"/>
            <color theme="1"/>
            <rFont val="Aptos Narrow"/>
            <family val="2"/>
            <scheme val="minor"/>
          </rPr>
          <t xml:space="preserve">was 4490
</t>
        </r>
      </text>
    </comment>
    <comment ref="C33" authorId="2" shapeId="0" xr:uid="{00000000-0006-0000-5C00-00002F000000}">
      <text>
        <r>
          <rPr>
            <sz val="12"/>
            <color theme="1"/>
            <rFont val="Aptos Narrow"/>
            <family val="2"/>
            <scheme val="minor"/>
          </rPr>
          <t>Người dùng Không xác định:
4690000</t>
        </r>
      </text>
    </comment>
    <comment ref="B34" authorId="1" shapeId="0" xr:uid="{00000000-0006-0000-5C00-000030000000}">
      <text>
        <r>
          <rPr>
            <sz val="12"/>
            <color theme="1"/>
            <rFont val="Aptos Narrow"/>
            <family val="2"/>
            <scheme val="minor"/>
          </rPr>
          <t>was 3190</t>
        </r>
      </text>
    </comment>
    <comment ref="C34" authorId="2" shapeId="0" xr:uid="{00000000-0006-0000-5C00-000031000000}">
      <text>
        <r>
          <rPr>
            <sz val="12"/>
            <color theme="1"/>
            <rFont val="Aptos Narrow"/>
            <family val="2"/>
            <scheme val="minor"/>
          </rPr>
          <t>Người dùng Không xác định:
3490000</t>
        </r>
      </text>
    </comment>
    <comment ref="F34" authorId="0" shapeId="0" xr:uid="{00000000-0006-0000-5C00-000032000000}">
      <text>
        <r>
          <rPr>
            <sz val="12"/>
            <color theme="1"/>
            <rFont val="Aptos Narrow"/>
            <family val="2"/>
            <scheme val="minor"/>
          </rPr>
          <t>W4 3450</t>
        </r>
      </text>
    </comment>
    <comment ref="C35" authorId="2" shapeId="0" xr:uid="{00000000-0006-0000-5C00-000033000000}">
      <text>
        <r>
          <rPr>
            <sz val="12"/>
            <color theme="1"/>
            <rFont val="Aptos Narrow"/>
            <family val="2"/>
            <scheme val="minor"/>
          </rPr>
          <t>Người dùng Không xác định:
6790000</t>
        </r>
      </text>
    </comment>
    <comment ref="C37" authorId="2" shapeId="0" xr:uid="{00000000-0006-0000-5C00-000034000000}">
      <text>
        <r>
          <rPr>
            <sz val="12"/>
            <color theme="1"/>
            <rFont val="Aptos Narrow"/>
            <family val="2"/>
            <scheme val="minor"/>
          </rPr>
          <t>Người dùng Không xác định:
25290000</t>
        </r>
      </text>
    </comment>
    <comment ref="D37" authorId="2" shapeId="0" xr:uid="{00000000-0006-0000-5C00-000035000000}">
      <text>
        <r>
          <rPr>
            <sz val="12"/>
            <color theme="1"/>
            <rFont val="Aptos Narrow"/>
            <family val="2"/>
            <scheme val="minor"/>
          </rPr>
          <t>Người dùng Không xác định:
25290</t>
        </r>
      </text>
    </comment>
    <comment ref="F37" authorId="0" shapeId="0" xr:uid="{00000000-0006-0000-5C00-000036000000}">
      <text>
        <r>
          <rPr>
            <sz val="12"/>
            <color theme="1"/>
            <rFont val="Aptos Narrow"/>
            <family val="2"/>
            <scheme val="minor"/>
          </rPr>
          <t>W4 25290</t>
        </r>
      </text>
    </comment>
    <comment ref="C38" authorId="2" shapeId="0" xr:uid="{00000000-0006-0000-5C00-000037000000}">
      <text>
        <r>
          <rPr>
            <sz val="12"/>
            <color theme="1"/>
            <rFont val="Aptos Narrow"/>
            <family val="2"/>
            <scheme val="minor"/>
          </rPr>
          <t>Người dùng Không xác định:
29990000</t>
        </r>
      </text>
    </comment>
    <comment ref="D38" authorId="2" shapeId="0" xr:uid="{00000000-0006-0000-5C00-000038000000}">
      <text>
        <r>
          <rPr>
            <sz val="12"/>
            <color theme="1"/>
            <rFont val="Aptos Narrow"/>
            <family val="2"/>
            <scheme val="minor"/>
          </rPr>
          <t>Người dùng Không xác định:
29.990</t>
        </r>
      </text>
    </comment>
    <comment ref="F38" authorId="0" shapeId="0" xr:uid="{00000000-0006-0000-5C00-000039000000}">
      <text>
        <r>
          <rPr>
            <sz val="12"/>
            <color theme="1"/>
            <rFont val="Aptos Narrow"/>
            <family val="2"/>
            <scheme val="minor"/>
          </rPr>
          <t>W4 29990</t>
        </r>
      </text>
    </comment>
    <comment ref="C40" authorId="2" shapeId="0" xr:uid="{00000000-0006-0000-5C00-00003A000000}">
      <text>
        <r>
          <rPr>
            <sz val="12"/>
            <color theme="1"/>
            <rFont val="Aptos Narrow"/>
            <family val="2"/>
            <scheme val="minor"/>
          </rPr>
          <t>Người dùng Không xác định:
41690000</t>
        </r>
      </text>
    </comment>
  </commentList>
</comments>
</file>

<file path=xl/comments94.xml><?xml version="1.0" encoding="utf-8"?>
<comments xmlns="http://schemas.openxmlformats.org/spreadsheetml/2006/main" xmlns:mc="http://schemas.openxmlformats.org/markup-compatibility/2006" xmlns:xr="http://schemas.microsoft.com/office/spreadsheetml/2014/revision" mc:Ignorable="xr">
  <authors>
    <author>Duy</author>
    <author>Người dùng Khách</author>
    <author>Mia</author>
    <author>Microsoft Office User</author>
    <author>Duy Ha Minh</author>
    <author>Dat's MacBook Pro</author>
  </authors>
  <commentList>
    <comment ref="F2" authorId="0" shapeId="0" xr:uid="{00000000-0006-0000-5D00-000001000000}">
      <text>
        <r>
          <rPr>
            <sz val="12"/>
            <color theme="1"/>
            <rFont val="Aptos Narrow"/>
            <family val="2"/>
            <scheme val="minor"/>
          </rPr>
          <t>W5 24690</t>
        </r>
      </text>
    </comment>
    <comment ref="C3" authorId="1" shapeId="0" xr:uid="{00000000-0006-0000-5D00-000002000000}">
      <text>
        <r>
          <rPr>
            <sz val="12"/>
            <color theme="1"/>
            <rFont val="Aptos Narrow"/>
            <family val="2"/>
            <scheme val="minor"/>
          </rPr>
          <t>Người dùng Không xác định:
25990000</t>
        </r>
      </text>
    </comment>
    <comment ref="D3" authorId="1" shapeId="0" xr:uid="{00000000-0006-0000-5D00-000003000000}">
      <text>
        <r>
          <rPr>
            <sz val="12"/>
            <color theme="1"/>
            <rFont val="Aptos Narrow"/>
            <family val="2"/>
            <scheme val="minor"/>
          </rPr>
          <t>Người dùng Không xác định:
25.790</t>
        </r>
      </text>
    </comment>
    <comment ref="E3" authorId="2" shapeId="0" xr:uid="{00000000-0006-0000-5D00-000004000000}">
      <text>
        <r>
          <rPr>
            <sz val="12"/>
            <color theme="1"/>
            <rFont val="Aptos Narrow"/>
            <family val="2"/>
            <scheme val="minor"/>
          </rPr>
          <t>was 25490</t>
        </r>
      </text>
    </comment>
    <comment ref="F3" authorId="0" shapeId="0" xr:uid="{00000000-0006-0000-5D00-000005000000}">
      <text>
        <r>
          <rPr>
            <sz val="12"/>
            <color theme="1"/>
            <rFont val="Aptos Narrow"/>
            <family val="2"/>
            <scheme val="minor"/>
          </rPr>
          <t>W5 25790</t>
        </r>
      </text>
    </comment>
    <comment ref="E4" authorId="2" shapeId="0" xr:uid="{00000000-0006-0000-5D00-000006000000}">
      <text>
        <r>
          <rPr>
            <sz val="12"/>
            <color theme="1"/>
            <rFont val="Aptos Narrow"/>
            <family val="2"/>
            <scheme val="minor"/>
          </rPr>
          <t>was 33590</t>
        </r>
      </text>
    </comment>
    <comment ref="F4" authorId="0" shapeId="0" xr:uid="{00000000-0006-0000-5D00-000007000000}">
      <text>
        <r>
          <rPr>
            <sz val="12"/>
            <color theme="1"/>
            <rFont val="Aptos Narrow"/>
            <family val="2"/>
            <scheme val="minor"/>
          </rPr>
          <t>W5 34390</t>
        </r>
      </text>
    </comment>
    <comment ref="F5" authorId="0" shapeId="0" xr:uid="{00000000-0006-0000-5D00-000008000000}">
      <text>
        <r>
          <rPr>
            <sz val="12"/>
            <color theme="1"/>
            <rFont val="Aptos Narrow"/>
            <family val="2"/>
            <scheme val="minor"/>
          </rPr>
          <t>W5 37690</t>
        </r>
      </text>
    </comment>
    <comment ref="F6" authorId="0" shapeId="0" xr:uid="{00000000-0006-0000-5D00-000009000000}">
      <text>
        <r>
          <rPr>
            <sz val="12"/>
            <color theme="1"/>
            <rFont val="Aptos Narrow"/>
            <family val="2"/>
            <scheme val="minor"/>
          </rPr>
          <t>W5 12870</t>
        </r>
      </text>
    </comment>
    <comment ref="F7" authorId="0" shapeId="0" xr:uid="{00000000-0006-0000-5D00-00000A000000}">
      <text>
        <r>
          <rPr>
            <sz val="12"/>
            <color theme="1"/>
            <rFont val="Aptos Narrow"/>
            <family val="2"/>
            <scheme val="minor"/>
          </rPr>
          <t>W5 19690</t>
        </r>
      </text>
    </comment>
    <comment ref="B8" authorId="3" shapeId="0" xr:uid="{00000000-0006-0000-5D00-00000B000000}">
      <text>
        <r>
          <rPr>
            <sz val="12"/>
            <color theme="1"/>
            <rFont val="Aptos Narrow"/>
            <family val="2"/>
            <scheme val="minor"/>
          </rPr>
          <t>was 24640000
VNP150</t>
        </r>
      </text>
    </comment>
    <comment ref="F8" authorId="0" shapeId="0" xr:uid="{00000000-0006-0000-5D00-00000C000000}">
      <text>
        <r>
          <rPr>
            <sz val="12"/>
            <color theme="1"/>
            <rFont val="Aptos Narrow"/>
            <family val="2"/>
            <scheme val="minor"/>
          </rPr>
          <t>W5 23690</t>
        </r>
      </text>
    </comment>
    <comment ref="F9" authorId="0" shapeId="0" xr:uid="{00000000-0006-0000-5D00-00000D000000}">
      <text>
        <r>
          <rPr>
            <sz val="12"/>
            <color theme="1"/>
            <rFont val="Aptos Narrow"/>
            <family val="2"/>
            <scheme val="minor"/>
          </rPr>
          <t>W5 26990</t>
        </r>
      </text>
    </comment>
    <comment ref="B10" authorId="3" shapeId="0" xr:uid="{00000000-0006-0000-5D00-00000E000000}">
      <text>
        <r>
          <rPr>
            <sz val="12"/>
            <color theme="1"/>
            <rFont val="Aptos Narrow"/>
            <family val="2"/>
            <scheme val="minor"/>
          </rPr>
          <t>Tặng phiếu mua hàng mua AirPods và Apple Watch trị giá 500,000đ
 Phiếu mua hàng mua sản phẩm giá niêm yết từ 5 triệu thuộc các nhóm TAI NGHE - LOA hãng HARMAN KARDON, JBL,MONSTER, KLIPSCH, MARSHALL, SONY; Smartwatch hãng HUAWEI, GARMIN, SAMSUNG, IMOO, OPPO, AMAZFIT trị giá 500.000đ</t>
        </r>
      </text>
    </comment>
    <comment ref="C10" authorId="1" shapeId="0" xr:uid="{00000000-0006-0000-5D00-00000F000000}">
      <text>
        <r>
          <rPr>
            <sz val="12"/>
            <color theme="1"/>
            <rFont val="Aptos Narrow"/>
            <family val="2"/>
            <scheme val="minor"/>
          </rPr>
          <t>Người dùng Không xác định:
32990000</t>
        </r>
      </text>
    </comment>
    <comment ref="D10" authorId="1" shapeId="0" xr:uid="{00000000-0006-0000-5D00-000010000000}">
      <text>
        <r>
          <rPr>
            <sz val="12"/>
            <color theme="1"/>
            <rFont val="Aptos Narrow"/>
            <family val="2"/>
            <scheme val="minor"/>
          </rPr>
          <t>:32.990</t>
        </r>
      </text>
    </comment>
    <comment ref="F10" authorId="4" shapeId="0" xr:uid="{00000000-0006-0000-5D00-000011000000}">
      <text>
        <r>
          <rPr>
            <sz val="12"/>
            <color theme="1"/>
            <rFont val="Aptos Narrow"/>
            <family val="2"/>
            <scheme val="minor"/>
          </rPr>
          <t>W5 32990</t>
        </r>
      </text>
    </comment>
    <comment ref="G10" authorId="5" shapeId="0" xr:uid="{00000000-0006-0000-5D00-000012000000}">
      <text>
        <r>
          <rPr>
            <sz val="12"/>
            <color theme="1"/>
            <rFont val="Aptos Narrow"/>
            <family val="2"/>
            <scheme val="minor"/>
          </rPr>
          <t>Dat's MacBook Pro:
31.990</t>
        </r>
      </text>
    </comment>
    <comment ref="G11" authorId="5" shapeId="0" xr:uid="{00000000-0006-0000-5D00-000013000000}">
      <text>
        <r>
          <rPr>
            <sz val="12"/>
            <color theme="1"/>
            <rFont val="Aptos Narrow"/>
            <family val="2"/>
            <scheme val="minor"/>
          </rPr>
          <t>Dat's MacBook Pro:
16590</t>
        </r>
      </text>
    </comment>
    <comment ref="C12" authorId="1" shapeId="0" xr:uid="{00000000-0006-0000-5D00-000014000000}">
      <text>
        <r>
          <rPr>
            <sz val="12"/>
            <color theme="1"/>
            <rFont val="Aptos Narrow"/>
            <family val="2"/>
            <scheme val="minor"/>
          </rPr>
          <t>Người dùng Không xác định:
18990000</t>
        </r>
      </text>
    </comment>
    <comment ref="D13" authorId="1" shapeId="0" xr:uid="{00000000-0006-0000-5D00-000015000000}">
      <text>
        <r>
          <rPr>
            <sz val="12"/>
            <color theme="1"/>
            <rFont val="Aptos Narrow"/>
            <family val="2"/>
            <scheme val="minor"/>
          </rPr>
          <t>Người dùng Không xác định:
13.490</t>
        </r>
      </text>
    </comment>
    <comment ref="F13" authorId="0" shapeId="0" xr:uid="{00000000-0006-0000-5D00-000016000000}">
      <text>
        <r>
          <rPr>
            <sz val="12"/>
            <color theme="1"/>
            <rFont val="Aptos Narrow"/>
            <family val="2"/>
            <scheme val="minor"/>
          </rPr>
          <t>W5 13590</t>
        </r>
      </text>
    </comment>
    <comment ref="B14" authorId="3" shapeId="0" xr:uid="{00000000-0006-0000-5D00-000017000000}">
      <text>
        <r>
          <rPr>
            <sz val="12"/>
            <color theme="1"/>
            <rFont val="Aptos Narrow"/>
            <family val="2"/>
            <scheme val="minor"/>
          </rPr>
          <t>was 13190
VNP100</t>
        </r>
      </text>
    </comment>
    <comment ref="D14" authorId="1" shapeId="0" xr:uid="{00000000-0006-0000-5D00-000018000000}">
      <text>
        <r>
          <rPr>
            <sz val="12"/>
            <color theme="1"/>
            <rFont val="Aptos Narrow"/>
            <family val="2"/>
            <scheme val="minor"/>
          </rPr>
          <t>Người dùng Không xác định:
12.090</t>
        </r>
      </text>
    </comment>
    <comment ref="F14" authorId="0" shapeId="0" xr:uid="{00000000-0006-0000-5D00-000019000000}">
      <text>
        <r>
          <rPr>
            <sz val="12"/>
            <color theme="1"/>
            <rFont val="Aptos Narrow"/>
            <family val="2"/>
            <scheme val="minor"/>
          </rPr>
          <t>W5 12090</t>
        </r>
      </text>
    </comment>
    <comment ref="C15" authorId="1" shapeId="0" xr:uid="{00000000-0006-0000-5D00-00001A000000}">
      <text>
        <r>
          <rPr>
            <sz val="12"/>
            <color theme="1"/>
            <rFont val="Aptos Narrow"/>
            <family val="2"/>
            <scheme val="minor"/>
          </rPr>
          <t>Người dùng Không xác định:
13390000</t>
        </r>
      </text>
    </comment>
    <comment ref="D15" authorId="1" shapeId="0" xr:uid="{00000000-0006-0000-5D00-00001B000000}">
      <text>
        <r>
          <rPr>
            <sz val="12"/>
            <color theme="1"/>
            <rFont val="Aptos Narrow"/>
            <family val="2"/>
            <scheme val="minor"/>
          </rPr>
          <t>Người dùng Không xác định:
13.390</t>
        </r>
      </text>
    </comment>
    <comment ref="E15" authorId="2" shapeId="0" xr:uid="{00000000-0006-0000-5D00-00001C000000}">
      <text>
        <r>
          <rPr>
            <sz val="12"/>
            <color theme="1"/>
            <rFont val="Aptos Narrow"/>
            <family val="2"/>
            <scheme val="minor"/>
          </rPr>
          <t>was 13290
HSSV 200</t>
        </r>
      </text>
    </comment>
    <comment ref="F15" authorId="0" shapeId="0" xr:uid="{00000000-0006-0000-5D00-00001D000000}">
      <text>
        <r>
          <rPr>
            <sz val="12"/>
            <color theme="1"/>
            <rFont val="Aptos Narrow"/>
            <family val="2"/>
            <scheme val="minor"/>
          </rPr>
          <t>W5 13390</t>
        </r>
      </text>
    </comment>
    <comment ref="B16" authorId="3" shapeId="0" xr:uid="{00000000-0006-0000-5D00-00001E000000}">
      <text>
        <r>
          <rPr>
            <sz val="12"/>
            <color theme="1"/>
            <rFont val="Aptos Narrow"/>
            <family val="2"/>
            <scheme val="minor"/>
          </rPr>
          <t>was 7040
VNP40</t>
        </r>
      </text>
    </comment>
    <comment ref="C16" authorId="1" shapeId="0" xr:uid="{00000000-0006-0000-5D00-00001F000000}">
      <text>
        <r>
          <rPr>
            <sz val="12"/>
            <color theme="1"/>
            <rFont val="Aptos Narrow"/>
            <family val="2"/>
            <scheme val="minor"/>
          </rPr>
          <t>Người dùng Không xác định:
9590000</t>
        </r>
      </text>
    </comment>
    <comment ref="D16" authorId="1" shapeId="0" xr:uid="{00000000-0006-0000-5D00-000020000000}">
      <text>
        <r>
          <rPr>
            <sz val="12"/>
            <color theme="1"/>
            <rFont val="Aptos Narrow"/>
            <family val="2"/>
            <scheme val="minor"/>
          </rPr>
          <t>Người dùng Không xác định:
9.490</t>
        </r>
      </text>
    </comment>
    <comment ref="E16" authorId="2" shapeId="0" xr:uid="{00000000-0006-0000-5D00-000021000000}">
      <text>
        <r>
          <rPr>
            <sz val="12"/>
            <color theme="1"/>
            <rFont val="Aptos Narrow"/>
            <family val="2"/>
            <scheme val="minor"/>
          </rPr>
          <t xml:space="preserve">was 9190
HSSV 200
</t>
        </r>
      </text>
    </comment>
    <comment ref="F16" authorId="0" shapeId="0" xr:uid="{00000000-0006-0000-5D00-000022000000}">
      <text>
        <r>
          <rPr>
            <sz val="12"/>
            <color theme="1"/>
            <rFont val="Aptos Narrow"/>
            <family val="2"/>
            <scheme val="minor"/>
          </rPr>
          <t>W5 9590</t>
        </r>
      </text>
    </comment>
    <comment ref="B17" authorId="3" shapeId="0" xr:uid="{00000000-0006-0000-5D00-000023000000}">
      <text>
        <r>
          <rPr>
            <sz val="12"/>
            <color theme="1"/>
            <rFont val="Aptos Narrow"/>
            <family val="2"/>
            <scheme val="minor"/>
          </rPr>
          <t>was 14390</t>
        </r>
      </text>
    </comment>
    <comment ref="C17" authorId="1" shapeId="0" xr:uid="{00000000-0006-0000-5D00-000024000000}">
      <text>
        <r>
          <rPr>
            <sz val="12"/>
            <color theme="1"/>
            <rFont val="Aptos Narrow"/>
            <family val="2"/>
            <scheme val="minor"/>
          </rPr>
          <t>Người dùng Không xác định:
13690000</t>
        </r>
      </text>
    </comment>
    <comment ref="D17" authorId="1" shapeId="0" xr:uid="{00000000-0006-0000-5D00-000025000000}">
      <text>
        <r>
          <rPr>
            <sz val="12"/>
            <color theme="1"/>
            <rFont val="Aptos Narrow"/>
            <family val="2"/>
            <scheme val="minor"/>
          </rPr>
          <t>13.490</t>
        </r>
      </text>
    </comment>
    <comment ref="F17" authorId="1" shapeId="0" xr:uid="{00000000-0006-0000-5D00-000026000000}">
      <text>
        <r>
          <rPr>
            <sz val="12"/>
            <color theme="1"/>
            <rFont val="Aptos Narrow"/>
            <family val="2"/>
            <scheme val="minor"/>
          </rPr>
          <t>W5 13490</t>
        </r>
      </text>
    </comment>
    <comment ref="G17" authorId="5" shapeId="0" xr:uid="{00000000-0006-0000-5D00-000027000000}">
      <text>
        <r>
          <rPr>
            <sz val="12"/>
            <color theme="1"/>
            <rFont val="Aptos Narrow"/>
            <family val="2"/>
            <scheme val="minor"/>
          </rPr>
          <t>Dat's MacBook Pro:
15490</t>
        </r>
      </text>
    </comment>
    <comment ref="C18" authorId="1" shapeId="0" xr:uid="{00000000-0006-0000-5D00-000028000000}">
      <text>
        <r>
          <rPr>
            <sz val="12"/>
            <color theme="1"/>
            <rFont val="Aptos Narrow"/>
            <family val="2"/>
            <scheme val="minor"/>
          </rPr>
          <t>Người dùng Không xác định:
21790000</t>
        </r>
      </text>
    </comment>
    <comment ref="D18" authorId="1" shapeId="0" xr:uid="{00000000-0006-0000-5D00-000029000000}">
      <text>
        <r>
          <rPr>
            <sz val="12"/>
            <color theme="1"/>
            <rFont val="Aptos Narrow"/>
            <family val="2"/>
            <scheme val="minor"/>
          </rPr>
          <t>19.290</t>
        </r>
      </text>
    </comment>
    <comment ref="F18" authorId="1" shapeId="0" xr:uid="{00000000-0006-0000-5D00-00002A000000}">
      <text>
        <r>
          <rPr>
            <sz val="12"/>
            <color theme="1"/>
            <rFont val="Aptos Narrow"/>
            <family val="2"/>
            <scheme val="minor"/>
          </rPr>
          <t>W5 19290</t>
        </r>
      </text>
    </comment>
    <comment ref="D19" authorId="1" shapeId="0" xr:uid="{00000000-0006-0000-5D00-00002B000000}">
      <text>
        <r>
          <rPr>
            <sz val="12"/>
            <color theme="1"/>
            <rFont val="Aptos Narrow"/>
            <family val="2"/>
            <scheme val="minor"/>
          </rPr>
          <t>Người dùng Không xác định:
27.990</t>
        </r>
      </text>
    </comment>
    <comment ref="B20" authorId="3" shapeId="0" xr:uid="{00000000-0006-0000-5D00-00002C000000}">
      <text>
        <r>
          <rPr>
            <sz val="12"/>
            <color theme="1"/>
            <rFont val="Aptos Narrow"/>
            <family val="2"/>
            <scheme val="minor"/>
          </rPr>
          <t>was 36640</t>
        </r>
      </text>
    </comment>
    <comment ref="F21" authorId="4" shapeId="0" xr:uid="{00000000-0006-0000-5D00-00002D000000}">
      <text>
        <r>
          <rPr>
            <sz val="12"/>
            <color theme="1"/>
            <rFont val="Aptos Narrow"/>
            <family val="2"/>
            <scheme val="minor"/>
          </rPr>
          <t>W5 24490</t>
        </r>
      </text>
    </comment>
    <comment ref="C22" authorId="1" shapeId="0" xr:uid="{00000000-0006-0000-5D00-00002E000000}">
      <text>
        <r>
          <rPr>
            <sz val="12"/>
            <color theme="1"/>
            <rFont val="Aptos Narrow"/>
            <family val="2"/>
            <scheme val="minor"/>
          </rPr>
          <t>Người dùng Không xác định:
39390000</t>
        </r>
      </text>
    </comment>
    <comment ref="D22" authorId="1" shapeId="0" xr:uid="{00000000-0006-0000-5D00-00002F000000}">
      <text>
        <r>
          <rPr>
            <sz val="12"/>
            <color theme="1"/>
            <rFont val="Aptos Narrow"/>
            <family val="2"/>
            <scheme val="minor"/>
          </rPr>
          <t>Người dùng Không xác định:
39.390</t>
        </r>
      </text>
    </comment>
    <comment ref="C23" authorId="1" shapeId="0" xr:uid="{00000000-0006-0000-5D00-000030000000}">
      <text>
        <r>
          <rPr>
            <sz val="12"/>
            <color theme="1"/>
            <rFont val="Aptos Narrow"/>
            <family val="2"/>
            <scheme val="minor"/>
          </rPr>
          <t>Người dùng Không xác định:
6790000</t>
        </r>
      </text>
    </comment>
    <comment ref="D23" authorId="1" shapeId="0" xr:uid="{00000000-0006-0000-5D00-000031000000}">
      <text>
        <r>
          <rPr>
            <sz val="12"/>
            <color theme="1"/>
            <rFont val="Aptos Narrow"/>
            <family val="2"/>
            <scheme val="minor"/>
          </rPr>
          <t>Người dùng Không xác định:
6.790</t>
        </r>
      </text>
    </comment>
    <comment ref="E23" authorId="2" shapeId="0" xr:uid="{00000000-0006-0000-5D00-000032000000}">
      <text>
        <r>
          <rPr>
            <sz val="12"/>
            <color theme="1"/>
            <rFont val="Aptos Narrow"/>
            <family val="2"/>
            <scheme val="minor"/>
          </rPr>
          <t>was 6490</t>
        </r>
      </text>
    </comment>
    <comment ref="F23" authorId="0" shapeId="0" xr:uid="{00000000-0006-0000-5D00-000033000000}">
      <text>
        <r>
          <rPr>
            <sz val="12"/>
            <color theme="1"/>
            <rFont val="Aptos Narrow"/>
            <family val="2"/>
            <scheme val="minor"/>
          </rPr>
          <t>W5 6790</t>
        </r>
      </text>
    </comment>
    <comment ref="C24" authorId="1" shapeId="0" xr:uid="{00000000-0006-0000-5D00-000034000000}">
      <text>
        <r>
          <rPr>
            <sz val="12"/>
            <color theme="1"/>
            <rFont val="Aptos Narrow"/>
            <family val="2"/>
            <scheme val="minor"/>
          </rPr>
          <t>Người dùng Không xác định:
8390000</t>
        </r>
      </text>
    </comment>
    <comment ref="D24" authorId="1" shapeId="0" xr:uid="{00000000-0006-0000-5D00-000035000000}">
      <text>
        <r>
          <rPr>
            <sz val="12"/>
            <color theme="1"/>
            <rFont val="Aptos Narrow"/>
            <family val="2"/>
            <scheme val="minor"/>
          </rPr>
          <t>Người dùng Không xác định:
8.390</t>
        </r>
      </text>
    </comment>
    <comment ref="E24" authorId="2" shapeId="0" xr:uid="{00000000-0006-0000-5D00-000036000000}">
      <text>
        <r>
          <rPr>
            <sz val="12"/>
            <color theme="1"/>
            <rFont val="Aptos Narrow"/>
            <family val="2"/>
            <scheme val="minor"/>
          </rPr>
          <t>was 7990</t>
        </r>
      </text>
    </comment>
    <comment ref="F24" authorId="0" shapeId="0" xr:uid="{00000000-0006-0000-5D00-000037000000}">
      <text>
        <r>
          <rPr>
            <sz val="12"/>
            <color theme="1"/>
            <rFont val="Aptos Narrow"/>
            <family val="2"/>
            <scheme val="minor"/>
          </rPr>
          <t>W5 8390</t>
        </r>
      </text>
    </comment>
    <comment ref="C25" authorId="1" shapeId="0" xr:uid="{00000000-0006-0000-5D00-000038000000}">
      <text>
        <r>
          <rPr>
            <sz val="12"/>
            <color theme="1"/>
            <rFont val="Aptos Narrow"/>
            <family val="2"/>
            <scheme val="minor"/>
          </rPr>
          <t>Người dùng Không xác định:
7690000</t>
        </r>
      </text>
    </comment>
    <comment ref="D25" authorId="1" shapeId="0" xr:uid="{00000000-0006-0000-5D00-000039000000}">
      <text>
        <r>
          <rPr>
            <sz val="12"/>
            <color theme="1"/>
            <rFont val="Aptos Narrow"/>
            <family val="2"/>
            <scheme val="minor"/>
          </rPr>
          <t>Người dùng Không xác định:
7.690</t>
        </r>
      </text>
    </comment>
    <comment ref="E25" authorId="2" shapeId="0" xr:uid="{00000000-0006-0000-5D00-00003A000000}">
      <text>
        <r>
          <rPr>
            <sz val="12"/>
            <color theme="1"/>
            <rFont val="Aptos Narrow"/>
            <family val="2"/>
            <scheme val="minor"/>
          </rPr>
          <t>was 7390</t>
        </r>
      </text>
    </comment>
    <comment ref="F25" authorId="0" shapeId="0" xr:uid="{00000000-0006-0000-5D00-00003B000000}">
      <text>
        <r>
          <rPr>
            <sz val="12"/>
            <color theme="1"/>
            <rFont val="Aptos Narrow"/>
            <family val="2"/>
            <scheme val="minor"/>
          </rPr>
          <t>W5 7690</t>
        </r>
      </text>
    </comment>
    <comment ref="C26" authorId="1" shapeId="0" xr:uid="{00000000-0006-0000-5D00-00003C000000}">
      <text>
        <r>
          <rPr>
            <sz val="12"/>
            <color theme="1"/>
            <rFont val="Aptos Narrow"/>
            <family val="2"/>
            <scheme val="minor"/>
          </rPr>
          <t>Người dùng Không xác định:
9190000</t>
        </r>
      </text>
    </comment>
    <comment ref="D26" authorId="1" shapeId="0" xr:uid="{00000000-0006-0000-5D00-00003D000000}">
      <text>
        <r>
          <rPr>
            <sz val="12"/>
            <color theme="1"/>
            <rFont val="Aptos Narrow"/>
            <family val="2"/>
            <scheme val="minor"/>
          </rPr>
          <t>Người dùng Không xác định:
9.190</t>
        </r>
      </text>
    </comment>
    <comment ref="E26" authorId="2" shapeId="0" xr:uid="{00000000-0006-0000-5D00-00003E000000}">
      <text>
        <r>
          <rPr>
            <sz val="12"/>
            <color theme="1"/>
            <rFont val="Aptos Narrow"/>
            <family val="2"/>
            <scheme val="minor"/>
          </rPr>
          <t xml:space="preserve">was 8990
</t>
        </r>
      </text>
    </comment>
    <comment ref="F26" authorId="0" shapeId="0" xr:uid="{00000000-0006-0000-5D00-00003F000000}">
      <text>
        <r>
          <rPr>
            <sz val="12"/>
            <color theme="1"/>
            <rFont val="Aptos Narrow"/>
            <family val="2"/>
            <scheme val="minor"/>
          </rPr>
          <t>W5 9190</t>
        </r>
      </text>
    </comment>
    <comment ref="C27" authorId="1" shapeId="0" xr:uid="{00000000-0006-0000-5D00-000040000000}">
      <text>
        <r>
          <rPr>
            <sz val="12"/>
            <color theme="1"/>
            <rFont val="Aptos Narrow"/>
            <family val="2"/>
            <scheme val="minor"/>
          </rPr>
          <t>Người dùng Không xác định:
11190000</t>
        </r>
      </text>
    </comment>
    <comment ref="E27" authorId="2" shapeId="0" xr:uid="{00000000-0006-0000-5D00-000041000000}">
      <text>
        <r>
          <rPr>
            <sz val="12"/>
            <color theme="1"/>
            <rFont val="Aptos Narrow"/>
            <family val="2"/>
            <scheme val="minor"/>
          </rPr>
          <t xml:space="preserve">was 10690
</t>
        </r>
      </text>
    </comment>
    <comment ref="F27" authorId="0" shapeId="0" xr:uid="{00000000-0006-0000-5D00-000042000000}">
      <text>
        <r>
          <rPr>
            <sz val="12"/>
            <color theme="1"/>
            <rFont val="Aptos Narrow"/>
            <family val="2"/>
            <scheme val="minor"/>
          </rPr>
          <t>W5 11190</t>
        </r>
      </text>
    </comment>
    <comment ref="C28" authorId="1" shapeId="0" xr:uid="{00000000-0006-0000-5D00-000043000000}">
      <text>
        <r>
          <rPr>
            <sz val="12"/>
            <color theme="1"/>
            <rFont val="Aptos Narrow"/>
            <family val="2"/>
            <scheme val="minor"/>
          </rPr>
          <t>Người dùng Không xác định:
14090000</t>
        </r>
      </text>
    </comment>
    <comment ref="D28" authorId="1" shapeId="0" xr:uid="{00000000-0006-0000-5D00-000044000000}">
      <text>
        <r>
          <rPr>
            <sz val="12"/>
            <color theme="1"/>
            <rFont val="Aptos Narrow"/>
            <family val="2"/>
            <scheme val="minor"/>
          </rPr>
          <t>Người dùng Không xác định:
14090</t>
        </r>
      </text>
    </comment>
    <comment ref="E28" authorId="2" shapeId="0" xr:uid="{00000000-0006-0000-5D00-000045000000}">
      <text>
        <r>
          <rPr>
            <sz val="12"/>
            <color theme="1"/>
            <rFont val="Aptos Narrow"/>
            <family val="2"/>
            <scheme val="minor"/>
          </rPr>
          <t>was 13990</t>
        </r>
      </text>
    </comment>
    <comment ref="F28" authorId="0" shapeId="0" xr:uid="{00000000-0006-0000-5D00-000046000000}">
      <text>
        <r>
          <rPr>
            <sz val="12"/>
            <color theme="1"/>
            <rFont val="Aptos Narrow"/>
            <family val="2"/>
            <scheme val="minor"/>
          </rPr>
          <t>W5 14090</t>
        </r>
      </text>
    </comment>
    <comment ref="C29" authorId="1" shapeId="0" xr:uid="{00000000-0006-0000-5D00-000047000000}">
      <text>
        <r>
          <rPr>
            <sz val="12"/>
            <color theme="1"/>
            <rFont val="Aptos Narrow"/>
            <family val="2"/>
            <scheme val="minor"/>
          </rPr>
          <t>Người dùng Không xác định:11990000</t>
        </r>
      </text>
    </comment>
    <comment ref="D29" authorId="1" shapeId="0" xr:uid="{00000000-0006-0000-5D00-000048000000}">
      <text>
        <r>
          <rPr>
            <sz val="12"/>
            <color theme="1"/>
            <rFont val="Aptos Narrow"/>
            <family val="2"/>
            <scheme val="minor"/>
          </rPr>
          <t>Người dùng Không xác định:
11.990</t>
        </r>
      </text>
    </comment>
    <comment ref="E29" authorId="2" shapeId="0" xr:uid="{00000000-0006-0000-5D00-000049000000}">
      <text>
        <r>
          <rPr>
            <sz val="12"/>
            <color theme="1"/>
            <rFont val="Aptos Narrow"/>
            <family val="2"/>
            <scheme val="minor"/>
          </rPr>
          <t>was 11490</t>
        </r>
      </text>
    </comment>
    <comment ref="F29" authorId="0" shapeId="0" xr:uid="{00000000-0006-0000-5D00-00004A000000}">
      <text>
        <r>
          <rPr>
            <sz val="12"/>
            <color theme="1"/>
            <rFont val="Aptos Narrow"/>
            <family val="2"/>
            <scheme val="minor"/>
          </rPr>
          <t>W5 11990</t>
        </r>
      </text>
    </comment>
    <comment ref="C30" authorId="1" shapeId="0" xr:uid="{00000000-0006-0000-5D00-00004B000000}">
      <text>
        <r>
          <rPr>
            <sz val="12"/>
            <color theme="1"/>
            <rFont val="Aptos Narrow"/>
            <family val="2"/>
            <scheme val="minor"/>
          </rPr>
          <t>Người dùng Không xác định:
14990000</t>
        </r>
      </text>
    </comment>
    <comment ref="D30" authorId="1" shapeId="0" xr:uid="{00000000-0006-0000-5D00-00004C000000}">
      <text>
        <r>
          <rPr>
            <sz val="12"/>
            <color theme="1"/>
            <rFont val="Aptos Narrow"/>
            <family val="2"/>
            <scheme val="minor"/>
          </rPr>
          <t>Người dùng Không xác định:
14990</t>
        </r>
      </text>
    </comment>
    <comment ref="E30" authorId="2" shapeId="0" xr:uid="{00000000-0006-0000-5D00-00004D000000}">
      <text>
        <r>
          <rPr>
            <sz val="12"/>
            <color theme="1"/>
            <rFont val="Aptos Narrow"/>
            <family val="2"/>
            <scheme val="minor"/>
          </rPr>
          <t>was 14490</t>
        </r>
      </text>
    </comment>
    <comment ref="F30" authorId="0" shapeId="0" xr:uid="{00000000-0006-0000-5D00-00004E000000}">
      <text>
        <r>
          <rPr>
            <sz val="12"/>
            <color theme="1"/>
            <rFont val="Aptos Narrow"/>
            <family val="2"/>
            <scheme val="minor"/>
          </rPr>
          <t>W5 14090</t>
        </r>
      </text>
    </comment>
    <comment ref="B32" authorId="3" shapeId="0" xr:uid="{00000000-0006-0000-5D00-00004F000000}">
      <text>
        <r>
          <rPr>
            <sz val="12"/>
            <color theme="1"/>
            <rFont val="Aptos Narrow"/>
            <family val="2"/>
            <scheme val="minor"/>
          </rPr>
          <t>was 5550
VNP40</t>
        </r>
      </text>
    </comment>
    <comment ref="B33" authorId="3" shapeId="0" xr:uid="{00000000-0006-0000-5D00-000050000000}">
      <text>
        <r>
          <rPr>
            <sz val="12"/>
            <color theme="1"/>
            <rFont val="Aptos Narrow"/>
            <family val="2"/>
            <scheme val="minor"/>
          </rPr>
          <t xml:space="preserve">was 4490
</t>
        </r>
      </text>
    </comment>
    <comment ref="C33" authorId="1" shapeId="0" xr:uid="{00000000-0006-0000-5D00-000051000000}">
      <text>
        <r>
          <rPr>
            <sz val="12"/>
            <color theme="1"/>
            <rFont val="Aptos Narrow"/>
            <family val="2"/>
            <scheme val="minor"/>
          </rPr>
          <t>Người dùng Không xác định:
4590000</t>
        </r>
      </text>
    </comment>
    <comment ref="D33" authorId="1" shapeId="0" xr:uid="{00000000-0006-0000-5D00-000052000000}">
      <text>
        <r>
          <rPr>
            <sz val="12"/>
            <color theme="1"/>
            <rFont val="Aptos Narrow"/>
            <family val="2"/>
            <scheme val="minor"/>
          </rPr>
          <t>Người dùng Không xác định:
4.550</t>
        </r>
      </text>
    </comment>
    <comment ref="E33" authorId="2" shapeId="0" xr:uid="{00000000-0006-0000-5D00-000053000000}">
      <text>
        <r>
          <rPr>
            <sz val="12"/>
            <color theme="1"/>
            <rFont val="Aptos Narrow"/>
            <family val="2"/>
            <scheme val="minor"/>
          </rPr>
          <t xml:space="preserve">was 4490
</t>
        </r>
      </text>
    </comment>
    <comment ref="F33" authorId="0" shapeId="0" xr:uid="{00000000-0006-0000-5D00-000054000000}">
      <text>
        <r>
          <rPr>
            <sz val="12"/>
            <color theme="1"/>
            <rFont val="Aptos Narrow"/>
            <family val="2"/>
            <scheme val="minor"/>
          </rPr>
          <t>W5 4950</t>
        </r>
      </text>
    </comment>
    <comment ref="B34" authorId="3" shapeId="0" xr:uid="{00000000-0006-0000-5D00-000055000000}">
      <text>
        <r>
          <rPr>
            <sz val="12"/>
            <color theme="1"/>
            <rFont val="Aptos Narrow"/>
            <family val="2"/>
            <scheme val="minor"/>
          </rPr>
          <t>was 3190</t>
        </r>
      </text>
    </comment>
    <comment ref="C34" authorId="1" shapeId="0" xr:uid="{00000000-0006-0000-5D00-000056000000}">
      <text>
        <r>
          <rPr>
            <sz val="12"/>
            <color theme="1"/>
            <rFont val="Aptos Narrow"/>
            <family val="2"/>
            <scheme val="minor"/>
          </rPr>
          <t>Người dùng Không xác định:
3390000</t>
        </r>
      </text>
    </comment>
    <comment ref="D34" authorId="1" shapeId="0" xr:uid="{00000000-0006-0000-5D00-000057000000}">
      <text>
        <r>
          <rPr>
            <sz val="12"/>
            <color theme="1"/>
            <rFont val="Aptos Narrow"/>
            <family val="2"/>
            <scheme val="minor"/>
          </rPr>
          <t>Người dùng Không xác định:
3.590</t>
        </r>
      </text>
    </comment>
    <comment ref="E34" authorId="2" shapeId="0" xr:uid="{00000000-0006-0000-5D00-000058000000}">
      <text>
        <r>
          <rPr>
            <sz val="12"/>
            <color theme="1"/>
            <rFont val="Aptos Narrow"/>
            <family val="2"/>
            <scheme val="minor"/>
          </rPr>
          <t>was 3390</t>
        </r>
      </text>
    </comment>
    <comment ref="F34" authorId="0" shapeId="0" xr:uid="{00000000-0006-0000-5D00-000059000000}">
      <text>
        <r>
          <rPr>
            <sz val="12"/>
            <color theme="1"/>
            <rFont val="Aptos Narrow"/>
            <family val="2"/>
            <scheme val="minor"/>
          </rPr>
          <t>W5 3490</t>
        </r>
      </text>
    </comment>
    <comment ref="C35" authorId="1" shapeId="0" xr:uid="{00000000-0006-0000-5D00-00005A000000}">
      <text>
        <r>
          <rPr>
            <sz val="12"/>
            <color theme="1"/>
            <rFont val="Aptos Narrow"/>
            <family val="2"/>
            <scheme val="minor"/>
          </rPr>
          <t xml:space="preserve">Người dùng Không xác định:
6590000
</t>
        </r>
      </text>
    </comment>
    <comment ref="D35" authorId="1" shapeId="0" xr:uid="{00000000-0006-0000-5D00-00005B000000}">
      <text>
        <r>
          <rPr>
            <sz val="12"/>
            <color theme="1"/>
            <rFont val="Aptos Narrow"/>
            <family val="2"/>
            <scheme val="minor"/>
          </rPr>
          <t>Người dùng Không xác định:
6.590</t>
        </r>
      </text>
    </comment>
    <comment ref="E35" authorId="2" shapeId="0" xr:uid="{00000000-0006-0000-5D00-00005C000000}">
      <text>
        <r>
          <rPr>
            <sz val="12"/>
            <color theme="1"/>
            <rFont val="Aptos Narrow"/>
            <family val="2"/>
            <scheme val="minor"/>
          </rPr>
          <t xml:space="preserve">was 6390
</t>
        </r>
      </text>
    </comment>
    <comment ref="F35" authorId="0" shapeId="0" xr:uid="{00000000-0006-0000-5D00-00005D000000}">
      <text>
        <r>
          <rPr>
            <sz val="12"/>
            <color theme="1"/>
            <rFont val="Aptos Narrow"/>
            <family val="2"/>
            <scheme val="minor"/>
          </rPr>
          <t>W5 6590</t>
        </r>
      </text>
    </comment>
    <comment ref="D40" authorId="1" shapeId="0" xr:uid="{00000000-0006-0000-5D00-00005E000000}">
      <text>
        <r>
          <rPr>
            <sz val="12"/>
            <color theme="1"/>
            <rFont val="Aptos Narrow"/>
            <family val="2"/>
            <scheme val="minor"/>
          </rPr>
          <t>Người dùng Không xác định:
41.690</t>
        </r>
      </text>
    </comment>
  </commentList>
</comments>
</file>

<file path=xl/comments95.xml><?xml version="1.0" encoding="utf-8"?>
<comments xmlns="http://schemas.openxmlformats.org/spreadsheetml/2006/main" xmlns:mc="http://schemas.openxmlformats.org/markup-compatibility/2006" xmlns:xr="http://schemas.microsoft.com/office/spreadsheetml/2014/revision" mc:Ignorable="xr">
  <authors>
    <author>Duy</author>
    <author>Người dùng Khách</author>
    <author>danielnguyen6111998@gmail.com</author>
    <author>Microsoft Office User</author>
    <author>Duy Ha Minh</author>
    <author>Dat's MacBook Pro</author>
    <author>Mia</author>
  </authors>
  <commentList>
    <comment ref="F2" authorId="0" shapeId="0" xr:uid="{00000000-0006-0000-5E00-000001000000}">
      <text>
        <r>
          <rPr>
            <sz val="12"/>
            <color theme="1"/>
            <rFont val="Aptos Narrow"/>
            <family val="2"/>
            <scheme val="minor"/>
          </rPr>
          <t>W6 24190</t>
        </r>
      </text>
    </comment>
    <comment ref="C3" authorId="1" shapeId="0" xr:uid="{00000000-0006-0000-5E00-000002000000}">
      <text>
        <r>
          <rPr>
            <sz val="12"/>
            <color theme="1"/>
            <rFont val="Aptos Narrow"/>
            <family val="2"/>
            <scheme val="minor"/>
          </rPr>
          <t>Người dùng Không xác định:
25990000</t>
        </r>
      </text>
    </comment>
    <comment ref="F3" authorId="0" shapeId="0" xr:uid="{00000000-0006-0000-5E00-000003000000}">
      <text>
        <r>
          <rPr>
            <sz val="12"/>
            <color theme="1"/>
            <rFont val="Aptos Narrow"/>
            <family val="2"/>
            <scheme val="minor"/>
          </rPr>
          <t>W6 24890</t>
        </r>
      </text>
    </comment>
    <comment ref="C4" authorId="2" shapeId="0" xr:uid="{00000000-0006-0000-5E00-000004000000}">
      <text>
        <r>
          <rPr>
            <sz val="12"/>
            <color theme="1"/>
            <rFont val="Aptos Narrow"/>
            <family val="2"/>
            <scheme val="minor"/>
          </rPr>
          <t>danielnguyen6111998@gmail.com:
34690000</t>
        </r>
      </text>
    </comment>
    <comment ref="D4" authorId="1" shapeId="0" xr:uid="{00000000-0006-0000-5E00-000005000000}">
      <text>
        <r>
          <rPr>
            <sz val="12"/>
            <color theme="1"/>
            <rFont val="Aptos Narrow"/>
            <family val="2"/>
            <scheme val="minor"/>
          </rPr>
          <t>Người dùng Không xác định:
34.390</t>
        </r>
      </text>
    </comment>
    <comment ref="C5" authorId="2" shapeId="0" xr:uid="{00000000-0006-0000-5E00-000006000000}">
      <text>
        <r>
          <rPr>
            <sz val="12"/>
            <color theme="1"/>
            <rFont val="Aptos Narrow"/>
            <family val="2"/>
            <scheme val="minor"/>
          </rPr>
          <t>danielnguyen6111998@gmail.com:
37990000</t>
        </r>
      </text>
    </comment>
    <comment ref="D7" authorId="1" shapeId="0" xr:uid="{00000000-0006-0000-5E00-000007000000}">
      <text>
        <r>
          <rPr>
            <sz val="12"/>
            <color theme="1"/>
            <rFont val="Aptos Narrow"/>
            <family val="2"/>
            <scheme val="minor"/>
          </rPr>
          <t>Người dùng Không xác định:
19.690</t>
        </r>
      </text>
    </comment>
    <comment ref="B8" authorId="3" shapeId="0" xr:uid="{00000000-0006-0000-5E00-000008000000}">
      <text>
        <r>
          <rPr>
            <sz val="12"/>
            <color theme="1"/>
            <rFont val="Aptos Narrow"/>
            <family val="2"/>
            <scheme val="minor"/>
          </rPr>
          <t>was 24640000
VNP150</t>
        </r>
      </text>
    </comment>
    <comment ref="B10" authorId="3" shapeId="0" xr:uid="{00000000-0006-0000-5E00-000009000000}">
      <text>
        <r>
          <rPr>
            <sz val="12"/>
            <color theme="1"/>
            <rFont val="Aptos Narrow"/>
            <family val="2"/>
            <scheme val="minor"/>
          </rPr>
          <t>Tặng phiếu mua hàng mua AirPods và Apple Watch trị giá 500,000đ
 Phiếu mua hàng mua sản phẩm giá niêm yết từ 5 triệu thuộc các nhóm TAI NGHE - LOA hãng HARMAN KARDON, JBL,MONSTER, KLIPSCH, MARSHALL, SONY; Smartwatch hãng HUAWEI, GARMIN, SAMSUNG, IMOO, OPPO, AMAZFIT trị giá 500.000đ</t>
        </r>
      </text>
    </comment>
    <comment ref="F10" authorId="4" shapeId="0" xr:uid="{00000000-0006-0000-5E00-00000A000000}">
      <text>
        <r>
          <rPr>
            <sz val="12"/>
            <color theme="1"/>
            <rFont val="Aptos Narrow"/>
            <family val="2"/>
            <scheme val="minor"/>
          </rPr>
          <t>W6 31490</t>
        </r>
      </text>
    </comment>
    <comment ref="G10" authorId="5" shapeId="0" xr:uid="{00000000-0006-0000-5E00-00000B000000}">
      <text>
        <r>
          <rPr>
            <sz val="12"/>
            <color theme="1"/>
            <rFont val="Aptos Narrow"/>
            <family val="2"/>
            <scheme val="minor"/>
          </rPr>
          <t>Dat's MacBook Pro:
31.990</t>
        </r>
      </text>
    </comment>
    <comment ref="G11" authorId="5" shapeId="0" xr:uid="{00000000-0006-0000-5E00-00000C000000}">
      <text>
        <r>
          <rPr>
            <sz val="12"/>
            <color theme="1"/>
            <rFont val="Aptos Narrow"/>
            <family val="2"/>
            <scheme val="minor"/>
          </rPr>
          <t>Dat's MacBook Pro:
16590</t>
        </r>
      </text>
    </comment>
    <comment ref="D13" authorId="1" shapeId="0" xr:uid="{00000000-0006-0000-5E00-00000D000000}">
      <text>
        <r>
          <rPr>
            <sz val="12"/>
            <color theme="1"/>
            <rFont val="Aptos Narrow"/>
            <family val="2"/>
            <scheme val="minor"/>
          </rPr>
          <t>Người dùng Không xác định:
13.890</t>
        </r>
      </text>
    </comment>
    <comment ref="B14" authorId="3" shapeId="0" xr:uid="{00000000-0006-0000-5E00-00000E000000}">
      <text>
        <r>
          <rPr>
            <sz val="12"/>
            <color theme="1"/>
            <rFont val="Aptos Narrow"/>
            <family val="2"/>
            <scheme val="minor"/>
          </rPr>
          <t>was 13190
VNP100</t>
        </r>
      </text>
    </comment>
    <comment ref="B16" authorId="3" shapeId="0" xr:uid="{00000000-0006-0000-5E00-00000F000000}">
      <text>
        <r>
          <rPr>
            <sz val="12"/>
            <color theme="1"/>
            <rFont val="Aptos Narrow"/>
            <family val="2"/>
            <scheme val="minor"/>
          </rPr>
          <t>was 7040
VNP40</t>
        </r>
      </text>
    </comment>
    <comment ref="B17" authorId="3" shapeId="0" xr:uid="{00000000-0006-0000-5E00-000010000000}">
      <text>
        <r>
          <rPr>
            <sz val="12"/>
            <color theme="1"/>
            <rFont val="Aptos Narrow"/>
            <family val="2"/>
            <scheme val="minor"/>
          </rPr>
          <t>was 14390</t>
        </r>
      </text>
    </comment>
    <comment ref="C17" authorId="1" shapeId="0" xr:uid="{00000000-0006-0000-5E00-000011000000}">
      <text>
        <r>
          <rPr>
            <sz val="12"/>
            <color theme="1"/>
            <rFont val="Aptos Narrow"/>
            <family val="2"/>
            <scheme val="minor"/>
          </rPr>
          <t>Người dùng Không xác định:
13690000</t>
        </r>
      </text>
    </comment>
    <comment ref="D17" authorId="1" shapeId="0" xr:uid="{00000000-0006-0000-5E00-000012000000}">
      <text>
        <r>
          <rPr>
            <sz val="12"/>
            <color theme="1"/>
            <rFont val="Aptos Narrow"/>
            <family val="2"/>
            <scheme val="minor"/>
          </rPr>
          <t>13.490</t>
        </r>
      </text>
    </comment>
    <comment ref="G17" authorId="5" shapeId="0" xr:uid="{00000000-0006-0000-5E00-000013000000}">
      <text>
        <r>
          <rPr>
            <sz val="12"/>
            <color theme="1"/>
            <rFont val="Aptos Narrow"/>
            <family val="2"/>
            <scheme val="minor"/>
          </rPr>
          <t>Dat's MacBook Pro:
15490</t>
        </r>
      </text>
    </comment>
    <comment ref="D19" authorId="1" shapeId="0" xr:uid="{00000000-0006-0000-5E00-000014000000}">
      <text>
        <r>
          <rPr>
            <sz val="12"/>
            <color theme="1"/>
            <rFont val="Aptos Narrow"/>
            <family val="2"/>
            <scheme val="minor"/>
          </rPr>
          <t>Người dùng Không xác định:
27.990</t>
        </r>
      </text>
    </comment>
    <comment ref="B20" authorId="3" shapeId="0" xr:uid="{00000000-0006-0000-5E00-000015000000}">
      <text>
        <r>
          <rPr>
            <sz val="12"/>
            <color theme="1"/>
            <rFont val="Aptos Narrow"/>
            <family val="2"/>
            <scheme val="minor"/>
          </rPr>
          <t>was 36640</t>
        </r>
      </text>
    </comment>
    <comment ref="D22" authorId="1" shapeId="0" xr:uid="{00000000-0006-0000-5E00-000016000000}">
      <text>
        <r>
          <rPr>
            <sz val="12"/>
            <color theme="1"/>
            <rFont val="Aptos Narrow"/>
            <family val="2"/>
            <scheme val="minor"/>
          </rPr>
          <t>Người dùng Không xác định:
39.390</t>
        </r>
      </text>
    </comment>
    <comment ref="F24" authorId="0" shapeId="0" xr:uid="{00000000-0006-0000-5E00-000017000000}">
      <text>
        <r>
          <rPr>
            <sz val="12"/>
            <color theme="1"/>
            <rFont val="Aptos Narrow"/>
            <family val="2"/>
            <scheme val="minor"/>
          </rPr>
          <t>W6 7690</t>
        </r>
      </text>
    </comment>
    <comment ref="C26" authorId="1" shapeId="0" xr:uid="{00000000-0006-0000-5E00-000018000000}">
      <text>
        <r>
          <rPr>
            <sz val="12"/>
            <color theme="1"/>
            <rFont val="Aptos Narrow"/>
            <family val="2"/>
            <scheme val="minor"/>
          </rPr>
          <t>Người dùng Không xác định:
9190000</t>
        </r>
      </text>
    </comment>
    <comment ref="D26" authorId="1" shapeId="0" xr:uid="{00000000-0006-0000-5E00-000019000000}">
      <text>
        <r>
          <rPr>
            <sz val="12"/>
            <color theme="1"/>
            <rFont val="Aptos Narrow"/>
            <family val="2"/>
            <scheme val="minor"/>
          </rPr>
          <t>Người dùng Không xác định:
9.190</t>
        </r>
      </text>
    </comment>
    <comment ref="D27" authorId="1" shapeId="0" xr:uid="{00000000-0006-0000-5E00-00001A000000}">
      <text>
        <r>
          <rPr>
            <sz val="12"/>
            <color theme="1"/>
            <rFont val="Aptos Narrow"/>
            <family val="2"/>
            <scheme val="minor"/>
          </rPr>
          <t>Người dùng Không xác định:
11.190</t>
        </r>
      </text>
    </comment>
    <comment ref="C28" authorId="1" shapeId="0" xr:uid="{00000000-0006-0000-5E00-00001B000000}">
      <text>
        <r>
          <rPr>
            <sz val="12"/>
            <color theme="1"/>
            <rFont val="Aptos Narrow"/>
            <family val="2"/>
            <scheme val="minor"/>
          </rPr>
          <t>Người dùng Không xác định:
14090000</t>
        </r>
      </text>
    </comment>
    <comment ref="C29" authorId="1" shapeId="0" xr:uid="{00000000-0006-0000-5E00-00001C000000}">
      <text>
        <r>
          <rPr>
            <sz val="12"/>
            <color theme="1"/>
            <rFont val="Aptos Narrow"/>
            <family val="2"/>
            <scheme val="minor"/>
          </rPr>
          <t>Người dùng Không xác định:11990000</t>
        </r>
      </text>
    </comment>
    <comment ref="C30" authorId="1" shapeId="0" xr:uid="{00000000-0006-0000-5E00-00001D000000}">
      <text>
        <r>
          <rPr>
            <sz val="12"/>
            <color theme="1"/>
            <rFont val="Aptos Narrow"/>
            <family val="2"/>
            <scheme val="minor"/>
          </rPr>
          <t>Người dùng Không xác định:
13090000</t>
        </r>
      </text>
    </comment>
    <comment ref="E30" authorId="6" shapeId="0" xr:uid="{00000000-0006-0000-5E00-00001E000000}">
      <text>
        <r>
          <rPr>
            <sz val="12"/>
            <color theme="1"/>
            <rFont val="Aptos Narrow"/>
            <family val="2"/>
            <scheme val="minor"/>
          </rPr>
          <t>was 12490</t>
        </r>
      </text>
    </comment>
    <comment ref="B32" authorId="3" shapeId="0" xr:uid="{00000000-0006-0000-5E00-00001F000000}">
      <text>
        <r>
          <rPr>
            <sz val="12"/>
            <color theme="1"/>
            <rFont val="Aptos Narrow"/>
            <family val="2"/>
            <scheme val="minor"/>
          </rPr>
          <t>was 5550
VNP40</t>
        </r>
      </text>
    </comment>
    <comment ref="B33" authorId="3" shapeId="0" xr:uid="{00000000-0006-0000-5E00-000020000000}">
      <text>
        <r>
          <rPr>
            <sz val="12"/>
            <color theme="1"/>
            <rFont val="Aptos Narrow"/>
            <family val="2"/>
            <scheme val="minor"/>
          </rPr>
          <t xml:space="preserve">was 4490
</t>
        </r>
      </text>
    </comment>
    <comment ref="C33" authorId="1" shapeId="0" xr:uid="{00000000-0006-0000-5E00-000021000000}">
      <text>
        <r>
          <rPr>
            <sz val="12"/>
            <color theme="1"/>
            <rFont val="Aptos Narrow"/>
            <family val="2"/>
            <scheme val="minor"/>
          </rPr>
          <t>Người dùng Không xác định:
42
90000</t>
        </r>
      </text>
    </comment>
    <comment ref="D33" authorId="1" shapeId="0" xr:uid="{00000000-0006-0000-5E00-000022000000}">
      <text>
        <r>
          <rPr>
            <sz val="12"/>
            <color theme="1"/>
            <rFont val="Aptos Narrow"/>
            <family val="2"/>
            <scheme val="minor"/>
          </rPr>
          <t>Người dùng Không xác định:
4.250</t>
        </r>
      </text>
    </comment>
    <comment ref="F33" authorId="0" shapeId="0" xr:uid="{00000000-0006-0000-5E00-000023000000}">
      <text>
        <r>
          <rPr>
            <sz val="12"/>
            <color theme="1"/>
            <rFont val="Aptos Narrow"/>
            <family val="2"/>
            <scheme val="minor"/>
          </rPr>
          <t>W6 4290</t>
        </r>
      </text>
    </comment>
    <comment ref="B34" authorId="3" shapeId="0" xr:uid="{00000000-0006-0000-5E00-000024000000}">
      <text>
        <r>
          <rPr>
            <sz val="12"/>
            <color theme="1"/>
            <rFont val="Aptos Narrow"/>
            <family val="2"/>
            <scheme val="minor"/>
          </rPr>
          <t>was 3190</t>
        </r>
      </text>
    </comment>
    <comment ref="C34" authorId="1" shapeId="0" xr:uid="{00000000-0006-0000-5E00-000025000000}">
      <text>
        <r>
          <rPr>
            <sz val="12"/>
            <color theme="1"/>
            <rFont val="Aptos Narrow"/>
            <family val="2"/>
            <scheme val="minor"/>
          </rPr>
          <t>Người dùng Không xác định:
2990000</t>
        </r>
      </text>
    </comment>
    <comment ref="D34" authorId="1" shapeId="0" xr:uid="{00000000-0006-0000-5E00-000026000000}">
      <text>
        <r>
          <rPr>
            <sz val="12"/>
            <color theme="1"/>
            <rFont val="Aptos Narrow"/>
            <family val="2"/>
            <scheme val="minor"/>
          </rPr>
          <t>Người dùng Không xác định:
2990</t>
        </r>
      </text>
    </comment>
    <comment ref="F34" authorId="0" shapeId="0" xr:uid="{00000000-0006-0000-5E00-000027000000}">
      <text>
        <r>
          <rPr>
            <sz val="12"/>
            <color theme="1"/>
            <rFont val="Aptos Narrow"/>
            <family val="2"/>
            <scheme val="minor"/>
          </rPr>
          <t>W6 2990</t>
        </r>
      </text>
    </comment>
    <comment ref="C35" authorId="1" shapeId="0" xr:uid="{00000000-0006-0000-5E00-000028000000}">
      <text>
        <r>
          <rPr>
            <sz val="12"/>
            <color theme="1"/>
            <rFont val="Aptos Narrow"/>
            <family val="2"/>
            <scheme val="minor"/>
          </rPr>
          <t xml:space="preserve">Người dùng Không xác định:
6490000
</t>
        </r>
      </text>
    </comment>
    <comment ref="C37" authorId="2" shapeId="0" xr:uid="{00000000-0006-0000-5E00-000029000000}">
      <text>
        <r>
          <rPr>
            <sz val="12"/>
            <color theme="1"/>
            <rFont val="Aptos Narrow"/>
            <family val="2"/>
            <scheme val="minor"/>
          </rPr>
          <t>danielnguyen6111998@gmail.com:
23990000</t>
        </r>
      </text>
    </comment>
    <comment ref="D37" authorId="1" shapeId="0" xr:uid="{00000000-0006-0000-5E00-00002A000000}">
      <text>
        <r>
          <rPr>
            <sz val="12"/>
            <color theme="1"/>
            <rFont val="Aptos Narrow"/>
            <family val="2"/>
            <scheme val="minor"/>
          </rPr>
          <t>Người dùng Không xác định:
23.990</t>
        </r>
      </text>
    </comment>
    <comment ref="F37" authorId="0" shapeId="0" xr:uid="{00000000-0006-0000-5E00-00002B000000}">
      <text>
        <r>
          <rPr>
            <sz val="12"/>
            <color theme="1"/>
            <rFont val="Aptos Narrow"/>
            <family val="2"/>
            <scheme val="minor"/>
          </rPr>
          <t>W6 23990</t>
        </r>
      </text>
    </comment>
    <comment ref="D38" authorId="1" shapeId="0" xr:uid="{00000000-0006-0000-5E00-00002C000000}">
      <text>
        <r>
          <rPr>
            <sz val="12"/>
            <color theme="1"/>
            <rFont val="Aptos Narrow"/>
            <family val="2"/>
            <scheme val="minor"/>
          </rPr>
          <t>Người dùng Không xác định:
28.990</t>
        </r>
      </text>
    </comment>
  </commentList>
</comments>
</file>

<file path=xl/comments96.xml><?xml version="1.0" encoding="utf-8"?>
<comments xmlns="http://schemas.openxmlformats.org/spreadsheetml/2006/main" xmlns:mc="http://schemas.openxmlformats.org/markup-compatibility/2006" xmlns:xr="http://schemas.microsoft.com/office/spreadsheetml/2014/revision" mc:Ignorable="xr">
  <authors>
    <author>Người dùng Khách</author>
    <author>Duy</author>
    <author>Dat's MacBook Pro</author>
    <author>danielnguyen6111998@gmail.com</author>
    <author>Mia</author>
    <author>Microsoft Office User</author>
    <author>Duy Ha Minh</author>
  </authors>
  <commentList>
    <comment ref="D3" authorId="0" shapeId="0" xr:uid="{00000000-0006-0000-5F00-000001000000}">
      <text>
        <r>
          <rPr>
            <sz val="12"/>
            <color theme="1"/>
            <rFont val="Aptos Narrow"/>
            <family val="2"/>
            <scheme val="minor"/>
          </rPr>
          <t>Người dùng Không xác định:
24.990</t>
        </r>
      </text>
    </comment>
    <comment ref="F3" authorId="1" shapeId="0" xr:uid="{00000000-0006-0000-5F00-000002000000}">
      <text>
        <r>
          <rPr>
            <sz val="12"/>
            <color theme="1"/>
            <rFont val="Aptos Narrow"/>
            <family val="2"/>
            <scheme val="minor"/>
          </rPr>
          <t>W7 24390</t>
        </r>
      </text>
    </comment>
    <comment ref="G3" authorId="2" shapeId="0" xr:uid="{00000000-0006-0000-5F00-000003000000}">
      <text>
        <r>
          <rPr>
            <sz val="12"/>
            <color theme="1"/>
            <rFont val="Aptos Narrow"/>
            <family val="2"/>
            <scheme val="minor"/>
          </rPr>
          <t>Dat's MacBook Pro:
+300k</t>
        </r>
      </text>
    </comment>
    <comment ref="C4" authorId="0" shapeId="0" xr:uid="{00000000-0006-0000-5F00-000004000000}">
      <text>
        <r>
          <rPr>
            <sz val="12"/>
            <color theme="1"/>
            <rFont val="Aptos Narrow"/>
            <family val="2"/>
            <scheme val="minor"/>
          </rPr>
          <t>Người dùng Không xác định:
25990000</t>
        </r>
      </text>
    </comment>
    <comment ref="C5" authorId="3" shapeId="0" xr:uid="{00000000-0006-0000-5F00-000005000000}">
      <text>
        <r>
          <rPr>
            <sz val="12"/>
            <color theme="1"/>
            <rFont val="Aptos Narrow"/>
            <family val="2"/>
            <scheme val="minor"/>
          </rPr>
          <t>danielnguyen6111998@gmail.com:
33590000</t>
        </r>
      </text>
    </comment>
    <comment ref="D5" authorId="0" shapeId="0" xr:uid="{00000000-0006-0000-5F00-000006000000}">
      <text>
        <r>
          <rPr>
            <sz val="12"/>
            <color theme="1"/>
            <rFont val="Aptos Narrow"/>
            <family val="2"/>
            <scheme val="minor"/>
          </rPr>
          <t>Người dùng Không xác định:
34.590</t>
        </r>
      </text>
    </comment>
    <comment ref="F5" authorId="1" shapeId="0" xr:uid="{00000000-0006-0000-5F00-000007000000}">
      <text>
        <r>
          <rPr>
            <sz val="12"/>
            <color theme="1"/>
            <rFont val="Aptos Narrow"/>
            <family val="2"/>
            <scheme val="minor"/>
          </rPr>
          <t>W7 33290</t>
        </r>
      </text>
    </comment>
    <comment ref="C6" authorId="3" shapeId="0" xr:uid="{00000000-0006-0000-5F00-000008000000}">
      <text>
        <r>
          <rPr>
            <sz val="12"/>
            <color theme="1"/>
            <rFont val="Aptos Narrow"/>
            <family val="2"/>
            <scheme val="minor"/>
          </rPr>
          <t>danielnguyen6111998@gmail.com:
37290000</t>
        </r>
      </text>
    </comment>
    <comment ref="D6" authorId="0" shapeId="0" xr:uid="{00000000-0006-0000-5F00-000009000000}">
      <text>
        <r>
          <rPr>
            <sz val="12"/>
            <color theme="1"/>
            <rFont val="Aptos Narrow"/>
            <family val="2"/>
            <scheme val="minor"/>
          </rPr>
          <t>Người dùng Không xác định:
37.290</t>
        </r>
      </text>
    </comment>
    <comment ref="F6" authorId="1" shapeId="0" xr:uid="{00000000-0006-0000-5F00-00000A000000}">
      <text>
        <r>
          <rPr>
            <sz val="12"/>
            <color theme="1"/>
            <rFont val="Aptos Narrow"/>
            <family val="2"/>
            <scheme val="minor"/>
          </rPr>
          <t>W7 36990</t>
        </r>
      </text>
    </comment>
    <comment ref="C8" authorId="0" shapeId="0" xr:uid="{00000000-0006-0000-5F00-00000B000000}">
      <text>
        <r>
          <rPr>
            <sz val="12"/>
            <color theme="1"/>
            <rFont val="Aptos Narrow"/>
            <family val="2"/>
            <scheme val="minor"/>
          </rPr>
          <t>Người dùng Không xác định:
19990000</t>
        </r>
      </text>
    </comment>
    <comment ref="D8" authorId="0" shapeId="0" xr:uid="{00000000-0006-0000-5F00-00000C000000}">
      <text>
        <r>
          <rPr>
            <sz val="12"/>
            <color theme="1"/>
            <rFont val="Aptos Narrow"/>
            <family val="2"/>
            <scheme val="minor"/>
          </rPr>
          <t>Người dùng Không xác định:
19.590</t>
        </r>
      </text>
    </comment>
    <comment ref="E8" authorId="4" shapeId="0" xr:uid="{00000000-0006-0000-5F00-00000D000000}">
      <text>
        <r>
          <rPr>
            <sz val="12"/>
            <color theme="1"/>
            <rFont val="Aptos Narrow"/>
            <family val="2"/>
            <scheme val="minor"/>
          </rPr>
          <t xml:space="preserve">was 19390
</t>
        </r>
      </text>
    </comment>
    <comment ref="F8" authorId="1" shapeId="0" xr:uid="{00000000-0006-0000-5F00-00000E000000}">
      <text>
        <r>
          <rPr>
            <sz val="12"/>
            <color theme="1"/>
            <rFont val="Aptos Narrow"/>
            <family val="2"/>
            <scheme val="minor"/>
          </rPr>
          <t>W7 19590</t>
        </r>
      </text>
    </comment>
    <comment ref="G8" authorId="2" shapeId="0" xr:uid="{00000000-0006-0000-5F00-00000F000000}">
      <text>
        <r>
          <rPr>
            <sz val="12"/>
            <color theme="1"/>
            <rFont val="Aptos Narrow"/>
            <family val="2"/>
            <scheme val="minor"/>
          </rPr>
          <t>Dat's MacBook Pro:
+1300</t>
        </r>
      </text>
    </comment>
    <comment ref="B9" authorId="5" shapeId="0" xr:uid="{00000000-0006-0000-5F00-000010000000}">
      <text>
        <r>
          <rPr>
            <sz val="12"/>
            <color theme="1"/>
            <rFont val="Aptos Narrow"/>
            <family val="2"/>
            <scheme val="minor"/>
          </rPr>
          <t>was 24640000
VNP150</t>
        </r>
      </text>
    </comment>
    <comment ref="C9" authorId="0" shapeId="0" xr:uid="{00000000-0006-0000-5F00-000011000000}">
      <text>
        <r>
          <rPr>
            <sz val="12"/>
            <color theme="1"/>
            <rFont val="Aptos Narrow"/>
            <family val="2"/>
            <scheme val="minor"/>
          </rPr>
          <t>Người dùng Không xác định:
23990000</t>
        </r>
      </text>
    </comment>
    <comment ref="D9" authorId="0" shapeId="0" xr:uid="{00000000-0006-0000-5F00-000012000000}">
      <text>
        <r>
          <rPr>
            <sz val="12"/>
            <color theme="1"/>
            <rFont val="Aptos Narrow"/>
            <family val="2"/>
            <scheme val="minor"/>
          </rPr>
          <t>Người dùng Không xác định:
23.590</t>
        </r>
      </text>
    </comment>
    <comment ref="E9" authorId="4" shapeId="0" xr:uid="{00000000-0006-0000-5F00-000013000000}">
      <text>
        <r>
          <rPr>
            <sz val="12"/>
            <color theme="1"/>
            <rFont val="Aptos Narrow"/>
            <family val="2"/>
            <scheme val="minor"/>
          </rPr>
          <t>was 22990</t>
        </r>
      </text>
    </comment>
    <comment ref="F9" authorId="1" shapeId="0" xr:uid="{00000000-0006-0000-5F00-000014000000}">
      <text>
        <r>
          <rPr>
            <sz val="12"/>
            <color theme="1"/>
            <rFont val="Aptos Narrow"/>
            <family val="2"/>
            <scheme val="minor"/>
          </rPr>
          <t>W7 23590</t>
        </r>
      </text>
    </comment>
    <comment ref="G9" authorId="2" shapeId="0" xr:uid="{00000000-0006-0000-5F00-000015000000}">
      <text>
        <r>
          <rPr>
            <sz val="12"/>
            <color theme="1"/>
            <rFont val="Aptos Narrow"/>
            <family val="2"/>
            <scheme val="minor"/>
          </rPr>
          <t>Dat's MacBook Pro:
+1400</t>
        </r>
      </text>
    </comment>
    <comment ref="B11" authorId="5" shapeId="0" xr:uid="{00000000-0006-0000-5F00-000016000000}">
      <text>
        <r>
          <rPr>
            <sz val="12"/>
            <color theme="1"/>
            <rFont val="Aptos Narrow"/>
            <family val="2"/>
            <scheme val="minor"/>
          </rPr>
          <t>Tặng phiếu mua hàng mua AirPods và Apple Watch trị giá 500,000đ
 Phiếu mua hàng mua sản phẩm giá niêm yết từ 5 triệu thuộc các nhóm TAI NGHE - LOA hãng HARMAN KARDON, JBL,MONSTER, KLIPSCH, MARSHALL, SONY; Smartwatch hãng HUAWEI, GARMIN, SAMSUNG, IMOO, OPPO, AMAZFIT trị giá 500.000đ</t>
        </r>
      </text>
    </comment>
    <comment ref="F11" authorId="6" shapeId="0" xr:uid="{00000000-0006-0000-5F00-000017000000}">
      <text>
        <r>
          <rPr>
            <sz val="12"/>
            <color theme="1"/>
            <rFont val="Aptos Narrow"/>
            <family val="2"/>
            <scheme val="minor"/>
          </rPr>
          <t>W7 31590</t>
        </r>
      </text>
    </comment>
    <comment ref="G11" authorId="2" shapeId="0" xr:uid="{00000000-0006-0000-5F00-000018000000}">
      <text>
        <r>
          <rPr>
            <sz val="12"/>
            <color theme="1"/>
            <rFont val="Aptos Narrow"/>
            <family val="2"/>
            <scheme val="minor"/>
          </rPr>
          <t>Dat's MacBook Pro:
31.990</t>
        </r>
      </text>
    </comment>
    <comment ref="C12" authorId="0" shapeId="0" xr:uid="{00000000-0006-0000-5F00-000019000000}">
      <text>
        <r>
          <rPr>
            <sz val="12"/>
            <color theme="1"/>
            <rFont val="Aptos Narrow"/>
            <family val="2"/>
            <scheme val="minor"/>
          </rPr>
          <t>Người dùng Không xác định:
16990000</t>
        </r>
      </text>
    </comment>
    <comment ref="D12" authorId="0" shapeId="0" xr:uid="{00000000-0006-0000-5F00-00001A000000}">
      <text>
        <r>
          <rPr>
            <sz val="12"/>
            <color theme="1"/>
            <rFont val="Aptos Narrow"/>
            <family val="2"/>
            <scheme val="minor"/>
          </rPr>
          <t>Người dùng Không xác định:
16.790</t>
        </r>
      </text>
    </comment>
    <comment ref="E12" authorId="4" shapeId="0" xr:uid="{00000000-0006-0000-5F00-00001B000000}">
      <text>
        <r>
          <rPr>
            <sz val="12"/>
            <color theme="1"/>
            <rFont val="Aptos Narrow"/>
            <family val="2"/>
            <scheme val="minor"/>
          </rPr>
          <t xml:space="preserve">was 16490
</t>
        </r>
      </text>
    </comment>
    <comment ref="F12" authorId="1" shapeId="0" xr:uid="{00000000-0006-0000-5F00-00001C000000}">
      <text>
        <r>
          <rPr>
            <sz val="12"/>
            <color theme="1"/>
            <rFont val="Aptos Narrow"/>
            <family val="2"/>
            <scheme val="minor"/>
          </rPr>
          <t>W7 16790</t>
        </r>
      </text>
    </comment>
    <comment ref="G12" authorId="2" shapeId="0" xr:uid="{00000000-0006-0000-5F00-00001D000000}">
      <text>
        <r>
          <rPr>
            <sz val="12"/>
            <color theme="1"/>
            <rFont val="Aptos Narrow"/>
            <family val="2"/>
            <scheme val="minor"/>
          </rPr>
          <t>Dat's MacBook Pro:
+1300</t>
        </r>
      </text>
    </comment>
    <comment ref="D14" authorId="0" shapeId="0" xr:uid="{00000000-0006-0000-5F00-00001E000000}">
      <text>
        <r>
          <rPr>
            <sz val="12"/>
            <color theme="1"/>
            <rFont val="Aptos Narrow"/>
            <family val="2"/>
            <scheme val="minor"/>
          </rPr>
          <t>Người dùng Không xác định:
13.290</t>
        </r>
      </text>
    </comment>
    <comment ref="F14" authorId="1" shapeId="0" xr:uid="{00000000-0006-0000-5F00-00001F000000}">
      <text>
        <r>
          <rPr>
            <sz val="12"/>
            <color theme="1"/>
            <rFont val="Aptos Narrow"/>
            <family val="2"/>
            <scheme val="minor"/>
          </rPr>
          <t>W7 13890</t>
        </r>
      </text>
    </comment>
    <comment ref="B15" authorId="5" shapeId="0" xr:uid="{00000000-0006-0000-5F00-000020000000}">
      <text>
        <r>
          <rPr>
            <sz val="12"/>
            <color theme="1"/>
            <rFont val="Aptos Narrow"/>
            <family val="2"/>
            <scheme val="minor"/>
          </rPr>
          <t>was 13190
VNP100</t>
        </r>
      </text>
    </comment>
    <comment ref="F15" authorId="1" shapeId="0" xr:uid="{00000000-0006-0000-5F00-000021000000}">
      <text>
        <r>
          <rPr>
            <sz val="12"/>
            <color theme="1"/>
            <rFont val="Aptos Narrow"/>
            <family val="2"/>
            <scheme val="minor"/>
          </rPr>
          <t>W7 12290</t>
        </r>
      </text>
    </comment>
    <comment ref="C16" authorId="0" shapeId="0" xr:uid="{00000000-0006-0000-5F00-000022000000}">
      <text>
        <r>
          <rPr>
            <sz val="12"/>
            <color theme="1"/>
            <rFont val="Aptos Narrow"/>
            <family val="2"/>
            <scheme val="minor"/>
          </rPr>
          <t>Người dùng Không xác định:
11790000</t>
        </r>
      </text>
    </comment>
    <comment ref="D16" authorId="0" shapeId="0" xr:uid="{00000000-0006-0000-5F00-000023000000}">
      <text>
        <r>
          <rPr>
            <sz val="12"/>
            <color theme="1"/>
            <rFont val="Aptos Narrow"/>
            <family val="2"/>
            <scheme val="minor"/>
          </rPr>
          <t>Người dùng Không xác định:
11.790</t>
        </r>
      </text>
    </comment>
    <comment ref="E16" authorId="4" shapeId="0" xr:uid="{00000000-0006-0000-5F00-000024000000}">
      <text>
        <r>
          <rPr>
            <sz val="12"/>
            <color theme="1"/>
            <rFont val="Aptos Narrow"/>
            <family val="2"/>
            <scheme val="minor"/>
          </rPr>
          <t>was 11290
HSSV 200</t>
        </r>
      </text>
    </comment>
    <comment ref="F16" authorId="1" shapeId="0" xr:uid="{00000000-0006-0000-5F00-000025000000}">
      <text>
        <r>
          <rPr>
            <sz val="12"/>
            <color theme="1"/>
            <rFont val="Aptos Narrow"/>
            <family val="2"/>
            <scheme val="minor"/>
          </rPr>
          <t>W7 11790</t>
        </r>
      </text>
    </comment>
    <comment ref="B17" authorId="5" shapeId="0" xr:uid="{00000000-0006-0000-5F00-000026000000}">
      <text>
        <r>
          <rPr>
            <sz val="12"/>
            <color theme="1"/>
            <rFont val="Aptos Narrow"/>
            <family val="2"/>
            <scheme val="minor"/>
          </rPr>
          <t>was 7040
VNP40</t>
        </r>
      </text>
    </comment>
    <comment ref="C17" authorId="0" shapeId="0" xr:uid="{00000000-0006-0000-5F00-000027000000}">
      <text>
        <r>
          <rPr>
            <sz val="12"/>
            <color theme="1"/>
            <rFont val="Aptos Narrow"/>
            <family val="2"/>
            <scheme val="minor"/>
          </rPr>
          <t>Người dùng Không xác định:
8490000</t>
        </r>
      </text>
    </comment>
    <comment ref="D17" authorId="0" shapeId="0" xr:uid="{00000000-0006-0000-5F00-000028000000}">
      <text>
        <r>
          <rPr>
            <sz val="12"/>
            <color theme="1"/>
            <rFont val="Aptos Narrow"/>
            <family val="2"/>
            <scheme val="minor"/>
          </rPr>
          <t>Người dùng Không xác định:
8.490</t>
        </r>
      </text>
    </comment>
    <comment ref="E17" authorId="4" shapeId="0" xr:uid="{00000000-0006-0000-5F00-000029000000}">
      <text>
        <r>
          <rPr>
            <sz val="12"/>
            <color theme="1"/>
            <rFont val="Aptos Narrow"/>
            <family val="2"/>
            <scheme val="minor"/>
          </rPr>
          <t>was 8490</t>
        </r>
      </text>
    </comment>
    <comment ref="F17" authorId="1" shapeId="0" xr:uid="{00000000-0006-0000-5F00-00002A000000}">
      <text>
        <r>
          <rPr>
            <sz val="12"/>
            <color theme="1"/>
            <rFont val="Aptos Narrow"/>
            <family val="2"/>
            <scheme val="minor"/>
          </rPr>
          <t>W7 8490</t>
        </r>
      </text>
    </comment>
    <comment ref="B18" authorId="5" shapeId="0" xr:uid="{00000000-0006-0000-5F00-00002B000000}">
      <text>
        <r>
          <rPr>
            <sz val="12"/>
            <color theme="1"/>
            <rFont val="Aptos Narrow"/>
            <family val="2"/>
            <scheme val="minor"/>
          </rPr>
          <t>was 14390</t>
        </r>
      </text>
    </comment>
    <comment ref="C18" authorId="0" shapeId="0" xr:uid="{00000000-0006-0000-5F00-00002C000000}">
      <text>
        <r>
          <rPr>
            <sz val="12"/>
            <color theme="1"/>
            <rFont val="Aptos Narrow"/>
            <family val="2"/>
            <scheme val="minor"/>
          </rPr>
          <t>Người dùng Không xác định:
13290000</t>
        </r>
      </text>
    </comment>
    <comment ref="D18" authorId="0" shapeId="0" xr:uid="{00000000-0006-0000-5F00-00002D000000}">
      <text>
        <r>
          <rPr>
            <sz val="12"/>
            <color theme="1"/>
            <rFont val="Aptos Narrow"/>
            <family val="2"/>
            <scheme val="minor"/>
          </rPr>
          <t>13.290</t>
        </r>
      </text>
    </comment>
    <comment ref="E18" authorId="4" shapeId="0" xr:uid="{00000000-0006-0000-5F00-00002E000000}">
      <text>
        <r>
          <rPr>
            <sz val="12"/>
            <color theme="1"/>
            <rFont val="Aptos Narrow"/>
            <family val="2"/>
            <scheme val="minor"/>
          </rPr>
          <t xml:space="preserve">was 13290
hssv 200
</t>
        </r>
      </text>
    </comment>
    <comment ref="F18" authorId="1" shapeId="0" xr:uid="{00000000-0006-0000-5F00-00002F000000}">
      <text>
        <r>
          <rPr>
            <sz val="12"/>
            <color theme="1"/>
            <rFont val="Aptos Narrow"/>
            <family val="2"/>
            <scheme val="minor"/>
          </rPr>
          <t>W7 13290</t>
        </r>
      </text>
    </comment>
    <comment ref="G18" authorId="2" shapeId="0" xr:uid="{00000000-0006-0000-5F00-000030000000}">
      <text>
        <r>
          <rPr>
            <sz val="12"/>
            <color theme="1"/>
            <rFont val="Aptos Narrow"/>
            <family val="2"/>
            <scheme val="minor"/>
          </rPr>
          <t>Dat's MacBook Pro:
15490</t>
        </r>
      </text>
    </comment>
    <comment ref="C19" authorId="0" shapeId="0" xr:uid="{00000000-0006-0000-5F00-000031000000}">
      <text>
        <r>
          <rPr>
            <sz val="12"/>
            <color theme="1"/>
            <rFont val="Aptos Narrow"/>
            <family val="2"/>
            <scheme val="minor"/>
          </rPr>
          <t>Người dùng Không xác định:
19090000</t>
        </r>
      </text>
    </comment>
    <comment ref="D19" authorId="0" shapeId="0" xr:uid="{00000000-0006-0000-5F00-000032000000}">
      <text>
        <r>
          <rPr>
            <sz val="12"/>
            <color theme="1"/>
            <rFont val="Aptos Narrow"/>
            <family val="2"/>
            <scheme val="minor"/>
          </rPr>
          <t>Người dùng Không xác định:
18.990</t>
        </r>
      </text>
    </comment>
    <comment ref="E19" authorId="4" shapeId="0" xr:uid="{00000000-0006-0000-5F00-000033000000}">
      <text>
        <r>
          <rPr>
            <sz val="12"/>
            <color theme="1"/>
            <rFont val="Aptos Narrow"/>
            <family val="2"/>
            <scheme val="minor"/>
          </rPr>
          <t xml:space="preserve">was 18990
hssv 200
</t>
        </r>
      </text>
    </comment>
    <comment ref="F19" authorId="1" shapeId="0" xr:uid="{00000000-0006-0000-5F00-000034000000}">
      <text>
        <r>
          <rPr>
            <sz val="12"/>
            <color theme="1"/>
            <rFont val="Aptos Narrow"/>
            <family val="2"/>
            <scheme val="minor"/>
          </rPr>
          <t>W7 18990</t>
        </r>
      </text>
    </comment>
    <comment ref="D20" authorId="0" shapeId="0" xr:uid="{00000000-0006-0000-5F00-000035000000}">
      <text>
        <r>
          <rPr>
            <sz val="12"/>
            <color theme="1"/>
            <rFont val="Aptos Narrow"/>
            <family val="2"/>
            <scheme val="minor"/>
          </rPr>
          <t>Người dùng Không xác định:
28490</t>
        </r>
      </text>
    </comment>
    <comment ref="B21" authorId="5" shapeId="0" xr:uid="{00000000-0006-0000-5F00-000036000000}">
      <text>
        <r>
          <rPr>
            <sz val="12"/>
            <color theme="1"/>
            <rFont val="Aptos Narrow"/>
            <family val="2"/>
            <scheme val="minor"/>
          </rPr>
          <t>was 36640</t>
        </r>
      </text>
    </comment>
    <comment ref="C22" authorId="0" shapeId="0" xr:uid="{00000000-0006-0000-5F00-000037000000}">
      <text>
        <r>
          <rPr>
            <sz val="12"/>
            <color theme="1"/>
            <rFont val="Aptos Narrow"/>
            <family val="2"/>
            <scheme val="minor"/>
          </rPr>
          <t>Người dùng Không xác định:
29490000</t>
        </r>
      </text>
    </comment>
    <comment ref="D22" authorId="0" shapeId="0" xr:uid="{00000000-0006-0000-5F00-000038000000}">
      <text>
        <r>
          <rPr>
            <sz val="12"/>
            <color theme="1"/>
            <rFont val="Aptos Narrow"/>
            <family val="2"/>
            <scheme val="minor"/>
          </rPr>
          <t>Người dùng Không xác định:
29.190</t>
        </r>
      </text>
    </comment>
    <comment ref="F22" authorId="1" shapeId="0" xr:uid="{00000000-0006-0000-5F00-000039000000}">
      <text>
        <r>
          <rPr>
            <sz val="12"/>
            <color theme="1"/>
            <rFont val="Aptos Narrow"/>
            <family val="2"/>
            <scheme val="minor"/>
          </rPr>
          <t>W7 29190</t>
        </r>
      </text>
    </comment>
    <comment ref="D23" authorId="0" shapeId="0" xr:uid="{00000000-0006-0000-5F00-00003A000000}">
      <text>
        <r>
          <rPr>
            <sz val="12"/>
            <color theme="1"/>
            <rFont val="Aptos Narrow"/>
            <family val="2"/>
            <scheme val="minor"/>
          </rPr>
          <t>Người dùng Không xác định:
39.590</t>
        </r>
      </text>
    </comment>
    <comment ref="C24" authorId="0" shapeId="0" xr:uid="{00000000-0006-0000-5F00-00003B000000}">
      <text>
        <r>
          <rPr>
            <sz val="12"/>
            <color theme="1"/>
            <rFont val="Aptos Narrow"/>
            <family val="2"/>
            <scheme val="minor"/>
          </rPr>
          <t>Người dùng Không xác định:
6290000</t>
        </r>
      </text>
    </comment>
    <comment ref="D24" authorId="0" shapeId="0" xr:uid="{00000000-0006-0000-5F00-00003C000000}">
      <text>
        <r>
          <rPr>
            <sz val="12"/>
            <color theme="1"/>
            <rFont val="Aptos Narrow"/>
            <family val="2"/>
            <scheme val="minor"/>
          </rPr>
          <t>Người dùng Không xác định:
6.290</t>
        </r>
      </text>
    </comment>
    <comment ref="E24" authorId="4" shapeId="0" xr:uid="{00000000-0006-0000-5F00-00003D000000}">
      <text>
        <r>
          <rPr>
            <sz val="12"/>
            <color theme="1"/>
            <rFont val="Aptos Narrow"/>
            <family val="2"/>
            <scheme val="minor"/>
          </rPr>
          <t xml:space="preserve">was 6190
</t>
        </r>
      </text>
    </comment>
    <comment ref="F24" authorId="1" shapeId="0" xr:uid="{00000000-0006-0000-5F00-00003E000000}">
      <text>
        <r>
          <rPr>
            <sz val="12"/>
            <color theme="1"/>
            <rFont val="Aptos Narrow"/>
            <family val="2"/>
            <scheme val="minor"/>
          </rPr>
          <t>W7 6290</t>
        </r>
      </text>
    </comment>
    <comment ref="C25" authorId="0" shapeId="0" xr:uid="{00000000-0006-0000-5F00-00003F000000}">
      <text>
        <r>
          <rPr>
            <sz val="12"/>
            <color theme="1"/>
            <rFont val="Aptos Narrow"/>
            <family val="2"/>
            <scheme val="minor"/>
          </rPr>
          <t>Người dùng Không xác định:
7890000</t>
        </r>
      </text>
    </comment>
    <comment ref="D25" authorId="0" shapeId="0" xr:uid="{00000000-0006-0000-5F00-000040000000}">
      <text>
        <r>
          <rPr>
            <sz val="12"/>
            <color theme="1"/>
            <rFont val="Aptos Narrow"/>
            <family val="2"/>
            <scheme val="minor"/>
          </rPr>
          <t>Người dùng Không xác định:
7.890</t>
        </r>
      </text>
    </comment>
    <comment ref="E25" authorId="4" shapeId="0" xr:uid="{00000000-0006-0000-5F00-000041000000}">
      <text>
        <r>
          <rPr>
            <sz val="12"/>
            <color theme="1"/>
            <rFont val="Aptos Narrow"/>
            <family val="2"/>
            <scheme val="minor"/>
          </rPr>
          <t xml:space="preserve">was 7790
</t>
        </r>
      </text>
    </comment>
    <comment ref="F25" authorId="1" shapeId="0" xr:uid="{00000000-0006-0000-5F00-000042000000}">
      <text>
        <r>
          <rPr>
            <sz val="12"/>
            <color theme="1"/>
            <rFont val="Aptos Narrow"/>
            <family val="2"/>
            <scheme val="minor"/>
          </rPr>
          <t>W7 7890</t>
        </r>
      </text>
    </comment>
    <comment ref="C26" authorId="0" shapeId="0" xr:uid="{00000000-0006-0000-5F00-000043000000}">
      <text>
        <r>
          <rPr>
            <sz val="12"/>
            <color theme="1"/>
            <rFont val="Aptos Narrow"/>
            <family val="2"/>
            <scheme val="minor"/>
          </rPr>
          <t>Người dùng Không xác định:
7290000</t>
        </r>
      </text>
    </comment>
    <comment ref="D26" authorId="0" shapeId="0" xr:uid="{00000000-0006-0000-5F00-000044000000}">
      <text>
        <r>
          <rPr>
            <sz val="12"/>
            <color theme="1"/>
            <rFont val="Aptos Narrow"/>
            <family val="2"/>
            <scheme val="minor"/>
          </rPr>
          <t>Người dùng Không xác định:
7.290</t>
        </r>
      </text>
    </comment>
    <comment ref="E26" authorId="4" shapeId="0" xr:uid="{00000000-0006-0000-5F00-000045000000}">
      <text>
        <r>
          <rPr>
            <sz val="12"/>
            <color theme="1"/>
            <rFont val="Aptos Narrow"/>
            <family val="2"/>
            <scheme val="minor"/>
          </rPr>
          <t xml:space="preserve">was 6990
</t>
        </r>
      </text>
    </comment>
    <comment ref="F26" authorId="1" shapeId="0" xr:uid="{00000000-0006-0000-5F00-000046000000}">
      <text>
        <r>
          <rPr>
            <sz val="12"/>
            <color theme="1"/>
            <rFont val="Aptos Narrow"/>
            <family val="2"/>
            <scheme val="minor"/>
          </rPr>
          <t>W7 7290</t>
        </r>
      </text>
    </comment>
    <comment ref="C27" authorId="0" shapeId="0" xr:uid="{00000000-0006-0000-5F00-000047000000}">
      <text>
        <r>
          <rPr>
            <sz val="12"/>
            <color theme="1"/>
            <rFont val="Aptos Narrow"/>
            <family val="2"/>
            <scheme val="minor"/>
          </rPr>
          <t>Người dùng Không xác định:
9190000</t>
        </r>
      </text>
    </comment>
    <comment ref="D27" authorId="0" shapeId="0" xr:uid="{00000000-0006-0000-5F00-000048000000}">
      <text>
        <r>
          <rPr>
            <sz val="12"/>
            <color theme="1"/>
            <rFont val="Aptos Narrow"/>
            <family val="2"/>
            <scheme val="minor"/>
          </rPr>
          <t>8.790</t>
        </r>
      </text>
    </comment>
    <comment ref="E27" authorId="4" shapeId="0" xr:uid="{00000000-0006-0000-5F00-000049000000}">
      <text>
        <r>
          <rPr>
            <sz val="12"/>
            <color theme="1"/>
            <rFont val="Aptos Narrow"/>
            <family val="2"/>
            <scheme val="minor"/>
          </rPr>
          <t xml:space="preserve">was 8590
</t>
        </r>
      </text>
    </comment>
    <comment ref="F27" authorId="1" shapeId="0" xr:uid="{00000000-0006-0000-5F00-00004A000000}">
      <text>
        <r>
          <rPr>
            <sz val="12"/>
            <color theme="1"/>
            <rFont val="Aptos Narrow"/>
            <family val="2"/>
            <scheme val="minor"/>
          </rPr>
          <t>W7 8990</t>
        </r>
      </text>
    </comment>
    <comment ref="C28" authorId="0" shapeId="0" xr:uid="{00000000-0006-0000-5F00-00004B000000}">
      <text>
        <r>
          <rPr>
            <sz val="12"/>
            <color theme="1"/>
            <rFont val="Aptos Narrow"/>
            <family val="2"/>
            <scheme val="minor"/>
          </rPr>
          <t>Người dùng Không xác định:
9190000</t>
        </r>
      </text>
    </comment>
    <comment ref="D28" authorId="0" shapeId="0" xr:uid="{00000000-0006-0000-5F00-00004C000000}">
      <text>
        <r>
          <rPr>
            <sz val="12"/>
            <color theme="1"/>
            <rFont val="Aptos Narrow"/>
            <family val="2"/>
            <scheme val="minor"/>
          </rPr>
          <t>9.190</t>
        </r>
      </text>
    </comment>
    <comment ref="E28" authorId="4" shapeId="0" xr:uid="{00000000-0006-0000-5F00-00004D000000}">
      <text>
        <r>
          <rPr>
            <sz val="12"/>
            <color theme="1"/>
            <rFont val="Aptos Narrow"/>
            <family val="2"/>
            <scheme val="minor"/>
          </rPr>
          <t xml:space="preserve">was 8990
</t>
        </r>
      </text>
    </comment>
    <comment ref="F28" authorId="1" shapeId="0" xr:uid="{00000000-0006-0000-5F00-00004E000000}">
      <text>
        <r>
          <rPr>
            <sz val="12"/>
            <color theme="1"/>
            <rFont val="Aptos Narrow"/>
            <family val="2"/>
            <scheme val="minor"/>
          </rPr>
          <t>W7 9190</t>
        </r>
      </text>
    </comment>
    <comment ref="C29" authorId="0" shapeId="0" xr:uid="{00000000-0006-0000-5F00-00004F000000}">
      <text>
        <r>
          <rPr>
            <sz val="12"/>
            <color theme="1"/>
            <rFont val="Aptos Narrow"/>
            <family val="2"/>
            <scheme val="minor"/>
          </rPr>
          <t>Người dùng Không xác định:
14090000</t>
        </r>
      </text>
    </comment>
    <comment ref="D29" authorId="0" shapeId="0" xr:uid="{00000000-0006-0000-5F00-000050000000}">
      <text>
        <r>
          <rPr>
            <sz val="12"/>
            <color theme="1"/>
            <rFont val="Aptos Narrow"/>
            <family val="2"/>
            <scheme val="minor"/>
          </rPr>
          <t>Người dùng Không xác định:
12.190</t>
        </r>
      </text>
    </comment>
    <comment ref="E29" authorId="4" shapeId="0" xr:uid="{00000000-0006-0000-5F00-000051000000}">
      <text>
        <r>
          <rPr>
            <sz val="12"/>
            <color theme="1"/>
            <rFont val="Aptos Narrow"/>
            <family val="2"/>
            <scheme val="minor"/>
          </rPr>
          <t xml:space="preserve">was 11990
</t>
        </r>
      </text>
    </comment>
    <comment ref="F29" authorId="1" shapeId="0" xr:uid="{00000000-0006-0000-5F00-000052000000}">
      <text>
        <r>
          <rPr>
            <sz val="12"/>
            <color theme="1"/>
            <rFont val="Aptos Narrow"/>
            <family val="2"/>
            <scheme val="minor"/>
          </rPr>
          <t>W7 12190</t>
        </r>
      </text>
    </comment>
    <comment ref="C30" authorId="0" shapeId="0" xr:uid="{00000000-0006-0000-5F00-000053000000}">
      <text>
        <r>
          <rPr>
            <sz val="12"/>
            <color theme="1"/>
            <rFont val="Aptos Narrow"/>
            <family val="2"/>
            <scheme val="minor"/>
          </rPr>
          <t>Người dùng Không xác định:9990000</t>
        </r>
      </text>
    </comment>
    <comment ref="E30" authorId="4" shapeId="0" xr:uid="{00000000-0006-0000-5F00-000054000000}">
      <text>
        <r>
          <rPr>
            <sz val="12"/>
            <color theme="1"/>
            <rFont val="Aptos Narrow"/>
            <family val="2"/>
            <scheme val="minor"/>
          </rPr>
          <t xml:space="preserve">was 9690
</t>
        </r>
      </text>
    </comment>
    <comment ref="F30" authorId="1" shapeId="0" xr:uid="{00000000-0006-0000-5F00-000055000000}">
      <text>
        <r>
          <rPr>
            <sz val="12"/>
            <color theme="1"/>
            <rFont val="Aptos Narrow"/>
            <family val="2"/>
            <scheme val="minor"/>
          </rPr>
          <t>W7 9990</t>
        </r>
      </text>
    </comment>
    <comment ref="C31" authorId="0" shapeId="0" xr:uid="{00000000-0006-0000-5F00-000056000000}">
      <text>
        <r>
          <rPr>
            <sz val="12"/>
            <color theme="1"/>
            <rFont val="Aptos Narrow"/>
            <family val="2"/>
            <scheme val="minor"/>
          </rPr>
          <t>Người dùng Không xác định:
13090000</t>
        </r>
      </text>
    </comment>
    <comment ref="D31" authorId="0" shapeId="0" xr:uid="{00000000-0006-0000-5F00-000057000000}">
      <text>
        <r>
          <rPr>
            <sz val="12"/>
            <color theme="1"/>
            <rFont val="Aptos Narrow"/>
            <family val="2"/>
            <scheme val="minor"/>
          </rPr>
          <t>Người dùng Không xác định:
12.990</t>
        </r>
      </text>
    </comment>
    <comment ref="E31" authorId="4" shapeId="0" xr:uid="{00000000-0006-0000-5F00-000058000000}">
      <text>
        <r>
          <rPr>
            <sz val="12"/>
            <color theme="1"/>
            <rFont val="Aptos Narrow"/>
            <family val="2"/>
            <scheme val="minor"/>
          </rPr>
          <t>was 12690</t>
        </r>
      </text>
    </comment>
    <comment ref="F31" authorId="1" shapeId="0" xr:uid="{00000000-0006-0000-5F00-000059000000}">
      <text>
        <r>
          <rPr>
            <sz val="12"/>
            <color theme="1"/>
            <rFont val="Aptos Narrow"/>
            <family val="2"/>
            <scheme val="minor"/>
          </rPr>
          <t>W7 12990</t>
        </r>
      </text>
    </comment>
    <comment ref="B33" authorId="5" shapeId="0" xr:uid="{00000000-0006-0000-5F00-00005A000000}">
      <text>
        <r>
          <rPr>
            <sz val="12"/>
            <color theme="1"/>
            <rFont val="Aptos Narrow"/>
            <family val="2"/>
            <scheme val="minor"/>
          </rPr>
          <t>was 5550
VNP40</t>
        </r>
      </text>
    </comment>
    <comment ref="B34" authorId="5" shapeId="0" xr:uid="{00000000-0006-0000-5F00-00005B000000}">
      <text>
        <r>
          <rPr>
            <sz val="12"/>
            <color theme="1"/>
            <rFont val="Aptos Narrow"/>
            <family val="2"/>
            <scheme val="minor"/>
          </rPr>
          <t xml:space="preserve">was 4490
</t>
        </r>
      </text>
    </comment>
    <comment ref="C34" authorId="0" shapeId="0" xr:uid="{00000000-0006-0000-5F00-00005C000000}">
      <text>
        <r>
          <rPr>
            <sz val="12"/>
            <color theme="1"/>
            <rFont val="Aptos Narrow"/>
            <family val="2"/>
            <scheme val="minor"/>
          </rPr>
          <t>Người dùng Không xác định:
4090000</t>
        </r>
      </text>
    </comment>
    <comment ref="E34" authorId="4" shapeId="0" xr:uid="{00000000-0006-0000-5F00-00005D000000}">
      <text>
        <r>
          <rPr>
            <sz val="12"/>
            <color theme="1"/>
            <rFont val="Aptos Narrow"/>
            <family val="2"/>
            <scheme val="minor"/>
          </rPr>
          <t xml:space="preserve">was 4390
</t>
        </r>
      </text>
    </comment>
    <comment ref="F34" authorId="1" shapeId="0" xr:uid="{00000000-0006-0000-5F00-00005E000000}">
      <text>
        <r>
          <rPr>
            <sz val="12"/>
            <color theme="1"/>
            <rFont val="Aptos Narrow"/>
            <family val="2"/>
            <scheme val="minor"/>
          </rPr>
          <t>W7 4190</t>
        </r>
      </text>
    </comment>
    <comment ref="B35" authorId="5" shapeId="0" xr:uid="{00000000-0006-0000-5F00-00005F000000}">
      <text>
        <r>
          <rPr>
            <sz val="12"/>
            <color theme="1"/>
            <rFont val="Aptos Narrow"/>
            <family val="2"/>
            <scheme val="minor"/>
          </rPr>
          <t>was 3190</t>
        </r>
      </text>
    </comment>
    <comment ref="C35" authorId="0" shapeId="0" xr:uid="{00000000-0006-0000-5F00-000060000000}">
      <text>
        <r>
          <rPr>
            <sz val="12"/>
            <color theme="1"/>
            <rFont val="Aptos Narrow"/>
            <family val="2"/>
            <scheme val="minor"/>
          </rPr>
          <t>Người dùng Không xác định:
2790000</t>
        </r>
      </text>
    </comment>
    <comment ref="D35" authorId="0" shapeId="0" xr:uid="{00000000-0006-0000-5F00-000061000000}">
      <text>
        <r>
          <rPr>
            <sz val="12"/>
            <color theme="1"/>
            <rFont val="Aptos Narrow"/>
            <family val="2"/>
            <scheme val="minor"/>
          </rPr>
          <t>Người dùng Không xác định:
2890</t>
        </r>
      </text>
    </comment>
    <comment ref="E35" authorId="4" shapeId="0" xr:uid="{00000000-0006-0000-5F00-000062000000}">
      <text>
        <r>
          <rPr>
            <sz val="12"/>
            <color theme="1"/>
            <rFont val="Aptos Narrow"/>
            <family val="2"/>
            <scheme val="minor"/>
          </rPr>
          <t xml:space="preserve">was 2990
</t>
        </r>
      </text>
    </comment>
    <comment ref="F35" authorId="1" shapeId="0" xr:uid="{00000000-0006-0000-5F00-000063000000}">
      <text>
        <r>
          <rPr>
            <sz val="12"/>
            <color theme="1"/>
            <rFont val="Aptos Narrow"/>
            <family val="2"/>
            <scheme val="minor"/>
          </rPr>
          <t>W7 2890</t>
        </r>
      </text>
    </comment>
    <comment ref="C36" authorId="0" shapeId="0" xr:uid="{00000000-0006-0000-5F00-000064000000}">
      <text>
        <r>
          <rPr>
            <sz val="12"/>
            <color theme="1"/>
            <rFont val="Aptos Narrow"/>
            <family val="2"/>
            <scheme val="minor"/>
          </rPr>
          <t xml:space="preserve">Người dùng Không xác định:
6290000
</t>
        </r>
      </text>
    </comment>
    <comment ref="F36" authorId="1" shapeId="0" xr:uid="{00000000-0006-0000-5F00-000065000000}">
      <text>
        <r>
          <rPr>
            <sz val="12"/>
            <color theme="1"/>
            <rFont val="Aptos Narrow"/>
            <family val="2"/>
            <scheme val="minor"/>
          </rPr>
          <t>W7 6490</t>
        </r>
      </text>
    </comment>
    <comment ref="C40" authorId="3" shapeId="0" xr:uid="{00000000-0006-0000-5F00-000066000000}">
      <text>
        <r>
          <rPr>
            <sz val="12"/>
            <color theme="1"/>
            <rFont val="Aptos Narrow"/>
            <family val="2"/>
            <scheme val="minor"/>
          </rPr>
          <t>danielnguyen6111998@gmail.com:
23790000</t>
        </r>
      </text>
    </comment>
    <comment ref="D40" authorId="0" shapeId="0" xr:uid="{00000000-0006-0000-5F00-000067000000}">
      <text>
        <r>
          <rPr>
            <sz val="12"/>
            <color theme="1"/>
            <rFont val="Aptos Narrow"/>
            <family val="2"/>
            <scheme val="minor"/>
          </rPr>
          <t>Người dùng Không xác định:
23.690</t>
        </r>
      </text>
    </comment>
    <comment ref="F40" authorId="1" shapeId="0" xr:uid="{00000000-0006-0000-5F00-000068000000}">
      <text>
        <r>
          <rPr>
            <sz val="12"/>
            <color theme="1"/>
            <rFont val="Aptos Narrow"/>
            <family val="2"/>
            <scheme val="minor"/>
          </rPr>
          <t>W7 23690</t>
        </r>
      </text>
    </comment>
    <comment ref="C41" authorId="0" shapeId="0" xr:uid="{00000000-0006-0000-5F00-000069000000}">
      <text>
        <r>
          <rPr>
            <sz val="12"/>
            <color theme="1"/>
            <rFont val="Aptos Narrow"/>
            <family val="2"/>
            <scheme val="minor"/>
          </rPr>
          <t>Người dùng Không xác định:
28990000</t>
        </r>
      </text>
    </comment>
    <comment ref="D41" authorId="0" shapeId="0" xr:uid="{00000000-0006-0000-5F00-00006A000000}">
      <text>
        <r>
          <rPr>
            <sz val="12"/>
            <color theme="1"/>
            <rFont val="Aptos Narrow"/>
            <family val="2"/>
            <scheme val="minor"/>
          </rPr>
          <t>Người dùng Không xác định:
28.790</t>
        </r>
      </text>
    </comment>
  </commentList>
</comments>
</file>

<file path=xl/comments97.xml><?xml version="1.0" encoding="utf-8"?>
<comments xmlns="http://schemas.openxmlformats.org/spreadsheetml/2006/main" xmlns:mc="http://schemas.openxmlformats.org/markup-compatibility/2006" xmlns:xr="http://schemas.microsoft.com/office/spreadsheetml/2014/revision" mc:Ignorable="xr">
  <authors>
    <author>Người dùng Khách</author>
    <author>Duy</author>
    <author>Mia</author>
    <author>danielnguyen6111998@gmail.com</author>
    <author>Dat's MacBook Pro</author>
    <author>Microsoft Office User</author>
    <author>Duy Ha Minh</author>
  </authors>
  <commentList>
    <comment ref="C3" authorId="0" shapeId="0" xr:uid="{00000000-0006-0000-6000-000001000000}">
      <text>
        <r>
          <rPr>
            <sz val="12"/>
            <color theme="1"/>
            <rFont val="Aptos Narrow"/>
            <family val="2"/>
            <scheme val="minor"/>
          </rPr>
          <t>Người dùng Không xác định:
24990000</t>
        </r>
      </text>
    </comment>
    <comment ref="F3" authorId="1" shapeId="0" xr:uid="{00000000-0006-0000-6000-000002000000}">
      <text>
        <r>
          <rPr>
            <sz val="12"/>
            <color theme="1"/>
            <rFont val="Aptos Narrow"/>
            <family val="2"/>
            <scheme val="minor"/>
          </rPr>
          <t>W7 24390</t>
        </r>
      </text>
    </comment>
    <comment ref="C4" authorId="0" shapeId="0" xr:uid="{00000000-0006-0000-6000-000003000000}">
      <text>
        <r>
          <rPr>
            <sz val="12"/>
            <color theme="1"/>
            <rFont val="Aptos Narrow"/>
            <family val="2"/>
            <scheme val="minor"/>
          </rPr>
          <t>Người dùng Không xác định:
25990000</t>
        </r>
      </text>
    </comment>
    <comment ref="D4" authorId="0" shapeId="0" xr:uid="{00000000-0006-0000-6000-000004000000}">
      <text>
        <r>
          <rPr>
            <sz val="12"/>
            <color theme="1"/>
            <rFont val="Aptos Narrow"/>
            <family val="2"/>
            <scheme val="minor"/>
          </rPr>
          <t>Người dùng Không xác định:
25.290</t>
        </r>
      </text>
    </comment>
    <comment ref="E4" authorId="2" shapeId="0" xr:uid="{00000000-0006-0000-6000-000005000000}">
      <text>
        <r>
          <rPr>
            <sz val="12"/>
            <color theme="1"/>
            <rFont val="Aptos Narrow"/>
            <family val="2"/>
            <scheme val="minor"/>
          </rPr>
          <t xml:space="preserve">was 24390
</t>
        </r>
      </text>
    </comment>
    <comment ref="C5" authorId="3" shapeId="0" xr:uid="{00000000-0006-0000-6000-000006000000}">
      <text>
        <r>
          <rPr>
            <sz val="12"/>
            <color theme="1"/>
            <rFont val="Aptos Narrow"/>
            <family val="2"/>
            <scheme val="minor"/>
          </rPr>
          <t>danielnguyen6111998@gmail.com:
34190000</t>
        </r>
      </text>
    </comment>
    <comment ref="D5" authorId="0" shapeId="0" xr:uid="{00000000-0006-0000-6000-000007000000}">
      <text>
        <r>
          <rPr>
            <sz val="12"/>
            <color theme="1"/>
            <rFont val="Aptos Narrow"/>
            <family val="2"/>
            <scheme val="minor"/>
          </rPr>
          <t>Người dùng Không xác định:
33.890</t>
        </r>
      </text>
    </comment>
    <comment ref="E5" authorId="2" shapeId="0" xr:uid="{00000000-0006-0000-6000-000008000000}">
      <text>
        <r>
          <rPr>
            <sz val="12"/>
            <color theme="1"/>
            <rFont val="Aptos Narrow"/>
            <family val="2"/>
            <scheme val="minor"/>
          </rPr>
          <t xml:space="preserve">was 32790
</t>
        </r>
      </text>
    </comment>
    <comment ref="F5" authorId="1" shapeId="0" xr:uid="{00000000-0006-0000-6000-000009000000}">
      <text>
        <r>
          <rPr>
            <sz val="12"/>
            <color theme="1"/>
            <rFont val="Aptos Narrow"/>
            <family val="2"/>
            <scheme val="minor"/>
          </rPr>
          <t>W7 33290</t>
        </r>
      </text>
    </comment>
    <comment ref="C6" authorId="3" shapeId="0" xr:uid="{00000000-0006-0000-6000-00000A000000}">
      <text>
        <r>
          <rPr>
            <sz val="12"/>
            <color theme="1"/>
            <rFont val="Aptos Narrow"/>
            <family val="2"/>
            <scheme val="minor"/>
          </rPr>
          <t>danielnguyen6111998@gmail.com:
37890000</t>
        </r>
      </text>
    </comment>
    <comment ref="D6" authorId="0" shapeId="0" xr:uid="{00000000-0006-0000-6000-00000B000000}">
      <text>
        <r>
          <rPr>
            <sz val="12"/>
            <color theme="1"/>
            <rFont val="Aptos Narrow"/>
            <family val="2"/>
            <scheme val="minor"/>
          </rPr>
          <t>Người dùng Không xác định:
37.590</t>
        </r>
      </text>
    </comment>
    <comment ref="F6" authorId="1" shapeId="0" xr:uid="{00000000-0006-0000-6000-00000C000000}">
      <text>
        <r>
          <rPr>
            <sz val="12"/>
            <color theme="1"/>
            <rFont val="Aptos Narrow"/>
            <family val="2"/>
            <scheme val="minor"/>
          </rPr>
          <t>W7 36990</t>
        </r>
      </text>
    </comment>
    <comment ref="C8" authorId="0" shapeId="0" xr:uid="{00000000-0006-0000-6000-00000D000000}">
      <text>
        <r>
          <rPr>
            <sz val="12"/>
            <color theme="1"/>
            <rFont val="Aptos Narrow"/>
            <family val="2"/>
            <scheme val="minor"/>
          </rPr>
          <t>Người dùng Không xác định:
20990000</t>
        </r>
      </text>
    </comment>
    <comment ref="F8" authorId="1" shapeId="0" xr:uid="{00000000-0006-0000-6000-00000E000000}">
      <text>
        <r>
          <rPr>
            <sz val="12"/>
            <color theme="1"/>
            <rFont val="Aptos Narrow"/>
            <family val="2"/>
            <scheme val="minor"/>
          </rPr>
          <t>W7 19590</t>
        </r>
      </text>
    </comment>
    <comment ref="G8" authorId="4" shapeId="0" xr:uid="{00000000-0006-0000-6000-00000F000000}">
      <text>
        <r>
          <rPr>
            <sz val="12"/>
            <color theme="1"/>
            <rFont val="Aptos Narrow"/>
            <family val="2"/>
            <scheme val="minor"/>
          </rPr>
          <t>Dat's MacBook Pro:
+1300</t>
        </r>
      </text>
    </comment>
    <comment ref="B9" authorId="5" shapeId="0" xr:uid="{00000000-0006-0000-6000-000010000000}">
      <text>
        <r>
          <rPr>
            <sz val="12"/>
            <color theme="1"/>
            <rFont val="Aptos Narrow"/>
            <family val="2"/>
            <scheme val="minor"/>
          </rPr>
          <t>was 24640000
VNP150</t>
        </r>
      </text>
    </comment>
    <comment ref="C9" authorId="0" shapeId="0" xr:uid="{00000000-0006-0000-6000-000011000000}">
      <text>
        <r>
          <rPr>
            <sz val="12"/>
            <color theme="1"/>
            <rFont val="Aptos Narrow"/>
            <family val="2"/>
            <scheme val="minor"/>
          </rPr>
          <t>Người dùng Không xác định:
24990000</t>
        </r>
      </text>
    </comment>
    <comment ref="D9" authorId="0" shapeId="0" xr:uid="{00000000-0006-0000-6000-000012000000}">
      <text>
        <r>
          <rPr>
            <sz val="12"/>
            <color theme="1"/>
            <rFont val="Aptos Narrow"/>
            <family val="2"/>
            <scheme val="minor"/>
          </rPr>
          <t>Người dùng Không xác định:
24.590</t>
        </r>
      </text>
    </comment>
    <comment ref="F9" authorId="1" shapeId="0" xr:uid="{00000000-0006-0000-6000-000013000000}">
      <text>
        <r>
          <rPr>
            <sz val="12"/>
            <color theme="1"/>
            <rFont val="Aptos Narrow"/>
            <family val="2"/>
            <scheme val="minor"/>
          </rPr>
          <t>W7 23590</t>
        </r>
      </text>
    </comment>
    <comment ref="G9" authorId="4" shapeId="0" xr:uid="{00000000-0006-0000-6000-000014000000}">
      <text>
        <r>
          <rPr>
            <sz val="12"/>
            <color theme="1"/>
            <rFont val="Aptos Narrow"/>
            <family val="2"/>
            <scheme val="minor"/>
          </rPr>
          <t>Dat's MacBook Pro:
+1400</t>
        </r>
      </text>
    </comment>
    <comment ref="B11" authorId="5" shapeId="0" xr:uid="{00000000-0006-0000-6000-000015000000}">
      <text>
        <r>
          <rPr>
            <sz val="12"/>
            <color theme="1"/>
            <rFont val="Aptos Narrow"/>
            <family val="2"/>
            <scheme val="minor"/>
          </rPr>
          <t>Tặng phiếu mua hàng mua AirPods và Apple Watch trị giá 500,000đ
 Phiếu mua hàng mua sản phẩm giá niêm yết từ 5 triệu thuộc các nhóm TAI NGHE - LOA hãng HARMAN KARDON, JBL,MONSTER, KLIPSCH, MARSHALL, SONY; Smartwatch hãng HUAWEI, GARMIN, SAMSUNG, IMOO, OPPO, AMAZFIT trị giá 500.000đ</t>
        </r>
      </text>
    </comment>
    <comment ref="F11" authorId="6" shapeId="0" xr:uid="{00000000-0006-0000-6000-000016000000}">
      <text>
        <r>
          <rPr>
            <sz val="12"/>
            <color theme="1"/>
            <rFont val="Aptos Narrow"/>
            <family val="2"/>
            <scheme val="minor"/>
          </rPr>
          <t>W7 31590</t>
        </r>
      </text>
    </comment>
    <comment ref="G11" authorId="4" shapeId="0" xr:uid="{00000000-0006-0000-6000-000017000000}">
      <text>
        <r>
          <rPr>
            <sz val="12"/>
            <color theme="1"/>
            <rFont val="Aptos Narrow"/>
            <family val="2"/>
            <scheme val="minor"/>
          </rPr>
          <t>Dat's MacBook Pro:
31.990</t>
        </r>
      </text>
    </comment>
    <comment ref="C12" authorId="0" shapeId="0" xr:uid="{00000000-0006-0000-6000-000018000000}">
      <text>
        <r>
          <rPr>
            <sz val="12"/>
            <color theme="1"/>
            <rFont val="Aptos Narrow"/>
            <family val="2"/>
            <scheme val="minor"/>
          </rPr>
          <t>Người dùng Không xác định:
17990000</t>
        </r>
      </text>
    </comment>
    <comment ref="E12" authorId="2" shapeId="0" xr:uid="{00000000-0006-0000-6000-000019000000}">
      <text>
        <r>
          <rPr>
            <sz val="12"/>
            <color theme="1"/>
            <rFont val="Aptos Narrow"/>
            <family val="2"/>
            <scheme val="minor"/>
          </rPr>
          <t>was 17490</t>
        </r>
      </text>
    </comment>
    <comment ref="F12" authorId="1" shapeId="0" xr:uid="{00000000-0006-0000-6000-00001A000000}">
      <text>
        <r>
          <rPr>
            <sz val="12"/>
            <color theme="1"/>
            <rFont val="Aptos Narrow"/>
            <family val="2"/>
            <scheme val="minor"/>
          </rPr>
          <t>W7 16790</t>
        </r>
      </text>
    </comment>
    <comment ref="G12" authorId="4" shapeId="0" xr:uid="{00000000-0006-0000-6000-00001B000000}">
      <text>
        <r>
          <rPr>
            <sz val="12"/>
            <color theme="1"/>
            <rFont val="Aptos Narrow"/>
            <family val="2"/>
            <scheme val="minor"/>
          </rPr>
          <t>Dat's MacBook Pro:
+1300</t>
        </r>
      </text>
    </comment>
    <comment ref="F14" authorId="1" shapeId="0" xr:uid="{00000000-0006-0000-6000-00001C000000}">
      <text>
        <r>
          <rPr>
            <sz val="12"/>
            <color theme="1"/>
            <rFont val="Aptos Narrow"/>
            <family val="2"/>
            <scheme val="minor"/>
          </rPr>
          <t>W7 13890</t>
        </r>
      </text>
    </comment>
    <comment ref="B15" authorId="5" shapeId="0" xr:uid="{00000000-0006-0000-6000-00001D000000}">
      <text>
        <r>
          <rPr>
            <sz val="12"/>
            <color theme="1"/>
            <rFont val="Aptos Narrow"/>
            <family val="2"/>
            <scheme val="minor"/>
          </rPr>
          <t>was 13190
VNP100</t>
        </r>
      </text>
    </comment>
    <comment ref="F15" authorId="1" shapeId="0" xr:uid="{00000000-0006-0000-6000-00001E000000}">
      <text>
        <r>
          <rPr>
            <sz val="12"/>
            <color theme="1"/>
            <rFont val="Aptos Narrow"/>
            <family val="2"/>
            <scheme val="minor"/>
          </rPr>
          <t>W7 12290</t>
        </r>
      </text>
    </comment>
    <comment ref="C16" authorId="0" shapeId="0" xr:uid="{00000000-0006-0000-6000-00001F000000}">
      <text>
        <r>
          <rPr>
            <sz val="12"/>
            <color theme="1"/>
            <rFont val="Aptos Narrow"/>
            <family val="2"/>
            <scheme val="minor"/>
          </rPr>
          <t>Người dùng Không xác định:
13490000</t>
        </r>
      </text>
    </comment>
    <comment ref="D16" authorId="0" shapeId="0" xr:uid="{00000000-0006-0000-6000-000020000000}">
      <text>
        <r>
          <rPr>
            <sz val="12"/>
            <color theme="1"/>
            <rFont val="Aptos Narrow"/>
            <family val="2"/>
            <scheme val="minor"/>
          </rPr>
          <t>Người dùng Không xác định:
13.490</t>
        </r>
      </text>
    </comment>
    <comment ref="E16" authorId="2" shapeId="0" xr:uid="{00000000-0006-0000-6000-000021000000}">
      <text>
        <r>
          <rPr>
            <sz val="12"/>
            <color theme="1"/>
            <rFont val="Aptos Narrow"/>
            <family val="2"/>
            <scheme val="minor"/>
          </rPr>
          <t>was 13290
HSSV 200</t>
        </r>
      </text>
    </comment>
    <comment ref="F16" authorId="1" shapeId="0" xr:uid="{00000000-0006-0000-6000-000022000000}">
      <text>
        <r>
          <rPr>
            <sz val="12"/>
            <color theme="1"/>
            <rFont val="Aptos Narrow"/>
            <family val="2"/>
            <scheme val="minor"/>
          </rPr>
          <t>W7 11790</t>
        </r>
      </text>
    </comment>
    <comment ref="G16" authorId="4" shapeId="0" xr:uid="{00000000-0006-0000-6000-000023000000}">
      <text>
        <r>
          <rPr>
            <sz val="12"/>
            <color theme="1"/>
            <rFont val="Aptos Narrow"/>
            <family val="2"/>
            <scheme val="minor"/>
          </rPr>
          <t>Dat's MacBook Pro:
13390</t>
        </r>
      </text>
    </comment>
    <comment ref="B17" authorId="5" shapeId="0" xr:uid="{00000000-0006-0000-6000-000024000000}">
      <text>
        <r>
          <rPr>
            <sz val="12"/>
            <color theme="1"/>
            <rFont val="Aptos Narrow"/>
            <family val="2"/>
            <scheme val="minor"/>
          </rPr>
          <t>was 7040
VNP40</t>
        </r>
      </text>
    </comment>
    <comment ref="D17" authorId="0" shapeId="0" xr:uid="{00000000-0006-0000-6000-000025000000}">
      <text>
        <r>
          <rPr>
            <sz val="12"/>
            <color theme="1"/>
            <rFont val="Aptos Narrow"/>
            <family val="2"/>
            <scheme val="minor"/>
          </rPr>
          <t>Người dùng Không xác định:9.590</t>
        </r>
      </text>
    </comment>
    <comment ref="F17" authorId="1" shapeId="0" xr:uid="{00000000-0006-0000-6000-000026000000}">
      <text>
        <r>
          <rPr>
            <sz val="12"/>
            <color theme="1"/>
            <rFont val="Aptos Narrow"/>
            <family val="2"/>
            <scheme val="minor"/>
          </rPr>
          <t>W7 8490</t>
        </r>
      </text>
    </comment>
    <comment ref="B18" authorId="5" shapeId="0" xr:uid="{00000000-0006-0000-6000-000027000000}">
      <text>
        <r>
          <rPr>
            <sz val="12"/>
            <color theme="1"/>
            <rFont val="Aptos Narrow"/>
            <family val="2"/>
            <scheme val="minor"/>
          </rPr>
          <t>was 14390</t>
        </r>
      </text>
    </comment>
    <comment ref="C18" authorId="0" shapeId="0" xr:uid="{00000000-0006-0000-6000-000028000000}">
      <text>
        <r>
          <rPr>
            <sz val="12"/>
            <color theme="1"/>
            <rFont val="Aptos Narrow"/>
            <family val="2"/>
            <scheme val="minor"/>
          </rPr>
          <t>Người dùng Không xác định:
16290000</t>
        </r>
      </text>
    </comment>
    <comment ref="D18" authorId="0" shapeId="0" xr:uid="{00000000-0006-0000-6000-000029000000}">
      <text>
        <r>
          <rPr>
            <sz val="12"/>
            <color theme="1"/>
            <rFont val="Aptos Narrow"/>
            <family val="2"/>
            <scheme val="minor"/>
          </rPr>
          <t>15.990</t>
        </r>
      </text>
    </comment>
    <comment ref="F18" authorId="1" shapeId="0" xr:uid="{00000000-0006-0000-6000-00002A000000}">
      <text>
        <r>
          <rPr>
            <sz val="12"/>
            <color theme="1"/>
            <rFont val="Aptos Narrow"/>
            <family val="2"/>
            <scheme val="minor"/>
          </rPr>
          <t>W7 13290</t>
        </r>
      </text>
    </comment>
    <comment ref="G18" authorId="4" shapeId="0" xr:uid="{00000000-0006-0000-6000-00002B000000}">
      <text>
        <r>
          <rPr>
            <sz val="12"/>
            <color theme="1"/>
            <rFont val="Aptos Narrow"/>
            <family val="2"/>
            <scheme val="minor"/>
          </rPr>
          <t>Dat's MacBook Pro:
12990</t>
        </r>
      </text>
    </comment>
    <comment ref="D19" authorId="0" shapeId="0" xr:uid="{00000000-0006-0000-6000-00002C000000}">
      <text>
        <r>
          <rPr>
            <sz val="12"/>
            <color theme="1"/>
            <rFont val="Aptos Narrow"/>
            <family val="2"/>
            <scheme val="minor"/>
          </rPr>
          <t>Người dùng Không xác định:
21.090</t>
        </r>
      </text>
    </comment>
    <comment ref="F19" authorId="1" shapeId="0" xr:uid="{00000000-0006-0000-6000-00002D000000}">
      <text>
        <r>
          <rPr>
            <sz val="12"/>
            <color theme="1"/>
            <rFont val="Aptos Narrow"/>
            <family val="2"/>
            <scheme val="minor"/>
          </rPr>
          <t>W7 18990</t>
        </r>
      </text>
    </comment>
    <comment ref="B21" authorId="5" shapeId="0" xr:uid="{00000000-0006-0000-6000-00002E000000}">
      <text>
        <r>
          <rPr>
            <sz val="12"/>
            <color theme="1"/>
            <rFont val="Aptos Narrow"/>
            <family val="2"/>
            <scheme val="minor"/>
          </rPr>
          <t>was 36640</t>
        </r>
      </text>
    </comment>
    <comment ref="C22" authorId="0" shapeId="0" xr:uid="{00000000-0006-0000-6000-00002F000000}">
      <text>
        <r>
          <rPr>
            <sz val="12"/>
            <color theme="1"/>
            <rFont val="Aptos Narrow"/>
            <family val="2"/>
            <scheme val="minor"/>
          </rPr>
          <t>Người dùng Không xác định:
29190000</t>
        </r>
      </text>
    </comment>
    <comment ref="F22" authorId="1" shapeId="0" xr:uid="{00000000-0006-0000-6000-000030000000}">
      <text>
        <r>
          <rPr>
            <sz val="12"/>
            <color theme="1"/>
            <rFont val="Aptos Narrow"/>
            <family val="2"/>
            <scheme val="minor"/>
          </rPr>
          <t>W7 29190</t>
        </r>
      </text>
    </comment>
    <comment ref="C24" authorId="0" shapeId="0" xr:uid="{00000000-0006-0000-6000-000031000000}">
      <text>
        <r>
          <rPr>
            <sz val="12"/>
            <color theme="1"/>
            <rFont val="Aptos Narrow"/>
            <family val="2"/>
            <scheme val="minor"/>
          </rPr>
          <t>Người dùng Không xác định:
6790000</t>
        </r>
      </text>
    </comment>
    <comment ref="D24" authorId="0" shapeId="0" xr:uid="{00000000-0006-0000-6000-000032000000}">
      <text>
        <r>
          <rPr>
            <sz val="12"/>
            <color theme="1"/>
            <rFont val="Aptos Narrow"/>
            <family val="2"/>
            <scheme val="minor"/>
          </rPr>
          <t>Người dùng Không xác định:
6.690</t>
        </r>
      </text>
    </comment>
    <comment ref="E24" authorId="2" shapeId="0" xr:uid="{00000000-0006-0000-6000-000033000000}">
      <text>
        <r>
          <rPr>
            <sz val="12"/>
            <color theme="1"/>
            <rFont val="Aptos Narrow"/>
            <family val="2"/>
            <scheme val="minor"/>
          </rPr>
          <t xml:space="preserve">was 6490
</t>
        </r>
      </text>
    </comment>
    <comment ref="F24" authorId="1" shapeId="0" xr:uid="{00000000-0006-0000-6000-000034000000}">
      <text>
        <r>
          <rPr>
            <sz val="12"/>
            <color theme="1"/>
            <rFont val="Aptos Narrow"/>
            <family val="2"/>
            <scheme val="minor"/>
          </rPr>
          <t>W7 6290</t>
        </r>
      </text>
    </comment>
    <comment ref="C25" authorId="0" shapeId="0" xr:uid="{00000000-0006-0000-6000-000035000000}">
      <text>
        <r>
          <rPr>
            <sz val="12"/>
            <color theme="1"/>
            <rFont val="Aptos Narrow"/>
            <family val="2"/>
            <scheme val="minor"/>
          </rPr>
          <t>Người dùng Không xác định:
8390000</t>
        </r>
      </text>
    </comment>
    <comment ref="D25" authorId="0" shapeId="0" xr:uid="{00000000-0006-0000-6000-000036000000}">
      <text>
        <r>
          <rPr>
            <sz val="12"/>
            <color theme="1"/>
            <rFont val="Aptos Narrow"/>
            <family val="2"/>
            <scheme val="minor"/>
          </rPr>
          <t>Người dùng Không xác định:
8.390</t>
        </r>
      </text>
    </comment>
    <comment ref="E25" authorId="2" shapeId="0" xr:uid="{00000000-0006-0000-6000-000037000000}">
      <text>
        <r>
          <rPr>
            <sz val="12"/>
            <color theme="1"/>
            <rFont val="Aptos Narrow"/>
            <family val="2"/>
            <scheme val="minor"/>
          </rPr>
          <t xml:space="preserve">was 7990
</t>
        </r>
      </text>
    </comment>
    <comment ref="F25" authorId="1" shapeId="0" xr:uid="{00000000-0006-0000-6000-000038000000}">
      <text>
        <r>
          <rPr>
            <sz val="12"/>
            <color theme="1"/>
            <rFont val="Aptos Narrow"/>
            <family val="2"/>
            <scheme val="minor"/>
          </rPr>
          <t>W7 7890</t>
        </r>
      </text>
    </comment>
    <comment ref="C26" authorId="0" shapeId="0" xr:uid="{00000000-0006-0000-6000-000039000000}">
      <text>
        <r>
          <rPr>
            <sz val="12"/>
            <color theme="1"/>
            <rFont val="Aptos Narrow"/>
            <family val="2"/>
            <scheme val="minor"/>
          </rPr>
          <t>Người dùng Không xác định:
7690000</t>
        </r>
      </text>
    </comment>
    <comment ref="D26" authorId="0" shapeId="0" xr:uid="{00000000-0006-0000-6000-00003A000000}">
      <text>
        <r>
          <rPr>
            <sz val="12"/>
            <color theme="1"/>
            <rFont val="Aptos Narrow"/>
            <family val="2"/>
            <scheme val="minor"/>
          </rPr>
          <t>Người dùng Không xác định:
7.590</t>
        </r>
      </text>
    </comment>
    <comment ref="E26" authorId="2" shapeId="0" xr:uid="{00000000-0006-0000-6000-00003B000000}">
      <text>
        <r>
          <rPr>
            <sz val="12"/>
            <color theme="1"/>
            <rFont val="Aptos Narrow"/>
            <family val="2"/>
            <scheme val="minor"/>
          </rPr>
          <t xml:space="preserve">was 7390
</t>
        </r>
      </text>
    </comment>
    <comment ref="F26" authorId="1" shapeId="0" xr:uid="{00000000-0006-0000-6000-00003C000000}">
      <text>
        <r>
          <rPr>
            <sz val="12"/>
            <color theme="1"/>
            <rFont val="Aptos Narrow"/>
            <family val="2"/>
            <scheme val="minor"/>
          </rPr>
          <t>W7 7290</t>
        </r>
      </text>
    </comment>
    <comment ref="C27" authorId="0" shapeId="0" xr:uid="{00000000-0006-0000-6000-00003D000000}">
      <text>
        <r>
          <rPr>
            <sz val="12"/>
            <color theme="1"/>
            <rFont val="Aptos Narrow"/>
            <family val="2"/>
            <scheme val="minor"/>
          </rPr>
          <t>Người dùng Không xác định:
9190000</t>
        </r>
      </text>
    </comment>
    <comment ref="E27" authorId="2" shapeId="0" xr:uid="{00000000-0006-0000-6000-00003E000000}">
      <text>
        <r>
          <rPr>
            <sz val="12"/>
            <color theme="1"/>
            <rFont val="Aptos Narrow"/>
            <family val="2"/>
            <scheme val="minor"/>
          </rPr>
          <t xml:space="preserve">was 8990
</t>
        </r>
      </text>
    </comment>
    <comment ref="F27" authorId="1" shapeId="0" xr:uid="{00000000-0006-0000-6000-00003F000000}">
      <text>
        <r>
          <rPr>
            <sz val="12"/>
            <color theme="1"/>
            <rFont val="Aptos Narrow"/>
            <family val="2"/>
            <scheme val="minor"/>
          </rPr>
          <t>W7 8990</t>
        </r>
      </text>
    </comment>
    <comment ref="C28" authorId="0" shapeId="0" xr:uid="{00000000-0006-0000-6000-000040000000}">
      <text>
        <r>
          <rPr>
            <sz val="12"/>
            <color theme="1"/>
            <rFont val="Aptos Narrow"/>
            <family val="2"/>
            <scheme val="minor"/>
          </rPr>
          <t>Người dùng Không xác định:
11190000</t>
        </r>
      </text>
    </comment>
    <comment ref="D28" authorId="0" shapeId="0" xr:uid="{00000000-0006-0000-6000-000041000000}">
      <text>
        <r>
          <rPr>
            <sz val="12"/>
            <color theme="1"/>
            <rFont val="Aptos Narrow"/>
            <family val="2"/>
            <scheme val="minor"/>
          </rPr>
          <t>11.890</t>
        </r>
      </text>
    </comment>
    <comment ref="E28" authorId="2" shapeId="0" xr:uid="{00000000-0006-0000-6000-000042000000}">
      <text>
        <r>
          <rPr>
            <sz val="12"/>
            <color theme="1"/>
            <rFont val="Aptos Narrow"/>
            <family val="2"/>
            <scheme val="minor"/>
          </rPr>
          <t xml:space="preserve">was 10690
</t>
        </r>
      </text>
    </comment>
    <comment ref="F28" authorId="1" shapeId="0" xr:uid="{00000000-0006-0000-6000-000043000000}">
      <text>
        <r>
          <rPr>
            <sz val="12"/>
            <color theme="1"/>
            <rFont val="Aptos Narrow"/>
            <family val="2"/>
            <scheme val="minor"/>
          </rPr>
          <t>W7 9190</t>
        </r>
      </text>
    </comment>
    <comment ref="C29" authorId="0" shapeId="0" xr:uid="{00000000-0006-0000-6000-000044000000}">
      <text>
        <r>
          <rPr>
            <sz val="12"/>
            <color theme="1"/>
            <rFont val="Aptos Narrow"/>
            <family val="2"/>
            <scheme val="minor"/>
          </rPr>
          <t>Người dùng Không xác định:
14090000</t>
        </r>
      </text>
    </comment>
    <comment ref="D29" authorId="0" shapeId="0" xr:uid="{00000000-0006-0000-6000-000045000000}">
      <text>
        <r>
          <rPr>
            <sz val="12"/>
            <color theme="1"/>
            <rFont val="Aptos Narrow"/>
            <family val="2"/>
            <scheme val="minor"/>
          </rPr>
          <t>Người dùng Không xác định:
14.090</t>
        </r>
      </text>
    </comment>
    <comment ref="E29" authorId="2" shapeId="0" xr:uid="{00000000-0006-0000-6000-000046000000}">
      <text>
        <r>
          <rPr>
            <sz val="12"/>
            <color theme="1"/>
            <rFont val="Aptos Narrow"/>
            <family val="2"/>
            <scheme val="minor"/>
          </rPr>
          <t xml:space="preserve">was 13990
</t>
        </r>
      </text>
    </comment>
    <comment ref="F29" authorId="1" shapeId="0" xr:uid="{00000000-0006-0000-6000-000047000000}">
      <text>
        <r>
          <rPr>
            <sz val="12"/>
            <color theme="1"/>
            <rFont val="Aptos Narrow"/>
            <family val="2"/>
            <scheme val="minor"/>
          </rPr>
          <t>W7 12190</t>
        </r>
      </text>
    </comment>
    <comment ref="C30" authorId="0" shapeId="0" xr:uid="{00000000-0006-0000-6000-000048000000}">
      <text>
        <r>
          <rPr>
            <sz val="12"/>
            <color theme="1"/>
            <rFont val="Aptos Narrow"/>
            <family val="2"/>
            <scheme val="minor"/>
          </rPr>
          <t>Người dùng Không xác định: 11990000</t>
        </r>
      </text>
    </comment>
    <comment ref="E30" authorId="2" shapeId="0" xr:uid="{00000000-0006-0000-6000-000049000000}">
      <text>
        <r>
          <rPr>
            <sz val="12"/>
            <color theme="1"/>
            <rFont val="Aptos Narrow"/>
            <family val="2"/>
            <scheme val="minor"/>
          </rPr>
          <t xml:space="preserve">was 11490
</t>
        </r>
      </text>
    </comment>
    <comment ref="F30" authorId="1" shapeId="0" xr:uid="{00000000-0006-0000-6000-00004A000000}">
      <text>
        <r>
          <rPr>
            <sz val="12"/>
            <color theme="1"/>
            <rFont val="Aptos Narrow"/>
            <family val="2"/>
            <scheme val="minor"/>
          </rPr>
          <t>W7 9990</t>
        </r>
      </text>
    </comment>
    <comment ref="C31" authorId="0" shapeId="0" xr:uid="{00000000-0006-0000-6000-00004B000000}">
      <text>
        <r>
          <rPr>
            <sz val="12"/>
            <color theme="1"/>
            <rFont val="Aptos Narrow"/>
            <family val="2"/>
            <scheme val="minor"/>
          </rPr>
          <t>Người dùng Không xác định:
13090000</t>
        </r>
      </text>
    </comment>
    <comment ref="D31" authorId="0" shapeId="0" xr:uid="{00000000-0006-0000-6000-00004C000000}">
      <text>
        <r>
          <rPr>
            <sz val="12"/>
            <color theme="1"/>
            <rFont val="Aptos Narrow"/>
            <family val="2"/>
            <scheme val="minor"/>
          </rPr>
          <t>Người dùng Không xác định:
14.990</t>
        </r>
      </text>
    </comment>
    <comment ref="E31" authorId="2" shapeId="0" xr:uid="{00000000-0006-0000-6000-00004D000000}">
      <text>
        <r>
          <rPr>
            <sz val="12"/>
            <color theme="1"/>
            <rFont val="Aptos Narrow"/>
            <family val="2"/>
            <scheme val="minor"/>
          </rPr>
          <t>was 14490</t>
        </r>
      </text>
    </comment>
    <comment ref="F31" authorId="1" shapeId="0" xr:uid="{00000000-0006-0000-6000-00004E000000}">
      <text>
        <r>
          <rPr>
            <sz val="12"/>
            <color theme="1"/>
            <rFont val="Aptos Narrow"/>
            <family val="2"/>
            <scheme val="minor"/>
          </rPr>
          <t>W7 12990</t>
        </r>
      </text>
    </comment>
    <comment ref="B33" authorId="5" shapeId="0" xr:uid="{00000000-0006-0000-6000-00004F000000}">
      <text>
        <r>
          <rPr>
            <sz val="12"/>
            <color theme="1"/>
            <rFont val="Aptos Narrow"/>
            <family val="2"/>
            <scheme val="minor"/>
          </rPr>
          <t>was 5550
VNP40</t>
        </r>
      </text>
    </comment>
    <comment ref="B34" authorId="5" shapeId="0" xr:uid="{00000000-0006-0000-6000-000050000000}">
      <text>
        <r>
          <rPr>
            <sz val="12"/>
            <color theme="1"/>
            <rFont val="Aptos Narrow"/>
            <family val="2"/>
            <scheme val="minor"/>
          </rPr>
          <t xml:space="preserve">was 4490
</t>
        </r>
      </text>
    </comment>
    <comment ref="C34" authorId="0" shapeId="0" xr:uid="{00000000-0006-0000-6000-000051000000}">
      <text>
        <r>
          <rPr>
            <sz val="12"/>
            <color theme="1"/>
            <rFont val="Aptos Narrow"/>
            <family val="2"/>
            <scheme val="minor"/>
          </rPr>
          <t>Người dùng Không xác định:
4590000</t>
        </r>
      </text>
    </comment>
    <comment ref="E34" authorId="2" shapeId="0" xr:uid="{00000000-0006-0000-6000-000052000000}">
      <text>
        <r>
          <rPr>
            <sz val="12"/>
            <color theme="1"/>
            <rFont val="Aptos Narrow"/>
            <family val="2"/>
            <scheme val="minor"/>
          </rPr>
          <t xml:space="preserve">was 4490
</t>
        </r>
      </text>
    </comment>
    <comment ref="F34" authorId="1" shapeId="0" xr:uid="{00000000-0006-0000-6000-000053000000}">
      <text>
        <r>
          <rPr>
            <sz val="12"/>
            <color theme="1"/>
            <rFont val="Aptos Narrow"/>
            <family val="2"/>
            <scheme val="minor"/>
          </rPr>
          <t>W7 4190</t>
        </r>
      </text>
    </comment>
    <comment ref="B35" authorId="5" shapeId="0" xr:uid="{00000000-0006-0000-6000-000054000000}">
      <text>
        <r>
          <rPr>
            <sz val="12"/>
            <color theme="1"/>
            <rFont val="Aptos Narrow"/>
            <family val="2"/>
            <scheme val="minor"/>
          </rPr>
          <t>was 3190</t>
        </r>
      </text>
    </comment>
    <comment ref="C35" authorId="0" shapeId="0" xr:uid="{00000000-0006-0000-6000-000055000000}">
      <text>
        <r>
          <rPr>
            <sz val="12"/>
            <color theme="1"/>
            <rFont val="Aptos Narrow"/>
            <family val="2"/>
            <scheme val="minor"/>
          </rPr>
          <t>Người dùng Không xác định:
3490000</t>
        </r>
      </text>
    </comment>
    <comment ref="D35" authorId="0" shapeId="0" xr:uid="{00000000-0006-0000-6000-000056000000}">
      <text>
        <r>
          <rPr>
            <sz val="12"/>
            <color theme="1"/>
            <rFont val="Aptos Narrow"/>
            <family val="2"/>
            <scheme val="minor"/>
          </rPr>
          <t>Người dùng Không xác định:3490</t>
        </r>
      </text>
    </comment>
    <comment ref="E35" authorId="2" shapeId="0" xr:uid="{00000000-0006-0000-6000-000057000000}">
      <text>
        <r>
          <rPr>
            <sz val="12"/>
            <color theme="1"/>
            <rFont val="Aptos Narrow"/>
            <family val="2"/>
            <scheme val="minor"/>
          </rPr>
          <t xml:space="preserve">was 3390
</t>
        </r>
      </text>
    </comment>
    <comment ref="F35" authorId="1" shapeId="0" xr:uid="{00000000-0006-0000-6000-000058000000}">
      <text>
        <r>
          <rPr>
            <sz val="12"/>
            <color theme="1"/>
            <rFont val="Aptos Narrow"/>
            <family val="2"/>
            <scheme val="minor"/>
          </rPr>
          <t>W7 2890</t>
        </r>
      </text>
    </comment>
    <comment ref="C36" authorId="0" shapeId="0" xr:uid="{00000000-0006-0000-6000-000059000000}">
      <text>
        <r>
          <rPr>
            <sz val="12"/>
            <color theme="1"/>
            <rFont val="Aptos Narrow"/>
            <family val="2"/>
            <scheme val="minor"/>
          </rPr>
          <t xml:space="preserve">Người dùng Không xác định:
6590000
</t>
        </r>
      </text>
    </comment>
    <comment ref="F36" authorId="1" shapeId="0" xr:uid="{00000000-0006-0000-6000-00005A000000}">
      <text>
        <r>
          <rPr>
            <sz val="12"/>
            <color theme="1"/>
            <rFont val="Aptos Narrow"/>
            <family val="2"/>
            <scheme val="minor"/>
          </rPr>
          <t>W7 6490</t>
        </r>
      </text>
    </comment>
    <comment ref="C40" authorId="3" shapeId="0" xr:uid="{00000000-0006-0000-6000-00005B000000}">
      <text>
        <r>
          <rPr>
            <sz val="12"/>
            <color theme="1"/>
            <rFont val="Aptos Narrow"/>
            <family val="2"/>
            <scheme val="minor"/>
          </rPr>
          <t>danielnguyen6111998@gmail.com:
25290000</t>
        </r>
      </text>
    </comment>
    <comment ref="D40" authorId="0" shapeId="0" xr:uid="{00000000-0006-0000-6000-00005C000000}">
      <text>
        <r>
          <rPr>
            <sz val="12"/>
            <color theme="1"/>
            <rFont val="Aptos Narrow"/>
            <family val="2"/>
            <scheme val="minor"/>
          </rPr>
          <t>Người dùng Không xác định:
25290</t>
        </r>
      </text>
    </comment>
    <comment ref="F40" authorId="1" shapeId="0" xr:uid="{00000000-0006-0000-6000-00005D000000}">
      <text>
        <r>
          <rPr>
            <sz val="12"/>
            <color theme="1"/>
            <rFont val="Aptos Narrow"/>
            <family val="2"/>
            <scheme val="minor"/>
          </rPr>
          <t>W7 23690</t>
        </r>
      </text>
    </comment>
    <comment ref="C41" authorId="0" shapeId="0" xr:uid="{00000000-0006-0000-6000-00005E000000}">
      <text>
        <r>
          <rPr>
            <sz val="12"/>
            <color theme="1"/>
            <rFont val="Aptos Narrow"/>
            <family val="2"/>
            <scheme val="minor"/>
          </rPr>
          <t>Người dùng Không xác định:
28990000</t>
        </r>
      </text>
    </comment>
    <comment ref="C43" authorId="0" shapeId="0" xr:uid="{00000000-0006-0000-6000-00005F000000}">
      <text>
        <r>
          <rPr>
            <sz val="12"/>
            <color theme="1"/>
            <rFont val="Aptos Narrow"/>
            <family val="2"/>
            <scheme val="minor"/>
          </rPr>
          <t>Người dùng Không xác định:
41890000</t>
        </r>
      </text>
    </comment>
  </commentList>
</comments>
</file>

<file path=xl/comments98.xml><?xml version="1.0" encoding="utf-8"?>
<comments xmlns="http://schemas.openxmlformats.org/spreadsheetml/2006/main" xmlns:mc="http://schemas.openxmlformats.org/markup-compatibility/2006" xmlns:xr="http://schemas.microsoft.com/office/spreadsheetml/2014/revision" mc:Ignorable="xr">
  <authors>
    <author>chit trang</author>
    <author>Người dùng Khách</author>
    <author>danielnguyen6111998@gmail.com</author>
    <author>Dat's MacBook Pro</author>
    <author>Microsoft Office User</author>
    <author>Mia</author>
  </authors>
  <commentList>
    <comment ref="D2" authorId="0" shapeId="0" xr:uid="{00000000-0006-0000-6100-000001000000}">
      <text>
        <r>
          <rPr>
            <sz val="12"/>
            <color theme="1"/>
            <rFont val="Aptos Narrow"/>
            <family val="2"/>
            <scheme val="minor"/>
          </rPr>
          <t>chit trang:
17.990</t>
        </r>
      </text>
    </comment>
    <comment ref="C3" authorId="1" shapeId="0" xr:uid="{00000000-0006-0000-6100-000002000000}">
      <text>
        <r>
          <rPr>
            <sz val="12"/>
            <color theme="1"/>
            <rFont val="Aptos Narrow"/>
            <family val="2"/>
            <scheme val="minor"/>
          </rPr>
          <t>Người dùng Không xác định:
24890000</t>
        </r>
      </text>
    </comment>
    <comment ref="D3" authorId="0" shapeId="0" xr:uid="{00000000-0006-0000-6100-000003000000}">
      <text>
        <r>
          <rPr>
            <sz val="12"/>
            <color theme="1"/>
            <rFont val="Aptos Narrow"/>
            <family val="2"/>
            <scheme val="minor"/>
          </rPr>
          <t>chit trang:
24.790</t>
        </r>
      </text>
    </comment>
    <comment ref="C4" authorId="1" shapeId="0" xr:uid="{00000000-0006-0000-6100-000004000000}">
      <text>
        <r>
          <rPr>
            <sz val="12"/>
            <color theme="1"/>
            <rFont val="Aptos Narrow"/>
            <family val="2"/>
            <scheme val="minor"/>
          </rPr>
          <t>Người dùng Không xác định:
25990000</t>
        </r>
      </text>
    </comment>
    <comment ref="D4" authorId="1" shapeId="0" xr:uid="{00000000-0006-0000-6100-000005000000}">
      <text>
        <r>
          <rPr>
            <sz val="12"/>
            <color theme="1"/>
            <rFont val="Aptos Narrow"/>
            <family val="2"/>
            <scheme val="minor"/>
          </rPr>
          <t>Người dùng Không xác định:
25090</t>
        </r>
      </text>
    </comment>
    <comment ref="C5" authorId="2" shapeId="0" xr:uid="{00000000-0006-0000-6100-000006000000}">
      <text>
        <r>
          <rPr>
            <sz val="12"/>
            <color theme="1"/>
            <rFont val="Aptos Narrow"/>
            <family val="2"/>
            <scheme val="minor"/>
          </rPr>
          <t>danielnguyen6111998@gmail.com:
34190000</t>
        </r>
      </text>
    </comment>
    <comment ref="D6" authorId="1" shapeId="0" xr:uid="{00000000-0006-0000-6100-000007000000}">
      <text>
        <r>
          <rPr>
            <sz val="12"/>
            <color theme="1"/>
            <rFont val="Aptos Narrow"/>
            <family val="2"/>
            <scheme val="minor"/>
          </rPr>
          <t>Người dùng Không xác định:
37.790</t>
        </r>
      </text>
    </comment>
    <comment ref="D8" authorId="0" shapeId="0" xr:uid="{00000000-0006-0000-6100-000008000000}">
      <text>
        <r>
          <rPr>
            <sz val="12"/>
            <color theme="1"/>
            <rFont val="Aptos Narrow"/>
            <family val="2"/>
            <scheme val="minor"/>
          </rPr>
          <t>chit trang:
20.690</t>
        </r>
      </text>
    </comment>
    <comment ref="G8" authorId="3" shapeId="0" xr:uid="{00000000-0006-0000-6100-000009000000}">
      <text>
        <r>
          <rPr>
            <sz val="12"/>
            <color theme="1"/>
            <rFont val="Aptos Narrow"/>
            <family val="2"/>
            <scheme val="minor"/>
          </rPr>
          <t>Dat's MacBook Pro:
+1300</t>
        </r>
      </text>
    </comment>
    <comment ref="B9" authorId="4" shapeId="0" xr:uid="{00000000-0006-0000-6100-00000A000000}">
      <text>
        <r>
          <rPr>
            <sz val="12"/>
            <color theme="1"/>
            <rFont val="Aptos Narrow"/>
            <family val="2"/>
            <scheme val="minor"/>
          </rPr>
          <t>was 24640000
VNP150</t>
        </r>
      </text>
    </comment>
    <comment ref="D9" authorId="1" shapeId="0" xr:uid="{00000000-0006-0000-6100-00000B000000}">
      <text>
        <r>
          <rPr>
            <sz val="12"/>
            <color theme="1"/>
            <rFont val="Aptos Narrow"/>
            <family val="2"/>
            <scheme val="minor"/>
          </rPr>
          <t>Người dùng Không xác định:
24.790</t>
        </r>
      </text>
    </comment>
    <comment ref="G9" authorId="3" shapeId="0" xr:uid="{00000000-0006-0000-6100-00000C000000}">
      <text>
        <r>
          <rPr>
            <sz val="12"/>
            <color theme="1"/>
            <rFont val="Aptos Narrow"/>
            <family val="2"/>
            <scheme val="minor"/>
          </rPr>
          <t>Dat's MacBook Pro:
+1400</t>
        </r>
      </text>
    </comment>
    <comment ref="B11" authorId="4" shapeId="0" xr:uid="{00000000-0006-0000-6100-00000D000000}">
      <text>
        <r>
          <rPr>
            <sz val="12"/>
            <color theme="1"/>
            <rFont val="Aptos Narrow"/>
            <family val="2"/>
            <scheme val="minor"/>
          </rPr>
          <t>Tặng phiếu mua hàng mua AirPods và Apple Watch trị giá 500,000đ
 Phiếu mua hàng mua sản phẩm giá niêm yết từ 5 triệu thuộc các nhóm TAI NGHE - LOA hãng HARMAN KARDON, JBL,MONSTER, KLIPSCH, MARSHALL, SONY; Smartwatch hãng HUAWEI, GARMIN, SAMSUNG, IMOO, OPPO, AMAZFIT trị giá 500.000đ</t>
        </r>
      </text>
    </comment>
    <comment ref="G11" authorId="3" shapeId="0" xr:uid="{00000000-0006-0000-6100-00000E000000}">
      <text>
        <r>
          <rPr>
            <sz val="12"/>
            <color theme="1"/>
            <rFont val="Aptos Narrow"/>
            <family val="2"/>
            <scheme val="minor"/>
          </rPr>
          <t>Dat's MacBook Pro:
31.990</t>
        </r>
      </text>
    </comment>
    <comment ref="C12" authorId="1" shapeId="0" xr:uid="{00000000-0006-0000-6100-00000F000000}">
      <text>
        <r>
          <rPr>
            <sz val="12"/>
            <color theme="1"/>
            <rFont val="Aptos Narrow"/>
            <family val="2"/>
            <scheme val="minor"/>
          </rPr>
          <t>Người dùng Không xác định:
17890000</t>
        </r>
      </text>
    </comment>
    <comment ref="D12" authorId="0" shapeId="0" xr:uid="{00000000-0006-0000-6100-000010000000}">
      <text>
        <r>
          <rPr>
            <sz val="12"/>
            <color theme="1"/>
            <rFont val="Aptos Narrow"/>
            <family val="2"/>
            <scheme val="minor"/>
          </rPr>
          <t>chit trang:
17.790</t>
        </r>
      </text>
    </comment>
    <comment ref="E12" authorId="5" shapeId="0" xr:uid="{00000000-0006-0000-6100-000011000000}">
      <text>
        <r>
          <rPr>
            <sz val="12"/>
            <color theme="1"/>
            <rFont val="Aptos Narrow"/>
            <family val="2"/>
            <scheme val="minor"/>
          </rPr>
          <t>was 17690</t>
        </r>
      </text>
    </comment>
    <comment ref="G12" authorId="3" shapeId="0" xr:uid="{00000000-0006-0000-6100-000012000000}">
      <text>
        <r>
          <rPr>
            <sz val="12"/>
            <color theme="1"/>
            <rFont val="Aptos Narrow"/>
            <family val="2"/>
            <scheme val="minor"/>
          </rPr>
          <t>Dat's MacBook Pro:
+1300</t>
        </r>
      </text>
    </comment>
    <comment ref="C13" authorId="1" shapeId="0" xr:uid="{00000000-0006-0000-6100-000013000000}">
      <text>
        <r>
          <rPr>
            <sz val="12"/>
            <color theme="1"/>
            <rFont val="Aptos Narrow"/>
            <family val="2"/>
            <scheme val="minor"/>
          </rPr>
          <t>Người dùng Không xác định:
19990000</t>
        </r>
      </text>
    </comment>
    <comment ref="D14" authorId="0" shapeId="0" xr:uid="{00000000-0006-0000-6100-000014000000}">
      <text>
        <r>
          <rPr>
            <sz val="12"/>
            <color theme="1"/>
            <rFont val="Aptos Narrow"/>
            <family val="2"/>
            <scheme val="minor"/>
          </rPr>
          <t>chit trang:
13.790</t>
        </r>
      </text>
    </comment>
    <comment ref="B15" authorId="4" shapeId="0" xr:uid="{00000000-0006-0000-6100-000015000000}">
      <text>
        <r>
          <rPr>
            <sz val="12"/>
            <color theme="1"/>
            <rFont val="Aptos Narrow"/>
            <family val="2"/>
            <scheme val="minor"/>
          </rPr>
          <t>was 13190
VNP100</t>
        </r>
      </text>
    </comment>
    <comment ref="C15" authorId="1" shapeId="0" xr:uid="{00000000-0006-0000-6100-000016000000}">
      <text>
        <r>
          <rPr>
            <sz val="12"/>
            <color theme="1"/>
            <rFont val="Aptos Narrow"/>
            <family val="2"/>
            <scheme val="minor"/>
          </rPr>
          <t>Người dùng Không xác định:
12490000</t>
        </r>
      </text>
    </comment>
    <comment ref="D15" authorId="0" shapeId="0" xr:uid="{00000000-0006-0000-6100-000017000000}">
      <text>
        <r>
          <rPr>
            <sz val="12"/>
            <color theme="1"/>
            <rFont val="Aptos Narrow"/>
            <family val="2"/>
            <scheme val="minor"/>
          </rPr>
          <t xml:space="preserve">12.290
</t>
        </r>
      </text>
    </comment>
    <comment ref="C16" authorId="1" shapeId="0" xr:uid="{00000000-0006-0000-6100-000018000000}">
      <text>
        <r>
          <rPr>
            <sz val="12"/>
            <color theme="1"/>
            <rFont val="Aptos Narrow"/>
            <family val="2"/>
            <scheme val="minor"/>
          </rPr>
          <t>Người dùng Không xác định:
13490000</t>
        </r>
      </text>
    </comment>
    <comment ref="G16" authorId="3" shapeId="0" xr:uid="{00000000-0006-0000-6100-000019000000}">
      <text>
        <r>
          <rPr>
            <sz val="12"/>
            <color theme="1"/>
            <rFont val="Aptos Narrow"/>
            <family val="2"/>
            <scheme val="minor"/>
          </rPr>
          <t>Dat's MacBook Pro:
13390</t>
        </r>
      </text>
    </comment>
    <comment ref="B17" authorId="4" shapeId="0" xr:uid="{00000000-0006-0000-6100-00001A000000}">
      <text>
        <r>
          <rPr>
            <sz val="12"/>
            <color theme="1"/>
            <rFont val="Aptos Narrow"/>
            <family val="2"/>
            <scheme val="minor"/>
          </rPr>
          <t>was 7040
VNP40</t>
        </r>
      </text>
    </comment>
    <comment ref="C17" authorId="1" shapeId="0" xr:uid="{00000000-0006-0000-6100-00001B000000}">
      <text>
        <r>
          <rPr>
            <sz val="12"/>
            <color theme="1"/>
            <rFont val="Aptos Narrow"/>
            <family val="2"/>
            <scheme val="minor"/>
          </rPr>
          <t>Người dùng Không xác định:
9590000</t>
        </r>
      </text>
    </comment>
    <comment ref="D17" authorId="1" shapeId="0" xr:uid="{00000000-0006-0000-6100-00001C000000}">
      <text>
        <r>
          <rPr>
            <sz val="12"/>
            <color theme="1"/>
            <rFont val="Aptos Narrow"/>
            <family val="2"/>
            <scheme val="minor"/>
          </rPr>
          <t>Người dùng Không xác định:9.290</t>
        </r>
      </text>
    </comment>
    <comment ref="E17" authorId="4" shapeId="0" xr:uid="{00000000-0006-0000-6100-00001D000000}">
      <text>
        <r>
          <rPr>
            <sz val="12"/>
            <color theme="1"/>
            <rFont val="Aptos Narrow"/>
            <family val="2"/>
            <scheme val="minor"/>
          </rPr>
          <t>was 9190
hssv 200</t>
        </r>
      </text>
    </comment>
    <comment ref="B18" authorId="4" shapeId="0" xr:uid="{00000000-0006-0000-6100-00001E000000}">
      <text>
        <r>
          <rPr>
            <sz val="12"/>
            <color theme="1"/>
            <rFont val="Aptos Narrow"/>
            <family val="2"/>
            <scheme val="minor"/>
          </rPr>
          <t>was 14390</t>
        </r>
      </text>
    </comment>
    <comment ref="C18" authorId="1" shapeId="0" xr:uid="{00000000-0006-0000-6100-00001F000000}">
      <text>
        <r>
          <rPr>
            <sz val="12"/>
            <color theme="1"/>
            <rFont val="Aptos Narrow"/>
            <family val="2"/>
            <scheme val="minor"/>
          </rPr>
          <t>Người dùng Không xác định:
15890000</t>
        </r>
      </text>
    </comment>
    <comment ref="E18" authorId="4" shapeId="0" xr:uid="{00000000-0006-0000-6100-000020000000}">
      <text>
        <r>
          <rPr>
            <sz val="12"/>
            <color theme="1"/>
            <rFont val="Aptos Narrow"/>
            <family val="2"/>
            <scheme val="minor"/>
          </rPr>
          <t xml:space="preserve">was 15390
hssv 200
</t>
        </r>
      </text>
    </comment>
    <comment ref="G18" authorId="3" shapeId="0" xr:uid="{00000000-0006-0000-6100-000021000000}">
      <text>
        <r>
          <rPr>
            <sz val="12"/>
            <color theme="1"/>
            <rFont val="Aptos Narrow"/>
            <family val="2"/>
            <scheme val="minor"/>
          </rPr>
          <t>Dat's MacBook Pro:
12990</t>
        </r>
      </text>
    </comment>
    <comment ref="C19" authorId="1" shapeId="0" xr:uid="{00000000-0006-0000-6100-000022000000}">
      <text>
        <r>
          <rPr>
            <sz val="12"/>
            <color theme="1"/>
            <rFont val="Aptos Narrow"/>
            <family val="2"/>
            <scheme val="minor"/>
          </rPr>
          <t>Người dùng Không xác định:
21690000</t>
        </r>
      </text>
    </comment>
    <comment ref="E19" authorId="4" shapeId="0" xr:uid="{00000000-0006-0000-6100-000023000000}">
      <text>
        <r>
          <rPr>
            <sz val="12"/>
            <color theme="1"/>
            <rFont val="Aptos Narrow"/>
            <family val="2"/>
            <scheme val="minor"/>
          </rPr>
          <t xml:space="preserve">was 20490
</t>
        </r>
      </text>
    </comment>
    <comment ref="B21" authorId="4" shapeId="0" xr:uid="{00000000-0006-0000-6100-000024000000}">
      <text>
        <r>
          <rPr>
            <sz val="12"/>
            <color theme="1"/>
            <rFont val="Aptos Narrow"/>
            <family val="2"/>
            <scheme val="minor"/>
          </rPr>
          <t>was 36640</t>
        </r>
      </text>
    </comment>
    <comment ref="C23" authorId="1" shapeId="0" xr:uid="{00000000-0006-0000-6100-000025000000}">
      <text>
        <r>
          <rPr>
            <sz val="12"/>
            <color theme="1"/>
            <rFont val="Aptos Narrow"/>
            <family val="2"/>
            <scheme val="minor"/>
          </rPr>
          <t>Người dùng Không xác định:
38990000</t>
        </r>
      </text>
    </comment>
    <comment ref="E25" authorId="5" shapeId="0" xr:uid="{00000000-0006-0000-6100-000026000000}">
      <text>
        <r>
          <rPr>
            <sz val="12"/>
            <color theme="1"/>
            <rFont val="Aptos Narrow"/>
            <family val="2"/>
            <scheme val="minor"/>
          </rPr>
          <t xml:space="preserve">was 7690
</t>
        </r>
      </text>
    </comment>
    <comment ref="B33" authorId="4" shapeId="0" xr:uid="{00000000-0006-0000-6100-000027000000}">
      <text>
        <r>
          <rPr>
            <sz val="12"/>
            <color theme="1"/>
            <rFont val="Aptos Narrow"/>
            <family val="2"/>
            <scheme val="minor"/>
          </rPr>
          <t>was 5550
VNP40</t>
        </r>
      </text>
    </comment>
    <comment ref="B34" authorId="4" shapeId="0" xr:uid="{00000000-0006-0000-6100-000028000000}">
      <text>
        <r>
          <rPr>
            <sz val="12"/>
            <color theme="1"/>
            <rFont val="Aptos Narrow"/>
            <family val="2"/>
            <scheme val="minor"/>
          </rPr>
          <t xml:space="preserve">was 4490
</t>
        </r>
      </text>
    </comment>
    <comment ref="E34" authorId="5" shapeId="0" xr:uid="{00000000-0006-0000-6100-000029000000}">
      <text>
        <r>
          <rPr>
            <sz val="12"/>
            <color theme="1"/>
            <rFont val="Aptos Narrow"/>
            <family val="2"/>
            <scheme val="minor"/>
          </rPr>
          <t xml:space="preserve">was 4290
</t>
        </r>
      </text>
    </comment>
    <comment ref="B35" authorId="4" shapeId="0" xr:uid="{00000000-0006-0000-6100-00002A000000}">
      <text>
        <r>
          <rPr>
            <sz val="12"/>
            <color theme="1"/>
            <rFont val="Aptos Narrow"/>
            <family val="2"/>
            <scheme val="minor"/>
          </rPr>
          <t>was 3190</t>
        </r>
      </text>
    </comment>
    <comment ref="D35" authorId="1" shapeId="0" xr:uid="{00000000-0006-0000-6100-00002B000000}">
      <text>
        <r>
          <rPr>
            <sz val="12"/>
            <color theme="1"/>
            <rFont val="Aptos Narrow"/>
            <family val="2"/>
            <scheme val="minor"/>
          </rPr>
          <t>Người dùng Không xác định: 2.890</t>
        </r>
      </text>
    </comment>
    <comment ref="E35" authorId="5" shapeId="0" xr:uid="{00000000-0006-0000-6100-00002C000000}">
      <text>
        <r>
          <rPr>
            <sz val="12"/>
            <color theme="1"/>
            <rFont val="Aptos Narrow"/>
            <family val="2"/>
            <scheme val="minor"/>
          </rPr>
          <t xml:space="preserve">was 2890
</t>
        </r>
      </text>
    </comment>
    <comment ref="D36" authorId="0" shapeId="0" xr:uid="{00000000-0006-0000-6100-00002D000000}">
      <text>
        <r>
          <rPr>
            <sz val="12"/>
            <color theme="1"/>
            <rFont val="Aptos Narrow"/>
            <family val="2"/>
            <scheme val="minor"/>
          </rPr>
          <t>chit trang:
6.390</t>
        </r>
      </text>
    </comment>
    <comment ref="C37" authorId="1" shapeId="0" xr:uid="{00000000-0006-0000-6100-00002E000000}">
      <text>
        <r>
          <rPr>
            <sz val="12"/>
            <color theme="1"/>
            <rFont val="Aptos Narrow"/>
            <family val="2"/>
            <scheme val="minor"/>
          </rPr>
          <t>Người dùng Không xác định:
19690000</t>
        </r>
      </text>
    </comment>
    <comment ref="D37" authorId="0" shapeId="0" xr:uid="{00000000-0006-0000-6100-00002F000000}">
      <text>
        <r>
          <rPr>
            <sz val="12"/>
            <color theme="1"/>
            <rFont val="Aptos Narrow"/>
            <family val="2"/>
            <scheme val="minor"/>
          </rPr>
          <t>chit trang:
19.690</t>
        </r>
      </text>
    </comment>
    <comment ref="C40" authorId="2" shapeId="0" xr:uid="{00000000-0006-0000-6100-000030000000}">
      <text>
        <r>
          <rPr>
            <sz val="12"/>
            <color theme="1"/>
            <rFont val="Aptos Narrow"/>
            <family val="2"/>
            <scheme val="minor"/>
          </rPr>
          <t>danielnguyen6111998@gmail.com:
25190000</t>
        </r>
      </text>
    </comment>
    <comment ref="C41" authorId="1" shapeId="0" xr:uid="{00000000-0006-0000-6100-000031000000}">
      <text>
        <r>
          <rPr>
            <sz val="12"/>
            <color theme="1"/>
            <rFont val="Aptos Narrow"/>
            <family val="2"/>
            <scheme val="minor"/>
          </rPr>
          <t>Người dùng Không xác định:
28990000</t>
        </r>
      </text>
    </comment>
    <comment ref="C43" authorId="1" shapeId="0" xr:uid="{00000000-0006-0000-6100-000032000000}">
      <text>
        <r>
          <rPr>
            <sz val="12"/>
            <color theme="1"/>
            <rFont val="Aptos Narrow"/>
            <family val="2"/>
            <scheme val="minor"/>
          </rPr>
          <t>Người dùng Không xác định:
41490000</t>
        </r>
      </text>
    </comment>
    <comment ref="D43" authorId="0" shapeId="0" xr:uid="{00000000-0006-0000-6100-000033000000}">
      <text>
        <r>
          <rPr>
            <sz val="12"/>
            <color theme="1"/>
            <rFont val="Aptos Narrow"/>
            <family val="2"/>
            <scheme val="minor"/>
          </rPr>
          <t>chit trang:
40.690</t>
        </r>
      </text>
    </comment>
  </commentList>
</comments>
</file>

<file path=xl/comments99.xml><?xml version="1.0" encoding="utf-8"?>
<comments xmlns="http://schemas.openxmlformats.org/spreadsheetml/2006/main" xmlns:mc="http://schemas.openxmlformats.org/markup-compatibility/2006" xmlns:xr="http://schemas.microsoft.com/office/spreadsheetml/2014/revision" mc:Ignorable="xr">
  <authors>
    <author>Người dùng Khách</author>
    <author>danielnguyen6111998@gmail.com</author>
    <author>chit trang</author>
    <author>Dat's MacBook Pro</author>
    <author>Microsoft Office User</author>
    <author>Mia</author>
  </authors>
  <commentList>
    <comment ref="C3" authorId="0" shapeId="0" xr:uid="{00000000-0006-0000-6200-000001000000}">
      <text>
        <r>
          <rPr>
            <sz val="12"/>
            <color theme="1"/>
            <rFont val="Aptos Narrow"/>
            <family val="2"/>
            <scheme val="minor"/>
          </rPr>
          <t>Người dùng Không xác định:
24990000</t>
        </r>
      </text>
    </comment>
    <comment ref="C4" authorId="0" shapeId="0" xr:uid="{00000000-0006-0000-6200-000002000000}">
      <text>
        <r>
          <rPr>
            <sz val="12"/>
            <color theme="1"/>
            <rFont val="Aptos Narrow"/>
            <family val="2"/>
            <scheme val="minor"/>
          </rPr>
          <t>Người dùng Không xác định:
25990000</t>
        </r>
      </text>
    </comment>
    <comment ref="C5" authorId="1" shapeId="0" xr:uid="{00000000-0006-0000-6200-000003000000}">
      <text>
        <r>
          <rPr>
            <sz val="12"/>
            <color theme="1"/>
            <rFont val="Aptos Narrow"/>
            <family val="2"/>
            <scheme val="minor"/>
          </rPr>
          <t>danielnguyen6111998@gmail.com:
34190000</t>
        </r>
      </text>
    </comment>
    <comment ref="D6" authorId="0" shapeId="0" xr:uid="{00000000-0006-0000-6200-000004000000}">
      <text>
        <r>
          <rPr>
            <sz val="12"/>
            <color theme="1"/>
            <rFont val="Aptos Narrow"/>
            <family val="2"/>
            <scheme val="minor"/>
          </rPr>
          <t>Người dùng Không xác định:
37.990</t>
        </r>
      </text>
    </comment>
    <comment ref="D8" authorId="2" shapeId="0" xr:uid="{00000000-0006-0000-6200-000005000000}">
      <text>
        <r>
          <rPr>
            <sz val="12"/>
            <color theme="1"/>
            <rFont val="Aptos Narrow"/>
            <family val="2"/>
            <scheme val="minor"/>
          </rPr>
          <t>chit trang:
20.990</t>
        </r>
      </text>
    </comment>
    <comment ref="G8" authorId="3" shapeId="0" xr:uid="{00000000-0006-0000-6200-000006000000}">
      <text>
        <r>
          <rPr>
            <sz val="12"/>
            <color theme="1"/>
            <rFont val="Aptos Narrow"/>
            <family val="2"/>
            <scheme val="minor"/>
          </rPr>
          <t>Dat's MacBook Pro:
+1300</t>
        </r>
      </text>
    </comment>
    <comment ref="B9" authorId="4" shapeId="0" xr:uid="{00000000-0006-0000-6200-000007000000}">
      <text>
        <r>
          <rPr>
            <sz val="12"/>
            <color theme="1"/>
            <rFont val="Aptos Narrow"/>
            <family val="2"/>
            <scheme val="minor"/>
          </rPr>
          <t>was 24640000
VNP150</t>
        </r>
      </text>
    </comment>
    <comment ref="D9" authorId="0" shapeId="0" xr:uid="{00000000-0006-0000-6200-000008000000}">
      <text>
        <r>
          <rPr>
            <sz val="12"/>
            <color theme="1"/>
            <rFont val="Aptos Narrow"/>
            <family val="2"/>
            <scheme val="minor"/>
          </rPr>
          <t>Người dùng Không xác định:
24.990</t>
        </r>
      </text>
    </comment>
    <comment ref="G9" authorId="3" shapeId="0" xr:uid="{00000000-0006-0000-6200-000009000000}">
      <text>
        <r>
          <rPr>
            <sz val="12"/>
            <color theme="1"/>
            <rFont val="Aptos Narrow"/>
            <family val="2"/>
            <scheme val="minor"/>
          </rPr>
          <t>Dat's MacBook Pro:
+1400</t>
        </r>
      </text>
    </comment>
    <comment ref="B11" authorId="4" shapeId="0" xr:uid="{00000000-0006-0000-6200-00000A000000}">
      <text>
        <r>
          <rPr>
            <sz val="12"/>
            <color theme="1"/>
            <rFont val="Aptos Narrow"/>
            <family val="2"/>
            <scheme val="minor"/>
          </rPr>
          <t>Tặng phiếu mua hàng mua AirPods và Apple Watch trị giá 500,000đ
 Phiếu mua hàng mua sản phẩm giá niêm yết từ 5 triệu thuộc các nhóm TAI NGHE - LOA hãng HARMAN KARDON, JBL,MONSTER, KLIPSCH, MARSHALL, SONY; Smartwatch hãng HUAWEI, GARMIN, SAMSUNG, IMOO, OPPO, AMAZFIT trị giá 500.000đ</t>
        </r>
      </text>
    </comment>
    <comment ref="G11" authorId="3" shapeId="0" xr:uid="{00000000-0006-0000-6200-00000B000000}">
      <text>
        <r>
          <rPr>
            <sz val="12"/>
            <color theme="1"/>
            <rFont val="Aptos Narrow"/>
            <family val="2"/>
            <scheme val="minor"/>
          </rPr>
          <t>Dat's MacBook Pro:
31.990</t>
        </r>
      </text>
    </comment>
    <comment ref="G12" authorId="3" shapeId="0" xr:uid="{00000000-0006-0000-6200-00000C000000}">
      <text>
        <r>
          <rPr>
            <sz val="12"/>
            <color theme="1"/>
            <rFont val="Aptos Narrow"/>
            <family val="2"/>
            <scheme val="minor"/>
          </rPr>
          <t>Dat's MacBook Pro:
+1300</t>
        </r>
      </text>
    </comment>
    <comment ref="B15" authorId="4" shapeId="0" xr:uid="{00000000-0006-0000-6200-00000D000000}">
      <text>
        <r>
          <rPr>
            <sz val="12"/>
            <color theme="1"/>
            <rFont val="Aptos Narrow"/>
            <family val="2"/>
            <scheme val="minor"/>
          </rPr>
          <t>was 13190
VNP100</t>
        </r>
      </text>
    </comment>
    <comment ref="D15" authorId="2" shapeId="0" xr:uid="{00000000-0006-0000-6200-00000E000000}">
      <text>
        <r>
          <rPr>
            <sz val="12"/>
            <color theme="1"/>
            <rFont val="Aptos Narrow"/>
            <family val="2"/>
            <scheme val="minor"/>
          </rPr>
          <t xml:space="preserve">12.290
</t>
        </r>
      </text>
    </comment>
    <comment ref="C16" authorId="0" shapeId="0" xr:uid="{00000000-0006-0000-6200-00000F000000}">
      <text>
        <r>
          <rPr>
            <sz val="12"/>
            <color theme="1"/>
            <rFont val="Aptos Narrow"/>
            <family val="2"/>
            <scheme val="minor"/>
          </rPr>
          <t>Người dùng Không xác định:
11790000</t>
        </r>
      </text>
    </comment>
    <comment ref="D16" authorId="0" shapeId="0" xr:uid="{00000000-0006-0000-6200-000010000000}">
      <text>
        <r>
          <rPr>
            <sz val="12"/>
            <color theme="1"/>
            <rFont val="Aptos Narrow"/>
            <family val="2"/>
            <scheme val="minor"/>
          </rPr>
          <t>Người dùng Không xác định:
11.490</t>
        </r>
      </text>
    </comment>
    <comment ref="E16" authorId="4" shapeId="0" xr:uid="{00000000-0006-0000-6200-000011000000}">
      <text>
        <r>
          <rPr>
            <sz val="12"/>
            <color theme="1"/>
            <rFont val="Aptos Narrow"/>
            <family val="2"/>
            <scheme val="minor"/>
          </rPr>
          <t>was 11290
HSSV200</t>
        </r>
      </text>
    </comment>
    <comment ref="G16" authorId="3" shapeId="0" xr:uid="{00000000-0006-0000-6200-000012000000}">
      <text>
        <r>
          <rPr>
            <sz val="12"/>
            <color theme="1"/>
            <rFont val="Aptos Narrow"/>
            <family val="2"/>
            <scheme val="minor"/>
          </rPr>
          <t>Dat's MacBook Pro:
13390</t>
        </r>
      </text>
    </comment>
    <comment ref="B17" authorId="4" shapeId="0" xr:uid="{00000000-0006-0000-6200-000013000000}">
      <text>
        <r>
          <rPr>
            <sz val="12"/>
            <color theme="1"/>
            <rFont val="Aptos Narrow"/>
            <family val="2"/>
            <scheme val="minor"/>
          </rPr>
          <t>was 7040
VNP40</t>
        </r>
      </text>
    </comment>
    <comment ref="C17" authorId="0" shapeId="0" xr:uid="{00000000-0006-0000-6200-000014000000}">
      <text>
        <r>
          <rPr>
            <sz val="12"/>
            <color theme="1"/>
            <rFont val="Aptos Narrow"/>
            <family val="2"/>
            <scheme val="minor"/>
          </rPr>
          <t>Người dùng Không xác định:
9590000</t>
        </r>
      </text>
    </comment>
    <comment ref="E17" authorId="4" shapeId="0" xr:uid="{00000000-0006-0000-6200-000015000000}">
      <text>
        <r>
          <rPr>
            <sz val="12"/>
            <color theme="1"/>
            <rFont val="Aptos Narrow"/>
            <family val="2"/>
            <scheme val="minor"/>
          </rPr>
          <t>was 8890
hssv 200</t>
        </r>
      </text>
    </comment>
    <comment ref="B18" authorId="4" shapeId="0" xr:uid="{00000000-0006-0000-6200-000016000000}">
      <text>
        <r>
          <rPr>
            <sz val="12"/>
            <color theme="1"/>
            <rFont val="Aptos Narrow"/>
            <family val="2"/>
            <scheme val="minor"/>
          </rPr>
          <t>was 14390</t>
        </r>
      </text>
    </comment>
    <comment ref="C18" authorId="0" shapeId="0" xr:uid="{00000000-0006-0000-6200-000017000000}">
      <text>
        <r>
          <rPr>
            <sz val="12"/>
            <color theme="1"/>
            <rFont val="Aptos Narrow"/>
            <family val="2"/>
            <scheme val="minor"/>
          </rPr>
          <t>Người dùng Không xác định:
15990000</t>
        </r>
      </text>
    </comment>
    <comment ref="G18" authorId="3" shapeId="0" xr:uid="{00000000-0006-0000-6200-000018000000}">
      <text>
        <r>
          <rPr>
            <sz val="12"/>
            <color theme="1"/>
            <rFont val="Aptos Narrow"/>
            <family val="2"/>
            <scheme val="minor"/>
          </rPr>
          <t>Dat's MacBook Pro:
12990</t>
        </r>
      </text>
    </comment>
    <comment ref="D19" authorId="0" shapeId="0" xr:uid="{00000000-0006-0000-6200-000019000000}">
      <text>
        <r>
          <rPr>
            <sz val="12"/>
            <color theme="1"/>
            <rFont val="Aptos Narrow"/>
            <family val="2"/>
            <scheme val="minor"/>
          </rPr>
          <t>Người dùng Không xác định:
20.990k</t>
        </r>
      </text>
    </comment>
    <comment ref="B21" authorId="4" shapeId="0" xr:uid="{00000000-0006-0000-6200-00001A000000}">
      <text>
        <r>
          <rPr>
            <sz val="12"/>
            <color theme="1"/>
            <rFont val="Aptos Narrow"/>
            <family val="2"/>
            <scheme val="minor"/>
          </rPr>
          <t>was 36640</t>
        </r>
      </text>
    </comment>
    <comment ref="C24" authorId="0" shapeId="0" xr:uid="{00000000-0006-0000-6200-00001B000000}">
      <text>
        <r>
          <rPr>
            <sz val="12"/>
            <color theme="1"/>
            <rFont val="Aptos Narrow"/>
            <family val="2"/>
            <scheme val="minor"/>
          </rPr>
          <t>Người dùng Không xác định:
6390000</t>
        </r>
      </text>
    </comment>
    <comment ref="D24" authorId="0" shapeId="0" xr:uid="{00000000-0006-0000-6200-00001C000000}">
      <text>
        <r>
          <rPr>
            <sz val="12"/>
            <color theme="1"/>
            <rFont val="Aptos Narrow"/>
            <family val="2"/>
            <scheme val="minor"/>
          </rPr>
          <t>Người dùng Không xác định:
6.290</t>
        </r>
      </text>
    </comment>
    <comment ref="E24" authorId="4" shapeId="0" xr:uid="{00000000-0006-0000-6200-00001D000000}">
      <text>
        <r>
          <rPr>
            <sz val="12"/>
            <color theme="1"/>
            <rFont val="Aptos Narrow"/>
            <family val="2"/>
            <scheme val="minor"/>
          </rPr>
          <t xml:space="preserve">was 6190
</t>
        </r>
      </text>
    </comment>
    <comment ref="C25" authorId="0" shapeId="0" xr:uid="{00000000-0006-0000-6200-00001E000000}">
      <text>
        <r>
          <rPr>
            <sz val="12"/>
            <color theme="1"/>
            <rFont val="Aptos Narrow"/>
            <family val="2"/>
            <scheme val="minor"/>
          </rPr>
          <t>Người dùng Không xác định:
7990000</t>
        </r>
      </text>
    </comment>
    <comment ref="D25" authorId="0" shapeId="0" xr:uid="{00000000-0006-0000-6200-00001F000000}">
      <text>
        <r>
          <rPr>
            <sz val="12"/>
            <color theme="1"/>
            <rFont val="Aptos Narrow"/>
            <family val="2"/>
            <scheme val="minor"/>
          </rPr>
          <t xml:space="preserve">Người dùng 7.690 xác định:
</t>
        </r>
      </text>
    </comment>
    <comment ref="E25" authorId="5" shapeId="0" xr:uid="{00000000-0006-0000-6200-000020000000}">
      <text>
        <r>
          <rPr>
            <sz val="12"/>
            <color theme="1"/>
            <rFont val="Aptos Narrow"/>
            <family val="2"/>
            <scheme val="minor"/>
          </rPr>
          <t xml:space="preserve">was 7790
</t>
        </r>
      </text>
    </comment>
    <comment ref="C26" authorId="0" shapeId="0" xr:uid="{00000000-0006-0000-6200-000021000000}">
      <text>
        <r>
          <rPr>
            <sz val="12"/>
            <color theme="1"/>
            <rFont val="Aptos Narrow"/>
            <family val="2"/>
            <scheme val="minor"/>
          </rPr>
          <t>Người dùng Không xác định:
7290000</t>
        </r>
      </text>
    </comment>
    <comment ref="E26" authorId="4" shapeId="0" xr:uid="{00000000-0006-0000-6200-000022000000}">
      <text>
        <r>
          <rPr>
            <sz val="12"/>
            <color theme="1"/>
            <rFont val="Aptos Narrow"/>
            <family val="2"/>
            <scheme val="minor"/>
          </rPr>
          <t xml:space="preserve">was 6990
</t>
        </r>
      </text>
    </comment>
    <comment ref="C27" authorId="0" shapeId="0" xr:uid="{00000000-0006-0000-6200-000023000000}">
      <text>
        <r>
          <rPr>
            <sz val="12"/>
            <color theme="1"/>
            <rFont val="Aptos Narrow"/>
            <family val="2"/>
            <scheme val="minor"/>
          </rPr>
          <t xml:space="preserve">Người dùng Không xác định:
</t>
        </r>
      </text>
    </comment>
    <comment ref="D27" authorId="0" shapeId="0" xr:uid="{00000000-0006-0000-6200-000024000000}">
      <text>
        <r>
          <rPr>
            <sz val="12"/>
            <color theme="1"/>
            <rFont val="Aptos Narrow"/>
            <family val="2"/>
            <scheme val="minor"/>
          </rPr>
          <t>Người dùng Không xác định:
8.490</t>
        </r>
      </text>
    </comment>
    <comment ref="E27" authorId="4" shapeId="0" xr:uid="{00000000-0006-0000-6200-000025000000}">
      <text>
        <r>
          <rPr>
            <sz val="12"/>
            <color theme="1"/>
            <rFont val="Aptos Narrow"/>
            <family val="2"/>
            <scheme val="minor"/>
          </rPr>
          <t xml:space="preserve">was 8590
</t>
        </r>
      </text>
    </comment>
    <comment ref="C28" authorId="0" shapeId="0" xr:uid="{00000000-0006-0000-6200-000026000000}">
      <text>
        <r>
          <rPr>
            <sz val="12"/>
            <color theme="1"/>
            <rFont val="Aptos Narrow"/>
            <family val="2"/>
            <scheme val="minor"/>
          </rPr>
          <t>Người dùng Không xác định:
9190000</t>
        </r>
      </text>
    </comment>
    <comment ref="D28" authorId="0" shapeId="0" xr:uid="{00000000-0006-0000-6200-000027000000}">
      <text>
        <r>
          <rPr>
            <sz val="12"/>
            <color theme="1"/>
            <rFont val="Aptos Narrow"/>
            <family val="2"/>
            <scheme val="minor"/>
          </rPr>
          <t>Người dùng Không xác định:
9.190</t>
        </r>
      </text>
    </comment>
    <comment ref="E28" authorId="4" shapeId="0" xr:uid="{00000000-0006-0000-6200-000028000000}">
      <text>
        <r>
          <rPr>
            <sz val="12"/>
            <color theme="1"/>
            <rFont val="Aptos Narrow"/>
            <family val="2"/>
            <scheme val="minor"/>
          </rPr>
          <t xml:space="preserve">was 8990
</t>
        </r>
      </text>
    </comment>
    <comment ref="C29" authorId="0" shapeId="0" xr:uid="{00000000-0006-0000-6200-000029000000}">
      <text>
        <r>
          <rPr>
            <sz val="12"/>
            <color theme="1"/>
            <rFont val="Aptos Narrow"/>
            <family val="2"/>
            <scheme val="minor"/>
          </rPr>
          <t>Người dùng Không xác định:
12090000</t>
        </r>
      </text>
    </comment>
    <comment ref="D29" authorId="0" shapeId="0" xr:uid="{00000000-0006-0000-6200-00002A000000}">
      <text>
        <r>
          <rPr>
            <sz val="12"/>
            <color theme="1"/>
            <rFont val="Aptos Narrow"/>
            <family val="2"/>
            <scheme val="minor"/>
          </rPr>
          <t>Người dùng Không xác định:
11.990</t>
        </r>
      </text>
    </comment>
    <comment ref="E29" authorId="4" shapeId="0" xr:uid="{00000000-0006-0000-6200-00002B000000}">
      <text>
        <r>
          <rPr>
            <sz val="12"/>
            <color theme="1"/>
            <rFont val="Aptos Narrow"/>
            <family val="2"/>
            <scheme val="minor"/>
          </rPr>
          <t xml:space="preserve">was 11990
</t>
        </r>
      </text>
    </comment>
    <comment ref="C30" authorId="0" shapeId="0" xr:uid="{00000000-0006-0000-6200-00002C000000}">
      <text>
        <r>
          <rPr>
            <sz val="12"/>
            <color theme="1"/>
            <rFont val="Aptos Narrow"/>
            <family val="2"/>
            <scheme val="minor"/>
          </rPr>
          <t>Người dùng Không xác định:
9990000</t>
        </r>
      </text>
    </comment>
    <comment ref="D30" authorId="0" shapeId="0" xr:uid="{00000000-0006-0000-6200-00002D000000}">
      <text>
        <r>
          <rPr>
            <sz val="12"/>
            <color theme="1"/>
            <rFont val="Aptos Narrow"/>
            <family val="2"/>
            <scheme val="minor"/>
          </rPr>
          <t>Người dùng Không xác định:
9.990</t>
        </r>
      </text>
    </comment>
    <comment ref="E30" authorId="4" shapeId="0" xr:uid="{00000000-0006-0000-6200-00002E000000}">
      <text>
        <r>
          <rPr>
            <sz val="12"/>
            <color theme="1"/>
            <rFont val="Aptos Narrow"/>
            <family val="2"/>
            <scheme val="minor"/>
          </rPr>
          <t xml:space="preserve">was 9690
</t>
        </r>
      </text>
    </comment>
    <comment ref="D31" authorId="0" shapeId="0" xr:uid="{00000000-0006-0000-6200-00002F000000}">
      <text>
        <r>
          <rPr>
            <sz val="12"/>
            <color theme="1"/>
            <rFont val="Aptos Narrow"/>
            <family val="2"/>
            <scheme val="minor"/>
          </rPr>
          <t>Người dùng Không xác định:
12.990</t>
        </r>
      </text>
    </comment>
    <comment ref="E31" authorId="4" shapeId="0" xr:uid="{00000000-0006-0000-6200-000030000000}">
      <text>
        <r>
          <rPr>
            <sz val="12"/>
            <color theme="1"/>
            <rFont val="Aptos Narrow"/>
            <family val="2"/>
            <scheme val="minor"/>
          </rPr>
          <t xml:space="preserve">was 12490
</t>
        </r>
      </text>
    </comment>
    <comment ref="B33" authorId="4" shapeId="0" xr:uid="{00000000-0006-0000-6200-000031000000}">
      <text>
        <r>
          <rPr>
            <sz val="12"/>
            <color theme="1"/>
            <rFont val="Aptos Narrow"/>
            <family val="2"/>
            <scheme val="minor"/>
          </rPr>
          <t>was 5550
VNP40</t>
        </r>
      </text>
    </comment>
    <comment ref="C33" authorId="0" shapeId="0" xr:uid="{00000000-0006-0000-6200-000032000000}">
      <text>
        <r>
          <rPr>
            <sz val="12"/>
            <color theme="1"/>
            <rFont val="Aptos Narrow"/>
            <family val="2"/>
            <scheme val="minor"/>
          </rPr>
          <t xml:space="preserve">Người dùng Không xác định:
</t>
        </r>
      </text>
    </comment>
    <comment ref="B34" authorId="4" shapeId="0" xr:uid="{00000000-0006-0000-6200-000033000000}">
      <text>
        <r>
          <rPr>
            <sz val="12"/>
            <color theme="1"/>
            <rFont val="Aptos Narrow"/>
            <family val="2"/>
            <scheme val="minor"/>
          </rPr>
          <t xml:space="preserve">was 4490
</t>
        </r>
      </text>
    </comment>
    <comment ref="C34" authorId="0" shapeId="0" xr:uid="{00000000-0006-0000-6200-000034000000}">
      <text>
        <r>
          <rPr>
            <sz val="12"/>
            <color theme="1"/>
            <rFont val="Aptos Narrow"/>
            <family val="2"/>
            <scheme val="minor"/>
          </rPr>
          <t>Người dùng Không xác định:
4390000</t>
        </r>
      </text>
    </comment>
    <comment ref="D34" authorId="0" shapeId="0" xr:uid="{00000000-0006-0000-6200-000035000000}">
      <text>
        <r>
          <rPr>
            <sz val="12"/>
            <color theme="1"/>
            <rFont val="Aptos Narrow"/>
            <family val="2"/>
            <scheme val="minor"/>
          </rPr>
          <t>Người dùng Không xác định:
4.290</t>
        </r>
      </text>
    </comment>
    <comment ref="E34" authorId="5" shapeId="0" xr:uid="{00000000-0006-0000-6200-000036000000}">
      <text>
        <r>
          <rPr>
            <sz val="12"/>
            <color theme="1"/>
            <rFont val="Aptos Narrow"/>
            <family val="2"/>
            <scheme val="minor"/>
          </rPr>
          <t xml:space="preserve">was 4390
</t>
        </r>
      </text>
    </comment>
    <comment ref="B35" authorId="4" shapeId="0" xr:uid="{00000000-0006-0000-6200-000037000000}">
      <text>
        <r>
          <rPr>
            <sz val="12"/>
            <color theme="1"/>
            <rFont val="Aptos Narrow"/>
            <family val="2"/>
            <scheme val="minor"/>
          </rPr>
          <t>was 3190</t>
        </r>
      </text>
    </comment>
    <comment ref="C35" authorId="0" shapeId="0" xr:uid="{00000000-0006-0000-6200-000038000000}">
      <text>
        <r>
          <rPr>
            <sz val="12"/>
            <color theme="1"/>
            <rFont val="Aptos Narrow"/>
            <family val="2"/>
            <scheme val="minor"/>
          </rPr>
          <t>Người dùng Không xác định:
2990000</t>
        </r>
      </text>
    </comment>
    <comment ref="D35" authorId="0" shapeId="0" xr:uid="{00000000-0006-0000-6200-000039000000}">
      <text>
        <r>
          <rPr>
            <sz val="12"/>
            <color theme="1"/>
            <rFont val="Aptos Narrow"/>
            <family val="2"/>
            <scheme val="minor"/>
          </rPr>
          <t>Người dùng Không xác định: 2.790</t>
        </r>
      </text>
    </comment>
    <comment ref="E35" authorId="5" shapeId="0" xr:uid="{00000000-0006-0000-6200-00003A000000}">
      <text>
        <r>
          <rPr>
            <sz val="12"/>
            <color theme="1"/>
            <rFont val="Aptos Narrow"/>
            <family val="2"/>
            <scheme val="minor"/>
          </rPr>
          <t xml:space="preserve">was 2990
</t>
        </r>
      </text>
    </comment>
    <comment ref="C36" authorId="0" shapeId="0" xr:uid="{00000000-0006-0000-6200-00003B000000}">
      <text>
        <r>
          <rPr>
            <sz val="12"/>
            <color theme="1"/>
            <rFont val="Aptos Narrow"/>
            <family val="2"/>
            <scheme val="minor"/>
          </rPr>
          <t>Người dùng Không xác định:
6390000</t>
        </r>
      </text>
    </comment>
    <comment ref="D36" authorId="2" shapeId="0" xr:uid="{00000000-0006-0000-6200-00003C000000}">
      <text>
        <r>
          <rPr>
            <sz val="12"/>
            <color theme="1"/>
            <rFont val="Aptos Narrow"/>
            <family val="2"/>
            <scheme val="minor"/>
          </rPr>
          <t>chit trang:
6.290</t>
        </r>
      </text>
    </comment>
    <comment ref="C40" authorId="1" shapeId="0" xr:uid="{00000000-0006-0000-6200-00003D000000}">
      <text>
        <r>
          <rPr>
            <sz val="12"/>
            <color theme="1"/>
            <rFont val="Aptos Narrow"/>
            <family val="2"/>
            <scheme val="minor"/>
          </rPr>
          <t>danielnguyen6111998@gmail.com:
24590000</t>
        </r>
      </text>
    </comment>
    <comment ref="D40" authorId="0" shapeId="0" xr:uid="{00000000-0006-0000-6200-00003E000000}">
      <text>
        <r>
          <rPr>
            <sz val="12"/>
            <color theme="1"/>
            <rFont val="Aptos Narrow"/>
            <family val="2"/>
            <scheme val="minor"/>
          </rPr>
          <t>Người dùng Không xác định:
25.190</t>
        </r>
      </text>
    </comment>
    <comment ref="D43" authorId="2" shapeId="0" xr:uid="{00000000-0006-0000-6200-00003F000000}">
      <text>
        <r>
          <rPr>
            <sz val="12"/>
            <color theme="1"/>
            <rFont val="Aptos Narrow"/>
            <family val="2"/>
            <scheme val="minor"/>
          </rPr>
          <t>chit trang:
40.990</t>
        </r>
      </text>
    </comment>
    <comment ref="D44" authorId="0" shapeId="0" xr:uid="{00000000-0006-0000-6200-000040000000}">
      <text>
        <r>
          <rPr>
            <sz val="12"/>
            <color theme="1"/>
            <rFont val="Aptos Narrow"/>
            <family val="2"/>
            <scheme val="minor"/>
          </rPr>
          <t>Người dùng Không xác định:
63.990</t>
        </r>
      </text>
    </comment>
  </commentList>
</comments>
</file>

<file path=xl/comments100.xml><?xml version="1.0" encoding="utf-8"?>
<comments xmlns="http://schemas.openxmlformats.org/spreadsheetml/2006/main" xmlns:mc="http://schemas.openxmlformats.org/markup-compatibility/2006" xmlns:xr="http://schemas.microsoft.com/office/spreadsheetml/2014/revision" mc:Ignorable="xr">
  <authors>
    <author>Người dùng Khách</author>
    <author>chit trang</author>
    <author>Dat's MacBook Pro</author>
    <author>Microsoft Office User</author>
    <author>Mia</author>
    <author>danielnguyen6111998@gmail.com</author>
  </authors>
  <commentList>
    <comment ref="C3" authorId="0" shapeId="0" xr:uid="{00000000-0006-0000-6300-000001000000}">
      <text>
        <r>
          <rPr>
            <sz val="12"/>
            <color theme="1"/>
            <rFont val="Aptos Narrow"/>
            <family val="2"/>
            <scheme val="minor"/>
          </rPr>
          <t>Người dùng Không xác định:
24890000</t>
        </r>
      </text>
    </comment>
    <comment ref="C7" authorId="0" shapeId="0" xr:uid="{00000000-0006-0000-6300-000002000000}">
      <text>
        <r>
          <rPr>
            <sz val="12"/>
            <color theme="1"/>
            <rFont val="Aptos Narrow"/>
            <family val="2"/>
            <scheme val="minor"/>
          </rPr>
          <t>Người dùng Không xác định:
15990000</t>
        </r>
      </text>
    </comment>
    <comment ref="C8" authorId="0" shapeId="0" xr:uid="{00000000-0006-0000-6300-000003000000}">
      <text>
        <r>
          <rPr>
            <sz val="12"/>
            <color theme="1"/>
            <rFont val="Aptos Narrow"/>
            <family val="2"/>
            <scheme val="minor"/>
          </rPr>
          <t>Người dùng Không xác định:
21090000</t>
        </r>
      </text>
    </comment>
    <comment ref="D8" authorId="1" shapeId="0" xr:uid="{00000000-0006-0000-6300-000004000000}">
      <text>
        <r>
          <rPr>
            <sz val="12"/>
            <color theme="1"/>
            <rFont val="Aptos Narrow"/>
            <family val="2"/>
            <scheme val="minor"/>
          </rPr>
          <t>chit trang:
20.790</t>
        </r>
      </text>
    </comment>
    <comment ref="G8" authorId="2" shapeId="0" xr:uid="{00000000-0006-0000-6300-000005000000}">
      <text>
        <r>
          <rPr>
            <sz val="12"/>
            <color theme="1"/>
            <rFont val="Aptos Narrow"/>
            <family val="2"/>
            <scheme val="minor"/>
          </rPr>
          <t>Dat's MacBook Pro:
+1300</t>
        </r>
      </text>
    </comment>
    <comment ref="B9" authorId="3" shapeId="0" xr:uid="{00000000-0006-0000-6300-000006000000}">
      <text>
        <r>
          <rPr>
            <sz val="12"/>
            <color theme="1"/>
            <rFont val="Aptos Narrow"/>
            <family val="2"/>
            <scheme val="minor"/>
          </rPr>
          <t>was 24640000
VNP150</t>
        </r>
      </text>
    </comment>
    <comment ref="C9" authorId="0" shapeId="0" xr:uid="{00000000-0006-0000-6300-000007000000}">
      <text>
        <r>
          <rPr>
            <sz val="12"/>
            <color theme="1"/>
            <rFont val="Aptos Narrow"/>
            <family val="2"/>
            <scheme val="minor"/>
          </rPr>
          <t>Người dùng Không xác định:
25090000</t>
        </r>
      </text>
    </comment>
    <comment ref="D9" authorId="0" shapeId="0" xr:uid="{00000000-0006-0000-6300-000008000000}">
      <text>
        <r>
          <rPr>
            <sz val="12"/>
            <color theme="1"/>
            <rFont val="Aptos Narrow"/>
            <family val="2"/>
            <scheme val="minor"/>
          </rPr>
          <t>Người dùng Không xác định:
24.990</t>
        </r>
      </text>
    </comment>
    <comment ref="G9" authorId="2" shapeId="0" xr:uid="{00000000-0006-0000-6300-000009000000}">
      <text>
        <r>
          <rPr>
            <sz val="12"/>
            <color theme="1"/>
            <rFont val="Aptos Narrow"/>
            <family val="2"/>
            <scheme val="minor"/>
          </rPr>
          <t>Dat's MacBook Pro:
+1400</t>
        </r>
      </text>
    </comment>
    <comment ref="B11" authorId="3" shapeId="0" xr:uid="{00000000-0006-0000-6300-00000A000000}">
      <text>
        <r>
          <rPr>
            <sz val="12"/>
            <color theme="1"/>
            <rFont val="Aptos Narrow"/>
            <family val="2"/>
            <scheme val="minor"/>
          </rPr>
          <t>Tặng phiếu mua hàng mua AirPods và Apple Watch trị giá 500,000đ
 Phiếu mua hàng mua sản phẩm giá niêm yết từ 5 triệu thuộc các nhóm TAI NGHE - LOA hãng HARMAN KARDON, JBL,MONSTER, KLIPSCH, MARSHALL, SONY; Smartwatch hãng HUAWEI, GARMIN, SAMSUNG, IMOO, OPPO, AMAZFIT trị giá 500.000đ</t>
        </r>
      </text>
    </comment>
    <comment ref="C11" authorId="0" shapeId="0" xr:uid="{00000000-0006-0000-6300-00000B000000}">
      <text>
        <r>
          <rPr>
            <sz val="12"/>
            <color theme="1"/>
            <rFont val="Aptos Narrow"/>
            <family val="2"/>
            <scheme val="minor"/>
          </rPr>
          <t>Người dùng Không xác định:
31590000</t>
        </r>
      </text>
    </comment>
    <comment ref="G12" authorId="2" shapeId="0" xr:uid="{00000000-0006-0000-6300-00000C000000}">
      <text>
        <r>
          <rPr>
            <sz val="12"/>
            <color theme="1"/>
            <rFont val="Aptos Narrow"/>
            <family val="2"/>
            <scheme val="minor"/>
          </rPr>
          <t>Dat's MacBook Pro:
+1300</t>
        </r>
      </text>
    </comment>
    <comment ref="B15" authorId="3" shapeId="0" xr:uid="{00000000-0006-0000-6300-00000D000000}">
      <text>
        <r>
          <rPr>
            <sz val="12"/>
            <color theme="1"/>
            <rFont val="Aptos Narrow"/>
            <family val="2"/>
            <scheme val="minor"/>
          </rPr>
          <t>was 13190
VNP100</t>
        </r>
      </text>
    </comment>
    <comment ref="G16" authorId="2" shapeId="0" xr:uid="{00000000-0006-0000-6300-00000E000000}">
      <text>
        <r>
          <rPr>
            <sz val="12"/>
            <color theme="1"/>
            <rFont val="Aptos Narrow"/>
            <family val="2"/>
            <scheme val="minor"/>
          </rPr>
          <t>Dat's MacBook Pro:
13390</t>
        </r>
      </text>
    </comment>
    <comment ref="B17" authorId="3" shapeId="0" xr:uid="{00000000-0006-0000-6300-00000F000000}">
      <text>
        <r>
          <rPr>
            <sz val="12"/>
            <color theme="1"/>
            <rFont val="Aptos Narrow"/>
            <family val="2"/>
            <scheme val="minor"/>
          </rPr>
          <t>was 7040
VNP40</t>
        </r>
      </text>
    </comment>
    <comment ref="B18" authorId="3" shapeId="0" xr:uid="{00000000-0006-0000-6300-000010000000}">
      <text>
        <r>
          <rPr>
            <sz val="12"/>
            <color theme="1"/>
            <rFont val="Aptos Narrow"/>
            <family val="2"/>
            <scheme val="minor"/>
          </rPr>
          <t>was 14390</t>
        </r>
      </text>
    </comment>
    <comment ref="D18" authorId="0" shapeId="0" xr:uid="{00000000-0006-0000-6300-000011000000}">
      <text>
        <r>
          <rPr>
            <sz val="12"/>
            <color theme="1"/>
            <rFont val="Aptos Narrow"/>
            <family val="2"/>
            <scheme val="minor"/>
          </rPr>
          <t>Người dùng Không xác định:
15.790</t>
        </r>
      </text>
    </comment>
    <comment ref="G18" authorId="2" shapeId="0" xr:uid="{00000000-0006-0000-6300-000012000000}">
      <text>
        <r>
          <rPr>
            <sz val="12"/>
            <color theme="1"/>
            <rFont val="Aptos Narrow"/>
            <family val="2"/>
            <scheme val="minor"/>
          </rPr>
          <t>Dat's MacBook Pro:
12990</t>
        </r>
      </text>
    </comment>
    <comment ref="E22" authorId="3" shapeId="0" xr:uid="{00000000-0006-0000-6300-000013000000}">
      <text>
        <r>
          <rPr>
            <sz val="12"/>
            <color theme="1"/>
            <rFont val="Aptos Narrow"/>
            <family val="2"/>
            <scheme val="minor"/>
          </rPr>
          <t>was 6490
Giảm 500K cho KH mới</t>
        </r>
      </text>
    </comment>
    <comment ref="E23" authorId="4" shapeId="0" xr:uid="{00000000-0006-0000-6300-000014000000}">
      <text>
        <r>
          <rPr>
            <sz val="12"/>
            <color theme="1"/>
            <rFont val="Aptos Narrow"/>
            <family val="2"/>
            <scheme val="minor"/>
          </rPr>
          <t>was 7990
Giảm 500K cho KH mới</t>
        </r>
      </text>
    </comment>
    <comment ref="D24" authorId="0" shapeId="0" xr:uid="{00000000-0006-0000-6300-000015000000}">
      <text>
        <r>
          <rPr>
            <sz val="12"/>
            <color theme="1"/>
            <rFont val="Aptos Narrow"/>
            <family val="2"/>
            <scheme val="minor"/>
          </rPr>
          <t>Người dùng Không xác định:
6.690</t>
        </r>
      </text>
    </comment>
    <comment ref="E24" authorId="3" shapeId="0" xr:uid="{00000000-0006-0000-6300-000016000000}">
      <text>
        <r>
          <rPr>
            <sz val="12"/>
            <color theme="1"/>
            <rFont val="Aptos Narrow"/>
            <family val="2"/>
            <scheme val="minor"/>
          </rPr>
          <t xml:space="preserve">was 7390
Giảm 500K cho KH mới
</t>
        </r>
      </text>
    </comment>
    <comment ref="E25" authorId="3" shapeId="0" xr:uid="{00000000-0006-0000-6300-000017000000}">
      <text>
        <r>
          <rPr>
            <sz val="12"/>
            <color theme="1"/>
            <rFont val="Aptos Narrow"/>
            <family val="2"/>
            <scheme val="minor"/>
          </rPr>
          <t xml:space="preserve">was 8990
Giảm 500K cho KH mới
</t>
        </r>
      </text>
    </comment>
    <comment ref="E26" authorId="3" shapeId="0" xr:uid="{00000000-0006-0000-6300-000018000000}">
      <text>
        <r>
          <rPr>
            <sz val="12"/>
            <color theme="1"/>
            <rFont val="Aptos Narrow"/>
            <family val="2"/>
            <scheme val="minor"/>
          </rPr>
          <t xml:space="preserve">was 10690
giảm 500k KH mới
</t>
        </r>
      </text>
    </comment>
    <comment ref="E27" authorId="3" shapeId="0" xr:uid="{00000000-0006-0000-6300-000019000000}">
      <text>
        <r>
          <rPr>
            <sz val="12"/>
            <color theme="1"/>
            <rFont val="Aptos Narrow"/>
            <family val="2"/>
            <scheme val="minor"/>
          </rPr>
          <t xml:space="preserve">was 13990
Giảm 500k KH mới
</t>
        </r>
      </text>
    </comment>
    <comment ref="E28" authorId="3" shapeId="0" xr:uid="{00000000-0006-0000-6300-00001A000000}">
      <text>
        <r>
          <rPr>
            <sz val="12"/>
            <color theme="1"/>
            <rFont val="Aptos Narrow"/>
            <family val="2"/>
            <scheme val="minor"/>
          </rPr>
          <t xml:space="preserve">was 11490
giảm 500k cho KH mới
</t>
        </r>
      </text>
    </comment>
    <comment ref="E29" authorId="3" shapeId="0" xr:uid="{00000000-0006-0000-6300-00001B000000}">
      <text>
        <r>
          <rPr>
            <sz val="12"/>
            <color theme="1"/>
            <rFont val="Aptos Narrow"/>
            <family val="2"/>
            <scheme val="minor"/>
          </rPr>
          <t xml:space="preserve">was 14490
KH mới giảm 500
</t>
        </r>
      </text>
    </comment>
    <comment ref="E30" authorId="3" shapeId="0" xr:uid="{00000000-0006-0000-6300-00001C000000}">
      <text>
        <r>
          <rPr>
            <sz val="12"/>
            <color theme="1"/>
            <rFont val="Aptos Narrow"/>
            <family val="2"/>
            <scheme val="minor"/>
          </rPr>
          <t xml:space="preserve">was 22490
Giảm 500k KH mới
</t>
        </r>
      </text>
    </comment>
    <comment ref="B31" authorId="3" shapeId="0" xr:uid="{00000000-0006-0000-6300-00001D000000}">
      <text>
        <r>
          <rPr>
            <sz val="12"/>
            <color theme="1"/>
            <rFont val="Aptos Narrow"/>
            <family val="2"/>
            <scheme val="minor"/>
          </rPr>
          <t>was 5550
VNP40</t>
        </r>
      </text>
    </comment>
    <comment ref="B32" authorId="3" shapeId="0" xr:uid="{00000000-0006-0000-6300-00001E000000}">
      <text>
        <r>
          <rPr>
            <sz val="12"/>
            <color theme="1"/>
            <rFont val="Aptos Narrow"/>
            <family val="2"/>
            <scheme val="minor"/>
          </rPr>
          <t xml:space="preserve">was 4490
</t>
        </r>
      </text>
    </comment>
    <comment ref="B33" authorId="3" shapeId="0" xr:uid="{00000000-0006-0000-6300-00001F000000}">
      <text>
        <r>
          <rPr>
            <sz val="12"/>
            <color theme="1"/>
            <rFont val="Aptos Narrow"/>
            <family val="2"/>
            <scheme val="minor"/>
          </rPr>
          <t>was 3190</t>
        </r>
      </text>
    </comment>
    <comment ref="C38" authorId="5" shapeId="0" xr:uid="{00000000-0006-0000-6300-000020000000}">
      <text>
        <r>
          <rPr>
            <sz val="12"/>
            <color theme="1"/>
            <rFont val="Aptos Narrow"/>
            <family val="2"/>
            <scheme val="minor"/>
          </rPr>
          <t>danielnguyen6111998@gmail.com:
24590000</t>
        </r>
      </text>
    </comment>
    <comment ref="D38" authorId="0" shapeId="0" xr:uid="{00000000-0006-0000-6300-000021000000}">
      <text>
        <r>
          <rPr>
            <sz val="12"/>
            <color theme="1"/>
            <rFont val="Aptos Narrow"/>
            <family val="2"/>
            <scheme val="minor"/>
          </rPr>
          <t>Người dùng Không xác định:
25.590</t>
        </r>
      </text>
    </comment>
  </commentList>
</comments>
</file>

<file path=xl/comments101.xml><?xml version="1.0" encoding="utf-8"?>
<comments xmlns="http://schemas.openxmlformats.org/spreadsheetml/2006/main" xmlns:mc="http://schemas.openxmlformats.org/markup-compatibility/2006" xmlns:xr="http://schemas.microsoft.com/office/spreadsheetml/2014/revision" mc:Ignorable="xr">
  <authors>
    <author>Người dùng Khách</author>
    <author>Microsoft Office User</author>
    <author>Dat's MacBook Pro</author>
    <author>danielnguyen6111998@gmail.com</author>
    <author>Mia</author>
  </authors>
  <commentList>
    <comment ref="C3" authorId="0" shapeId="0" xr:uid="{00000000-0006-0000-6400-000001000000}">
      <text>
        <r>
          <rPr>
            <sz val="12"/>
            <color theme="1"/>
            <rFont val="Aptos Narrow"/>
            <family val="2"/>
            <scheme val="minor"/>
          </rPr>
          <t>Người dùng Không xác định:
24990000</t>
        </r>
      </text>
    </comment>
    <comment ref="D3" authorId="0" shapeId="0" xr:uid="{00000000-0006-0000-6400-000002000000}">
      <text>
        <r>
          <rPr>
            <sz val="12"/>
            <color theme="1"/>
            <rFont val="Aptos Narrow"/>
            <family val="2"/>
            <scheme val="minor"/>
          </rPr>
          <t>Người dùng Không xác định:
24.490</t>
        </r>
      </text>
    </comment>
    <comment ref="E4" authorId="1" shapeId="0" xr:uid="{00000000-0006-0000-6400-000003000000}">
      <text>
        <r>
          <rPr>
            <sz val="12"/>
            <color theme="1"/>
            <rFont val="Aptos Narrow"/>
            <family val="2"/>
            <scheme val="minor"/>
          </rPr>
          <t xml:space="preserve">was 24490
</t>
        </r>
      </text>
    </comment>
    <comment ref="E6" authorId="1" shapeId="0" xr:uid="{00000000-0006-0000-6400-000004000000}">
      <text>
        <r>
          <rPr>
            <sz val="12"/>
            <color theme="1"/>
            <rFont val="Aptos Narrow"/>
            <family val="2"/>
            <scheme val="minor"/>
          </rPr>
          <t xml:space="preserve">was 36490
</t>
        </r>
      </text>
    </comment>
    <comment ref="C7" authorId="0" shapeId="0" xr:uid="{00000000-0006-0000-6400-000005000000}">
      <text>
        <r>
          <rPr>
            <sz val="12"/>
            <color theme="1"/>
            <rFont val="Aptos Narrow"/>
            <family val="2"/>
            <scheme val="minor"/>
          </rPr>
          <t>Người dùng Không xác định:
13990000</t>
        </r>
      </text>
    </comment>
    <comment ref="E8" authorId="1" shapeId="0" xr:uid="{00000000-0006-0000-6400-000006000000}">
      <text>
        <r>
          <rPr>
            <sz val="12"/>
            <color theme="1"/>
            <rFont val="Aptos Narrow"/>
            <family val="2"/>
            <scheme val="minor"/>
          </rPr>
          <t xml:space="preserve">was 20090
</t>
        </r>
      </text>
    </comment>
    <comment ref="G8" authorId="2" shapeId="0" xr:uid="{00000000-0006-0000-6400-000007000000}">
      <text>
        <r>
          <rPr>
            <sz val="12"/>
            <color theme="1"/>
            <rFont val="Aptos Narrow"/>
            <family val="2"/>
            <scheme val="minor"/>
          </rPr>
          <t>Dat's MacBook Pro:
+1300</t>
        </r>
      </text>
    </comment>
    <comment ref="B9" authorId="1" shapeId="0" xr:uid="{00000000-0006-0000-6400-000008000000}">
      <text>
        <r>
          <rPr>
            <sz val="12"/>
            <color theme="1"/>
            <rFont val="Aptos Narrow"/>
            <family val="2"/>
            <scheme val="minor"/>
          </rPr>
          <t>was 24640000
VNP150</t>
        </r>
      </text>
    </comment>
    <comment ref="D9" authorId="0" shapeId="0" xr:uid="{00000000-0006-0000-6400-000009000000}">
      <text>
        <r>
          <rPr>
            <sz val="12"/>
            <color theme="1"/>
            <rFont val="Aptos Narrow"/>
            <family val="2"/>
            <scheme val="minor"/>
          </rPr>
          <t>Người dùng Không xác định:
24.790</t>
        </r>
      </text>
    </comment>
    <comment ref="E9" authorId="1" shapeId="0" xr:uid="{00000000-0006-0000-6400-00000A000000}">
      <text>
        <r>
          <rPr>
            <sz val="12"/>
            <color theme="1"/>
            <rFont val="Aptos Narrow"/>
            <family val="2"/>
            <scheme val="minor"/>
          </rPr>
          <t xml:space="preserve">was 23790
bỏ Giờ vàng
</t>
        </r>
      </text>
    </comment>
    <comment ref="G9" authorId="2" shapeId="0" xr:uid="{00000000-0006-0000-6400-00000B000000}">
      <text>
        <r>
          <rPr>
            <sz val="12"/>
            <color theme="1"/>
            <rFont val="Aptos Narrow"/>
            <family val="2"/>
            <scheme val="minor"/>
          </rPr>
          <t>Dat's MacBook Pro:
+1400</t>
        </r>
      </text>
    </comment>
    <comment ref="B11" authorId="1" shapeId="0" xr:uid="{00000000-0006-0000-6400-00000C000000}">
      <text>
        <r>
          <rPr>
            <sz val="12"/>
            <color theme="1"/>
            <rFont val="Aptos Narrow"/>
            <family val="2"/>
            <scheme val="minor"/>
          </rPr>
          <t>Tặng phiếu mua hàng mua AirPods và Apple Watch trị giá 500,000đ
 Phiếu mua hàng mua sản phẩm giá niêm yết từ 5 triệu thuộc các nhóm TAI NGHE - LOA hãng HARMAN KARDON, JBL,MONSTER, KLIPSCH, MARSHALL, SONY; Smartwatch hãng HUAWEI, GARMIN, SAMSUNG, IMOO, OPPO, AMAZFIT trị giá 500.000đ</t>
        </r>
      </text>
    </comment>
    <comment ref="C11" authorId="0" shapeId="0" xr:uid="{00000000-0006-0000-6400-00000D000000}">
      <text>
        <r>
          <rPr>
            <sz val="12"/>
            <color theme="1"/>
            <rFont val="Aptos Narrow"/>
            <family val="2"/>
            <scheme val="minor"/>
          </rPr>
          <t>Người dùng Không xác định:
31990000</t>
        </r>
      </text>
    </comment>
    <comment ref="E12" authorId="1" shapeId="0" xr:uid="{00000000-0006-0000-6400-00000E000000}">
      <text>
        <r>
          <rPr>
            <sz val="12"/>
            <color theme="1"/>
            <rFont val="Aptos Narrow"/>
            <family val="2"/>
            <scheme val="minor"/>
          </rPr>
          <t xml:space="preserve">was 17690
</t>
        </r>
      </text>
    </comment>
    <comment ref="G12" authorId="2" shapeId="0" xr:uid="{00000000-0006-0000-6400-00000F000000}">
      <text>
        <r>
          <rPr>
            <sz val="12"/>
            <color theme="1"/>
            <rFont val="Aptos Narrow"/>
            <family val="2"/>
            <scheme val="minor"/>
          </rPr>
          <t>Dat's MacBook Pro:
+1300</t>
        </r>
      </text>
    </comment>
    <comment ref="E14" authorId="1" shapeId="0" xr:uid="{00000000-0006-0000-6400-000010000000}">
      <text>
        <r>
          <rPr>
            <sz val="12"/>
            <color theme="1"/>
            <rFont val="Aptos Narrow"/>
            <family val="2"/>
            <scheme val="minor"/>
          </rPr>
          <t xml:space="preserve">was 13590
</t>
        </r>
      </text>
    </comment>
    <comment ref="B15" authorId="1" shapeId="0" xr:uid="{00000000-0006-0000-6400-000011000000}">
      <text>
        <r>
          <rPr>
            <sz val="12"/>
            <color theme="1"/>
            <rFont val="Aptos Narrow"/>
            <family val="2"/>
            <scheme val="minor"/>
          </rPr>
          <t>was 13190
VNP100</t>
        </r>
      </text>
    </comment>
    <comment ref="E15" authorId="1" shapeId="0" xr:uid="{00000000-0006-0000-6400-000012000000}">
      <text>
        <r>
          <rPr>
            <sz val="12"/>
            <color theme="1"/>
            <rFont val="Aptos Narrow"/>
            <family val="2"/>
            <scheme val="minor"/>
          </rPr>
          <t xml:space="preserve">was 11990
</t>
        </r>
      </text>
    </comment>
    <comment ref="C16" authorId="3" shapeId="0" xr:uid="{00000000-0006-0000-6400-000013000000}">
      <text>
        <r>
          <rPr>
            <sz val="12"/>
            <color theme="1"/>
            <rFont val="Aptos Narrow"/>
            <family val="2"/>
            <scheme val="minor"/>
          </rPr>
          <t>danielnguyen6111998@gmail.com:
13590000</t>
        </r>
      </text>
    </comment>
    <comment ref="G16" authorId="2" shapeId="0" xr:uid="{00000000-0006-0000-6400-000014000000}">
      <text>
        <r>
          <rPr>
            <sz val="12"/>
            <color theme="1"/>
            <rFont val="Aptos Narrow"/>
            <family val="2"/>
            <scheme val="minor"/>
          </rPr>
          <t>Dat's MacBook Pro:
13390</t>
        </r>
      </text>
    </comment>
    <comment ref="B17" authorId="1" shapeId="0" xr:uid="{00000000-0006-0000-6400-000015000000}">
      <text>
        <r>
          <rPr>
            <sz val="12"/>
            <color theme="1"/>
            <rFont val="Aptos Narrow"/>
            <family val="2"/>
            <scheme val="minor"/>
          </rPr>
          <t>was 7040
VNP40</t>
        </r>
      </text>
    </comment>
    <comment ref="B18" authorId="1" shapeId="0" xr:uid="{00000000-0006-0000-6400-000016000000}">
      <text>
        <r>
          <rPr>
            <sz val="12"/>
            <color theme="1"/>
            <rFont val="Aptos Narrow"/>
            <family val="2"/>
            <scheme val="minor"/>
          </rPr>
          <t>was 14390</t>
        </r>
      </text>
    </comment>
    <comment ref="C18" authorId="3" shapeId="0" xr:uid="{00000000-0006-0000-6400-000017000000}">
      <text>
        <r>
          <rPr>
            <sz val="12"/>
            <color theme="1"/>
            <rFont val="Aptos Narrow"/>
            <family val="2"/>
            <scheme val="minor"/>
          </rPr>
          <t>danielnguyen6111998@gmail.com:
16690000</t>
        </r>
      </text>
    </comment>
    <comment ref="G18" authorId="2" shapeId="0" xr:uid="{00000000-0006-0000-6400-000018000000}">
      <text>
        <r>
          <rPr>
            <sz val="12"/>
            <color theme="1"/>
            <rFont val="Aptos Narrow"/>
            <family val="2"/>
            <scheme val="minor"/>
          </rPr>
          <t>Dat's MacBook Pro:
12990</t>
        </r>
      </text>
    </comment>
    <comment ref="C20" authorId="3" shapeId="0" xr:uid="{00000000-0006-0000-6400-000019000000}">
      <text>
        <r>
          <rPr>
            <sz val="12"/>
            <color theme="1"/>
            <rFont val="Aptos Narrow"/>
            <family val="2"/>
            <scheme val="minor"/>
          </rPr>
          <t>danielnguyen6111998@gmail.com:
29290000</t>
        </r>
      </text>
    </comment>
    <comment ref="E20" authorId="1" shapeId="0" xr:uid="{00000000-0006-0000-6400-00001A000000}">
      <text>
        <r>
          <rPr>
            <sz val="12"/>
            <color theme="1"/>
            <rFont val="Aptos Narrow"/>
            <family val="2"/>
            <scheme val="minor"/>
          </rPr>
          <t>was 28990</t>
        </r>
      </text>
    </comment>
    <comment ref="E21" authorId="1" shapeId="0" xr:uid="{00000000-0006-0000-6400-00001B000000}">
      <text>
        <r>
          <rPr>
            <sz val="12"/>
            <color theme="1"/>
            <rFont val="Aptos Narrow"/>
            <family val="2"/>
            <scheme val="minor"/>
          </rPr>
          <t xml:space="preserve">was 38990
</t>
        </r>
      </text>
    </comment>
    <comment ref="E22" authorId="1" shapeId="0" xr:uid="{00000000-0006-0000-6400-00001C000000}">
      <text>
        <r>
          <rPr>
            <sz val="12"/>
            <color theme="1"/>
            <rFont val="Aptos Narrow"/>
            <family val="2"/>
            <scheme val="minor"/>
          </rPr>
          <t>was 5990</t>
        </r>
      </text>
    </comment>
    <comment ref="E23" authorId="4" shapeId="0" xr:uid="{00000000-0006-0000-6400-00001D000000}">
      <text>
        <r>
          <rPr>
            <sz val="12"/>
            <color theme="1"/>
            <rFont val="Aptos Narrow"/>
            <family val="2"/>
            <scheme val="minor"/>
          </rPr>
          <t>was 7490</t>
        </r>
      </text>
    </comment>
    <comment ref="E24" authorId="1" shapeId="0" xr:uid="{00000000-0006-0000-6400-00001E000000}">
      <text>
        <r>
          <rPr>
            <sz val="12"/>
            <color theme="1"/>
            <rFont val="Aptos Narrow"/>
            <family val="2"/>
            <scheme val="minor"/>
          </rPr>
          <t>was 6890</t>
        </r>
      </text>
    </comment>
    <comment ref="E25" authorId="1" shapeId="0" xr:uid="{00000000-0006-0000-6400-00001F000000}">
      <text>
        <r>
          <rPr>
            <sz val="12"/>
            <color theme="1"/>
            <rFont val="Aptos Narrow"/>
            <family val="2"/>
            <scheme val="minor"/>
          </rPr>
          <t>was 8490</t>
        </r>
      </text>
    </comment>
    <comment ref="E26" authorId="1" shapeId="0" xr:uid="{00000000-0006-0000-6400-000020000000}">
      <text>
        <r>
          <rPr>
            <sz val="12"/>
            <color theme="1"/>
            <rFont val="Aptos Narrow"/>
            <family val="2"/>
            <scheme val="minor"/>
          </rPr>
          <t>was 10190</t>
        </r>
      </text>
    </comment>
    <comment ref="E27" authorId="1" shapeId="0" xr:uid="{00000000-0006-0000-6400-000021000000}">
      <text>
        <r>
          <rPr>
            <sz val="12"/>
            <color theme="1"/>
            <rFont val="Aptos Narrow"/>
            <family val="2"/>
            <scheme val="minor"/>
          </rPr>
          <t>was 13490</t>
        </r>
      </text>
    </comment>
    <comment ref="E28" authorId="1" shapeId="0" xr:uid="{00000000-0006-0000-6400-000022000000}">
      <text>
        <r>
          <rPr>
            <sz val="12"/>
            <color theme="1"/>
            <rFont val="Aptos Narrow"/>
            <family val="2"/>
            <scheme val="minor"/>
          </rPr>
          <t>was 10990</t>
        </r>
      </text>
    </comment>
    <comment ref="E29" authorId="1" shapeId="0" xr:uid="{00000000-0006-0000-6400-000023000000}">
      <text>
        <r>
          <rPr>
            <sz val="12"/>
            <color theme="1"/>
            <rFont val="Aptos Narrow"/>
            <family val="2"/>
            <scheme val="minor"/>
          </rPr>
          <t>was 13990</t>
        </r>
      </text>
    </comment>
    <comment ref="E30" authorId="1" shapeId="0" xr:uid="{00000000-0006-0000-6400-000024000000}">
      <text>
        <r>
          <rPr>
            <sz val="12"/>
            <color theme="1"/>
            <rFont val="Aptos Narrow"/>
            <family val="2"/>
            <scheme val="minor"/>
          </rPr>
          <t>was 21990</t>
        </r>
      </text>
    </comment>
    <comment ref="B31" authorId="1" shapeId="0" xr:uid="{00000000-0006-0000-6400-000025000000}">
      <text>
        <r>
          <rPr>
            <sz val="12"/>
            <color theme="1"/>
            <rFont val="Aptos Narrow"/>
            <family val="2"/>
            <scheme val="minor"/>
          </rPr>
          <t>was 5550
VNP40</t>
        </r>
      </text>
    </comment>
    <comment ref="B32" authorId="1" shapeId="0" xr:uid="{00000000-0006-0000-6400-000026000000}">
      <text>
        <r>
          <rPr>
            <sz val="12"/>
            <color theme="1"/>
            <rFont val="Aptos Narrow"/>
            <family val="2"/>
            <scheme val="minor"/>
          </rPr>
          <t xml:space="preserve">was 4490
</t>
        </r>
      </text>
    </comment>
    <comment ref="B33" authorId="1" shapeId="0" xr:uid="{00000000-0006-0000-6400-000027000000}">
      <text>
        <r>
          <rPr>
            <sz val="12"/>
            <color theme="1"/>
            <rFont val="Aptos Narrow"/>
            <family val="2"/>
            <scheme val="minor"/>
          </rPr>
          <t>was 3190</t>
        </r>
      </text>
    </comment>
    <comment ref="C38" authorId="3" shapeId="0" xr:uid="{00000000-0006-0000-6400-000028000000}">
      <text>
        <r>
          <rPr>
            <sz val="12"/>
            <color theme="1"/>
            <rFont val="Aptos Narrow"/>
            <family val="2"/>
            <scheme val="minor"/>
          </rPr>
          <t>danielnguyen6111998@gmail.com:
24590000</t>
        </r>
      </text>
    </comment>
    <comment ref="C41" authorId="3" shapeId="0" xr:uid="{00000000-0006-0000-6400-000029000000}">
      <text>
        <r>
          <rPr>
            <sz val="12"/>
            <color theme="1"/>
            <rFont val="Aptos Narrow"/>
            <family val="2"/>
            <scheme val="minor"/>
          </rPr>
          <t>danielnguyen6111998@gmail.com:
41990000</t>
        </r>
      </text>
    </comment>
    <comment ref="D42" authorId="0" shapeId="0" xr:uid="{00000000-0006-0000-6400-00002A000000}">
      <text>
        <r>
          <rPr>
            <sz val="12"/>
            <color theme="1"/>
            <rFont val="Aptos Narrow"/>
            <family val="2"/>
            <scheme val="minor"/>
          </rPr>
          <t>Người dùng Không xác định:
62.990</t>
        </r>
      </text>
    </comment>
  </commentList>
</comments>
</file>

<file path=xl/comments102.xml><?xml version="1.0" encoding="utf-8"?>
<comments xmlns="http://schemas.openxmlformats.org/spreadsheetml/2006/main" xmlns:mc="http://schemas.openxmlformats.org/markup-compatibility/2006" xmlns:xr="http://schemas.microsoft.com/office/spreadsheetml/2014/revision" mc:Ignorable="xr">
  <authors>
    <author>Microsoft Office User</author>
    <author>Người dùng Khách</author>
    <author>chit trang</author>
    <author>Dat's MacBook Pro</author>
    <author>danielnguyen6111998@gmail.com</author>
    <author>Mia</author>
  </authors>
  <commentList>
    <comment ref="E2" authorId="0" shapeId="0" xr:uid="{00000000-0006-0000-6500-000001000000}">
      <text>
        <r>
          <rPr>
            <sz val="12"/>
            <color theme="1"/>
            <rFont val="Aptos Narrow"/>
            <family val="2"/>
            <scheme val="minor"/>
          </rPr>
          <t xml:space="preserve">was 17790
</t>
        </r>
      </text>
    </comment>
    <comment ref="C3" authorId="1" shapeId="0" xr:uid="{00000000-0006-0000-6500-000002000000}">
      <text>
        <r>
          <rPr>
            <sz val="12"/>
            <color theme="1"/>
            <rFont val="Aptos Narrow"/>
            <family val="2"/>
            <scheme val="minor"/>
          </rPr>
          <t>Người dùng Không xác định:
24990000</t>
        </r>
      </text>
    </comment>
    <comment ref="D3" authorId="1" shapeId="0" xr:uid="{00000000-0006-0000-6500-000003000000}">
      <text>
        <r>
          <rPr>
            <sz val="12"/>
            <color theme="1"/>
            <rFont val="Aptos Narrow"/>
            <family val="2"/>
            <scheme val="minor"/>
          </rPr>
          <t>Người dùng Không xác định:
24.590</t>
        </r>
      </text>
    </comment>
    <comment ref="C4" authorId="1" shapeId="0" xr:uid="{00000000-0006-0000-6500-000004000000}">
      <text>
        <r>
          <rPr>
            <sz val="12"/>
            <color theme="1"/>
            <rFont val="Aptos Narrow"/>
            <family val="2"/>
            <scheme val="minor"/>
          </rPr>
          <t>Người dùng Không xác định:
24990000</t>
        </r>
      </text>
    </comment>
    <comment ref="D4" authorId="2" shapeId="0" xr:uid="{00000000-0006-0000-6500-000005000000}">
      <text>
        <r>
          <rPr>
            <sz val="12"/>
            <color theme="1"/>
            <rFont val="Aptos Narrow"/>
            <family val="2"/>
            <scheme val="minor"/>
          </rPr>
          <t>chit trang:
23.000</t>
        </r>
      </text>
    </comment>
    <comment ref="D5" authorId="2" shapeId="0" xr:uid="{00000000-0006-0000-6500-000006000000}">
      <text>
        <r>
          <rPr>
            <sz val="12"/>
            <color theme="1"/>
            <rFont val="Aptos Narrow"/>
            <family val="2"/>
            <scheme val="minor"/>
          </rPr>
          <t>chit trang:
34.490</t>
        </r>
      </text>
    </comment>
    <comment ref="C6" authorId="1" shapeId="0" xr:uid="{00000000-0006-0000-6500-000007000000}">
      <text>
        <r>
          <rPr>
            <sz val="12"/>
            <color theme="1"/>
            <rFont val="Aptos Narrow"/>
            <family val="2"/>
            <scheme val="minor"/>
          </rPr>
          <t>Người dùng Không xác định:
37990000</t>
        </r>
      </text>
    </comment>
    <comment ref="C7" authorId="1" shapeId="0" xr:uid="{00000000-0006-0000-6500-000008000000}">
      <text>
        <r>
          <rPr>
            <sz val="12"/>
            <color theme="1"/>
            <rFont val="Aptos Narrow"/>
            <family val="2"/>
            <scheme val="minor"/>
          </rPr>
          <t>Người dùng Không xác định:
13990000</t>
        </r>
      </text>
    </comment>
    <comment ref="E7" authorId="0" shapeId="0" xr:uid="{00000000-0006-0000-6500-000009000000}">
      <text>
        <r>
          <rPr>
            <sz val="12"/>
            <color theme="1"/>
            <rFont val="Aptos Narrow"/>
            <family val="2"/>
            <scheme val="minor"/>
          </rPr>
          <t>was 12490</t>
        </r>
      </text>
    </comment>
    <comment ref="C8" authorId="1" shapeId="0" xr:uid="{00000000-0006-0000-6500-00000A000000}">
      <text>
        <r>
          <rPr>
            <sz val="12"/>
            <color theme="1"/>
            <rFont val="Aptos Narrow"/>
            <family val="2"/>
            <scheme val="minor"/>
          </rPr>
          <t>Người dùng Không xác định:
21290000</t>
        </r>
      </text>
    </comment>
    <comment ref="D8" authorId="2" shapeId="0" xr:uid="{00000000-0006-0000-6500-00000B000000}">
      <text>
        <r>
          <rPr>
            <sz val="12"/>
            <color theme="1"/>
            <rFont val="Aptos Narrow"/>
            <family val="2"/>
            <scheme val="minor"/>
          </rPr>
          <t>chit trang:
20.990</t>
        </r>
      </text>
    </comment>
    <comment ref="G8" authorId="3" shapeId="0" xr:uid="{00000000-0006-0000-6500-00000C000000}">
      <text>
        <r>
          <rPr>
            <sz val="12"/>
            <color theme="1"/>
            <rFont val="Aptos Narrow"/>
            <family val="2"/>
            <scheme val="minor"/>
          </rPr>
          <t>Dat's MacBook Pro:
+1300</t>
        </r>
      </text>
    </comment>
    <comment ref="B9" authorId="0" shapeId="0" xr:uid="{00000000-0006-0000-6500-00000D000000}">
      <text>
        <r>
          <rPr>
            <sz val="12"/>
            <color theme="1"/>
            <rFont val="Aptos Narrow"/>
            <family val="2"/>
            <scheme val="minor"/>
          </rPr>
          <t>was 24640000
VNP150</t>
        </r>
      </text>
    </comment>
    <comment ref="C9" authorId="1" shapeId="0" xr:uid="{00000000-0006-0000-6500-00000E000000}">
      <text>
        <r>
          <rPr>
            <sz val="12"/>
            <color theme="1"/>
            <rFont val="Aptos Narrow"/>
            <family val="2"/>
            <scheme val="minor"/>
          </rPr>
          <t>Người dùng Không xác định:
25290000</t>
        </r>
      </text>
    </comment>
    <comment ref="D9" authorId="1" shapeId="0" xr:uid="{00000000-0006-0000-6500-00000F000000}">
      <text>
        <r>
          <rPr>
            <sz val="12"/>
            <color theme="1"/>
            <rFont val="Aptos Narrow"/>
            <family val="2"/>
            <scheme val="minor"/>
          </rPr>
          <t>Người dùng Không xác định:
24.990</t>
        </r>
      </text>
    </comment>
    <comment ref="E9" authorId="0" shapeId="0" xr:uid="{00000000-0006-0000-6500-000010000000}">
      <text>
        <r>
          <rPr>
            <sz val="12"/>
            <color theme="1"/>
            <rFont val="Aptos Narrow"/>
            <family val="2"/>
            <scheme val="minor"/>
          </rPr>
          <t xml:space="preserve">was 23790
bỏ Giờ vàng
</t>
        </r>
      </text>
    </comment>
    <comment ref="G9" authorId="3" shapeId="0" xr:uid="{00000000-0006-0000-6500-000011000000}">
      <text>
        <r>
          <rPr>
            <sz val="12"/>
            <color theme="1"/>
            <rFont val="Aptos Narrow"/>
            <family val="2"/>
            <scheme val="minor"/>
          </rPr>
          <t>Dat's MacBook Pro:
+1400</t>
        </r>
      </text>
    </comment>
    <comment ref="B11" authorId="0" shapeId="0" xr:uid="{00000000-0006-0000-6500-000012000000}">
      <text>
        <r>
          <rPr>
            <sz val="12"/>
            <color theme="1"/>
            <rFont val="Aptos Narrow"/>
            <family val="2"/>
            <scheme val="minor"/>
          </rPr>
          <t>Tặng phiếu mua hàng mua AirPods và Apple Watch trị giá 500,000đ
 Phiếu mua hàng mua sản phẩm giá niêm yết từ 5 triệu thuộc các nhóm TAI NGHE - LOA hãng HARMAN KARDON, JBL,MONSTER, KLIPSCH, MARSHALL, SONY; Smartwatch hãng HUAWEI, GARMIN, SAMSUNG, IMOO, OPPO, AMAZFIT trị giá 500.000đ</t>
        </r>
      </text>
    </comment>
    <comment ref="C11" authorId="1" shapeId="0" xr:uid="{00000000-0006-0000-6500-000013000000}">
      <text>
        <r>
          <rPr>
            <sz val="12"/>
            <color theme="1"/>
            <rFont val="Aptos Narrow"/>
            <family val="2"/>
            <scheme val="minor"/>
          </rPr>
          <t>Người dùng Không xác định:
31990000</t>
        </r>
      </text>
    </comment>
    <comment ref="C12" authorId="1" shapeId="0" xr:uid="{00000000-0006-0000-6500-000014000000}">
      <text>
        <r>
          <rPr>
            <sz val="12"/>
            <color theme="1"/>
            <rFont val="Aptos Narrow"/>
            <family val="2"/>
            <scheme val="minor"/>
          </rPr>
          <t>Người dùng Không xác định:
17990000</t>
        </r>
      </text>
    </comment>
    <comment ref="D12" authorId="2" shapeId="0" xr:uid="{00000000-0006-0000-6500-000015000000}">
      <text>
        <r>
          <rPr>
            <sz val="12"/>
            <color theme="1"/>
            <rFont val="Aptos Narrow"/>
            <family val="2"/>
            <scheme val="minor"/>
          </rPr>
          <t>chit trang:
17.990</t>
        </r>
      </text>
    </comment>
    <comment ref="E12" authorId="0" shapeId="0" xr:uid="{00000000-0006-0000-6500-000016000000}">
      <text>
        <r>
          <rPr>
            <sz val="12"/>
            <color theme="1"/>
            <rFont val="Aptos Narrow"/>
            <family val="2"/>
            <scheme val="minor"/>
          </rPr>
          <t>was 17690</t>
        </r>
      </text>
    </comment>
    <comment ref="G12" authorId="3" shapeId="0" xr:uid="{00000000-0006-0000-6500-000017000000}">
      <text>
        <r>
          <rPr>
            <sz val="12"/>
            <color theme="1"/>
            <rFont val="Aptos Narrow"/>
            <family val="2"/>
            <scheme val="minor"/>
          </rPr>
          <t>Dat's MacBook Pro:
+1300</t>
        </r>
      </text>
    </comment>
    <comment ref="C13" authorId="1" shapeId="0" xr:uid="{00000000-0006-0000-6500-000018000000}">
      <text>
        <r>
          <rPr>
            <sz val="12"/>
            <color theme="1"/>
            <rFont val="Aptos Narrow"/>
            <family val="2"/>
            <scheme val="minor"/>
          </rPr>
          <t>Người dùng Không xác định:
18990000</t>
        </r>
      </text>
    </comment>
    <comment ref="B15" authorId="0" shapeId="0" xr:uid="{00000000-0006-0000-6500-000019000000}">
      <text>
        <r>
          <rPr>
            <sz val="12"/>
            <color theme="1"/>
            <rFont val="Aptos Narrow"/>
            <family val="2"/>
            <scheme val="minor"/>
          </rPr>
          <t>was 13190
VNP100</t>
        </r>
      </text>
    </comment>
    <comment ref="C16" authorId="4" shapeId="0" xr:uid="{00000000-0006-0000-6500-00001A000000}">
      <text>
        <r>
          <rPr>
            <sz val="12"/>
            <color theme="1"/>
            <rFont val="Aptos Narrow"/>
            <family val="2"/>
            <scheme val="minor"/>
          </rPr>
          <t>danielnguyen6111998@gmail.com:
13490000</t>
        </r>
      </text>
    </comment>
    <comment ref="D16" authorId="2" shapeId="0" xr:uid="{00000000-0006-0000-6500-00001B000000}">
      <text>
        <r>
          <rPr>
            <sz val="12"/>
            <color theme="1"/>
            <rFont val="Aptos Narrow"/>
            <family val="2"/>
            <scheme val="minor"/>
          </rPr>
          <t>chit trang:
13.490</t>
        </r>
      </text>
    </comment>
    <comment ref="G16" authorId="3" shapeId="0" xr:uid="{00000000-0006-0000-6500-00001C000000}">
      <text>
        <r>
          <rPr>
            <sz val="12"/>
            <color theme="1"/>
            <rFont val="Aptos Narrow"/>
            <family val="2"/>
            <scheme val="minor"/>
          </rPr>
          <t>Dat's MacBook Pro:
13390</t>
        </r>
      </text>
    </comment>
    <comment ref="B17" authorId="0" shapeId="0" xr:uid="{00000000-0006-0000-6500-00001D000000}">
      <text>
        <r>
          <rPr>
            <sz val="12"/>
            <color theme="1"/>
            <rFont val="Aptos Narrow"/>
            <family val="2"/>
            <scheme val="minor"/>
          </rPr>
          <t>was 7040
VNP40</t>
        </r>
      </text>
    </comment>
    <comment ref="B18" authorId="0" shapeId="0" xr:uid="{00000000-0006-0000-6500-00001E000000}">
      <text>
        <r>
          <rPr>
            <sz val="12"/>
            <color theme="1"/>
            <rFont val="Aptos Narrow"/>
            <family val="2"/>
            <scheme val="minor"/>
          </rPr>
          <t>was 14390</t>
        </r>
      </text>
    </comment>
    <comment ref="C18" authorId="4" shapeId="0" xr:uid="{00000000-0006-0000-6500-00001F000000}">
      <text>
        <r>
          <rPr>
            <sz val="12"/>
            <color theme="1"/>
            <rFont val="Aptos Narrow"/>
            <family val="2"/>
            <scheme val="minor"/>
          </rPr>
          <t>danielnguyen6111998@gmail.com:
15790000</t>
        </r>
      </text>
    </comment>
    <comment ref="G18" authorId="3" shapeId="0" xr:uid="{00000000-0006-0000-6500-000020000000}">
      <text>
        <r>
          <rPr>
            <sz val="12"/>
            <color theme="1"/>
            <rFont val="Aptos Narrow"/>
            <family val="2"/>
            <scheme val="minor"/>
          </rPr>
          <t>Dat's MacBook Pro:
12990</t>
        </r>
      </text>
    </comment>
    <comment ref="C20" authorId="1" shapeId="0" xr:uid="{00000000-0006-0000-6500-000021000000}">
      <text>
        <r>
          <rPr>
            <sz val="12"/>
            <color theme="1"/>
            <rFont val="Aptos Narrow"/>
            <family val="2"/>
            <scheme val="minor"/>
          </rPr>
          <t>Người dùng Không xác định:
20990000</t>
        </r>
      </text>
    </comment>
    <comment ref="C21" authorId="4" shapeId="0" xr:uid="{00000000-0006-0000-6500-000022000000}">
      <text>
        <r>
          <rPr>
            <sz val="12"/>
            <color theme="1"/>
            <rFont val="Aptos Narrow"/>
            <family val="2"/>
            <scheme val="minor"/>
          </rPr>
          <t>danielnguyen6111998@gmail.com:
29290000</t>
        </r>
      </text>
    </comment>
    <comment ref="D21" authorId="2" shapeId="0" xr:uid="{00000000-0006-0000-6500-000023000000}">
      <text>
        <r>
          <rPr>
            <sz val="12"/>
            <color theme="1"/>
            <rFont val="Aptos Narrow"/>
            <family val="2"/>
            <scheme val="minor"/>
          </rPr>
          <t>chit trang:
28.990</t>
        </r>
      </text>
    </comment>
    <comment ref="C22" authorId="1" shapeId="0" xr:uid="{00000000-0006-0000-6500-000024000000}">
      <text>
        <r>
          <rPr>
            <sz val="12"/>
            <color theme="1"/>
            <rFont val="Aptos Narrow"/>
            <family val="2"/>
            <scheme val="minor"/>
          </rPr>
          <t>Người dùng Không xác định:
39290000</t>
        </r>
      </text>
    </comment>
    <comment ref="C23" authorId="1" shapeId="0" xr:uid="{00000000-0006-0000-6500-000025000000}">
      <text>
        <r>
          <rPr>
            <sz val="12"/>
            <color theme="1"/>
            <rFont val="Aptos Narrow"/>
            <family val="2"/>
            <scheme val="minor"/>
          </rPr>
          <t>Người dùng Không xác định:
6790000</t>
        </r>
      </text>
    </comment>
    <comment ref="D23" authorId="2" shapeId="0" xr:uid="{00000000-0006-0000-6500-000026000000}">
      <text>
        <r>
          <rPr>
            <sz val="12"/>
            <color theme="1"/>
            <rFont val="Aptos Narrow"/>
            <family val="2"/>
            <scheme val="minor"/>
          </rPr>
          <t>chit trang:
6.790</t>
        </r>
      </text>
    </comment>
    <comment ref="E23" authorId="0" shapeId="0" xr:uid="{00000000-0006-0000-6500-000027000000}">
      <text>
        <r>
          <rPr>
            <sz val="12"/>
            <color theme="1"/>
            <rFont val="Aptos Narrow"/>
            <family val="2"/>
            <scheme val="minor"/>
          </rPr>
          <t>was 6490
KH mới giảm 500</t>
        </r>
      </text>
    </comment>
    <comment ref="C24" authorId="1" shapeId="0" xr:uid="{00000000-0006-0000-6500-000028000000}">
      <text>
        <r>
          <rPr>
            <sz val="12"/>
            <color theme="1"/>
            <rFont val="Aptos Narrow"/>
            <family val="2"/>
            <scheme val="minor"/>
          </rPr>
          <t>Người dùng Không xác định:
8390000</t>
        </r>
      </text>
    </comment>
    <comment ref="E24" authorId="5" shapeId="0" xr:uid="{00000000-0006-0000-6500-000029000000}">
      <text>
        <r>
          <rPr>
            <sz val="12"/>
            <color theme="1"/>
            <rFont val="Aptos Narrow"/>
            <family val="2"/>
            <scheme val="minor"/>
          </rPr>
          <t>was 7990
KH mới - 500</t>
        </r>
      </text>
    </comment>
    <comment ref="E25" authorId="0" shapeId="0" xr:uid="{00000000-0006-0000-6500-00002A000000}">
      <text>
        <r>
          <rPr>
            <sz val="12"/>
            <color theme="1"/>
            <rFont val="Aptos Narrow"/>
            <family val="2"/>
            <scheme val="minor"/>
          </rPr>
          <t>was 7390
KH mới - 500</t>
        </r>
      </text>
    </comment>
    <comment ref="E26" authorId="0" shapeId="0" xr:uid="{00000000-0006-0000-6500-00002B000000}">
      <text>
        <r>
          <rPr>
            <sz val="12"/>
            <color theme="1"/>
            <rFont val="Aptos Narrow"/>
            <family val="2"/>
            <scheme val="minor"/>
          </rPr>
          <t>was 8990
KH - 500</t>
        </r>
      </text>
    </comment>
    <comment ref="C27" authorId="1" shapeId="0" xr:uid="{00000000-0006-0000-6500-00002C000000}">
      <text>
        <r>
          <rPr>
            <sz val="12"/>
            <color theme="1"/>
            <rFont val="Aptos Narrow"/>
            <family val="2"/>
            <scheme val="minor"/>
          </rPr>
          <t>Người dùng Không xác định:
11190000</t>
        </r>
      </text>
    </comment>
    <comment ref="D27" authorId="2" shapeId="0" xr:uid="{00000000-0006-0000-6500-00002D000000}">
      <text>
        <r>
          <rPr>
            <sz val="12"/>
            <color theme="1"/>
            <rFont val="Aptos Narrow"/>
            <family val="2"/>
            <scheme val="minor"/>
          </rPr>
          <t>chit trang:
11.190</t>
        </r>
      </text>
    </comment>
    <comment ref="E27" authorId="0" shapeId="0" xr:uid="{00000000-0006-0000-6500-00002E000000}">
      <text>
        <r>
          <rPr>
            <sz val="12"/>
            <color theme="1"/>
            <rFont val="Aptos Narrow"/>
            <family val="2"/>
            <scheme val="minor"/>
          </rPr>
          <t>was 10690
KH mới - 500</t>
        </r>
      </text>
    </comment>
    <comment ref="E28" authorId="0" shapeId="0" xr:uid="{00000000-0006-0000-6500-00002F000000}">
      <text>
        <r>
          <rPr>
            <sz val="12"/>
            <color theme="1"/>
            <rFont val="Aptos Narrow"/>
            <family val="2"/>
            <scheme val="minor"/>
          </rPr>
          <t>was 13990
KH - 500</t>
        </r>
      </text>
    </comment>
    <comment ref="E29" authorId="0" shapeId="0" xr:uid="{00000000-0006-0000-6500-000030000000}">
      <text>
        <r>
          <rPr>
            <sz val="12"/>
            <color theme="1"/>
            <rFont val="Aptos Narrow"/>
            <family val="2"/>
            <scheme val="minor"/>
          </rPr>
          <t>was 11490
KH mới - 500</t>
        </r>
      </text>
    </comment>
    <comment ref="E30" authorId="0" shapeId="0" xr:uid="{00000000-0006-0000-6500-000031000000}">
      <text>
        <r>
          <rPr>
            <sz val="12"/>
            <color theme="1"/>
            <rFont val="Aptos Narrow"/>
            <family val="2"/>
            <scheme val="minor"/>
          </rPr>
          <t>was 14490
KH - 500</t>
        </r>
      </text>
    </comment>
    <comment ref="E31" authorId="0" shapeId="0" xr:uid="{00000000-0006-0000-6500-000032000000}">
      <text>
        <r>
          <rPr>
            <sz val="12"/>
            <color theme="1"/>
            <rFont val="Aptos Narrow"/>
            <family val="2"/>
            <scheme val="minor"/>
          </rPr>
          <t>was 22490
KH - 500</t>
        </r>
      </text>
    </comment>
    <comment ref="B32" authorId="0" shapeId="0" xr:uid="{00000000-0006-0000-6500-000033000000}">
      <text>
        <r>
          <rPr>
            <sz val="12"/>
            <color theme="1"/>
            <rFont val="Aptos Narrow"/>
            <family val="2"/>
            <scheme val="minor"/>
          </rPr>
          <t>was 5550
VNP40</t>
        </r>
      </text>
    </comment>
    <comment ref="B33" authorId="0" shapeId="0" xr:uid="{00000000-0006-0000-6500-000034000000}">
      <text>
        <r>
          <rPr>
            <sz val="12"/>
            <color theme="1"/>
            <rFont val="Aptos Narrow"/>
            <family val="2"/>
            <scheme val="minor"/>
          </rPr>
          <t xml:space="preserve">was 4490
</t>
        </r>
      </text>
    </comment>
    <comment ref="C33" authorId="1" shapeId="0" xr:uid="{00000000-0006-0000-6500-000035000000}">
      <text>
        <r>
          <rPr>
            <sz val="12"/>
            <color theme="1"/>
            <rFont val="Aptos Narrow"/>
            <family val="2"/>
            <scheme val="minor"/>
          </rPr>
          <t>Người dùng Không xác định:
4690000</t>
        </r>
      </text>
    </comment>
    <comment ref="B34" authorId="0" shapeId="0" xr:uid="{00000000-0006-0000-6500-000036000000}">
      <text>
        <r>
          <rPr>
            <sz val="12"/>
            <color theme="1"/>
            <rFont val="Aptos Narrow"/>
            <family val="2"/>
            <scheme val="minor"/>
          </rPr>
          <t>was 3190</t>
        </r>
      </text>
    </comment>
    <comment ref="C39" authorId="4" shapeId="0" xr:uid="{00000000-0006-0000-6500-000037000000}">
      <text>
        <r>
          <rPr>
            <sz val="12"/>
            <color theme="1"/>
            <rFont val="Aptos Narrow"/>
            <family val="2"/>
            <scheme val="minor"/>
          </rPr>
          <t>danielnguyen6111998@gmail.com:
25290000</t>
        </r>
      </text>
    </comment>
    <comment ref="D40" authorId="2" shapeId="0" xr:uid="{00000000-0006-0000-6500-000038000000}">
      <text>
        <r>
          <rPr>
            <sz val="12"/>
            <color theme="1"/>
            <rFont val="Aptos Narrow"/>
            <family val="2"/>
            <scheme val="minor"/>
          </rPr>
          <t>chit trang:
29.990</t>
        </r>
      </text>
    </comment>
    <comment ref="D43" authorId="1" shapeId="0" xr:uid="{00000000-0006-0000-6500-000039000000}">
      <text>
        <r>
          <rPr>
            <sz val="12"/>
            <color theme="1"/>
            <rFont val="Aptos Narrow"/>
            <family val="2"/>
            <scheme val="minor"/>
          </rPr>
          <t>Người dùng Không xác định:
62.990</t>
        </r>
      </text>
    </comment>
  </commentList>
</comments>
</file>

<file path=xl/comments103.xml><?xml version="1.0" encoding="utf-8"?>
<comments xmlns="http://schemas.openxmlformats.org/spreadsheetml/2006/main" xmlns:mc="http://schemas.openxmlformats.org/markup-compatibility/2006" xmlns:xr="http://schemas.microsoft.com/office/spreadsheetml/2014/revision" mc:Ignorable="xr">
  <authors>
    <author>chit trang</author>
    <author>Người dùng Khách</author>
    <author>Dat's MacBook Pro</author>
    <author>Microsoft Office User</author>
    <author>danielnguyen6111998@gmail.com</author>
  </authors>
  <commentList>
    <comment ref="D4" authorId="0" shapeId="0" xr:uid="{00000000-0006-0000-6600-000001000000}">
      <text>
        <r>
          <rPr>
            <sz val="12"/>
            <color theme="1"/>
            <rFont val="Aptos Narrow"/>
            <family val="2"/>
            <scheme val="minor"/>
          </rPr>
          <t>chit trang:
22.490</t>
        </r>
      </text>
    </comment>
    <comment ref="C5" authorId="1" shapeId="0" xr:uid="{00000000-0006-0000-6600-000002000000}">
      <text>
        <r>
          <rPr>
            <sz val="12"/>
            <color theme="1"/>
            <rFont val="Aptos Narrow"/>
            <family val="2"/>
            <scheme val="minor"/>
          </rPr>
          <t>Người dùng Không xác định:
34790000</t>
        </r>
      </text>
    </comment>
    <comment ref="D5" authorId="0" shapeId="0" xr:uid="{00000000-0006-0000-6600-000003000000}">
      <text>
        <r>
          <rPr>
            <sz val="12"/>
            <color theme="1"/>
            <rFont val="Aptos Narrow"/>
            <family val="2"/>
            <scheme val="minor"/>
          </rPr>
          <t>chit trang:
34.690</t>
        </r>
      </text>
    </comment>
    <comment ref="C6" authorId="1" shapeId="0" xr:uid="{00000000-0006-0000-6600-000004000000}">
      <text>
        <r>
          <rPr>
            <sz val="12"/>
            <color theme="1"/>
            <rFont val="Aptos Narrow"/>
            <family val="2"/>
            <scheme val="minor"/>
          </rPr>
          <t>Người dùng Không xác định:
37890000</t>
        </r>
      </text>
    </comment>
    <comment ref="D6" authorId="0" shapeId="0" xr:uid="{00000000-0006-0000-6600-000005000000}">
      <text>
        <r>
          <rPr>
            <sz val="12"/>
            <color theme="1"/>
            <rFont val="Aptos Narrow"/>
            <family val="2"/>
            <scheme val="minor"/>
          </rPr>
          <t>chit trang:
37.790</t>
        </r>
      </text>
    </comment>
    <comment ref="C8" authorId="1" shapeId="0" xr:uid="{00000000-0006-0000-6600-000006000000}">
      <text>
        <r>
          <rPr>
            <sz val="12"/>
            <color theme="1"/>
            <rFont val="Aptos Narrow"/>
            <family val="2"/>
            <scheme val="minor"/>
          </rPr>
          <t>Người dùng Không xác định:
20590000</t>
        </r>
      </text>
    </comment>
    <comment ref="D8" authorId="0" shapeId="0" xr:uid="{00000000-0006-0000-6600-000007000000}">
      <text>
        <r>
          <rPr>
            <sz val="12"/>
            <color theme="1"/>
            <rFont val="Aptos Narrow"/>
            <family val="2"/>
            <scheme val="minor"/>
          </rPr>
          <t>chit trang:
20.590</t>
        </r>
      </text>
    </comment>
    <comment ref="G8" authorId="2" shapeId="0" xr:uid="{00000000-0006-0000-6600-000008000000}">
      <text>
        <r>
          <rPr>
            <sz val="12"/>
            <color theme="1"/>
            <rFont val="Aptos Narrow"/>
            <family val="2"/>
            <scheme val="minor"/>
          </rPr>
          <t>Dat's MacBook Pro:
+1300</t>
        </r>
      </text>
    </comment>
    <comment ref="B9" authorId="3" shapeId="0" xr:uid="{00000000-0006-0000-6600-000009000000}">
      <text>
        <r>
          <rPr>
            <sz val="12"/>
            <color theme="1"/>
            <rFont val="Aptos Narrow"/>
            <family val="2"/>
            <scheme val="minor"/>
          </rPr>
          <t>was 24640000
VNP150</t>
        </r>
      </text>
    </comment>
    <comment ref="C9" authorId="1" shapeId="0" xr:uid="{00000000-0006-0000-6600-00000A000000}">
      <text>
        <r>
          <rPr>
            <sz val="12"/>
            <color theme="1"/>
            <rFont val="Aptos Narrow"/>
            <family val="2"/>
            <scheme val="minor"/>
          </rPr>
          <t>Người dùng Không xác định:
24290000</t>
        </r>
      </text>
    </comment>
    <comment ref="D9" authorId="1" shapeId="0" xr:uid="{00000000-0006-0000-6600-00000B000000}">
      <text>
        <r>
          <rPr>
            <sz val="12"/>
            <color theme="1"/>
            <rFont val="Aptos Narrow"/>
            <family val="2"/>
            <scheme val="minor"/>
          </rPr>
          <t>Người dùng Không xác định:
24.590</t>
        </r>
      </text>
    </comment>
    <comment ref="G9" authorId="2" shapeId="0" xr:uid="{00000000-0006-0000-6600-00000C000000}">
      <text>
        <r>
          <rPr>
            <sz val="12"/>
            <color theme="1"/>
            <rFont val="Aptos Narrow"/>
            <family val="2"/>
            <scheme val="minor"/>
          </rPr>
          <t>Dat's MacBook Pro:
+1400</t>
        </r>
      </text>
    </comment>
    <comment ref="B11" authorId="3" shapeId="0" xr:uid="{00000000-0006-0000-6600-00000D000000}">
      <text>
        <r>
          <rPr>
            <sz val="12"/>
            <color theme="1"/>
            <rFont val="Aptos Narrow"/>
            <family val="2"/>
            <scheme val="minor"/>
          </rPr>
          <t>Tặng phiếu mua hàng mua AirPods và Apple Watch trị giá 500,000đ
 Phiếu mua hàng mua sản phẩm giá niêm yết từ 5 triệu thuộc các nhóm TAI NGHE - LOA hãng HARMAN KARDON, JBL,MONSTER, KLIPSCH, MARSHALL, SONY; Smartwatch hãng HUAWEI, GARMIN, SAMSUNG, IMOO, OPPO, AMAZFIT trị giá 500.000đ</t>
        </r>
      </text>
    </comment>
    <comment ref="C12" authorId="1" shapeId="0" xr:uid="{00000000-0006-0000-6600-00000E000000}">
      <text>
        <r>
          <rPr>
            <sz val="12"/>
            <color theme="1"/>
            <rFont val="Aptos Narrow"/>
            <family val="2"/>
            <scheme val="minor"/>
          </rPr>
          <t>Người dùng Không xác định:
17890000</t>
        </r>
      </text>
    </comment>
    <comment ref="D12" authorId="0" shapeId="0" xr:uid="{00000000-0006-0000-6600-00000F000000}">
      <text>
        <r>
          <rPr>
            <sz val="12"/>
            <color theme="1"/>
            <rFont val="Aptos Narrow"/>
            <family val="2"/>
            <scheme val="minor"/>
          </rPr>
          <t>chit trang:
17.890</t>
        </r>
      </text>
    </comment>
    <comment ref="G12" authorId="2" shapeId="0" xr:uid="{00000000-0006-0000-6600-000010000000}">
      <text>
        <r>
          <rPr>
            <sz val="12"/>
            <color theme="1"/>
            <rFont val="Aptos Narrow"/>
            <family val="2"/>
            <scheme val="minor"/>
          </rPr>
          <t>Dat's MacBook Pro:
+1300</t>
        </r>
      </text>
    </comment>
    <comment ref="C13" authorId="1" shapeId="0" xr:uid="{00000000-0006-0000-6600-000011000000}">
      <text>
        <r>
          <rPr>
            <sz val="12"/>
            <color theme="1"/>
            <rFont val="Aptos Narrow"/>
            <family val="2"/>
            <scheme val="minor"/>
          </rPr>
          <t>Người dùng Không xác định:
18990000</t>
        </r>
      </text>
    </comment>
    <comment ref="B15" authorId="3" shapeId="0" xr:uid="{00000000-0006-0000-6600-000012000000}">
      <text>
        <r>
          <rPr>
            <sz val="12"/>
            <color theme="1"/>
            <rFont val="Aptos Narrow"/>
            <family val="2"/>
            <scheme val="minor"/>
          </rPr>
          <t>was 13190
VNP100</t>
        </r>
      </text>
    </comment>
    <comment ref="C16" authorId="4" shapeId="0" xr:uid="{00000000-0006-0000-6600-000013000000}">
      <text>
        <r>
          <rPr>
            <sz val="12"/>
            <color theme="1"/>
            <rFont val="Aptos Narrow"/>
            <family val="2"/>
            <scheme val="minor"/>
          </rPr>
          <t>danielnguyen6111998@gmail.com:
13190000</t>
        </r>
      </text>
    </comment>
    <comment ref="D16" authorId="0" shapeId="0" xr:uid="{00000000-0006-0000-6600-000014000000}">
      <text>
        <r>
          <rPr>
            <sz val="12"/>
            <color theme="1"/>
            <rFont val="Aptos Narrow"/>
            <family val="2"/>
            <scheme val="minor"/>
          </rPr>
          <t>chit trang:
13.190</t>
        </r>
      </text>
    </comment>
    <comment ref="G16" authorId="2" shapeId="0" xr:uid="{00000000-0006-0000-6600-000015000000}">
      <text>
        <r>
          <rPr>
            <sz val="12"/>
            <color theme="1"/>
            <rFont val="Aptos Narrow"/>
            <family val="2"/>
            <scheme val="minor"/>
          </rPr>
          <t>Dat's MacBook Pro:
13390</t>
        </r>
      </text>
    </comment>
    <comment ref="B17" authorId="3" shapeId="0" xr:uid="{00000000-0006-0000-6600-000016000000}">
      <text>
        <r>
          <rPr>
            <sz val="12"/>
            <color theme="1"/>
            <rFont val="Aptos Narrow"/>
            <family val="2"/>
            <scheme val="minor"/>
          </rPr>
          <t>was 7040
VNP40</t>
        </r>
      </text>
    </comment>
    <comment ref="C17" authorId="1" shapeId="0" xr:uid="{00000000-0006-0000-6600-000017000000}">
      <text>
        <r>
          <rPr>
            <sz val="12"/>
            <color theme="1"/>
            <rFont val="Aptos Narrow"/>
            <family val="2"/>
            <scheme val="minor"/>
          </rPr>
          <t>Người dùng Không xác định:
9490000</t>
        </r>
      </text>
    </comment>
    <comment ref="D17" authorId="0" shapeId="0" xr:uid="{00000000-0006-0000-6600-000018000000}">
      <text>
        <r>
          <rPr>
            <sz val="12"/>
            <color theme="1"/>
            <rFont val="Aptos Narrow"/>
            <family val="2"/>
            <scheme val="minor"/>
          </rPr>
          <t>chit trang:
9.490</t>
        </r>
      </text>
    </comment>
    <comment ref="B18" authorId="3" shapeId="0" xr:uid="{00000000-0006-0000-6600-000019000000}">
      <text>
        <r>
          <rPr>
            <sz val="12"/>
            <color theme="1"/>
            <rFont val="Aptos Narrow"/>
            <family val="2"/>
            <scheme val="minor"/>
          </rPr>
          <t>was 14390</t>
        </r>
      </text>
    </comment>
    <comment ref="C18" authorId="4" shapeId="0" xr:uid="{00000000-0006-0000-6600-00001A000000}">
      <text>
        <r>
          <rPr>
            <sz val="12"/>
            <color theme="1"/>
            <rFont val="Aptos Narrow"/>
            <family val="2"/>
            <scheme val="minor"/>
          </rPr>
          <t xml:space="preserve">danielnguyen6111998@gmail.com:
15.490
</t>
        </r>
      </text>
    </comment>
    <comment ref="D18" authorId="0" shapeId="0" xr:uid="{00000000-0006-0000-6600-00001B000000}">
      <text>
        <r>
          <rPr>
            <sz val="12"/>
            <color theme="1"/>
            <rFont val="Aptos Narrow"/>
            <family val="2"/>
            <scheme val="minor"/>
          </rPr>
          <t>chit trang:
15.490</t>
        </r>
      </text>
    </comment>
    <comment ref="G18" authorId="2" shapeId="0" xr:uid="{00000000-0006-0000-6600-00001C000000}">
      <text>
        <r>
          <rPr>
            <sz val="12"/>
            <color theme="1"/>
            <rFont val="Aptos Narrow"/>
            <family val="2"/>
            <scheme val="minor"/>
          </rPr>
          <t>Dat's MacBook Pro:
12990</t>
        </r>
      </text>
    </comment>
    <comment ref="C20" authorId="1" shapeId="0" xr:uid="{00000000-0006-0000-6600-00001D000000}">
      <text>
        <r>
          <rPr>
            <sz val="12"/>
            <color theme="1"/>
            <rFont val="Aptos Narrow"/>
            <family val="2"/>
            <scheme val="minor"/>
          </rPr>
          <t>Người dùng Không xác định:
20690000</t>
        </r>
      </text>
    </comment>
    <comment ref="C21" authorId="4" shapeId="0" xr:uid="{00000000-0006-0000-6600-00001E000000}">
      <text>
        <r>
          <rPr>
            <sz val="12"/>
            <color theme="1"/>
            <rFont val="Aptos Narrow"/>
            <family val="2"/>
            <scheme val="minor"/>
          </rPr>
          <t>danielnguyen6111998@gmail.com:
28990000</t>
        </r>
      </text>
    </comment>
    <comment ref="D21" authorId="0" shapeId="0" xr:uid="{00000000-0006-0000-6600-00001F000000}">
      <text>
        <r>
          <rPr>
            <sz val="12"/>
            <color theme="1"/>
            <rFont val="Aptos Narrow"/>
            <family val="2"/>
            <scheme val="minor"/>
          </rPr>
          <t>chit trang:
28.490</t>
        </r>
      </text>
    </comment>
    <comment ref="C22" authorId="1" shapeId="0" xr:uid="{00000000-0006-0000-6600-000020000000}">
      <text>
        <r>
          <rPr>
            <sz val="12"/>
            <color theme="1"/>
            <rFont val="Aptos Narrow"/>
            <family val="2"/>
            <scheme val="minor"/>
          </rPr>
          <t>Người dùng Không xác định:
38990000</t>
        </r>
      </text>
    </comment>
    <comment ref="C23" authorId="1" shapeId="0" xr:uid="{00000000-0006-0000-6600-000021000000}">
      <text>
        <r>
          <rPr>
            <sz val="12"/>
            <color theme="1"/>
            <rFont val="Aptos Narrow"/>
            <family val="2"/>
            <scheme val="minor"/>
          </rPr>
          <t>Người dùng Không xác định:
6590000</t>
        </r>
      </text>
    </comment>
    <comment ref="D23" authorId="0" shapeId="0" xr:uid="{00000000-0006-0000-6600-000022000000}">
      <text>
        <r>
          <rPr>
            <sz val="12"/>
            <color theme="1"/>
            <rFont val="Aptos Narrow"/>
            <family val="2"/>
            <scheme val="minor"/>
          </rPr>
          <t>chit trang:
6.590</t>
        </r>
      </text>
    </comment>
    <comment ref="C24" authorId="1" shapeId="0" xr:uid="{00000000-0006-0000-6600-000023000000}">
      <text>
        <r>
          <rPr>
            <sz val="12"/>
            <color theme="1"/>
            <rFont val="Aptos Narrow"/>
            <family val="2"/>
            <scheme val="minor"/>
          </rPr>
          <t>Người dùng Không xác định:
7690000</t>
        </r>
      </text>
    </comment>
    <comment ref="C27" authorId="1" shapeId="0" xr:uid="{00000000-0006-0000-6600-000024000000}">
      <text>
        <r>
          <rPr>
            <sz val="12"/>
            <color theme="1"/>
            <rFont val="Aptos Narrow"/>
            <family val="2"/>
            <scheme val="minor"/>
          </rPr>
          <t>Người dùng Không xác định:
10990000</t>
        </r>
      </text>
    </comment>
    <comment ref="D27" authorId="0" shapeId="0" xr:uid="{00000000-0006-0000-6600-000025000000}">
      <text>
        <r>
          <rPr>
            <sz val="12"/>
            <color theme="1"/>
            <rFont val="Aptos Narrow"/>
            <family val="2"/>
            <scheme val="minor"/>
          </rPr>
          <t>chit trang:
10.990</t>
        </r>
      </text>
    </comment>
    <comment ref="B32" authorId="3" shapeId="0" xr:uid="{00000000-0006-0000-6600-000026000000}">
      <text>
        <r>
          <rPr>
            <sz val="12"/>
            <color theme="1"/>
            <rFont val="Aptos Narrow"/>
            <family val="2"/>
            <scheme val="minor"/>
          </rPr>
          <t>was 5550
VNP40</t>
        </r>
      </text>
    </comment>
    <comment ref="B33" authorId="3" shapeId="0" xr:uid="{00000000-0006-0000-6600-000027000000}">
      <text>
        <r>
          <rPr>
            <sz val="12"/>
            <color theme="1"/>
            <rFont val="Aptos Narrow"/>
            <family val="2"/>
            <scheme val="minor"/>
          </rPr>
          <t xml:space="preserve">was 4490
</t>
        </r>
      </text>
    </comment>
    <comment ref="C33" authorId="1" shapeId="0" xr:uid="{00000000-0006-0000-6600-000028000000}">
      <text>
        <r>
          <rPr>
            <sz val="12"/>
            <color theme="1"/>
            <rFont val="Aptos Narrow"/>
            <family val="2"/>
            <scheme val="minor"/>
          </rPr>
          <t>Người dùng Không xác định:
4590000</t>
        </r>
      </text>
    </comment>
    <comment ref="B34" authorId="3" shapeId="0" xr:uid="{00000000-0006-0000-6600-000029000000}">
      <text>
        <r>
          <rPr>
            <sz val="12"/>
            <color theme="1"/>
            <rFont val="Aptos Narrow"/>
            <family val="2"/>
            <scheme val="minor"/>
          </rPr>
          <t>was 3190</t>
        </r>
      </text>
    </comment>
    <comment ref="C36" authorId="1" shapeId="0" xr:uid="{00000000-0006-0000-6600-00002A000000}">
      <text>
        <r>
          <rPr>
            <sz val="12"/>
            <color theme="1"/>
            <rFont val="Aptos Narrow"/>
            <family val="2"/>
            <scheme val="minor"/>
          </rPr>
          <t>Người dùng Không xác định:
29990000</t>
        </r>
      </text>
    </comment>
    <comment ref="C37" authorId="1" shapeId="0" xr:uid="{00000000-0006-0000-6600-00002B000000}">
      <text>
        <r>
          <rPr>
            <sz val="12"/>
            <color theme="1"/>
            <rFont val="Aptos Narrow"/>
            <family val="2"/>
            <scheme val="minor"/>
          </rPr>
          <t>Người dùng Không xác định:
16490000</t>
        </r>
      </text>
    </comment>
    <comment ref="C38" authorId="4" shapeId="0" xr:uid="{00000000-0006-0000-6600-00002C000000}">
      <text>
        <r>
          <rPr>
            <sz val="12"/>
            <color theme="1"/>
            <rFont val="Aptos Narrow"/>
            <family val="2"/>
            <scheme val="minor"/>
          </rPr>
          <t>danielnguyen6111998@gmail.com:
25290000</t>
        </r>
      </text>
    </comment>
    <comment ref="D42" authorId="1" shapeId="0" xr:uid="{00000000-0006-0000-6600-00002D000000}">
      <text>
        <r>
          <rPr>
            <sz val="12"/>
            <color theme="1"/>
            <rFont val="Aptos Narrow"/>
            <family val="2"/>
            <scheme val="minor"/>
          </rPr>
          <t>Người dùng Không xác định:
62.990</t>
        </r>
      </text>
    </comment>
  </commentList>
</comments>
</file>

<file path=xl/comments104.xml><?xml version="1.0" encoding="utf-8"?>
<comments xmlns="http://schemas.openxmlformats.org/spreadsheetml/2006/main" xmlns:mc="http://schemas.openxmlformats.org/markup-compatibility/2006" xmlns:xr="http://schemas.microsoft.com/office/spreadsheetml/2014/revision" mc:Ignorable="xr">
  <authors>
    <author>Người dùng Khách</author>
    <author>Mia</author>
    <author>chit trang</author>
    <author>Dat's MacBook Pro</author>
    <author>Microsoft Office User</author>
    <author>danielnguyen6111998@gmail.com</author>
  </authors>
  <commentList>
    <comment ref="C2" authorId="0" shapeId="0" xr:uid="{00000000-0006-0000-6700-000001000000}">
      <text>
        <r>
          <rPr>
            <sz val="12"/>
            <color theme="1"/>
            <rFont val="Aptos Narrow"/>
            <family val="2"/>
            <scheme val="minor"/>
          </rPr>
          <t>Người dùng Không xác định:
17.990</t>
        </r>
      </text>
    </comment>
    <comment ref="D2" authorId="0" shapeId="0" xr:uid="{00000000-0006-0000-6700-000002000000}">
      <text>
        <r>
          <rPr>
            <sz val="12"/>
            <color theme="1"/>
            <rFont val="Aptos Narrow"/>
            <family val="2"/>
            <scheme val="minor"/>
          </rPr>
          <t>Người dùng Không xác định:
17.690</t>
        </r>
      </text>
    </comment>
    <comment ref="D3" authorId="0" shapeId="0" xr:uid="{00000000-0006-0000-6700-000003000000}">
      <text>
        <r>
          <rPr>
            <sz val="12"/>
            <color theme="1"/>
            <rFont val="Aptos Narrow"/>
            <family val="2"/>
            <scheme val="minor"/>
          </rPr>
          <t>Người dùng Không xác định:
24.490</t>
        </r>
      </text>
    </comment>
    <comment ref="E3" authorId="1" shapeId="0" xr:uid="{00000000-0006-0000-6700-000004000000}">
      <text>
        <r>
          <rPr>
            <sz val="12"/>
            <color theme="1"/>
            <rFont val="Aptos Narrow"/>
            <family val="2"/>
            <scheme val="minor"/>
          </rPr>
          <t xml:space="preserve">was 24190:
</t>
        </r>
      </text>
    </comment>
    <comment ref="E4" authorId="1" shapeId="0" xr:uid="{00000000-0006-0000-6700-000005000000}">
      <text>
        <r>
          <rPr>
            <sz val="12"/>
            <color theme="1"/>
            <rFont val="Aptos Narrow"/>
            <family val="2"/>
            <scheme val="minor"/>
          </rPr>
          <t xml:space="preserve">was 23490
</t>
        </r>
      </text>
    </comment>
    <comment ref="C5" authorId="0" shapeId="0" xr:uid="{00000000-0006-0000-6700-000006000000}">
      <text>
        <r>
          <rPr>
            <sz val="12"/>
            <color theme="1"/>
            <rFont val="Aptos Narrow"/>
            <family val="2"/>
            <scheme val="minor"/>
          </rPr>
          <t>Người dùng Không xác định:
34.890</t>
        </r>
      </text>
    </comment>
    <comment ref="D5" authorId="2" shapeId="0" xr:uid="{00000000-0006-0000-6700-000007000000}">
      <text>
        <r>
          <rPr>
            <sz val="12"/>
            <color theme="1"/>
            <rFont val="Aptos Narrow"/>
            <family val="2"/>
            <scheme val="minor"/>
          </rPr>
          <t>chit trang:
34.790</t>
        </r>
      </text>
    </comment>
    <comment ref="E6" authorId="1" shapeId="0" xr:uid="{00000000-0006-0000-6700-000008000000}">
      <text>
        <r>
          <rPr>
            <sz val="12"/>
            <color theme="1"/>
            <rFont val="Aptos Narrow"/>
            <family val="2"/>
            <scheme val="minor"/>
          </rPr>
          <t xml:space="preserve">was 36290
</t>
        </r>
      </text>
    </comment>
    <comment ref="D7" authorId="0" shapeId="0" xr:uid="{00000000-0006-0000-6700-000009000000}">
      <text>
        <r>
          <rPr>
            <sz val="12"/>
            <color theme="1"/>
            <rFont val="Aptos Narrow"/>
            <family val="2"/>
            <scheme val="minor"/>
          </rPr>
          <t>Người dùng Không xác định:
16.690</t>
        </r>
      </text>
    </comment>
    <comment ref="G8" authorId="3" shapeId="0" xr:uid="{00000000-0006-0000-6700-00000A000000}">
      <text>
        <r>
          <rPr>
            <sz val="12"/>
            <color theme="1"/>
            <rFont val="Aptos Narrow"/>
            <family val="2"/>
            <scheme val="minor"/>
          </rPr>
          <t>Dat's MacBook Pro:
+1300</t>
        </r>
      </text>
    </comment>
    <comment ref="B9" authorId="4" shapeId="0" xr:uid="{00000000-0006-0000-6700-00000B000000}">
      <text>
        <r>
          <rPr>
            <sz val="12"/>
            <color theme="1"/>
            <rFont val="Aptos Narrow"/>
            <family val="2"/>
            <scheme val="minor"/>
          </rPr>
          <t>was 24640000
VNP150</t>
        </r>
      </text>
    </comment>
    <comment ref="D9" authorId="0" shapeId="0" xr:uid="{00000000-0006-0000-6700-00000C000000}">
      <text>
        <r>
          <rPr>
            <sz val="12"/>
            <color theme="1"/>
            <rFont val="Aptos Narrow"/>
            <family val="2"/>
            <scheme val="minor"/>
          </rPr>
          <t>Người dùng Không xác định:
23.990</t>
        </r>
      </text>
    </comment>
    <comment ref="G9" authorId="3" shapeId="0" xr:uid="{00000000-0006-0000-6700-00000D000000}">
      <text>
        <r>
          <rPr>
            <sz val="12"/>
            <color theme="1"/>
            <rFont val="Aptos Narrow"/>
            <family val="2"/>
            <scheme val="minor"/>
          </rPr>
          <t>Dat's MacBook Pro:
+1400</t>
        </r>
      </text>
    </comment>
    <comment ref="B11" authorId="4" shapeId="0" xr:uid="{00000000-0006-0000-6700-00000E000000}">
      <text>
        <r>
          <rPr>
            <sz val="12"/>
            <color theme="1"/>
            <rFont val="Aptos Narrow"/>
            <family val="2"/>
            <scheme val="minor"/>
          </rPr>
          <t>Tặng phiếu mua hàng mua AirPods và Apple Watch trị giá 500,000đ
 Phiếu mua hàng mua sản phẩm giá niêm yết từ 5 triệu thuộc các nhóm TAI NGHE - LOA hãng HARMAN KARDON, JBL,MONSTER, KLIPSCH, MARSHALL, SONY; Smartwatch hãng HUAWEI, GARMIN, SAMSUNG, IMOO, OPPO, AMAZFIT trị giá 500.000đ</t>
        </r>
      </text>
    </comment>
    <comment ref="D12" authorId="2" shapeId="0" xr:uid="{00000000-0006-0000-6700-00000F000000}">
      <text>
        <r>
          <rPr>
            <sz val="12"/>
            <color theme="1"/>
            <rFont val="Aptos Narrow"/>
            <family val="2"/>
            <scheme val="minor"/>
          </rPr>
          <t>chit trang:
17.590</t>
        </r>
      </text>
    </comment>
    <comment ref="E12" authorId="1" shapeId="0" xr:uid="{00000000-0006-0000-6700-000010000000}">
      <text>
        <r>
          <rPr>
            <sz val="12"/>
            <color theme="1"/>
            <rFont val="Aptos Narrow"/>
            <family val="2"/>
            <scheme val="minor"/>
          </rPr>
          <t xml:space="preserve">was 17690
</t>
        </r>
      </text>
    </comment>
    <comment ref="G12" authorId="3" shapeId="0" xr:uid="{00000000-0006-0000-6700-000011000000}">
      <text>
        <r>
          <rPr>
            <sz val="12"/>
            <color theme="1"/>
            <rFont val="Aptos Narrow"/>
            <family val="2"/>
            <scheme val="minor"/>
          </rPr>
          <t>Dat's MacBook Pro:
+1300</t>
        </r>
      </text>
    </comment>
    <comment ref="D14" authorId="0" shapeId="0" xr:uid="{00000000-0006-0000-6700-000012000000}">
      <text>
        <r>
          <rPr>
            <sz val="12"/>
            <color theme="1"/>
            <rFont val="Aptos Narrow"/>
            <family val="2"/>
            <scheme val="minor"/>
          </rPr>
          <t>Người dùng Không xác định:
13.990</t>
        </r>
      </text>
    </comment>
    <comment ref="B15" authorId="4" shapeId="0" xr:uid="{00000000-0006-0000-6700-000013000000}">
      <text>
        <r>
          <rPr>
            <sz val="12"/>
            <color theme="1"/>
            <rFont val="Aptos Narrow"/>
            <family val="2"/>
            <scheme val="minor"/>
          </rPr>
          <t>was 13190
VNP100</t>
        </r>
      </text>
    </comment>
    <comment ref="C16" authorId="5" shapeId="0" xr:uid="{00000000-0006-0000-6700-000014000000}">
      <text>
        <r>
          <rPr>
            <sz val="12"/>
            <color theme="1"/>
            <rFont val="Aptos Narrow"/>
            <family val="2"/>
            <scheme val="minor"/>
          </rPr>
          <t>danielnguyen6111998@gmail.com:
13090000</t>
        </r>
      </text>
    </comment>
    <comment ref="D16" authorId="2" shapeId="0" xr:uid="{00000000-0006-0000-6700-000015000000}">
      <text>
        <r>
          <rPr>
            <sz val="12"/>
            <color theme="1"/>
            <rFont val="Aptos Narrow"/>
            <family val="2"/>
            <scheme val="minor"/>
          </rPr>
          <t>chit trang:
13.190</t>
        </r>
      </text>
    </comment>
    <comment ref="E16" authorId="1" shapeId="0" xr:uid="{00000000-0006-0000-6700-000016000000}">
      <text>
        <r>
          <rPr>
            <sz val="12"/>
            <color theme="1"/>
            <rFont val="Aptos Narrow"/>
            <family val="2"/>
            <scheme val="minor"/>
          </rPr>
          <t xml:space="preserve">was 13290
</t>
        </r>
      </text>
    </comment>
    <comment ref="G16" authorId="3" shapeId="0" xr:uid="{00000000-0006-0000-6700-000017000000}">
      <text>
        <r>
          <rPr>
            <sz val="12"/>
            <color theme="1"/>
            <rFont val="Aptos Narrow"/>
            <family val="2"/>
            <scheme val="minor"/>
          </rPr>
          <t>Dat's MacBook Pro:
13390</t>
        </r>
      </text>
    </comment>
    <comment ref="B17" authorId="4" shapeId="0" xr:uid="{00000000-0006-0000-6700-000018000000}">
      <text>
        <r>
          <rPr>
            <sz val="12"/>
            <color theme="1"/>
            <rFont val="Aptos Narrow"/>
            <family val="2"/>
            <scheme val="minor"/>
          </rPr>
          <t>was 7040
VNP40</t>
        </r>
      </text>
    </comment>
    <comment ref="C17" authorId="0" shapeId="0" xr:uid="{00000000-0006-0000-6700-000019000000}">
      <text>
        <r>
          <rPr>
            <sz val="12"/>
            <color theme="1"/>
            <rFont val="Aptos Narrow"/>
            <family val="2"/>
            <scheme val="minor"/>
          </rPr>
          <t>Người dùng Không xác định:
9490000</t>
        </r>
      </text>
    </comment>
    <comment ref="B18" authorId="4" shapeId="0" xr:uid="{00000000-0006-0000-6700-00001A000000}">
      <text>
        <r>
          <rPr>
            <sz val="12"/>
            <color theme="1"/>
            <rFont val="Aptos Narrow"/>
            <family val="2"/>
            <scheme val="minor"/>
          </rPr>
          <t>was 14390</t>
        </r>
      </text>
    </comment>
    <comment ref="C18" authorId="5" shapeId="0" xr:uid="{00000000-0006-0000-6700-00001B000000}">
      <text>
        <r>
          <rPr>
            <sz val="12"/>
            <color theme="1"/>
            <rFont val="Aptos Narrow"/>
            <family val="2"/>
            <scheme val="minor"/>
          </rPr>
          <t xml:space="preserve">danielnguyen6111998@gmail.com:
15190000
</t>
        </r>
      </text>
    </comment>
    <comment ref="D18" authorId="2" shapeId="0" xr:uid="{00000000-0006-0000-6700-00001C000000}">
      <text>
        <r>
          <rPr>
            <sz val="12"/>
            <color theme="1"/>
            <rFont val="Aptos Narrow"/>
            <family val="2"/>
            <scheme val="minor"/>
          </rPr>
          <t>chit trang:
15.190</t>
        </r>
      </text>
    </comment>
    <comment ref="G18" authorId="3" shapeId="0" xr:uid="{00000000-0006-0000-6700-00001D000000}">
      <text>
        <r>
          <rPr>
            <sz val="12"/>
            <color theme="1"/>
            <rFont val="Aptos Narrow"/>
            <family val="2"/>
            <scheme val="minor"/>
          </rPr>
          <t>Dat's MacBook Pro:
12990</t>
        </r>
      </text>
    </comment>
    <comment ref="D19" authorId="0" shapeId="0" xr:uid="{00000000-0006-0000-6700-00001E000000}">
      <text>
        <r>
          <rPr>
            <sz val="12"/>
            <color theme="1"/>
            <rFont val="Aptos Narrow"/>
            <family val="2"/>
            <scheme val="minor"/>
          </rPr>
          <t>Người dùng Không xác định:
16.690</t>
        </r>
      </text>
    </comment>
    <comment ref="C23" authorId="0" shapeId="0" xr:uid="{00000000-0006-0000-6700-00001F000000}">
      <text>
        <r>
          <rPr>
            <sz val="12"/>
            <color theme="1"/>
            <rFont val="Aptos Narrow"/>
            <family val="2"/>
            <scheme val="minor"/>
          </rPr>
          <t>Người dùng Không xác định:
38690000</t>
        </r>
      </text>
    </comment>
    <comment ref="C24" authorId="0" shapeId="0" xr:uid="{00000000-0006-0000-6700-000020000000}">
      <text>
        <r>
          <rPr>
            <sz val="12"/>
            <color theme="1"/>
            <rFont val="Aptos Narrow"/>
            <family val="2"/>
            <scheme val="minor"/>
          </rPr>
          <t>Người dùng Không xác định:
6790000</t>
        </r>
      </text>
    </comment>
    <comment ref="D24" authorId="2" shapeId="0" xr:uid="{00000000-0006-0000-6700-000021000000}">
      <text>
        <r>
          <rPr>
            <sz val="12"/>
            <color theme="1"/>
            <rFont val="Aptos Narrow"/>
            <family val="2"/>
            <scheme val="minor"/>
          </rPr>
          <t>chit trang:
6.790</t>
        </r>
      </text>
    </comment>
    <comment ref="E24" authorId="1" shapeId="0" xr:uid="{00000000-0006-0000-6700-000022000000}">
      <text>
        <r>
          <rPr>
            <sz val="12"/>
            <color theme="1"/>
            <rFont val="Aptos Narrow"/>
            <family val="2"/>
            <scheme val="minor"/>
          </rPr>
          <t xml:space="preserve">was 5990
</t>
        </r>
      </text>
    </comment>
    <comment ref="C25" authorId="0" shapeId="0" xr:uid="{00000000-0006-0000-6700-000023000000}">
      <text>
        <r>
          <rPr>
            <sz val="12"/>
            <color theme="1"/>
            <rFont val="Aptos Narrow"/>
            <family val="2"/>
            <scheme val="minor"/>
          </rPr>
          <t>Người dùng Không xác định:
8390000</t>
        </r>
      </text>
    </comment>
    <comment ref="D25" authorId="0" shapeId="0" xr:uid="{00000000-0006-0000-6700-000024000000}">
      <text>
        <r>
          <rPr>
            <sz val="12"/>
            <color theme="1"/>
            <rFont val="Aptos Narrow"/>
            <family val="2"/>
            <scheme val="minor"/>
          </rPr>
          <t>Người dùng Không xác định:
8.290</t>
        </r>
      </text>
    </comment>
    <comment ref="E25" authorId="1" shapeId="0" xr:uid="{00000000-0006-0000-6700-000025000000}">
      <text>
        <r>
          <rPr>
            <sz val="12"/>
            <color theme="1"/>
            <rFont val="Aptos Narrow"/>
            <family val="2"/>
            <scheme val="minor"/>
          </rPr>
          <t xml:space="preserve">was 7490
</t>
        </r>
      </text>
    </comment>
    <comment ref="C26" authorId="0" shapeId="0" xr:uid="{00000000-0006-0000-6700-000026000000}">
      <text>
        <r>
          <rPr>
            <sz val="12"/>
            <color theme="1"/>
            <rFont val="Aptos Narrow"/>
            <family val="2"/>
            <scheme val="minor"/>
          </rPr>
          <t>Người dùng Không xác định:
7690000</t>
        </r>
      </text>
    </comment>
    <comment ref="D26" authorId="0" shapeId="0" xr:uid="{00000000-0006-0000-6700-000027000000}">
      <text>
        <r>
          <rPr>
            <sz val="12"/>
            <color theme="1"/>
            <rFont val="Aptos Narrow"/>
            <family val="2"/>
            <scheme val="minor"/>
          </rPr>
          <t>Người dùng Không xác định:
7.690</t>
        </r>
      </text>
    </comment>
    <comment ref="E26" authorId="1" shapeId="0" xr:uid="{00000000-0006-0000-6700-000028000000}">
      <text>
        <r>
          <rPr>
            <sz val="12"/>
            <color theme="1"/>
            <rFont val="Aptos Narrow"/>
            <family val="2"/>
            <scheme val="minor"/>
          </rPr>
          <t xml:space="preserve">was 6890
</t>
        </r>
      </text>
    </comment>
    <comment ref="C27" authorId="0" shapeId="0" xr:uid="{00000000-0006-0000-6700-000029000000}">
      <text>
        <r>
          <rPr>
            <sz val="12"/>
            <color theme="1"/>
            <rFont val="Aptos Narrow"/>
            <family val="2"/>
            <scheme val="minor"/>
          </rPr>
          <t>Người dùng Không xác định:
9190000</t>
        </r>
      </text>
    </comment>
    <comment ref="D27" authorId="0" shapeId="0" xr:uid="{00000000-0006-0000-6700-00002A000000}">
      <text>
        <r>
          <rPr>
            <sz val="12"/>
            <color theme="1"/>
            <rFont val="Aptos Narrow"/>
            <family val="2"/>
            <scheme val="minor"/>
          </rPr>
          <t>Người dùng Không xác định:
9.190</t>
        </r>
      </text>
    </comment>
    <comment ref="E27" authorId="1" shapeId="0" xr:uid="{00000000-0006-0000-6700-00002B000000}">
      <text>
        <r>
          <rPr>
            <sz val="12"/>
            <color theme="1"/>
            <rFont val="Aptos Narrow"/>
            <family val="2"/>
            <scheme val="minor"/>
          </rPr>
          <t xml:space="preserve">was 8490
</t>
        </r>
      </text>
    </comment>
    <comment ref="C28" authorId="0" shapeId="0" xr:uid="{00000000-0006-0000-6700-00002C000000}">
      <text>
        <r>
          <rPr>
            <sz val="12"/>
            <color theme="1"/>
            <rFont val="Aptos Narrow"/>
            <family val="2"/>
            <scheme val="minor"/>
          </rPr>
          <t>Người dùng Không xác định:
11190000</t>
        </r>
      </text>
    </comment>
    <comment ref="D28" authorId="2" shapeId="0" xr:uid="{00000000-0006-0000-6700-00002D000000}">
      <text>
        <r>
          <rPr>
            <sz val="12"/>
            <color theme="1"/>
            <rFont val="Aptos Narrow"/>
            <family val="2"/>
            <scheme val="minor"/>
          </rPr>
          <t>chit trang:
10.990</t>
        </r>
      </text>
    </comment>
    <comment ref="E28" authorId="1" shapeId="0" xr:uid="{00000000-0006-0000-6700-00002E000000}">
      <text>
        <r>
          <rPr>
            <sz val="12"/>
            <color theme="1"/>
            <rFont val="Aptos Narrow"/>
            <family val="2"/>
            <scheme val="minor"/>
          </rPr>
          <t xml:space="preserve">was 10190
</t>
        </r>
      </text>
    </comment>
    <comment ref="D29" authorId="0" shapeId="0" xr:uid="{00000000-0006-0000-6700-00002F000000}">
      <text>
        <r>
          <rPr>
            <sz val="12"/>
            <color theme="1"/>
            <rFont val="Aptos Narrow"/>
            <family val="2"/>
            <scheme val="minor"/>
          </rPr>
          <t>Người dùng Không xác định:
14.090</t>
        </r>
      </text>
    </comment>
    <comment ref="E29" authorId="1" shapeId="0" xr:uid="{00000000-0006-0000-6700-000030000000}">
      <text>
        <r>
          <rPr>
            <sz val="12"/>
            <color theme="1"/>
            <rFont val="Aptos Narrow"/>
            <family val="2"/>
            <scheme val="minor"/>
          </rPr>
          <t xml:space="preserve">was 13490
</t>
        </r>
      </text>
    </comment>
    <comment ref="C30" authorId="0" shapeId="0" xr:uid="{00000000-0006-0000-6700-000031000000}">
      <text>
        <r>
          <rPr>
            <sz val="12"/>
            <color theme="1"/>
            <rFont val="Aptos Narrow"/>
            <family val="2"/>
            <scheme val="minor"/>
          </rPr>
          <t>Người dùng Không xác định:
11990000</t>
        </r>
      </text>
    </comment>
    <comment ref="D30" authorId="0" shapeId="0" xr:uid="{00000000-0006-0000-6700-000032000000}">
      <text>
        <r>
          <rPr>
            <sz val="12"/>
            <color theme="1"/>
            <rFont val="Aptos Narrow"/>
            <family val="2"/>
            <scheme val="minor"/>
          </rPr>
          <t>Người dùng Không xác định:
9.990</t>
        </r>
      </text>
    </comment>
    <comment ref="E30" authorId="1" shapeId="0" xr:uid="{00000000-0006-0000-6700-000033000000}">
      <text>
        <r>
          <rPr>
            <sz val="12"/>
            <color theme="1"/>
            <rFont val="Aptos Narrow"/>
            <family val="2"/>
            <scheme val="minor"/>
          </rPr>
          <t xml:space="preserve">was 10990
</t>
        </r>
      </text>
    </comment>
    <comment ref="C31" authorId="0" shapeId="0" xr:uid="{00000000-0006-0000-6700-000034000000}">
      <text>
        <r>
          <rPr>
            <sz val="12"/>
            <color theme="1"/>
            <rFont val="Aptos Narrow"/>
            <family val="2"/>
            <scheme val="minor"/>
          </rPr>
          <t>Người dùng Không xác định:
14990000</t>
        </r>
      </text>
    </comment>
    <comment ref="D31" authorId="0" shapeId="0" xr:uid="{00000000-0006-0000-6700-000035000000}">
      <text>
        <r>
          <rPr>
            <sz val="12"/>
            <color theme="1"/>
            <rFont val="Aptos Narrow"/>
            <family val="2"/>
            <scheme val="minor"/>
          </rPr>
          <t>Người dùng Không xác định:
14.990</t>
        </r>
      </text>
    </comment>
    <comment ref="E31" authorId="1" shapeId="0" xr:uid="{00000000-0006-0000-6700-000036000000}">
      <text>
        <r>
          <rPr>
            <sz val="12"/>
            <color theme="1"/>
            <rFont val="Aptos Narrow"/>
            <family val="2"/>
            <scheme val="minor"/>
          </rPr>
          <t xml:space="preserve">was 13990
</t>
        </r>
      </text>
    </comment>
    <comment ref="E32" authorId="1" shapeId="0" xr:uid="{00000000-0006-0000-6700-000037000000}">
      <text>
        <r>
          <rPr>
            <sz val="12"/>
            <color theme="1"/>
            <rFont val="Aptos Narrow"/>
            <family val="2"/>
            <scheme val="minor"/>
          </rPr>
          <t xml:space="preserve">was 21990
</t>
        </r>
      </text>
    </comment>
    <comment ref="B33" authorId="4" shapeId="0" xr:uid="{00000000-0006-0000-6700-000038000000}">
      <text>
        <r>
          <rPr>
            <sz val="12"/>
            <color theme="1"/>
            <rFont val="Aptos Narrow"/>
            <family val="2"/>
            <scheme val="minor"/>
          </rPr>
          <t>was 5550
VNP40</t>
        </r>
      </text>
    </comment>
    <comment ref="B34" authorId="4" shapeId="0" xr:uid="{00000000-0006-0000-6700-000039000000}">
      <text>
        <r>
          <rPr>
            <sz val="12"/>
            <color theme="1"/>
            <rFont val="Aptos Narrow"/>
            <family val="2"/>
            <scheme val="minor"/>
          </rPr>
          <t xml:space="preserve">was 4490
</t>
        </r>
      </text>
    </comment>
    <comment ref="C34" authorId="0" shapeId="0" xr:uid="{00000000-0006-0000-6700-00003A000000}">
      <text>
        <r>
          <rPr>
            <sz val="12"/>
            <color theme="1"/>
            <rFont val="Aptos Narrow"/>
            <family val="2"/>
            <scheme val="minor"/>
          </rPr>
          <t>Người dùng Không xác định:
4690000</t>
        </r>
      </text>
    </comment>
    <comment ref="D34" authorId="0" shapeId="0" xr:uid="{00000000-0006-0000-6700-00003B000000}">
      <text>
        <r>
          <rPr>
            <sz val="12"/>
            <color theme="1"/>
            <rFont val="Aptos Narrow"/>
            <family val="2"/>
            <scheme val="minor"/>
          </rPr>
          <t>Người dùng Không xác định:
4.590</t>
        </r>
      </text>
    </comment>
    <comment ref="B35" authorId="4" shapeId="0" xr:uid="{00000000-0006-0000-6700-00003C000000}">
      <text>
        <r>
          <rPr>
            <sz val="12"/>
            <color theme="1"/>
            <rFont val="Aptos Narrow"/>
            <family val="2"/>
            <scheme val="minor"/>
          </rPr>
          <t>was 3190</t>
        </r>
      </text>
    </comment>
    <comment ref="C35" authorId="0" shapeId="0" xr:uid="{00000000-0006-0000-6700-00003D000000}">
      <text>
        <r>
          <rPr>
            <sz val="12"/>
            <color theme="1"/>
            <rFont val="Aptos Narrow"/>
            <family val="2"/>
            <scheme val="minor"/>
          </rPr>
          <t>Người dùng Không xác định:
3490000</t>
        </r>
      </text>
    </comment>
    <comment ref="D35" authorId="0" shapeId="0" xr:uid="{00000000-0006-0000-6700-00003E000000}">
      <text>
        <r>
          <rPr>
            <sz val="12"/>
            <color theme="1"/>
            <rFont val="Aptos Narrow"/>
            <family val="2"/>
            <scheme val="minor"/>
          </rPr>
          <t>Người dùng Không xác định:
3.490</t>
        </r>
      </text>
    </comment>
    <comment ref="E35" authorId="1" shapeId="0" xr:uid="{00000000-0006-0000-6700-00003F000000}">
      <text>
        <r>
          <rPr>
            <sz val="12"/>
            <color theme="1"/>
            <rFont val="Aptos Narrow"/>
            <family val="2"/>
            <scheme val="minor"/>
          </rPr>
          <t xml:space="preserve">was 3290
</t>
        </r>
      </text>
    </comment>
    <comment ref="C36" authorId="0" shapeId="0" xr:uid="{00000000-0006-0000-6700-000040000000}">
      <text>
        <r>
          <rPr>
            <sz val="12"/>
            <color theme="1"/>
            <rFont val="Aptos Narrow"/>
            <family val="2"/>
            <scheme val="minor"/>
          </rPr>
          <t>Người dùng Không xác định:
6590000</t>
        </r>
      </text>
    </comment>
    <comment ref="D36" authorId="0" shapeId="0" xr:uid="{00000000-0006-0000-6700-000041000000}">
      <text>
        <r>
          <rPr>
            <sz val="12"/>
            <color theme="1"/>
            <rFont val="Aptos Narrow"/>
            <family val="2"/>
            <scheme val="minor"/>
          </rPr>
          <t>Người dùng Không xác định:
6.590</t>
        </r>
      </text>
    </comment>
    <comment ref="E36" authorId="1" shapeId="0" xr:uid="{00000000-0006-0000-6700-000042000000}">
      <text>
        <r>
          <rPr>
            <sz val="12"/>
            <color theme="1"/>
            <rFont val="Aptos Narrow"/>
            <family val="2"/>
            <scheme val="minor"/>
          </rPr>
          <t xml:space="preserve">was 6290
</t>
        </r>
      </text>
    </comment>
    <comment ref="D38" authorId="0" shapeId="0" xr:uid="{00000000-0006-0000-6700-000043000000}">
      <text>
        <r>
          <rPr>
            <sz val="12"/>
            <color theme="1"/>
            <rFont val="Aptos Narrow"/>
            <family val="2"/>
            <scheme val="minor"/>
          </rPr>
          <t>Người dùng Không xác định:
16.490</t>
        </r>
      </text>
    </comment>
    <comment ref="C40" authorId="0" shapeId="0" xr:uid="{00000000-0006-0000-6700-000044000000}">
      <text>
        <r>
          <rPr>
            <sz val="12"/>
            <color theme="1"/>
            <rFont val="Aptos Narrow"/>
            <family val="2"/>
            <scheme val="minor"/>
          </rPr>
          <t>Người dùng Không xác định:
29990000</t>
        </r>
      </text>
    </comment>
  </commentList>
</comments>
</file>

<file path=xl/comments105.xml><?xml version="1.0" encoding="utf-8"?>
<comments xmlns="http://schemas.openxmlformats.org/spreadsheetml/2006/main" xmlns:mc="http://schemas.openxmlformats.org/markup-compatibility/2006" xmlns:xr="http://schemas.microsoft.com/office/spreadsheetml/2014/revision" mc:Ignorable="xr">
  <authors>
    <author>Người dùng Khách</author>
    <author>Mia</author>
    <author>Dat's MacBook Pro</author>
    <author>Microsoft Office User</author>
    <author>danielnguyen6111998@gmail.com</author>
    <author>chit trang</author>
  </authors>
  <commentList>
    <comment ref="C2" authorId="0" shapeId="0" xr:uid="{00000000-0006-0000-6800-000001000000}">
      <text>
        <r>
          <rPr>
            <sz val="12"/>
            <color theme="1"/>
            <rFont val="Aptos Narrow"/>
            <family val="2"/>
            <scheme val="minor"/>
          </rPr>
          <t>Người dùng Không xác định:
17.990</t>
        </r>
      </text>
    </comment>
    <comment ref="D3" authorId="0" shapeId="0" xr:uid="{00000000-0006-0000-6800-000002000000}">
      <text>
        <r>
          <rPr>
            <sz val="12"/>
            <color theme="1"/>
            <rFont val="Aptos Narrow"/>
            <family val="2"/>
            <scheme val="minor"/>
          </rPr>
          <t>Người dùng Không xác định:
24.493</t>
        </r>
      </text>
    </comment>
    <comment ref="E3" authorId="1" shapeId="0" xr:uid="{00000000-0006-0000-6800-000003000000}">
      <text>
        <r>
          <rPr>
            <sz val="12"/>
            <color theme="1"/>
            <rFont val="Aptos Narrow"/>
            <family val="2"/>
            <scheme val="minor"/>
          </rPr>
          <t xml:space="preserve">was 23590:
</t>
        </r>
      </text>
    </comment>
    <comment ref="C5" authorId="0" shapeId="0" xr:uid="{00000000-0006-0000-6800-000004000000}">
      <text>
        <r>
          <rPr>
            <sz val="12"/>
            <color theme="1"/>
            <rFont val="Aptos Narrow"/>
            <family val="2"/>
            <scheme val="minor"/>
          </rPr>
          <t>Người dùng Không xác định:
34.890</t>
        </r>
      </text>
    </comment>
    <comment ref="E6" authorId="1" shapeId="0" xr:uid="{00000000-0006-0000-6800-000005000000}">
      <text>
        <r>
          <rPr>
            <sz val="12"/>
            <color theme="1"/>
            <rFont val="Aptos Narrow"/>
            <family val="2"/>
            <scheme val="minor"/>
          </rPr>
          <t xml:space="preserve">was 36090
</t>
        </r>
      </text>
    </comment>
    <comment ref="G8" authorId="2" shapeId="0" xr:uid="{00000000-0006-0000-6800-000006000000}">
      <text>
        <r>
          <rPr>
            <sz val="12"/>
            <color theme="1"/>
            <rFont val="Aptos Narrow"/>
            <family val="2"/>
            <scheme val="minor"/>
          </rPr>
          <t>Dat's MacBook Pro:
+1300</t>
        </r>
      </text>
    </comment>
    <comment ref="B9" authorId="3" shapeId="0" xr:uid="{00000000-0006-0000-6800-000007000000}">
      <text>
        <r>
          <rPr>
            <sz val="12"/>
            <color theme="1"/>
            <rFont val="Aptos Narrow"/>
            <family val="2"/>
            <scheme val="minor"/>
          </rPr>
          <t>was 24640000
VNP150</t>
        </r>
      </text>
    </comment>
    <comment ref="E9" authorId="1" shapeId="0" xr:uid="{00000000-0006-0000-6800-000008000000}">
      <text>
        <r>
          <rPr>
            <sz val="12"/>
            <color theme="1"/>
            <rFont val="Aptos Narrow"/>
            <family val="2"/>
            <scheme val="minor"/>
          </rPr>
          <t xml:space="preserve">was 23990
</t>
        </r>
      </text>
    </comment>
    <comment ref="G9" authorId="2" shapeId="0" xr:uid="{00000000-0006-0000-6800-000009000000}">
      <text>
        <r>
          <rPr>
            <sz val="12"/>
            <color theme="1"/>
            <rFont val="Aptos Narrow"/>
            <family val="2"/>
            <scheme val="minor"/>
          </rPr>
          <t>Dat's MacBook Pro:
+1400</t>
        </r>
      </text>
    </comment>
    <comment ref="B11" authorId="3" shapeId="0" xr:uid="{00000000-0006-0000-6800-00000A000000}">
      <text>
        <r>
          <rPr>
            <sz val="12"/>
            <color theme="1"/>
            <rFont val="Aptos Narrow"/>
            <family val="2"/>
            <scheme val="minor"/>
          </rPr>
          <t>Tặng phiếu mua hàng mua AirPods và Apple Watch trị giá 500,000đ
 Phiếu mua hàng mua sản phẩm giá niêm yết từ 5 triệu thuộc các nhóm TAI NGHE - LOA hãng HARMAN KARDON, JBL,MONSTER, KLIPSCH, MARSHALL, SONY; Smartwatch hãng HUAWEI, GARMIN, SAMSUNG, IMOO, OPPO, AMAZFIT trị giá 500.000đ</t>
        </r>
      </text>
    </comment>
    <comment ref="G12" authorId="2" shapeId="0" xr:uid="{00000000-0006-0000-6800-00000B000000}">
      <text>
        <r>
          <rPr>
            <sz val="12"/>
            <color theme="1"/>
            <rFont val="Aptos Narrow"/>
            <family val="2"/>
            <scheme val="minor"/>
          </rPr>
          <t>Dat's MacBook Pro:
+1300</t>
        </r>
      </text>
    </comment>
    <comment ref="D14" authorId="0" shapeId="0" xr:uid="{00000000-0006-0000-6800-00000C000000}">
      <text>
        <r>
          <rPr>
            <sz val="12"/>
            <color theme="1"/>
            <rFont val="Aptos Narrow"/>
            <family val="2"/>
            <scheme val="minor"/>
          </rPr>
          <t>Người dùng Không xác định:
13.990</t>
        </r>
      </text>
    </comment>
    <comment ref="E14" authorId="1" shapeId="0" xr:uid="{00000000-0006-0000-6800-00000D000000}">
      <text>
        <r>
          <rPr>
            <sz val="12"/>
            <color theme="1"/>
            <rFont val="Aptos Narrow"/>
            <family val="2"/>
            <scheme val="minor"/>
          </rPr>
          <t xml:space="preserve">was 13790
</t>
        </r>
      </text>
    </comment>
    <comment ref="B15" authorId="3" shapeId="0" xr:uid="{00000000-0006-0000-6800-00000E000000}">
      <text>
        <r>
          <rPr>
            <sz val="12"/>
            <color theme="1"/>
            <rFont val="Aptos Narrow"/>
            <family val="2"/>
            <scheme val="minor"/>
          </rPr>
          <t>was 13190
VNP100</t>
        </r>
      </text>
    </comment>
    <comment ref="E15" authorId="1" shapeId="0" xr:uid="{00000000-0006-0000-6800-00000F000000}">
      <text>
        <r>
          <rPr>
            <sz val="12"/>
            <color theme="1"/>
            <rFont val="Aptos Narrow"/>
            <family val="2"/>
            <scheme val="minor"/>
          </rPr>
          <t xml:space="preserve">was 12090
</t>
        </r>
      </text>
    </comment>
    <comment ref="C16" authorId="4" shapeId="0" xr:uid="{00000000-0006-0000-6800-000010000000}">
      <text>
        <r>
          <rPr>
            <sz val="12"/>
            <color theme="1"/>
            <rFont val="Aptos Narrow"/>
            <family val="2"/>
            <scheme val="minor"/>
          </rPr>
          <t>danielnguyen6111998@gmail.com:
13090000</t>
        </r>
      </text>
    </comment>
    <comment ref="D16" authorId="5" shapeId="0" xr:uid="{00000000-0006-0000-6800-000011000000}">
      <text>
        <r>
          <rPr>
            <sz val="12"/>
            <color theme="1"/>
            <rFont val="Aptos Narrow"/>
            <family val="2"/>
            <scheme val="minor"/>
          </rPr>
          <t>chit trang:
13.190</t>
        </r>
      </text>
    </comment>
    <comment ref="E16" authorId="1" shapeId="0" xr:uid="{00000000-0006-0000-6800-000012000000}">
      <text>
        <r>
          <rPr>
            <sz val="12"/>
            <color theme="1"/>
            <rFont val="Aptos Narrow"/>
            <family val="2"/>
            <scheme val="minor"/>
          </rPr>
          <t xml:space="preserve">was 13090
</t>
        </r>
      </text>
    </comment>
    <comment ref="G16" authorId="2" shapeId="0" xr:uid="{00000000-0006-0000-6800-000013000000}">
      <text>
        <r>
          <rPr>
            <sz val="12"/>
            <color theme="1"/>
            <rFont val="Aptos Narrow"/>
            <family val="2"/>
            <scheme val="minor"/>
          </rPr>
          <t>Dat's MacBook Pro:
13390</t>
        </r>
      </text>
    </comment>
    <comment ref="B17" authorId="3" shapeId="0" xr:uid="{00000000-0006-0000-6800-000014000000}">
      <text>
        <r>
          <rPr>
            <sz val="12"/>
            <color theme="1"/>
            <rFont val="Aptos Narrow"/>
            <family val="2"/>
            <scheme val="minor"/>
          </rPr>
          <t>was 7040
VNP40</t>
        </r>
      </text>
    </comment>
    <comment ref="C17" authorId="0" shapeId="0" xr:uid="{00000000-0006-0000-6800-000015000000}">
      <text>
        <r>
          <rPr>
            <sz val="12"/>
            <color theme="1"/>
            <rFont val="Aptos Narrow"/>
            <family val="2"/>
            <scheme val="minor"/>
          </rPr>
          <t>Người dùng Không xác định:
9490000</t>
        </r>
      </text>
    </comment>
    <comment ref="B18" authorId="3" shapeId="0" xr:uid="{00000000-0006-0000-6800-000016000000}">
      <text>
        <r>
          <rPr>
            <sz val="12"/>
            <color theme="1"/>
            <rFont val="Aptos Narrow"/>
            <family val="2"/>
            <scheme val="minor"/>
          </rPr>
          <t>was 14390</t>
        </r>
      </text>
    </comment>
    <comment ref="C18" authorId="4" shapeId="0" xr:uid="{00000000-0006-0000-6800-000017000000}">
      <text>
        <r>
          <rPr>
            <sz val="12"/>
            <color theme="1"/>
            <rFont val="Aptos Narrow"/>
            <family val="2"/>
            <scheme val="minor"/>
          </rPr>
          <t xml:space="preserve">danielnguyen6111998@gmail.com:
15190000
</t>
        </r>
      </text>
    </comment>
    <comment ref="G18" authorId="2" shapeId="0" xr:uid="{00000000-0006-0000-6800-000018000000}">
      <text>
        <r>
          <rPr>
            <sz val="12"/>
            <color theme="1"/>
            <rFont val="Aptos Narrow"/>
            <family val="2"/>
            <scheme val="minor"/>
          </rPr>
          <t>Dat's MacBook Pro:
12990</t>
        </r>
      </text>
    </comment>
    <comment ref="D19" authorId="0" shapeId="0" xr:uid="{00000000-0006-0000-6800-000019000000}">
      <text>
        <r>
          <rPr>
            <sz val="12"/>
            <color theme="1"/>
            <rFont val="Aptos Narrow"/>
            <family val="2"/>
            <scheme val="minor"/>
          </rPr>
          <t>Người dùng Không xác định:
16.690</t>
        </r>
      </text>
    </comment>
    <comment ref="C23" authorId="0" shapeId="0" xr:uid="{00000000-0006-0000-6800-00001A000000}">
      <text>
        <r>
          <rPr>
            <sz val="12"/>
            <color theme="1"/>
            <rFont val="Aptos Narrow"/>
            <family val="2"/>
            <scheme val="minor"/>
          </rPr>
          <t>Người dùng Không xác định:
38690000</t>
        </r>
      </text>
    </comment>
    <comment ref="C24" authorId="0" shapeId="0" xr:uid="{00000000-0006-0000-6800-00001B000000}">
      <text>
        <r>
          <rPr>
            <sz val="12"/>
            <color theme="1"/>
            <rFont val="Aptos Narrow"/>
            <family val="2"/>
            <scheme val="minor"/>
          </rPr>
          <t>Người dùng Không xác định:
6790000</t>
        </r>
      </text>
    </comment>
    <comment ref="D24" authorId="5" shapeId="0" xr:uid="{00000000-0006-0000-6800-00001C000000}">
      <text>
        <r>
          <rPr>
            <sz val="12"/>
            <color theme="1"/>
            <rFont val="Aptos Narrow"/>
            <family val="2"/>
            <scheme val="minor"/>
          </rPr>
          <t>chit trang:
6.290</t>
        </r>
      </text>
    </comment>
    <comment ref="C25" authorId="0" shapeId="0" xr:uid="{00000000-0006-0000-6800-00001D000000}">
      <text>
        <r>
          <rPr>
            <sz val="12"/>
            <color theme="1"/>
            <rFont val="Aptos Narrow"/>
            <family val="2"/>
            <scheme val="minor"/>
          </rPr>
          <t>Người dùng Không xác định:
8390000</t>
        </r>
      </text>
    </comment>
    <comment ref="C26" authorId="0" shapeId="0" xr:uid="{00000000-0006-0000-6800-00001E000000}">
      <text>
        <r>
          <rPr>
            <sz val="12"/>
            <color theme="1"/>
            <rFont val="Aptos Narrow"/>
            <family val="2"/>
            <scheme val="minor"/>
          </rPr>
          <t>Người dùng Không xác định:
7690000</t>
        </r>
      </text>
    </comment>
    <comment ref="C27" authorId="0" shapeId="0" xr:uid="{00000000-0006-0000-6800-00001F000000}">
      <text>
        <r>
          <rPr>
            <sz val="12"/>
            <color theme="1"/>
            <rFont val="Aptos Narrow"/>
            <family val="2"/>
            <scheme val="minor"/>
          </rPr>
          <t>Người dùng Không xác định:
9190000</t>
        </r>
      </text>
    </comment>
    <comment ref="C28" authorId="0" shapeId="0" xr:uid="{00000000-0006-0000-6800-000020000000}">
      <text>
        <r>
          <rPr>
            <sz val="12"/>
            <color theme="1"/>
            <rFont val="Aptos Narrow"/>
            <family val="2"/>
            <scheme val="minor"/>
          </rPr>
          <t>Người dùng Không xác định:
11190000</t>
        </r>
      </text>
    </comment>
    <comment ref="D28" authorId="5" shapeId="0" xr:uid="{00000000-0006-0000-6800-000021000000}">
      <text>
        <r>
          <rPr>
            <sz val="12"/>
            <color theme="1"/>
            <rFont val="Aptos Narrow"/>
            <family val="2"/>
            <scheme val="minor"/>
          </rPr>
          <t>11.190</t>
        </r>
      </text>
    </comment>
    <comment ref="C30" authorId="0" shapeId="0" xr:uid="{00000000-0006-0000-6800-000022000000}">
      <text>
        <r>
          <rPr>
            <sz val="12"/>
            <color theme="1"/>
            <rFont val="Aptos Narrow"/>
            <family val="2"/>
            <scheme val="minor"/>
          </rPr>
          <t>Người dùng Không xác định:
11990000</t>
        </r>
      </text>
    </comment>
    <comment ref="C31" authorId="0" shapeId="0" xr:uid="{00000000-0006-0000-6800-000023000000}">
      <text>
        <r>
          <rPr>
            <sz val="12"/>
            <color theme="1"/>
            <rFont val="Aptos Narrow"/>
            <family val="2"/>
            <scheme val="minor"/>
          </rPr>
          <t>Người dùng Không xác định:
14990000</t>
        </r>
      </text>
    </comment>
    <comment ref="B33" authorId="3" shapeId="0" xr:uid="{00000000-0006-0000-6800-000024000000}">
      <text>
        <r>
          <rPr>
            <sz val="12"/>
            <color theme="1"/>
            <rFont val="Aptos Narrow"/>
            <family val="2"/>
            <scheme val="minor"/>
          </rPr>
          <t>was 5550
VNP40</t>
        </r>
      </text>
    </comment>
    <comment ref="B34" authorId="3" shapeId="0" xr:uid="{00000000-0006-0000-6800-000025000000}">
      <text>
        <r>
          <rPr>
            <sz val="12"/>
            <color theme="1"/>
            <rFont val="Aptos Narrow"/>
            <family val="2"/>
            <scheme val="minor"/>
          </rPr>
          <t xml:space="preserve">was 4490
</t>
        </r>
      </text>
    </comment>
    <comment ref="C34" authorId="0" shapeId="0" xr:uid="{00000000-0006-0000-6800-000026000000}">
      <text>
        <r>
          <rPr>
            <sz val="12"/>
            <color theme="1"/>
            <rFont val="Aptos Narrow"/>
            <family val="2"/>
            <scheme val="minor"/>
          </rPr>
          <t>Người dùng Không xác định:
4690000</t>
        </r>
      </text>
    </comment>
    <comment ref="B35" authorId="3" shapeId="0" xr:uid="{00000000-0006-0000-6800-000027000000}">
      <text>
        <r>
          <rPr>
            <sz val="12"/>
            <color theme="1"/>
            <rFont val="Aptos Narrow"/>
            <family val="2"/>
            <scheme val="minor"/>
          </rPr>
          <t>was 3190</t>
        </r>
      </text>
    </comment>
    <comment ref="C35" authorId="0" shapeId="0" xr:uid="{00000000-0006-0000-6800-000028000000}">
      <text>
        <r>
          <rPr>
            <sz val="12"/>
            <color theme="1"/>
            <rFont val="Aptos Narrow"/>
            <family val="2"/>
            <scheme val="minor"/>
          </rPr>
          <t>Người dùng Không xác định:
3490000</t>
        </r>
      </text>
    </comment>
    <comment ref="D35" authorId="0" shapeId="0" xr:uid="{00000000-0006-0000-6800-000029000000}">
      <text>
        <r>
          <rPr>
            <sz val="12"/>
            <color theme="1"/>
            <rFont val="Aptos Narrow"/>
            <family val="2"/>
            <scheme val="minor"/>
          </rPr>
          <t>Người dùng Không xác định:
3.090</t>
        </r>
      </text>
    </comment>
    <comment ref="C36" authorId="0" shapeId="0" xr:uid="{00000000-0006-0000-6800-00002A000000}">
      <text>
        <r>
          <rPr>
            <sz val="12"/>
            <color theme="1"/>
            <rFont val="Aptos Narrow"/>
            <family val="2"/>
            <scheme val="minor"/>
          </rPr>
          <t>Người dùng Không xác định:
6590000</t>
        </r>
      </text>
    </comment>
    <comment ref="D37" authorId="0" shapeId="0" xr:uid="{00000000-0006-0000-6800-00002B000000}">
      <text>
        <r>
          <rPr>
            <sz val="12"/>
            <color theme="1"/>
            <rFont val="Aptos Narrow"/>
            <family val="2"/>
            <scheme val="minor"/>
          </rPr>
          <t>Người dùng Không xác định:
29.990</t>
        </r>
      </text>
    </comment>
    <comment ref="C40" authorId="0" shapeId="0" xr:uid="{00000000-0006-0000-6800-00002C000000}">
      <text>
        <r>
          <rPr>
            <sz val="12"/>
            <color theme="1"/>
            <rFont val="Aptos Narrow"/>
            <family val="2"/>
            <scheme val="minor"/>
          </rPr>
          <t>Người dùng Không xác định:
299900</t>
        </r>
      </text>
    </comment>
  </commentList>
</comments>
</file>

<file path=xl/comments106.xml><?xml version="1.0" encoding="utf-8"?>
<comments xmlns="http://schemas.openxmlformats.org/spreadsheetml/2006/main" xmlns:mc="http://schemas.openxmlformats.org/markup-compatibility/2006" xmlns:xr="http://schemas.microsoft.com/office/spreadsheetml/2014/revision" mc:Ignorable="xr">
  <authors>
    <author>Người dùng Khách</author>
    <author>Mia</author>
    <author>Dat's MacBook Pro</author>
    <author>Microsoft Office User</author>
    <author>danielnguyen6111998@gmail.com</author>
    <author>chit trang</author>
  </authors>
  <commentList>
    <comment ref="C2" authorId="0" shapeId="0" xr:uid="{00000000-0006-0000-6900-000001000000}">
      <text>
        <r>
          <rPr>
            <sz val="12"/>
            <color theme="1"/>
            <rFont val="Aptos Narrow"/>
            <family val="2"/>
            <scheme val="minor"/>
          </rPr>
          <t>Người dùng Không xác định:
17490000</t>
        </r>
      </text>
    </comment>
    <comment ref="C3" authorId="0" shapeId="0" xr:uid="{00000000-0006-0000-6900-000002000000}">
      <text>
        <r>
          <rPr>
            <sz val="12"/>
            <color theme="1"/>
            <rFont val="Aptos Narrow"/>
            <family val="2"/>
            <scheme val="minor"/>
          </rPr>
          <t>Người dùng Không xác định:
24490000</t>
        </r>
      </text>
    </comment>
    <comment ref="E3" authorId="1" shapeId="0" xr:uid="{00000000-0006-0000-6900-000003000000}">
      <text>
        <r>
          <rPr>
            <sz val="12"/>
            <color theme="1"/>
            <rFont val="Aptos Narrow"/>
            <family val="2"/>
            <scheme val="minor"/>
          </rPr>
          <t xml:space="preserve">was 23490:
</t>
        </r>
      </text>
    </comment>
    <comment ref="C5" authorId="0" shapeId="0" xr:uid="{00000000-0006-0000-6900-000004000000}">
      <text>
        <r>
          <rPr>
            <sz val="12"/>
            <color theme="1"/>
            <rFont val="Aptos Narrow"/>
            <family val="2"/>
            <scheme val="minor"/>
          </rPr>
          <t>Người dùng Không xác định:
34.890</t>
        </r>
      </text>
    </comment>
    <comment ref="C8" authorId="0" shapeId="0" xr:uid="{00000000-0006-0000-6900-000005000000}">
      <text>
        <r>
          <rPr>
            <sz val="12"/>
            <color theme="1"/>
            <rFont val="Aptos Narrow"/>
            <family val="2"/>
            <scheme val="minor"/>
          </rPr>
          <t>Người dùng Không xác định:
19990000</t>
        </r>
      </text>
    </comment>
    <comment ref="D8" authorId="0" shapeId="0" xr:uid="{00000000-0006-0000-6900-000006000000}">
      <text>
        <r>
          <rPr>
            <sz val="12"/>
            <color theme="1"/>
            <rFont val="Aptos Narrow"/>
            <family val="2"/>
            <scheme val="minor"/>
          </rPr>
          <t>Người dùng Không xác định:
19.990</t>
        </r>
      </text>
    </comment>
    <comment ref="G8" authorId="2" shapeId="0" xr:uid="{00000000-0006-0000-6900-000007000000}">
      <text>
        <r>
          <rPr>
            <sz val="12"/>
            <color theme="1"/>
            <rFont val="Aptos Narrow"/>
            <family val="2"/>
            <scheme val="minor"/>
          </rPr>
          <t>Dat's MacBook Pro:
+1300</t>
        </r>
      </text>
    </comment>
    <comment ref="B9" authorId="3" shapeId="0" xr:uid="{00000000-0006-0000-6900-000008000000}">
      <text>
        <r>
          <rPr>
            <sz val="12"/>
            <color theme="1"/>
            <rFont val="Aptos Narrow"/>
            <family val="2"/>
            <scheme val="minor"/>
          </rPr>
          <t>was 24640000
VNP150</t>
        </r>
      </text>
    </comment>
    <comment ref="C9" authorId="0" shapeId="0" xr:uid="{00000000-0006-0000-6900-000009000000}">
      <text>
        <r>
          <rPr>
            <sz val="12"/>
            <color theme="1"/>
            <rFont val="Aptos Narrow"/>
            <family val="2"/>
            <scheme val="minor"/>
          </rPr>
          <t>Người dùng Không xác định:
23990000</t>
        </r>
      </text>
    </comment>
    <comment ref="D9" authorId="0" shapeId="0" xr:uid="{00000000-0006-0000-6900-00000A000000}">
      <text>
        <r>
          <rPr>
            <sz val="12"/>
            <color theme="1"/>
            <rFont val="Aptos Narrow"/>
            <family val="2"/>
            <scheme val="minor"/>
          </rPr>
          <t>Người dùng Không xác định:
23.490</t>
        </r>
      </text>
    </comment>
    <comment ref="G9" authorId="2" shapeId="0" xr:uid="{00000000-0006-0000-6900-00000B000000}">
      <text>
        <r>
          <rPr>
            <sz val="12"/>
            <color theme="1"/>
            <rFont val="Aptos Narrow"/>
            <family val="2"/>
            <scheme val="minor"/>
          </rPr>
          <t>Dat's MacBook Pro:
+1400</t>
        </r>
      </text>
    </comment>
    <comment ref="C10" authorId="0" shapeId="0" xr:uid="{00000000-0006-0000-6900-00000C000000}">
      <text>
        <r>
          <rPr>
            <sz val="12"/>
            <color theme="1"/>
            <rFont val="Aptos Narrow"/>
            <family val="2"/>
            <scheme val="minor"/>
          </rPr>
          <t>Người dùng Không xác định:
17590000</t>
        </r>
      </text>
    </comment>
    <comment ref="D10" authorId="0" shapeId="0" xr:uid="{00000000-0006-0000-6900-00000D000000}">
      <text>
        <r>
          <rPr>
            <sz val="12"/>
            <color theme="1"/>
            <rFont val="Aptos Narrow"/>
            <family val="2"/>
            <scheme val="minor"/>
          </rPr>
          <t>Người dùng Không xác định:
17.490</t>
        </r>
      </text>
    </comment>
    <comment ref="G10" authorId="2" shapeId="0" xr:uid="{00000000-0006-0000-6900-00000E000000}">
      <text>
        <r>
          <rPr>
            <sz val="12"/>
            <color theme="1"/>
            <rFont val="Aptos Narrow"/>
            <family val="2"/>
            <scheme val="minor"/>
          </rPr>
          <t>Dat's MacBook Pro:
+1300</t>
        </r>
      </text>
    </comment>
    <comment ref="D12" authorId="0" shapeId="0" xr:uid="{00000000-0006-0000-6900-00000F000000}">
      <text>
        <r>
          <rPr>
            <sz val="12"/>
            <color theme="1"/>
            <rFont val="Aptos Narrow"/>
            <family val="2"/>
            <scheme val="minor"/>
          </rPr>
          <t>Người dùng Không xác định:
13.490</t>
        </r>
      </text>
    </comment>
    <comment ref="B13" authorId="3" shapeId="0" xr:uid="{00000000-0006-0000-6900-000010000000}">
      <text>
        <r>
          <rPr>
            <sz val="12"/>
            <color theme="1"/>
            <rFont val="Aptos Narrow"/>
            <family val="2"/>
            <scheme val="minor"/>
          </rPr>
          <t>was 13190
VNP100</t>
        </r>
      </text>
    </comment>
    <comment ref="C14" authorId="4" shapeId="0" xr:uid="{00000000-0006-0000-6900-000011000000}">
      <text>
        <r>
          <rPr>
            <sz val="12"/>
            <color theme="1"/>
            <rFont val="Aptos Narrow"/>
            <family val="2"/>
            <scheme val="minor"/>
          </rPr>
          <t>danielnguyen6111998@gmail.com:
13090000</t>
        </r>
      </text>
    </comment>
    <comment ref="D14" authorId="5" shapeId="0" xr:uid="{00000000-0006-0000-6900-000012000000}">
      <text>
        <r>
          <rPr>
            <sz val="12"/>
            <color theme="1"/>
            <rFont val="Aptos Narrow"/>
            <family val="2"/>
            <scheme val="minor"/>
          </rPr>
          <t>chit trang:
13.490</t>
        </r>
      </text>
    </comment>
    <comment ref="G14" authorId="2" shapeId="0" xr:uid="{00000000-0006-0000-6900-000013000000}">
      <text>
        <r>
          <rPr>
            <sz val="12"/>
            <color theme="1"/>
            <rFont val="Aptos Narrow"/>
            <family val="2"/>
            <scheme val="minor"/>
          </rPr>
          <t>Dat's MacBook Pro:
13390</t>
        </r>
      </text>
    </comment>
    <comment ref="B15" authorId="3" shapeId="0" xr:uid="{00000000-0006-0000-6900-000014000000}">
      <text>
        <r>
          <rPr>
            <sz val="12"/>
            <color theme="1"/>
            <rFont val="Aptos Narrow"/>
            <family val="2"/>
            <scheme val="minor"/>
          </rPr>
          <t>was 7040
VNP40</t>
        </r>
      </text>
    </comment>
    <comment ref="C15" authorId="0" shapeId="0" xr:uid="{00000000-0006-0000-6900-000015000000}">
      <text>
        <r>
          <rPr>
            <sz val="12"/>
            <color theme="1"/>
            <rFont val="Aptos Narrow"/>
            <family val="2"/>
            <scheme val="minor"/>
          </rPr>
          <t>Người dùng Không xác định:
9490000</t>
        </r>
      </text>
    </comment>
    <comment ref="B16" authorId="3" shapeId="0" xr:uid="{00000000-0006-0000-6900-000016000000}">
      <text>
        <r>
          <rPr>
            <sz val="12"/>
            <color theme="1"/>
            <rFont val="Aptos Narrow"/>
            <family val="2"/>
            <scheme val="minor"/>
          </rPr>
          <t>was 14390</t>
        </r>
      </text>
    </comment>
    <comment ref="C16" authorId="4" shapeId="0" xr:uid="{00000000-0006-0000-6900-000017000000}">
      <text>
        <r>
          <rPr>
            <sz val="12"/>
            <color theme="1"/>
            <rFont val="Aptos Narrow"/>
            <family val="2"/>
            <scheme val="minor"/>
          </rPr>
          <t>danielnguyen6111998@gmail.com:
14990000</t>
        </r>
      </text>
    </comment>
    <comment ref="G16" authorId="2" shapeId="0" xr:uid="{00000000-0006-0000-6900-000018000000}">
      <text>
        <r>
          <rPr>
            <sz val="12"/>
            <color theme="1"/>
            <rFont val="Aptos Narrow"/>
            <family val="2"/>
            <scheme val="minor"/>
          </rPr>
          <t>Dat's MacBook Pro:
12990</t>
        </r>
      </text>
    </comment>
    <comment ref="C18" authorId="0" shapeId="0" xr:uid="{00000000-0006-0000-6900-000019000000}">
      <text>
        <r>
          <rPr>
            <sz val="12"/>
            <color theme="1"/>
            <rFont val="Aptos Narrow"/>
            <family val="2"/>
            <scheme val="minor"/>
          </rPr>
          <t>Người dùng Không xác định:
19890000</t>
        </r>
      </text>
    </comment>
    <comment ref="D19" authorId="0" shapeId="0" xr:uid="{00000000-0006-0000-6900-00001A000000}">
      <text>
        <r>
          <rPr>
            <sz val="12"/>
            <color theme="1"/>
            <rFont val="Aptos Narrow"/>
            <family val="2"/>
            <scheme val="minor"/>
          </rPr>
          <t>Người dùng Không xác định:
21.990</t>
        </r>
      </text>
    </comment>
    <comment ref="C21" authorId="0" shapeId="0" xr:uid="{00000000-0006-0000-6900-00001B000000}">
      <text>
        <r>
          <rPr>
            <sz val="12"/>
            <color theme="1"/>
            <rFont val="Aptos Narrow"/>
            <family val="2"/>
            <scheme val="minor"/>
          </rPr>
          <t>Người dùng Không xác định:
38690000</t>
        </r>
      </text>
    </comment>
    <comment ref="B31" authorId="3" shapeId="0" xr:uid="{00000000-0006-0000-6900-00001C000000}">
      <text>
        <r>
          <rPr>
            <sz val="12"/>
            <color theme="1"/>
            <rFont val="Aptos Narrow"/>
            <family val="2"/>
            <scheme val="minor"/>
          </rPr>
          <t>was 5550
VNP40</t>
        </r>
      </text>
    </comment>
    <comment ref="B32" authorId="3" shapeId="0" xr:uid="{00000000-0006-0000-6900-00001D000000}">
      <text>
        <r>
          <rPr>
            <sz val="12"/>
            <color theme="1"/>
            <rFont val="Aptos Narrow"/>
            <family val="2"/>
            <scheme val="minor"/>
          </rPr>
          <t xml:space="preserve">was 4490
</t>
        </r>
      </text>
    </comment>
    <comment ref="C32" authorId="0" shapeId="0" xr:uid="{00000000-0006-0000-6900-00001E000000}">
      <text>
        <r>
          <rPr>
            <sz val="12"/>
            <color theme="1"/>
            <rFont val="Aptos Narrow"/>
            <family val="2"/>
            <scheme val="minor"/>
          </rPr>
          <t>Người dùng Không xác định:
4390000</t>
        </r>
      </text>
    </comment>
    <comment ref="D32" authorId="0" shapeId="0" xr:uid="{00000000-0006-0000-6900-00001F000000}">
      <text>
        <r>
          <rPr>
            <sz val="12"/>
            <color theme="1"/>
            <rFont val="Aptos Narrow"/>
            <family val="2"/>
            <scheme val="minor"/>
          </rPr>
          <t>Người dùng Không xác định:
4.390</t>
        </r>
      </text>
    </comment>
    <comment ref="B33" authorId="3" shapeId="0" xr:uid="{00000000-0006-0000-6900-000020000000}">
      <text>
        <r>
          <rPr>
            <sz val="12"/>
            <color theme="1"/>
            <rFont val="Aptos Narrow"/>
            <family val="2"/>
            <scheme val="minor"/>
          </rPr>
          <t>was 3190</t>
        </r>
      </text>
    </comment>
    <comment ref="C33" authorId="0" shapeId="0" xr:uid="{00000000-0006-0000-6900-000021000000}">
      <text>
        <r>
          <rPr>
            <sz val="12"/>
            <color theme="1"/>
            <rFont val="Aptos Narrow"/>
            <family val="2"/>
            <scheme val="minor"/>
          </rPr>
          <t>Người dùng Không xác định:
2990000</t>
        </r>
      </text>
    </comment>
    <comment ref="D33" authorId="0" shapeId="0" xr:uid="{00000000-0006-0000-6900-000022000000}">
      <text>
        <r>
          <rPr>
            <sz val="12"/>
            <color theme="1"/>
            <rFont val="Aptos Narrow"/>
            <family val="2"/>
            <scheme val="minor"/>
          </rPr>
          <t>Người dùng Không xác định:
2.990</t>
        </r>
      </text>
    </comment>
    <comment ref="C34" authorId="0" shapeId="0" xr:uid="{00000000-0006-0000-6900-000023000000}">
      <text>
        <r>
          <rPr>
            <sz val="12"/>
            <color theme="1"/>
            <rFont val="Aptos Narrow"/>
            <family val="2"/>
            <scheme val="minor"/>
          </rPr>
          <t>Người dùng Không xác định:
6590000</t>
        </r>
      </text>
    </comment>
    <comment ref="D34" authorId="0" shapeId="0" xr:uid="{00000000-0006-0000-6900-000024000000}">
      <text>
        <r>
          <rPr>
            <sz val="12"/>
            <color theme="1"/>
            <rFont val="Aptos Narrow"/>
            <family val="2"/>
            <scheme val="minor"/>
          </rPr>
          <t>Người dùng Không xác định:
6.290</t>
        </r>
      </text>
    </comment>
    <comment ref="C35" authorId="0" shapeId="0" xr:uid="{00000000-0006-0000-6900-000025000000}">
      <text>
        <r>
          <rPr>
            <sz val="12"/>
            <color theme="1"/>
            <rFont val="Aptos Narrow"/>
            <family val="2"/>
            <scheme val="minor"/>
          </rPr>
          <t>Người dùng Không xác định:
29490000</t>
        </r>
      </text>
    </comment>
    <comment ref="D35" authorId="0" shapeId="0" xr:uid="{00000000-0006-0000-6900-000026000000}">
      <text>
        <r>
          <rPr>
            <sz val="12"/>
            <color theme="1"/>
            <rFont val="Aptos Narrow"/>
            <family val="2"/>
            <scheme val="minor"/>
          </rPr>
          <t>Người dùng Không xác định:
29.994</t>
        </r>
      </text>
    </comment>
    <comment ref="C36" authorId="0" shapeId="0" xr:uid="{00000000-0006-0000-6900-000027000000}">
      <text>
        <r>
          <rPr>
            <sz val="12"/>
            <color theme="1"/>
            <rFont val="Aptos Narrow"/>
            <family val="2"/>
            <scheme val="minor"/>
          </rPr>
          <t>Người dùng Không xác định:
15690000</t>
        </r>
      </text>
    </comment>
    <comment ref="C37" authorId="0" shapeId="0" xr:uid="{00000000-0006-0000-6900-000028000000}">
      <text>
        <r>
          <rPr>
            <sz val="12"/>
            <color theme="1"/>
            <rFont val="Aptos Narrow"/>
            <family val="2"/>
            <scheme val="minor"/>
          </rPr>
          <t>Người dùng Không xác định:
25590000</t>
        </r>
      </text>
    </comment>
  </commentList>
</comments>
</file>

<file path=xl/comments107.xml><?xml version="1.0" encoding="utf-8"?>
<comments xmlns="http://schemas.openxmlformats.org/spreadsheetml/2006/main" xmlns:mc="http://schemas.openxmlformats.org/markup-compatibility/2006" xmlns:xr="http://schemas.microsoft.com/office/spreadsheetml/2014/revision" mc:Ignorable="xr">
  <authors>
    <author>Người dùng Khách</author>
    <author>Dat's MacBook Pro</author>
    <author>Microsoft Office User</author>
    <author>danielnguyen6111998@gmail.com</author>
    <author>chit trang</author>
  </authors>
  <commentList>
    <comment ref="C3" authorId="0" shapeId="0" xr:uid="{00000000-0006-0000-6A00-000001000000}">
      <text>
        <r>
          <rPr>
            <sz val="12"/>
            <color theme="1"/>
            <rFont val="Aptos Narrow"/>
            <family val="2"/>
            <scheme val="minor"/>
          </rPr>
          <t>Người dùng Không xác định:
24490000</t>
        </r>
      </text>
    </comment>
    <comment ref="D3" authorId="0" shapeId="0" xr:uid="{00000000-0006-0000-6A00-000002000000}">
      <text>
        <r>
          <rPr>
            <sz val="12"/>
            <color theme="1"/>
            <rFont val="Aptos Narrow"/>
            <family val="2"/>
            <scheme val="minor"/>
          </rPr>
          <t>Người dùng Không xác định:
24.490</t>
        </r>
      </text>
    </comment>
    <comment ref="D4" authorId="0" shapeId="0" xr:uid="{00000000-0006-0000-6A00-000003000000}">
      <text>
        <r>
          <rPr>
            <sz val="12"/>
            <color theme="1"/>
            <rFont val="Aptos Narrow"/>
            <family val="2"/>
            <scheme val="minor"/>
          </rPr>
          <t>Người dùng Không xác định:
22.990</t>
        </r>
      </text>
    </comment>
    <comment ref="C5" authorId="0" shapeId="0" xr:uid="{00000000-0006-0000-6A00-000004000000}">
      <text>
        <r>
          <rPr>
            <sz val="12"/>
            <color theme="1"/>
            <rFont val="Aptos Narrow"/>
            <family val="2"/>
            <scheme val="minor"/>
          </rPr>
          <t>Người dùng Không xác định:
34790000</t>
        </r>
      </text>
    </comment>
    <comment ref="D5" authorId="0" shapeId="0" xr:uid="{00000000-0006-0000-6A00-000005000000}">
      <text>
        <r>
          <rPr>
            <sz val="12"/>
            <color theme="1"/>
            <rFont val="Aptos Narrow"/>
            <family val="2"/>
            <scheme val="minor"/>
          </rPr>
          <t>Người dùng Không xác định:
34.690</t>
        </r>
      </text>
    </comment>
    <comment ref="D6" authorId="0" shapeId="0" xr:uid="{00000000-0006-0000-6A00-000006000000}">
      <text>
        <r>
          <rPr>
            <sz val="12"/>
            <color theme="1"/>
            <rFont val="Aptos Narrow"/>
            <family val="2"/>
            <scheme val="minor"/>
          </rPr>
          <t>Người dùng Không xác định:
36.990</t>
        </r>
      </text>
    </comment>
    <comment ref="C8" authorId="0" shapeId="0" xr:uid="{00000000-0006-0000-6A00-000007000000}">
      <text>
        <r>
          <rPr>
            <sz val="12"/>
            <color theme="1"/>
            <rFont val="Aptos Narrow"/>
            <family val="2"/>
            <scheme val="minor"/>
          </rPr>
          <t>Người dùng Không xác định:
20790000</t>
        </r>
      </text>
    </comment>
    <comment ref="D8" authorId="0" shapeId="0" xr:uid="{00000000-0006-0000-6A00-000008000000}">
      <text>
        <r>
          <rPr>
            <sz val="12"/>
            <color theme="1"/>
            <rFont val="Aptos Narrow"/>
            <family val="2"/>
            <scheme val="minor"/>
          </rPr>
          <t>Người dùng Không xác định:
20790</t>
        </r>
      </text>
    </comment>
    <comment ref="G8" authorId="1" shapeId="0" xr:uid="{00000000-0006-0000-6A00-000009000000}">
      <text>
        <r>
          <rPr>
            <sz val="12"/>
            <color theme="1"/>
            <rFont val="Aptos Narrow"/>
            <family val="2"/>
            <scheme val="minor"/>
          </rPr>
          <t>Dat's MacBook Pro:
+1300</t>
        </r>
      </text>
    </comment>
    <comment ref="B9" authorId="2" shapeId="0" xr:uid="{00000000-0006-0000-6A00-00000A000000}">
      <text>
        <r>
          <rPr>
            <sz val="12"/>
            <color theme="1"/>
            <rFont val="Aptos Narrow"/>
            <family val="2"/>
            <scheme val="minor"/>
          </rPr>
          <t>was 24640000
VNP150</t>
        </r>
      </text>
    </comment>
    <comment ref="C9" authorId="0" shapeId="0" xr:uid="{00000000-0006-0000-6A00-00000B000000}">
      <text>
        <r>
          <rPr>
            <sz val="12"/>
            <color theme="1"/>
            <rFont val="Aptos Narrow"/>
            <family val="2"/>
            <scheme val="minor"/>
          </rPr>
          <t>Người dùng Không xác định:
23990000</t>
        </r>
      </text>
    </comment>
    <comment ref="D9" authorId="0" shapeId="0" xr:uid="{00000000-0006-0000-6A00-00000C000000}">
      <text>
        <r>
          <rPr>
            <sz val="12"/>
            <color theme="1"/>
            <rFont val="Aptos Narrow"/>
            <family val="2"/>
            <scheme val="minor"/>
          </rPr>
          <t>Người dùng Không xác định:
24.490</t>
        </r>
      </text>
    </comment>
    <comment ref="G9" authorId="1" shapeId="0" xr:uid="{00000000-0006-0000-6A00-00000D000000}">
      <text>
        <r>
          <rPr>
            <sz val="12"/>
            <color theme="1"/>
            <rFont val="Aptos Narrow"/>
            <family val="2"/>
            <scheme val="minor"/>
          </rPr>
          <t>Dat's MacBook Pro:
+1400</t>
        </r>
      </text>
    </comment>
    <comment ref="C10" authorId="0" shapeId="0" xr:uid="{00000000-0006-0000-6A00-00000E000000}">
      <text>
        <r>
          <rPr>
            <sz val="12"/>
            <color theme="1"/>
            <rFont val="Aptos Narrow"/>
            <family val="2"/>
            <scheme val="minor"/>
          </rPr>
          <t>Người dùng Không xác định:
17590000</t>
        </r>
      </text>
    </comment>
    <comment ref="D10" authorId="0" shapeId="0" xr:uid="{00000000-0006-0000-6A00-00000F000000}">
      <text>
        <r>
          <rPr>
            <sz val="12"/>
            <color theme="1"/>
            <rFont val="Aptos Narrow"/>
            <family val="2"/>
            <scheme val="minor"/>
          </rPr>
          <t>Người dùng Không xác định:
17.490</t>
        </r>
      </text>
    </comment>
    <comment ref="G10" authorId="1" shapeId="0" xr:uid="{00000000-0006-0000-6A00-000010000000}">
      <text>
        <r>
          <rPr>
            <sz val="12"/>
            <color theme="1"/>
            <rFont val="Aptos Narrow"/>
            <family val="2"/>
            <scheme val="minor"/>
          </rPr>
          <t>Dat's MacBook Pro:
+1300</t>
        </r>
      </text>
    </comment>
    <comment ref="B13" authorId="2" shapeId="0" xr:uid="{00000000-0006-0000-6A00-000011000000}">
      <text>
        <r>
          <rPr>
            <sz val="12"/>
            <color theme="1"/>
            <rFont val="Aptos Narrow"/>
            <family val="2"/>
            <scheme val="minor"/>
          </rPr>
          <t>was 13190
VNP100</t>
        </r>
      </text>
    </comment>
    <comment ref="C14" authorId="3" shapeId="0" xr:uid="{00000000-0006-0000-6A00-000012000000}">
      <text>
        <r>
          <rPr>
            <sz val="12"/>
            <color theme="1"/>
            <rFont val="Aptos Narrow"/>
            <family val="2"/>
            <scheme val="minor"/>
          </rPr>
          <t>danielnguyen6111998@gmail.com:
12890000</t>
        </r>
      </text>
    </comment>
    <comment ref="D14" authorId="4" shapeId="0" xr:uid="{00000000-0006-0000-6A00-000013000000}">
      <text>
        <r>
          <rPr>
            <sz val="12"/>
            <color theme="1"/>
            <rFont val="Aptos Narrow"/>
            <family val="2"/>
            <scheme val="minor"/>
          </rPr>
          <t>chit trang:
16.190</t>
        </r>
      </text>
    </comment>
    <comment ref="G14" authorId="1" shapeId="0" xr:uid="{00000000-0006-0000-6A00-000014000000}">
      <text>
        <r>
          <rPr>
            <sz val="12"/>
            <color theme="1"/>
            <rFont val="Aptos Narrow"/>
            <family val="2"/>
            <scheme val="minor"/>
          </rPr>
          <t>Dat's MacBook Pro:
13390</t>
        </r>
      </text>
    </comment>
    <comment ref="B15" authorId="2" shapeId="0" xr:uid="{00000000-0006-0000-6A00-000015000000}">
      <text>
        <r>
          <rPr>
            <sz val="12"/>
            <color theme="1"/>
            <rFont val="Aptos Narrow"/>
            <family val="2"/>
            <scheme val="minor"/>
          </rPr>
          <t>was 7040
VNP40</t>
        </r>
      </text>
    </comment>
    <comment ref="B16" authorId="2" shapeId="0" xr:uid="{00000000-0006-0000-6A00-000016000000}">
      <text>
        <r>
          <rPr>
            <sz val="12"/>
            <color theme="1"/>
            <rFont val="Aptos Narrow"/>
            <family val="2"/>
            <scheme val="minor"/>
          </rPr>
          <t>was 14390</t>
        </r>
      </text>
    </comment>
    <comment ref="G16" authorId="1" shapeId="0" xr:uid="{00000000-0006-0000-6A00-000017000000}">
      <text>
        <r>
          <rPr>
            <sz val="12"/>
            <color theme="1"/>
            <rFont val="Aptos Narrow"/>
            <family val="2"/>
            <scheme val="minor"/>
          </rPr>
          <t>Dat's MacBook Pro:
12990</t>
        </r>
      </text>
    </comment>
    <comment ref="C17" authorId="0" shapeId="0" xr:uid="{00000000-0006-0000-6A00-000018000000}">
      <text>
        <r>
          <rPr>
            <sz val="12"/>
            <color theme="1"/>
            <rFont val="Aptos Narrow"/>
            <family val="2"/>
            <scheme val="minor"/>
          </rPr>
          <t>Người dùng Không xác định:
16490000</t>
        </r>
      </text>
    </comment>
    <comment ref="D17" authorId="0" shapeId="0" xr:uid="{00000000-0006-0000-6A00-000019000000}">
      <text>
        <r>
          <rPr>
            <sz val="12"/>
            <color theme="1"/>
            <rFont val="Aptos Narrow"/>
            <family val="2"/>
            <scheme val="minor"/>
          </rPr>
          <t>Người dùng Không xác định:
16.490</t>
        </r>
      </text>
    </comment>
    <comment ref="C20" authorId="0" shapeId="0" xr:uid="{00000000-0006-0000-6A00-00001A000000}">
      <text>
        <r>
          <rPr>
            <sz val="12"/>
            <color theme="1"/>
            <rFont val="Aptos Narrow"/>
            <family val="2"/>
            <scheme val="minor"/>
          </rPr>
          <t>Người dùng Không xác định:
28190000</t>
        </r>
      </text>
    </comment>
    <comment ref="D20" authorId="0" shapeId="0" xr:uid="{00000000-0006-0000-6A00-00001B000000}">
      <text>
        <r>
          <rPr>
            <sz val="12"/>
            <color theme="1"/>
            <rFont val="Aptos Narrow"/>
            <family val="2"/>
            <scheme val="minor"/>
          </rPr>
          <t>Người dùng Không xác định:
28.190</t>
        </r>
      </text>
    </comment>
    <comment ref="D21" authorId="0" shapeId="0" xr:uid="{00000000-0006-0000-6A00-00001C000000}">
      <text>
        <r>
          <rPr>
            <sz val="12"/>
            <color theme="1"/>
            <rFont val="Aptos Narrow"/>
            <family val="2"/>
            <scheme val="minor"/>
          </rPr>
          <t>Người dùng Không xác định:
38.990</t>
        </r>
      </text>
    </comment>
    <comment ref="C22" authorId="0" shapeId="0" xr:uid="{00000000-0006-0000-6A00-00001D000000}">
      <text>
        <r>
          <rPr>
            <sz val="12"/>
            <color theme="1"/>
            <rFont val="Aptos Narrow"/>
            <family val="2"/>
            <scheme val="minor"/>
          </rPr>
          <t>Người dùng Không xác định:
6.390</t>
        </r>
      </text>
    </comment>
    <comment ref="D22" authorId="0" shapeId="0" xr:uid="{00000000-0006-0000-6A00-00001E000000}">
      <text>
        <r>
          <rPr>
            <sz val="12"/>
            <color theme="1"/>
            <rFont val="Aptos Narrow"/>
            <family val="2"/>
            <scheme val="minor"/>
          </rPr>
          <t>Người dùng Không xác định:
6.390</t>
        </r>
      </text>
    </comment>
    <comment ref="E22" authorId="2" shapeId="0" xr:uid="{00000000-0006-0000-6A00-00001F000000}">
      <text>
        <r>
          <rPr>
            <sz val="12"/>
            <color theme="1"/>
            <rFont val="Aptos Narrow"/>
            <family val="2"/>
            <scheme val="minor"/>
          </rPr>
          <t xml:space="preserve">was 6190
</t>
        </r>
      </text>
    </comment>
    <comment ref="C23" authorId="0" shapeId="0" xr:uid="{00000000-0006-0000-6A00-000020000000}">
      <text>
        <r>
          <rPr>
            <sz val="12"/>
            <color theme="1"/>
            <rFont val="Aptos Narrow"/>
            <family val="2"/>
            <scheme val="minor"/>
          </rPr>
          <t>Người dùng Không xác định:
8290000</t>
        </r>
      </text>
    </comment>
    <comment ref="D23" authorId="0" shapeId="0" xr:uid="{00000000-0006-0000-6A00-000021000000}">
      <text>
        <r>
          <rPr>
            <sz val="12"/>
            <color theme="1"/>
            <rFont val="Aptos Narrow"/>
            <family val="2"/>
            <scheme val="minor"/>
          </rPr>
          <t>Người dùng Không xác định:
7.990</t>
        </r>
      </text>
    </comment>
    <comment ref="E23" authorId="2" shapeId="0" xr:uid="{00000000-0006-0000-6A00-000022000000}">
      <text>
        <r>
          <rPr>
            <sz val="12"/>
            <color theme="1"/>
            <rFont val="Aptos Narrow"/>
            <family val="2"/>
            <scheme val="minor"/>
          </rPr>
          <t xml:space="preserve">was 7790
</t>
        </r>
      </text>
    </comment>
    <comment ref="C24" authorId="0" shapeId="0" xr:uid="{00000000-0006-0000-6A00-000023000000}">
      <text>
        <r>
          <rPr>
            <sz val="12"/>
            <color theme="1"/>
            <rFont val="Aptos Narrow"/>
            <family val="2"/>
            <scheme val="minor"/>
          </rPr>
          <t>Người dùng Không xác định:
7.290</t>
        </r>
      </text>
    </comment>
    <comment ref="D24" authorId="0" shapeId="0" xr:uid="{00000000-0006-0000-6A00-000024000000}">
      <text>
        <r>
          <rPr>
            <sz val="12"/>
            <color theme="1"/>
            <rFont val="Aptos Narrow"/>
            <family val="2"/>
            <scheme val="minor"/>
          </rPr>
          <t>Người dùng Không xác định:
7.290</t>
        </r>
      </text>
    </comment>
    <comment ref="E24" authorId="2" shapeId="0" xr:uid="{00000000-0006-0000-6A00-000025000000}">
      <text>
        <r>
          <rPr>
            <sz val="12"/>
            <color theme="1"/>
            <rFont val="Aptos Narrow"/>
            <family val="2"/>
            <scheme val="minor"/>
          </rPr>
          <t xml:space="preserve">was 6990
</t>
        </r>
      </text>
    </comment>
    <comment ref="C25" authorId="0" shapeId="0" xr:uid="{00000000-0006-0000-6A00-000026000000}">
      <text>
        <r>
          <rPr>
            <sz val="12"/>
            <color theme="1"/>
            <rFont val="Aptos Narrow"/>
            <family val="2"/>
            <scheme val="minor"/>
          </rPr>
          <t>Người dùng Không xác định:
8.790</t>
        </r>
      </text>
    </comment>
    <comment ref="D25" authorId="0" shapeId="0" xr:uid="{00000000-0006-0000-6A00-000027000000}">
      <text>
        <r>
          <rPr>
            <sz val="12"/>
            <color theme="1"/>
            <rFont val="Aptos Narrow"/>
            <family val="2"/>
            <scheme val="minor"/>
          </rPr>
          <t>Người dùng Không xác định:
8.790</t>
        </r>
      </text>
    </comment>
    <comment ref="E25" authorId="2" shapeId="0" xr:uid="{00000000-0006-0000-6A00-000028000000}">
      <text>
        <r>
          <rPr>
            <sz val="12"/>
            <color theme="1"/>
            <rFont val="Aptos Narrow"/>
            <family val="2"/>
            <scheme val="minor"/>
          </rPr>
          <t xml:space="preserve">was 8590
</t>
        </r>
      </text>
    </comment>
    <comment ref="C26" authorId="0" shapeId="0" xr:uid="{00000000-0006-0000-6A00-000029000000}">
      <text>
        <r>
          <rPr>
            <sz val="12"/>
            <color theme="1"/>
            <rFont val="Aptos Narrow"/>
            <family val="2"/>
            <scheme val="minor"/>
          </rPr>
          <t>Người dùng Không xác định:
11990000</t>
        </r>
      </text>
    </comment>
    <comment ref="D26" authorId="0" shapeId="0" xr:uid="{00000000-0006-0000-6A00-00002A000000}">
      <text>
        <r>
          <rPr>
            <sz val="12"/>
            <color theme="1"/>
            <rFont val="Aptos Narrow"/>
            <family val="2"/>
            <scheme val="minor"/>
          </rPr>
          <t>Người dùng Không xác định:
9.190</t>
        </r>
      </text>
    </comment>
    <comment ref="E26" authorId="2" shapeId="0" xr:uid="{00000000-0006-0000-6A00-00002B000000}">
      <text>
        <r>
          <rPr>
            <sz val="12"/>
            <color theme="1"/>
            <rFont val="Aptos Narrow"/>
            <family val="2"/>
            <scheme val="minor"/>
          </rPr>
          <t xml:space="preserve">was 8990
</t>
        </r>
      </text>
    </comment>
    <comment ref="D27" authorId="0" shapeId="0" xr:uid="{00000000-0006-0000-6A00-00002C000000}">
      <text>
        <r>
          <rPr>
            <sz val="12"/>
            <color theme="1"/>
            <rFont val="Aptos Narrow"/>
            <family val="2"/>
            <scheme val="minor"/>
          </rPr>
          <t>Người dùng Không xác định:
11.990</t>
        </r>
      </text>
    </comment>
    <comment ref="E27" authorId="2" shapeId="0" xr:uid="{00000000-0006-0000-6A00-00002D000000}">
      <text>
        <r>
          <rPr>
            <sz val="12"/>
            <color theme="1"/>
            <rFont val="Aptos Narrow"/>
            <family val="2"/>
            <scheme val="minor"/>
          </rPr>
          <t xml:space="preserve">was 11990
</t>
        </r>
      </text>
    </comment>
    <comment ref="C28" authorId="0" shapeId="0" xr:uid="{00000000-0006-0000-6A00-00002E000000}">
      <text>
        <r>
          <rPr>
            <sz val="12"/>
            <color theme="1"/>
            <rFont val="Aptos Narrow"/>
            <family val="2"/>
            <scheme val="minor"/>
          </rPr>
          <t>Người dùng Không xác định:
9990000</t>
        </r>
      </text>
    </comment>
    <comment ref="D28" authorId="0" shapeId="0" xr:uid="{00000000-0006-0000-6A00-00002F000000}">
      <text>
        <r>
          <rPr>
            <sz val="12"/>
            <color theme="1"/>
            <rFont val="Aptos Narrow"/>
            <family val="2"/>
            <scheme val="minor"/>
          </rPr>
          <t>Người dùng Không xác định:
9.990</t>
        </r>
      </text>
    </comment>
    <comment ref="E28" authorId="2" shapeId="0" xr:uid="{00000000-0006-0000-6A00-000030000000}">
      <text>
        <r>
          <rPr>
            <sz val="12"/>
            <color theme="1"/>
            <rFont val="Aptos Narrow"/>
            <family val="2"/>
            <scheme val="minor"/>
          </rPr>
          <t xml:space="preserve">was 9690
</t>
        </r>
      </text>
    </comment>
    <comment ref="C29" authorId="0" shapeId="0" xr:uid="{00000000-0006-0000-6A00-000031000000}">
      <text>
        <r>
          <rPr>
            <sz val="12"/>
            <color theme="1"/>
            <rFont val="Aptos Narrow"/>
            <family val="2"/>
            <scheme val="minor"/>
          </rPr>
          <t>Người dùng Không xác định:
12990000</t>
        </r>
      </text>
    </comment>
    <comment ref="D29" authorId="0" shapeId="0" xr:uid="{00000000-0006-0000-6A00-000032000000}">
      <text>
        <r>
          <rPr>
            <sz val="12"/>
            <color theme="1"/>
            <rFont val="Aptos Narrow"/>
            <family val="2"/>
            <scheme val="minor"/>
          </rPr>
          <t>Người dùng Không xác định:
12.490</t>
        </r>
      </text>
    </comment>
    <comment ref="E29" authorId="2" shapeId="0" xr:uid="{00000000-0006-0000-6A00-000033000000}">
      <text>
        <r>
          <rPr>
            <sz val="12"/>
            <color rgb="FF000000"/>
            <rFont val="Aptos Narrow"/>
            <family val="2"/>
          </rPr>
          <t xml:space="preserve">was 12490
</t>
        </r>
      </text>
    </comment>
    <comment ref="C30" authorId="0" shapeId="0" xr:uid="{00000000-0006-0000-6A00-000034000000}">
      <text>
        <r>
          <rPr>
            <sz val="12"/>
            <color theme="1"/>
            <rFont val="Aptos Narrow"/>
            <family val="2"/>
            <scheme val="minor"/>
          </rPr>
          <t xml:space="preserve">Người dùng Không xác định:
</t>
        </r>
      </text>
    </comment>
    <comment ref="B31" authorId="2" shapeId="0" xr:uid="{00000000-0006-0000-6A00-000035000000}">
      <text>
        <r>
          <rPr>
            <sz val="12"/>
            <color theme="1"/>
            <rFont val="Aptos Narrow"/>
            <family val="2"/>
            <scheme val="minor"/>
          </rPr>
          <t>was 5550
VNP40</t>
        </r>
      </text>
    </comment>
    <comment ref="B32" authorId="2" shapeId="0" xr:uid="{00000000-0006-0000-6A00-000036000000}">
      <text>
        <r>
          <rPr>
            <sz val="12"/>
            <color theme="1"/>
            <rFont val="Aptos Narrow"/>
            <family val="2"/>
            <scheme val="minor"/>
          </rPr>
          <t xml:space="preserve">was 4490
</t>
        </r>
      </text>
    </comment>
    <comment ref="C32" authorId="0" shapeId="0" xr:uid="{00000000-0006-0000-6A00-000037000000}">
      <text>
        <r>
          <rPr>
            <sz val="12"/>
            <color theme="1"/>
            <rFont val="Aptos Narrow"/>
            <family val="2"/>
            <scheme val="minor"/>
          </rPr>
          <t>Người dùng Không xác định:
4290000</t>
        </r>
      </text>
    </comment>
    <comment ref="D32" authorId="0" shapeId="0" xr:uid="{00000000-0006-0000-6A00-000038000000}">
      <text>
        <r>
          <rPr>
            <sz val="12"/>
            <color theme="1"/>
            <rFont val="Aptos Narrow"/>
            <family val="2"/>
            <scheme val="minor"/>
          </rPr>
          <t>Người dùng Không xác định:
4.290</t>
        </r>
      </text>
    </comment>
    <comment ref="E32" authorId="2" shapeId="0" xr:uid="{00000000-0006-0000-6A00-000039000000}">
      <text>
        <r>
          <rPr>
            <sz val="12"/>
            <color theme="1"/>
            <rFont val="Aptos Narrow"/>
            <family val="2"/>
            <scheme val="minor"/>
          </rPr>
          <t xml:space="preserve">was 4290
</t>
        </r>
      </text>
    </comment>
    <comment ref="B33" authorId="2" shapeId="0" xr:uid="{00000000-0006-0000-6A00-00003A000000}">
      <text>
        <r>
          <rPr>
            <sz val="12"/>
            <color theme="1"/>
            <rFont val="Aptos Narrow"/>
            <family val="2"/>
            <scheme val="minor"/>
          </rPr>
          <t>was 3190</t>
        </r>
      </text>
    </comment>
    <comment ref="C33" authorId="0" shapeId="0" xr:uid="{00000000-0006-0000-6A00-00003B000000}">
      <text>
        <r>
          <rPr>
            <sz val="12"/>
            <color theme="1"/>
            <rFont val="Aptos Narrow"/>
            <family val="2"/>
            <scheme val="minor"/>
          </rPr>
          <t>Người dùng Không xác định:
3090000</t>
        </r>
      </text>
    </comment>
    <comment ref="D33" authorId="0" shapeId="0" xr:uid="{00000000-0006-0000-6A00-00003C000000}">
      <text>
        <r>
          <rPr>
            <sz val="12"/>
            <color theme="1"/>
            <rFont val="Aptos Narrow"/>
            <family val="2"/>
            <scheme val="minor"/>
          </rPr>
          <t>Người dùng Không xác định:
2.900</t>
        </r>
      </text>
    </comment>
    <comment ref="E33" authorId="2" shapeId="0" xr:uid="{00000000-0006-0000-6A00-00003D000000}">
      <text>
        <r>
          <rPr>
            <sz val="12"/>
            <color theme="1"/>
            <rFont val="Aptos Narrow"/>
            <family val="2"/>
            <scheme val="minor"/>
          </rPr>
          <t xml:space="preserve">was 2990
</t>
        </r>
      </text>
    </comment>
    <comment ref="C34" authorId="0" shapeId="0" xr:uid="{00000000-0006-0000-6A00-00003E000000}">
      <text>
        <r>
          <rPr>
            <sz val="12"/>
            <color theme="1"/>
            <rFont val="Aptos Narrow"/>
            <family val="2"/>
            <scheme val="minor"/>
          </rPr>
          <t>Người dùng Không xác định:
6190000</t>
        </r>
      </text>
    </comment>
    <comment ref="D34" authorId="0" shapeId="0" xr:uid="{00000000-0006-0000-6A00-00003F000000}">
      <text>
        <r>
          <rPr>
            <sz val="12"/>
            <color theme="1"/>
            <rFont val="Aptos Narrow"/>
            <family val="2"/>
            <scheme val="minor"/>
          </rPr>
          <t>Người dùng Không xác định:
6.190</t>
        </r>
      </text>
    </comment>
    <comment ref="E34" authorId="2" shapeId="0" xr:uid="{00000000-0006-0000-6A00-000040000000}">
      <text>
        <r>
          <rPr>
            <sz val="12"/>
            <color theme="1"/>
            <rFont val="Aptos Narrow"/>
            <family val="2"/>
            <scheme val="minor"/>
          </rPr>
          <t xml:space="preserve">was 5990
</t>
        </r>
      </text>
    </comment>
    <comment ref="C35" authorId="0" shapeId="0" xr:uid="{00000000-0006-0000-6A00-000041000000}">
      <text>
        <r>
          <rPr>
            <sz val="12"/>
            <color theme="1"/>
            <rFont val="Aptos Narrow"/>
            <family val="2"/>
            <scheme val="minor"/>
          </rPr>
          <t>Người dùng Không xác định:29390000</t>
        </r>
      </text>
    </comment>
    <comment ref="D35" authorId="0" shapeId="0" xr:uid="{00000000-0006-0000-6A00-000042000000}">
      <text>
        <r>
          <rPr>
            <sz val="12"/>
            <color theme="1"/>
            <rFont val="Aptos Narrow"/>
            <family val="2"/>
            <scheme val="minor"/>
          </rPr>
          <t>Người dùng Không xác định:
29.394</t>
        </r>
      </text>
    </comment>
    <comment ref="C36" authorId="0" shapeId="0" xr:uid="{00000000-0006-0000-6A00-000043000000}">
      <text>
        <r>
          <rPr>
            <sz val="12"/>
            <color theme="1"/>
            <rFont val="Aptos Narrow"/>
            <family val="2"/>
            <scheme val="minor"/>
          </rPr>
          <t>Người dùng Không xác định:
15690000</t>
        </r>
      </text>
    </comment>
    <comment ref="C37" authorId="0" shapeId="0" xr:uid="{00000000-0006-0000-6A00-000044000000}">
      <text>
        <r>
          <rPr>
            <sz val="12"/>
            <color theme="1"/>
            <rFont val="Aptos Narrow"/>
            <family val="2"/>
            <scheme val="minor"/>
          </rPr>
          <t xml:space="preserve">Người dùng Không xác định:
24990000
</t>
        </r>
      </text>
    </comment>
  </commentList>
</comments>
</file>

<file path=xl/comments108.xml><?xml version="1.0" encoding="utf-8"?>
<comments xmlns="http://schemas.openxmlformats.org/spreadsheetml/2006/main" xmlns:mc="http://schemas.openxmlformats.org/markup-compatibility/2006" xmlns:xr="http://schemas.microsoft.com/office/spreadsheetml/2014/revision" mc:Ignorable="xr">
  <authors>
    <author>Price Check Tool</author>
  </authors>
  <commentList>
    <comment ref="E6" authorId="0" shapeId="0" xr:uid="{00000000-0006-0000-6B00-000001000000}">
      <text>
        <r>
          <rPr>
            <sz val="12"/>
            <color rgb="FF000000"/>
            <rFont val="Aptos Narrow"/>
            <family val="2"/>
          </rPr>
          <t xml:space="preserve">was 36,290,000
</t>
        </r>
        <r>
          <rPr>
            <sz val="12"/>
            <color rgb="FF000000"/>
            <rFont val="Aptos Narrow"/>
            <family val="2"/>
          </rPr>
          <t xml:space="preserve">base 36,790,000
</t>
        </r>
        <r>
          <rPr>
            <sz val="12"/>
            <color rgb="FF000000"/>
            <rFont val="Aptos Narrow"/>
            <family val="2"/>
          </rPr>
          <t xml:space="preserve">discount 500,000
</t>
        </r>
        <r>
          <rPr>
            <sz val="12"/>
            <color rgb="FF000000"/>
            <rFont val="Aptos Narrow"/>
            <family val="2"/>
          </rPr>
          <t>Giảm thêm 500,000 cho khách hàng cũ của Viettel</t>
        </r>
      </text>
    </comment>
    <comment ref="E15" authorId="0" shapeId="0" xr:uid="{00000000-0006-0000-6B00-000002000000}">
      <text>
        <r>
          <rPr>
            <sz val="12"/>
            <color rgb="FF000000"/>
            <rFont val="Aptos Narrow"/>
            <family val="2"/>
          </rPr>
          <t xml:space="preserve">was 9,190,000
</t>
        </r>
        <r>
          <rPr>
            <sz val="12"/>
            <color rgb="FF000000"/>
            <rFont val="Aptos Narrow"/>
            <family val="2"/>
          </rPr>
          <t xml:space="preserve">base 9,390,000
</t>
        </r>
        <r>
          <rPr>
            <sz val="12"/>
            <color rgb="FF000000"/>
            <rFont val="Aptos Narrow"/>
            <family val="2"/>
          </rPr>
          <t xml:space="preserve">discount 200,000
</t>
        </r>
        <r>
          <rPr>
            <sz val="12"/>
            <color rgb="FF000000"/>
            <rFont val="Aptos Narrow"/>
            <family val="2"/>
          </rPr>
          <t>Giảm thêm 200,000 cho học sinh, sinh viên, giáo viên</t>
        </r>
      </text>
    </comment>
    <comment ref="E16" authorId="0" shapeId="0" xr:uid="{00000000-0006-0000-6B00-000003000000}">
      <text>
        <r>
          <rPr>
            <sz val="12"/>
            <color rgb="FF000000"/>
            <rFont val="Aptos Narrow"/>
            <family val="2"/>
          </rPr>
          <t xml:space="preserve">was 14,290,000
</t>
        </r>
        <r>
          <rPr>
            <sz val="12"/>
            <color rgb="FF000000"/>
            <rFont val="Aptos Narrow"/>
            <family val="2"/>
          </rPr>
          <t xml:space="preserve">base 14,490,000
</t>
        </r>
        <r>
          <rPr>
            <sz val="12"/>
            <color rgb="FF000000"/>
            <rFont val="Aptos Narrow"/>
            <family val="2"/>
          </rPr>
          <t xml:space="preserve">discount 200,000
</t>
        </r>
        <r>
          <rPr>
            <sz val="12"/>
            <color rgb="FF000000"/>
            <rFont val="Aptos Narrow"/>
            <family val="2"/>
          </rPr>
          <t>Giảm thêm 200,000 cho học sinh, sinh viên, giáo viên</t>
        </r>
      </text>
    </comment>
  </commentList>
</comments>
</file>

<file path=xl/sharedStrings.xml><?xml version="1.0" encoding="utf-8"?>
<sst xmlns="http://schemas.openxmlformats.org/spreadsheetml/2006/main" count="7728" uniqueCount="266">
  <si>
    <t>TZ</t>
  </si>
  <si>
    <t>MW</t>
  </si>
  <si>
    <t>FPT</t>
  </si>
  <si>
    <t>Viettel</t>
  </si>
  <si>
    <t>CPS</t>
  </si>
  <si>
    <t>Shopdunk</t>
  </si>
  <si>
    <t>Tự Động MW</t>
  </si>
  <si>
    <t>Thay Đổi MW</t>
  </si>
  <si>
    <t>Tự Động FPT</t>
  </si>
  <si>
    <t>Thay Đổi FPT</t>
  </si>
  <si>
    <t>Tự Động Viettel</t>
  </si>
  <si>
    <t>Thay Đổi Viettel</t>
  </si>
  <si>
    <t>Tự Động CPS</t>
  </si>
  <si>
    <t>Thay Đổi CPS</t>
  </si>
  <si>
    <t>Tự Động SD</t>
  </si>
  <si>
    <t>Thay Đổi SD</t>
  </si>
  <si>
    <t>iPhone 17e 256GB</t>
  </si>
  <si>
    <t>iPhone 17  256GB</t>
  </si>
  <si>
    <t>iPhone Air 256G</t>
  </si>
  <si>
    <t>iPhone 17 Pro 256GB</t>
  </si>
  <si>
    <t>iPhone 17 Pro Max 256GB</t>
  </si>
  <si>
    <t>iPhone 16e  128GB</t>
  </si>
  <si>
    <t>OOS</t>
  </si>
  <si>
    <t>iPhone 16 128GB</t>
  </si>
  <si>
    <t>iPhone 16  Plus 128GB</t>
  </si>
  <si>
    <t>iPhone 15  128GB</t>
  </si>
  <si>
    <t>iPhone 15  Plus 128GB</t>
  </si>
  <si>
    <t>iPhone 14 128GB</t>
  </si>
  <si>
    <t>iPhone 13  128GB</t>
  </si>
  <si>
    <t>iPad Mini 7 128GB Wifi</t>
  </si>
  <si>
    <t>iPad Gen 11th  128GB Wifi</t>
  </si>
  <si>
    <t xml:space="preserve">MW </t>
  </si>
  <si>
    <t>Hải</t>
  </si>
  <si>
    <t>iPad Air M3  11" 128 GB Wifi</t>
  </si>
  <si>
    <t>Trang</t>
  </si>
  <si>
    <t>iPad Air M4  11" 128 GB Wifi</t>
  </si>
  <si>
    <t>Nghĩa</t>
  </si>
  <si>
    <t>iPad Air M3  13" 128 GB Wifi</t>
  </si>
  <si>
    <t>Duy</t>
  </si>
  <si>
    <t>iPad Air M4  13" 128 GB Wifi</t>
  </si>
  <si>
    <t>iPad Pro M5 11” 256GB Wifi</t>
  </si>
  <si>
    <t>ShopDunk</t>
  </si>
  <si>
    <t>Đạt</t>
  </si>
  <si>
    <t>iPad Pro M5 13” 256GB Wifi</t>
  </si>
  <si>
    <t>AW SE 3 (40mm GPS)</t>
  </si>
  <si>
    <t>AW SE 3 (40mm LTE)</t>
  </si>
  <si>
    <t>AW SE 3 (44mm GPS)</t>
  </si>
  <si>
    <t>AW SE 3 (44mm LTE)</t>
  </si>
  <si>
    <t>AW S11 (42mm GPS)</t>
  </si>
  <si>
    <t>AW S11 (42mm CEL)</t>
  </si>
  <si>
    <t>AW S11 (46mm GPS)</t>
  </si>
  <si>
    <t>AW S11 (46mm CEL)</t>
  </si>
  <si>
    <t>AW Ultra 3 (49mm)</t>
  </si>
  <si>
    <t>AirPods Pro 2 - 2023 (C-Type)</t>
  </si>
  <si>
    <t>AirPods 4 ANC</t>
  </si>
  <si>
    <t>AirPods 4 with charging case</t>
  </si>
  <si>
    <t>AirPods Pro 3</t>
  </si>
  <si>
    <t>MacBook Air 13" M5 16/512GB</t>
  </si>
  <si>
    <t>MacBook NEO A18 Pro ( 8/256GB)</t>
  </si>
  <si>
    <t>MacBook Air 13" M4 16/256GB</t>
  </si>
  <si>
    <t>`</t>
  </si>
  <si>
    <t>MacBook Air 15" M4 16/256GB</t>
  </si>
  <si>
    <t>MacBook Pro 14" M5 16/512GB</t>
  </si>
  <si>
    <t>MacBook Pro 16" M5 Pro 24/1TB</t>
  </si>
  <si>
    <t>Hoàng Hà</t>
  </si>
  <si>
    <t>SD</t>
  </si>
  <si>
    <t>iPhone 15 128Gb</t>
  </si>
  <si>
    <t>iPhone 15 128 GB</t>
  </si>
  <si>
    <t>iPhone 15  128Gb</t>
  </si>
  <si>
    <t>iPhone 15 128 Gb</t>
  </si>
  <si>
    <t xml:space="preserve">iPhone 15 Plus 128Gb </t>
  </si>
  <si>
    <t>iPhone 15 Plus 128Gb</t>
  </si>
  <si>
    <t>iPhone 15 Plus  128Gb</t>
  </si>
  <si>
    <t>iPhone 15 Plus 128 GB</t>
  </si>
  <si>
    <t>iPhone 15  Plus 128Gb</t>
  </si>
  <si>
    <t>iPhone 15 Plus 128 Gb</t>
  </si>
  <si>
    <t>iPhone 15  Pro 128Gb</t>
  </si>
  <si>
    <t>iPhone 15 Pro 128Gb</t>
  </si>
  <si>
    <t>iPhone 15 Pro 128 GB</t>
  </si>
  <si>
    <t>iPhone 15 Pro  128Gb</t>
  </si>
  <si>
    <t>iPhone 15 Pro 128 Gb</t>
  </si>
  <si>
    <t>iPhone 15 Pro Max 1256Gb</t>
  </si>
  <si>
    <t>iPhone 15 Pro Max 256Gb</t>
  </si>
  <si>
    <t>iPhone 15 Pro Max  256Gb</t>
  </si>
  <si>
    <t>iPhone 15 Pro Max 256 GB</t>
  </si>
  <si>
    <t>iPhone 15 Pro Max 128Gb</t>
  </si>
  <si>
    <t>iPhone 15 Pro Max 256 Gb</t>
  </si>
  <si>
    <t>iPhone 14 128 Gb</t>
  </si>
  <si>
    <t>iPhone 14 Pro Max 128GB</t>
  </si>
  <si>
    <t>iPhone 14 Pro Max 128Gb</t>
  </si>
  <si>
    <t>iPhone 14 128 GB</t>
  </si>
  <si>
    <t>N/A</t>
  </si>
  <si>
    <t>iPhone 14 Plus 128GB</t>
  </si>
  <si>
    <t>iPhone 14 Pro 128Gb</t>
  </si>
  <si>
    <t>iPhone 14 Plus 128Gb</t>
  </si>
  <si>
    <t>iPhone 14  128GB</t>
  </si>
  <si>
    <t>iPhone 14 Pro 128GB</t>
  </si>
  <si>
    <t>iPhone 14 Pro Max 256Gb</t>
  </si>
  <si>
    <t>iPhone 12 64GB</t>
  </si>
  <si>
    <t>iPhone 14 128Gb</t>
  </si>
  <si>
    <t>iPhone 14 128</t>
  </si>
  <si>
    <t>iPhone 13 128GB</t>
  </si>
  <si>
    <t>iPhone 11 64GB</t>
  </si>
  <si>
    <t>iPhone 12  64GB</t>
  </si>
  <si>
    <t>MacBook Air M3 13' 256Gb</t>
  </si>
  <si>
    <t>MacBook Air M3 15' 256Gb</t>
  </si>
  <si>
    <t>iPad Pro M2 (Wi-fi 11” 128GB)</t>
  </si>
  <si>
    <t xml:space="preserve">MacBook Pro  M3 14' </t>
  </si>
  <si>
    <t>iPad Air 5 (Wi-fi 64GB)</t>
  </si>
  <si>
    <t>MacBook Pro  M3 Max 14'</t>
  </si>
  <si>
    <t>iPad Mini 6 (Wi-fi 64GB)</t>
  </si>
  <si>
    <t>12,190,000</t>
  </si>
  <si>
    <t>MacBook Air M1</t>
  </si>
  <si>
    <t>iPad 10th  (Wi-fi 64GB)</t>
  </si>
  <si>
    <t>MacBook Air M2</t>
  </si>
  <si>
    <t>iPad 9th  (Wi-fi 64GB)</t>
  </si>
  <si>
    <t>Watch S8 (41mm GPS)</t>
  </si>
  <si>
    <t>MacBook Pro M2</t>
  </si>
  <si>
    <t>Watch S9 (41mm GPS)</t>
  </si>
  <si>
    <t>iPad Pro M1 (Wi-fi 11” 128GB)</t>
  </si>
  <si>
    <t>Watch S9 (45mm GPS)</t>
  </si>
  <si>
    <t>Watch SE 2022 (40mm GPS)</t>
  </si>
  <si>
    <t>iPad Gen 10th (Wi-fi 64GB)</t>
  </si>
  <si>
    <t>Watch SE 2023 (40mm GPS)</t>
  </si>
  <si>
    <t>Watch S9 (41mm LTE)</t>
  </si>
  <si>
    <t>Watch  Ultra ( 49mm)</t>
  </si>
  <si>
    <t>iPad 9th  (Wi-fi 64GB)</t>
  </si>
  <si>
    <t>Watch  Ultra 2 ( 49mm)</t>
  </si>
  <si>
    <t>Watch SE 3 (40mm GPS)</t>
  </si>
  <si>
    <t>iPad 10th  (Wi-fi 64GB)</t>
  </si>
  <si>
    <t>Watch 9 (41mm LTE)</t>
  </si>
  <si>
    <t>AirPods Pro Gen 2 (Lightning)</t>
  </si>
  <si>
    <t>Watch SE 2 (40mm GPS)</t>
  </si>
  <si>
    <t>AirPods 3 (Lightning)</t>
  </si>
  <si>
    <t>Watch Ultra 2 ( 49mm)</t>
  </si>
  <si>
    <t>Watch SE 3 (40mm GPS )</t>
  </si>
  <si>
    <t>AirPods 2</t>
  </si>
  <si>
    <t>2,790,000</t>
  </si>
  <si>
    <t>Watch Ultra 2 (49mm)</t>
  </si>
  <si>
    <t>Watch Ultra (49mm)</t>
  </si>
  <si>
    <t>Watch Ultra ( 49mm)</t>
  </si>
  <si>
    <t>Watch S3 (38mm GPS)</t>
  </si>
  <si>
    <t>Watch SE2 (40mm GPS)</t>
  </si>
  <si>
    <t>AirPods Pro</t>
  </si>
  <si>
    <t>AirPods Pro 2</t>
  </si>
  <si>
    <t>AirPods 3</t>
  </si>
  <si>
    <t>AirPods with charging case</t>
  </si>
  <si>
    <t>HH</t>
  </si>
  <si>
    <t>VT</t>
  </si>
  <si>
    <t>MacBook Pro  M3 14' 256Gb</t>
  </si>
  <si>
    <t>MacBook Air M1 13' 256Gb</t>
  </si>
  <si>
    <t>MacBook Air M2 13' 256Gb</t>
  </si>
  <si>
    <t>MacBook Pro M2 14' 512Gb</t>
  </si>
  <si>
    <t xml:space="preserve">THÔNG TIN THỊ TRƯỜNG W5Q3FY24:
1. FPT SHOP:
- Do thay đổi chiến lược kinh doanh nên Apple trở thành sản phẩm mục tiêu các shop FPT tập trung push sale để tăng doanh thu hoàn thành target doanh số. Chính vì vậy iPhone 15 Pro Max trở thành model được bán ra tốt nhất trong tuần mặc dù giá 29.990K cao hơn Viettel Store tới 1 triệu đồng.
- iPhone 15 Plus trước kỳ nghỉ lễ được nhiều khách hàng tìm mua và gây Hot thì W5 vừa qua tại FPT Shop sụt giảm mạnh 20% do chủ yếu khách hàng tập trung mua chơi lễ trước. Mặt khác việc ép bán gói BH 2 năm cũng khiến nhiều khách hàng tầm trẻ, đối tượng chính mua iPhone 15 Plus né tránh và tìm mua chuỗi khác.
- Non iPhone tuần qua bán ra xu hướng giảm chung từ iPad tới MacBook do nhu cầu mua sắm trong và sau lễ rất thấp. Ngoại trừ AW có sell-out tương đối ổn định đặc biệt model AW SE do khách hàng mua để trưng diện đi du lịch nghỉ dưỡng và tập luyện sức khỏe vào mùa hè.
2. MOBILE WORLD:
- Doanh thu Apple tại hệ thống Topzone và MW tuần W5 vừa qua sập số do các shop đóng cửa nghỉ lễ 30/4 và 1/5 nên bị mất khách và traffic shop đã thấp lại càng kém hơn sau khi mở lại.
- Cách tính doanh thu shop thay đổi từ tháng 5 tại hệ thống MW. Không tính doanh thu đơn Online cho shop mà chỉ tính 50% thưởng cho nhân viên trong ca làm trong khi đó mùa hè nắng nóng tỉ lệ đơn online gia tăng khiến nhân viên và SM chán nản.
- Điểm sáng nhất của chính sách tháng 5 tại MW hiện nay là hỗ trợ trả góp 0% cho các sản phẩm Apple trên giá giảm CTKM giúp khách hàng được lợi về giá, kích cầu mua sắm. Bên cạnh đó MW ký kết chiến lược với các bên trả góp để tỉ lệ duyệt hồ sơ tốt hơn làm lợi thế cạnh tranh các chuỗi khác. Điều này rất có lợi cho bán Apple trong tháng 5.
3. VIETTEL STORE:
- Tuần W5 vừa qua gần như các model bán tốt tại Viettel Store không thay đổi về giá nhưng để thúc đẩy tỉ lệ kích hoạt sim thì chuỗi có chiến lược mở kho số tặng kèm khách hàng mỗi chiếc iPhone bán ra tặng 01 sim khiến khách hàng rất happy.
- Mặc dù giá tốt, hàng hóa đầy đủ thậm chí dư thừa các bản base iPhone tại hầu hết các shop nhưng không truyền thông nên Viettel Store vẫn không thể nâng được tỉ trọng sell-out tương xứng và tuần qua traffic giảm do nghỉ lễ khiến sell-out còn giảm sâu hơn rất đáng tiếc.
- Non iPhone tại W4 Viettel bán ra khá tốt iPad gen 9th và AW S8 cho đối tượng khách thu nhập tầm trung, yêu cầu sản phẩm không quá cao cấp nhưng tới W5 do traffic giảm mạnh vào đầu tuần vì trùng kỳ nghỉ lễ và cuối tuần nắng nóng kéo dài khiến sell-out Non iPhone nhiều shop lớn cũng bán ra rất kém.
</t>
  </si>
  <si>
    <t>MacBook Pro M2 14' 256Gb</t>
  </si>
  <si>
    <t>Hoang Ha</t>
  </si>
  <si>
    <t>Shopee</t>
  </si>
  <si>
    <t>iPhone 15 Pro  128GB</t>
  </si>
  <si>
    <t>iPhone 15 Pro Max 256GB</t>
  </si>
  <si>
    <t>iPad Pro 11" M2 128GB Wifi</t>
  </si>
  <si>
    <t>iPad Air 5 M1 64GB Wifi</t>
  </si>
  <si>
    <t>iPad Mini 6 64GB Wifi</t>
  </si>
  <si>
    <t>iPad Gen 10th 64GB Wifi</t>
  </si>
  <si>
    <t>iPad Gen 9th  64GB Wifi</t>
  </si>
  <si>
    <t>AW SE 2023 (40mm GPS)</t>
  </si>
  <si>
    <t>AW SE 2023 (40mm LTE)</t>
  </si>
  <si>
    <t>AW SE 2023 (44mm GPS)</t>
  </si>
  <si>
    <t>AW SE 2023 (44mm LTE)</t>
  </si>
  <si>
    <t>AW S9 (41mm GPS)</t>
  </si>
  <si>
    <t>AW S9 (41mm CEL)</t>
  </si>
  <si>
    <t>AW S9 (45mm GPS)</t>
  </si>
  <si>
    <t>AW S9 (45mm CEL)</t>
  </si>
  <si>
    <t>AW Ultra 2 (49mm)</t>
  </si>
  <si>
    <t>AirPods 3 with charging case</t>
  </si>
  <si>
    <t>AirPods 2 with charging case</t>
  </si>
  <si>
    <t>MacBook Air 13" M1 8/256Gb</t>
  </si>
  <si>
    <t>MacBook Air 13" M2 8/256GB</t>
  </si>
  <si>
    <t>MacBook Air 13" M3 8/256GB</t>
  </si>
  <si>
    <t>MacBook Air 15" M3 8/256GB</t>
  </si>
  <si>
    <t>MacBook Pro 14" M3 8/512GB</t>
  </si>
  <si>
    <t>2,690,000</t>
  </si>
  <si>
    <t>iPhone 16  128GB</t>
  </si>
  <si>
    <t>iPhone 16 Pro  128GB</t>
  </si>
  <si>
    <t>iPhone 16 Pro Max 256GB</t>
  </si>
  <si>
    <t>iPad Pro  M4  11" 256 GB Wifi</t>
  </si>
  <si>
    <t>iPad Pro  M4  13" 256 GB Wifi</t>
  </si>
  <si>
    <t>MacBook Air 13" M2 16/256GB</t>
  </si>
  <si>
    <t>MacBook Pro 14" M4 16/512GB</t>
  </si>
  <si>
    <t>MacBook Pro 16" M4 24/512GB</t>
  </si>
  <si>
    <t>iPad Air M2  11" 128 GB Wifi</t>
  </si>
  <si>
    <t>iPad Air M2  13" 128 GB Wifi</t>
  </si>
  <si>
    <t>5.255.00</t>
  </si>
  <si>
    <t>A Duy</t>
  </si>
  <si>
    <t>A Nghĩa</t>
  </si>
  <si>
    <t>Việt Béo</t>
  </si>
  <si>
    <t>A Sơn</t>
  </si>
  <si>
    <t>C Trang</t>
  </si>
  <si>
    <t>3.890.000</t>
  </si>
  <si>
    <t>Việt</t>
  </si>
  <si>
    <t>Sơn</t>
  </si>
  <si>
    <t>18.990.000</t>
  </si>
  <si>
    <t>19.190.000</t>
  </si>
  <si>
    <t>13.790.000</t>
  </si>
  <si>
    <t>15.690.000</t>
  </si>
  <si>
    <t>28.750.000</t>
  </si>
  <si>
    <t>29.250.000</t>
  </si>
  <si>
    <t>8.090.000</t>
  </si>
  <si>
    <t>29.590.000</t>
  </si>
  <si>
    <t>13.590.000</t>
  </si>
  <si>
    <t>AW SE 2024 (40mm GPS)</t>
  </si>
  <si>
    <t>AW SE 2024 (40mm LTE)</t>
  </si>
  <si>
    <t>AW SE 2024 (44mm GPS)</t>
  </si>
  <si>
    <t>AW SE 2024 (44mm LTE)</t>
  </si>
  <si>
    <t>AW S10 (42mm GPS)</t>
  </si>
  <si>
    <t>AW S10 (42mm CEL)</t>
  </si>
  <si>
    <t>AW S10 (46mm GPS)</t>
  </si>
  <si>
    <t>11.790.000</t>
  </si>
  <si>
    <t>AW S10 (46mm CEL)</t>
  </si>
  <si>
    <t>19.290.000</t>
  </si>
  <si>
    <t>13.450.000</t>
  </si>
  <si>
    <t>13.490.000</t>
  </si>
  <si>
    <t>16.290.000</t>
  </si>
  <si>
    <t>Chưa có giá</t>
  </si>
  <si>
    <t>7.890.000</t>
  </si>
  <si>
    <t>19.490.000</t>
  </si>
  <si>
    <t>13.390.000</t>
  </si>
  <si>
    <t>x</t>
  </si>
  <si>
    <t>AW SE 2 (40mm GPS)</t>
  </si>
  <si>
    <t>AW SE 2 (40mm LTE)</t>
  </si>
  <si>
    <t>AW SE 2 (44mm GPS)</t>
  </si>
  <si>
    <t>AW SE 2 (44mm LTE)</t>
  </si>
  <si>
    <t>12.990.000</t>
  </si>
  <si>
    <t>MacBook Air 13" M3 16/256GB</t>
  </si>
  <si>
    <t>MacBook Air 15" M3 16/256GB</t>
  </si>
  <si>
    <t>12.790.000</t>
  </si>
  <si>
    <t>11.690.000</t>
  </si>
  <si>
    <t>23.190.00</t>
  </si>
  <si>
    <t>12.590.000</t>
  </si>
  <si>
    <t>22.990.00</t>
  </si>
  <si>
    <t>10.690.000</t>
  </si>
  <si>
    <t>10.490.000</t>
  </si>
  <si>
    <t>11.490.000</t>
  </si>
  <si>
    <t>28.890.000</t>
  </si>
  <si>
    <t>6.890.000</t>
  </si>
  <si>
    <t>7.790.000</t>
  </si>
  <si>
    <t>10.590.000</t>
  </si>
  <si>
    <t>7.390.000</t>
  </si>
  <si>
    <t>10.990.000</t>
  </si>
  <si>
    <t>7.190.000</t>
  </si>
  <si>
    <t>23.890.00</t>
  </si>
  <si>
    <t>10.790.000</t>
  </si>
  <si>
    <t>23.590.00</t>
  </si>
  <si>
    <t>iPad Gen 9th  128GB Wifi</t>
  </si>
  <si>
    <t>22.490.000</t>
  </si>
  <si>
    <t>5.020.000</t>
  </si>
  <si>
    <t>8.490.000</t>
  </si>
  <si>
    <t>13.190.000</t>
  </si>
  <si>
    <t>9.490.000</t>
  </si>
  <si>
    <t>9.590.000</t>
  </si>
  <si>
    <t>26.990.000</t>
  </si>
  <si>
    <t>9.290.000</t>
  </si>
  <si>
    <t>MacBook Pro 16" M4 16/512GB</t>
  </si>
  <si>
    <t>EOL</t>
  </si>
  <si>
    <t>Hãi</t>
  </si>
  <si>
    <t>iPhone 16 Pro 128GB</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</si>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</sst>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1" formatCode="_(* #,##0_);_(* \(#,##0\);_(* &quot;-&quot;_);_(@_)"/>
    <numFmt numFmtId="43" formatCode="_(* #,##0.00_);_(* \(#,##0.00\);_(* &quot;-&quot;??_);_(@_)"/>
  </numFmts>
  <fonts count="18" x14ac:knownFonts="1">
    <font>
      <sz val="12"/>
      <color theme="1"/>
      <name val="Aptos Narrow"/>
      <family val="2"/>
      <scheme val="minor"/>
    </font>
    <font>
      <sz val="12"/>
      <color theme="1"/>
      <name val="Aptos Narrow"/>
      <family val="2"/>
      <scheme val="minor"/>
    </font>
    <font>
      <sz val="10"/>
      <color rgb="FF000000"/>
      <name val="Arial"/>
      <family val="2"/>
    </font>
    <font>
      <b/>
      <sz val="12"/>
      <color theme="1"/>
      <name val="Aptos Narrow"/>
      <family val="2"/>
      <scheme val="minor"/>
    </font>
    <font>
      <sz val="11"/>
      <color rgb="FF000000"/>
      <name val="Arial"/>
      <family val="2"/>
    </font>
    <font>
      <sz val="12"/>
      <color rgb="FF000000"/>
      <name val="Aptos Narrow"/>
      <family val="2"/>
      <scheme val="minor"/>
    </font>
    <font>
      <sz val="10"/>
      <color indexed="8"/>
      <name val="Arial"/>
      <family val="2"/>
    </font>
    <font>
      <sz val="12"/>
      <color rgb="FF000000"/>
      <name val="Aptos Narrow"/>
      <family val="2"/>
    </font>
    <font>
      <sz val="10"/>
      <color theme="1"/>
      <name val="Arial"/>
      <family val="2"/>
    </font>
    <font>
      <sz val="10"/>
      <color rgb="FF000000"/>
      <name val="Arial"/>
      <family val="2"/>
      <charset val="1"/>
    </font>
    <font>
      <sz val="12"/>
      <color rgb="FF000000"/>
      <name val="Aptos Narrow"/>
      <family val="2"/>
      <charset val="1"/>
    </font>
    <font>
      <b/>
      <sz val="10"/>
      <color theme="1"/>
      <name val="Arial"/>
      <family val="2"/>
    </font>
    <font>
      <u/>
      <sz val="12"/>
      <color theme="1"/>
      <name val="Aptos Narrow"/>
      <family val="2"/>
      <scheme val="minor"/>
    </font>
    <font>
      <i/>
      <sz val="12"/>
      <color theme="1"/>
      <name val="Aptos Narrow"/>
      <family val="2"/>
      <scheme val="minor"/>
    </font>
    <font>
      <sz val="12"/>
      <color rgb="FF000000"/>
      <name val="Aptos Narrow"/>
    </font>
    <font>
      <b/>
      <sz val="16"/>
      <color theme="0"/>
      <name val="Aptos Narrow"/>
      <family val="2"/>
      <scheme val="minor"/>
    </font>
    <font>
      <sz val="11"/>
      <color indexed="8"/>
      <name val="Aptos Narrow"/>
      <family val="2"/>
      <scheme val="minor"/>
    </font>
    <font>
      <sz val="10"/>
      <color theme="1"/>
      <name val="Arial"/>
    </font>
  </fonts>
  <fills count="21">
    <fill>
      <patternFill patternType="none"/>
    </fill>
    <fill>
      <patternFill patternType="gray125"/>
    </fill>
    <fill>
      <patternFill patternType="solid">
        <fgColor rgb="FFFFFF00"/>
        <bgColor rgb="FF000000"/>
      </patternFill>
    </fill>
    <fill>
      <patternFill patternType="solid">
        <fgColor rgb="FF66C6FF"/>
        <bgColor rgb="FF000000"/>
      </patternFill>
    </fill>
    <fill>
      <patternFill patternType="solid">
        <fgColor rgb="FF65C7FF"/>
        <bgColor rgb="FF000000"/>
      </patternFill>
    </fill>
    <fill>
      <patternFill patternType="solid">
        <fgColor rgb="FF92D050"/>
        <bgColor indexed="64"/>
      </patternFill>
    </fill>
    <fill>
      <patternFill patternType="solid">
        <fgColor theme="4" tint="0.39997558519241921"/>
        <bgColor indexed="64"/>
      </patternFill>
    </fill>
    <fill>
      <patternFill patternType="solid">
        <fgColor rgb="FFFFFF00"/>
        <bgColor indexed="64"/>
      </patternFill>
    </fill>
    <fill>
      <patternFill patternType="solid">
        <fgColor rgb="FF67C5FF"/>
        <bgColor rgb="FF000000"/>
      </patternFill>
    </fill>
    <fill>
      <patternFill patternType="solid">
        <fgColor rgb="FF61CBF3"/>
        <bgColor rgb="FF000000"/>
      </patternFill>
    </fill>
    <fill>
      <patternFill patternType="solid">
        <fgColor rgb="FF44B3E1"/>
        <bgColor rgb="FF000000"/>
      </patternFill>
    </fill>
    <fill>
      <patternFill patternType="solid">
        <fgColor rgb="FF00B0F0"/>
        <bgColor rgb="FF000000"/>
      </patternFill>
    </fill>
    <fill>
      <patternFill patternType="solid">
        <fgColor rgb="FF65C8FF"/>
        <bgColor rgb="FF000000"/>
      </patternFill>
    </fill>
    <fill>
      <patternFill patternType="solid">
        <fgColor rgb="FF64C9FF"/>
        <bgColor rgb="FF000000"/>
      </patternFill>
    </fill>
    <fill>
      <patternFill patternType="solid">
        <fgColor theme="7" tint="0.39997558519241921"/>
        <bgColor indexed="64"/>
      </patternFill>
    </fill>
    <fill>
      <patternFill patternType="solid">
        <fgColor theme="7" tint="0.39997558519241921"/>
        <bgColor rgb="FF000000"/>
      </patternFill>
    </fill>
    <fill>
      <patternFill patternType="solid">
        <fgColor rgb="FF67C5FF"/>
        <bgColor indexed="64"/>
      </patternFill>
    </fill>
    <fill>
      <patternFill patternType="solid">
        <fgColor theme="4" tint="0.39997558519241921"/>
        <bgColor rgb="FF000000"/>
      </patternFill>
    </fill>
    <fill>
      <patternFill patternType="solid">
        <fgColor theme="4" tint="0.59999389629810485"/>
        <bgColor indexed="64"/>
      </patternFill>
    </fill>
    <fill>
      <patternFill patternType="solid">
        <fgColor theme="4" tint="-0.249977111117893"/>
        <bgColor indexed="64"/>
      </patternFill>
    </fill>
    <fill>
      <patternFill patternType="solid">
        <fgColor theme="2"/>
        <bgColor indexed="64"/>
      </patternFill>
    </fill>
  </fills>
  <borders count="18">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thin">
        <color indexed="64"/>
      </left>
      <right style="thin">
        <color indexed="64"/>
      </right>
      <top/>
      <bottom/>
      <diagonal/>
    </border>
    <border>
      <left style="thin">
        <color rgb="FF000000"/>
      </left>
      <right style="thin">
        <color rgb="FF000000"/>
      </right>
      <top/>
      <bottom style="thin">
        <color rgb="FF000000"/>
      </bottom>
      <diagonal/>
    </border>
    <border>
      <left/>
      <right style="thin">
        <color rgb="FF000000"/>
      </right>
      <top style="thin">
        <color rgb="FF000000"/>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s>
  <cellStyleXfs count="4">
    <xf numFmtId="0" fontId="0" fillId="0" borderId="0"/>
    <xf numFmtId="41" fontId="1" fillId="0" borderId="0"/>
    <xf numFmtId="43" fontId="1" fillId="0" borderId="0"/>
    <xf numFmtId="0" fontId="16" fillId="0" borderId="0"/>
  </cellStyleXfs>
  <cellXfs count="170">
    <xf numFmtId="0" fontId="0" fillId="0" borderId="0" xfId="0"/>
    <xf numFmtId="3" fontId="2" fillId="2" borderId="1" xfId="1" applyNumberFormat="1" applyFont="1" applyFill="1" applyBorder="1" applyAlignment="1">
      <alignment horizontal="center" vertical="center" wrapText="1" readingOrder="1"/>
    </xf>
    <xf numFmtId="3" fontId="2" fillId="3" borderId="1" xfId="1" applyNumberFormat="1" applyFont="1" applyFill="1" applyBorder="1" applyAlignment="1">
      <alignment horizontal="center" vertical="center" wrapText="1" readingOrder="1"/>
    </xf>
    <xf numFmtId="3" fontId="2" fillId="2" borderId="1" xfId="0" applyNumberFormat="1" applyFont="1" applyFill="1" applyBorder="1" applyAlignment="1">
      <alignment horizontal="center" vertical="center" wrapText="1"/>
    </xf>
    <xf numFmtId="3" fontId="2" fillId="3" borderId="1" xfId="0" applyNumberFormat="1" applyFont="1" applyFill="1" applyBorder="1" applyAlignment="1">
      <alignment horizontal="center" vertical="center" wrapText="1"/>
    </xf>
    <xf numFmtId="3" fontId="2" fillId="4" borderId="1" xfId="0" applyNumberFormat="1" applyFont="1" applyFill="1" applyBorder="1" applyAlignment="1">
      <alignment horizontal="center" vertical="center" wrapText="1"/>
    </xf>
    <xf numFmtId="0" fontId="0" fillId="0" borderId="0" xfId="0" applyAlignment="1">
      <alignment horizontal="center" vertical="center"/>
    </xf>
    <xf numFmtId="3" fontId="2" fillId="0" borderId="1" xfId="0" applyNumberFormat="1" applyFont="1" applyBorder="1" applyAlignment="1">
      <alignment horizontal="center" vertical="center" wrapText="1"/>
    </xf>
    <xf numFmtId="3" fontId="2" fillId="0" borderId="0" xfId="0" applyNumberFormat="1" applyFont="1" applyAlignment="1">
      <alignment horizontal="center" vertical="center" wrapText="1"/>
    </xf>
    <xf numFmtId="0" fontId="0" fillId="0" borderId="1" xfId="0" applyBorder="1" applyAlignment="1">
      <alignment horizontal="center" vertical="center"/>
    </xf>
    <xf numFmtId="3" fontId="2" fillId="2" borderId="3" xfId="0" applyNumberFormat="1" applyFont="1" applyFill="1" applyBorder="1" applyAlignment="1">
      <alignment horizontal="center" vertical="center" wrapText="1"/>
    </xf>
    <xf numFmtId="3" fontId="2" fillId="3" borderId="3" xfId="0" applyNumberFormat="1" applyFont="1" applyFill="1" applyBorder="1" applyAlignment="1">
      <alignment horizontal="center" vertical="center" wrapText="1"/>
    </xf>
    <xf numFmtId="3" fontId="2" fillId="0" borderId="2" xfId="0" applyNumberFormat="1" applyFont="1" applyBorder="1" applyAlignment="1">
      <alignment horizontal="center" vertical="center" wrapText="1"/>
    </xf>
    <xf numFmtId="3" fontId="2" fillId="0" borderId="4" xfId="0" applyNumberFormat="1" applyFont="1" applyBorder="1" applyAlignment="1">
      <alignment horizontal="center" vertical="center" wrapText="1"/>
    </xf>
    <xf numFmtId="3" fontId="2" fillId="2" borderId="4" xfId="0" applyNumberFormat="1" applyFont="1" applyFill="1" applyBorder="1" applyAlignment="1">
      <alignment horizontal="center" vertical="center" wrapText="1"/>
    </xf>
    <xf numFmtId="3" fontId="2" fillId="0" borderId="5" xfId="0" applyNumberFormat="1" applyFont="1" applyBorder="1" applyAlignment="1">
      <alignment horizontal="center" vertical="center" wrapText="1"/>
    </xf>
    <xf numFmtId="3" fontId="2" fillId="3" borderId="4" xfId="0" applyNumberFormat="1" applyFont="1" applyFill="1" applyBorder="1" applyAlignment="1">
      <alignment horizontal="center" vertical="center" wrapText="1"/>
    </xf>
    <xf numFmtId="0" fontId="3" fillId="5" borderId="1" xfId="0" applyFont="1" applyFill="1" applyBorder="1" applyAlignment="1">
      <alignment horizontal="center" vertical="center"/>
    </xf>
    <xf numFmtId="0" fontId="3" fillId="5" borderId="3" xfId="0" applyFont="1" applyFill="1" applyBorder="1" applyAlignment="1">
      <alignment horizontal="center" vertical="center"/>
    </xf>
    <xf numFmtId="3" fontId="2" fillId="0" borderId="3" xfId="1" applyNumberFormat="1" applyFont="1" applyBorder="1" applyAlignment="1">
      <alignment horizontal="center" vertical="center" wrapText="1" readingOrder="1"/>
    </xf>
    <xf numFmtId="3" fontId="4" fillId="2" borderId="1" xfId="0" applyNumberFormat="1" applyFont="1" applyFill="1" applyBorder="1" applyAlignment="1">
      <alignment horizontal="center" vertical="center" wrapText="1"/>
    </xf>
    <xf numFmtId="3" fontId="4" fillId="3" borderId="1" xfId="0" applyNumberFormat="1" applyFont="1" applyFill="1" applyBorder="1" applyAlignment="1">
      <alignment horizontal="center" vertical="center" wrapText="1"/>
    </xf>
    <xf numFmtId="0" fontId="0" fillId="0" borderId="0" xfId="0" applyAlignment="1">
      <alignment horizontal="center"/>
    </xf>
    <xf numFmtId="3" fontId="6" fillId="6" borderId="1" xfId="0" applyNumberFormat="1" applyFont="1" applyFill="1" applyBorder="1" applyAlignment="1">
      <alignment horizontal="center" vertical="center" wrapText="1"/>
    </xf>
    <xf numFmtId="3" fontId="6" fillId="7" borderId="1" xfId="0" applyNumberFormat="1" applyFont="1" applyFill="1" applyBorder="1" applyAlignment="1">
      <alignment horizontal="center" vertical="center" wrapText="1"/>
    </xf>
    <xf numFmtId="3" fontId="2" fillId="8" borderId="1" xfId="0" applyNumberFormat="1" applyFont="1" applyFill="1" applyBorder="1" applyAlignment="1">
      <alignment horizontal="center" vertical="center" wrapText="1"/>
    </xf>
    <xf numFmtId="3" fontId="0" fillId="0" borderId="0" xfId="0" applyNumberFormat="1"/>
    <xf numFmtId="3" fontId="2" fillId="9" borderId="1" xfId="0" applyNumberFormat="1" applyFont="1" applyFill="1" applyBorder="1" applyAlignment="1">
      <alignment horizontal="center" vertical="center" wrapText="1"/>
    </xf>
    <xf numFmtId="3" fontId="2" fillId="10" borderId="1" xfId="0" applyNumberFormat="1" applyFont="1" applyFill="1" applyBorder="1" applyAlignment="1">
      <alignment horizontal="center" vertical="center" wrapText="1"/>
    </xf>
    <xf numFmtId="0" fontId="0" fillId="0" borderId="0" xfId="0" applyAlignment="1">
      <alignment horizontal="left"/>
    </xf>
    <xf numFmtId="3" fontId="2" fillId="11" borderId="1" xfId="0" applyNumberFormat="1" applyFont="1" applyFill="1" applyBorder="1" applyAlignment="1">
      <alignment horizontal="center" vertical="center" wrapText="1"/>
    </xf>
    <xf numFmtId="3" fontId="2" fillId="12" borderId="1" xfId="0" applyNumberFormat="1" applyFont="1" applyFill="1" applyBorder="1" applyAlignment="1">
      <alignment horizontal="center" vertical="center" wrapText="1"/>
    </xf>
    <xf numFmtId="3" fontId="2" fillId="13" borderId="1" xfId="0" applyNumberFormat="1" applyFont="1" applyFill="1" applyBorder="1" applyAlignment="1">
      <alignment horizontal="center" vertical="center" wrapText="1"/>
    </xf>
    <xf numFmtId="3" fontId="2" fillId="14" borderId="1" xfId="0" applyNumberFormat="1" applyFont="1" applyFill="1" applyBorder="1" applyAlignment="1">
      <alignment horizontal="center" vertical="center" wrapText="1"/>
    </xf>
    <xf numFmtId="3" fontId="2" fillId="7" borderId="1" xfId="0" applyNumberFormat="1" applyFont="1" applyFill="1" applyBorder="1" applyAlignment="1">
      <alignment horizontal="center" vertical="center" wrapText="1"/>
    </xf>
    <xf numFmtId="3" fontId="2" fillId="15" borderId="1" xfId="0" applyNumberFormat="1" applyFont="1" applyFill="1" applyBorder="1" applyAlignment="1">
      <alignment horizontal="center" vertical="center" wrapText="1"/>
    </xf>
    <xf numFmtId="3" fontId="8" fillId="3" borderId="1" xfId="0" applyNumberFormat="1" applyFont="1" applyFill="1" applyBorder="1" applyAlignment="1">
      <alignment horizontal="center" vertical="center" wrapText="1"/>
    </xf>
    <xf numFmtId="3" fontId="8" fillId="7" borderId="1" xfId="0" applyNumberFormat="1" applyFont="1" applyFill="1" applyBorder="1" applyAlignment="1">
      <alignment horizontal="center" vertical="center" wrapText="1"/>
    </xf>
    <xf numFmtId="3" fontId="2" fillId="16" borderId="1" xfId="0" applyNumberFormat="1" applyFont="1" applyFill="1" applyBorder="1" applyAlignment="1">
      <alignment horizontal="center" vertical="center" wrapText="1"/>
    </xf>
    <xf numFmtId="3" fontId="8" fillId="16" borderId="1" xfId="0" applyNumberFormat="1" applyFont="1" applyFill="1" applyBorder="1" applyAlignment="1">
      <alignment horizontal="center" vertical="center" wrapText="1"/>
    </xf>
    <xf numFmtId="0" fontId="0" fillId="16" borderId="0" xfId="0" applyFill="1"/>
    <xf numFmtId="3" fontId="8" fillId="2" borderId="1" xfId="0" applyNumberFormat="1" applyFont="1" applyFill="1" applyBorder="1" applyAlignment="1">
      <alignment horizontal="center" vertical="center" wrapText="1"/>
    </xf>
    <xf numFmtId="3" fontId="8" fillId="8" borderId="1" xfId="0" applyNumberFormat="1" applyFont="1" applyFill="1" applyBorder="1" applyAlignment="1">
      <alignment horizontal="center" vertical="center" wrapText="1"/>
    </xf>
    <xf numFmtId="0" fontId="0" fillId="7" borderId="0" xfId="0" applyFill="1"/>
    <xf numFmtId="3" fontId="2" fillId="6" borderId="1" xfId="0" applyNumberFormat="1" applyFont="1" applyFill="1" applyBorder="1" applyAlignment="1">
      <alignment horizontal="center" vertical="center" wrapText="1"/>
    </xf>
    <xf numFmtId="3" fontId="2" fillId="17" borderId="1" xfId="0" applyNumberFormat="1" applyFont="1" applyFill="1" applyBorder="1" applyAlignment="1">
      <alignment horizontal="center" vertical="center" wrapText="1"/>
    </xf>
    <xf numFmtId="0" fontId="3" fillId="0" borderId="1" xfId="0" applyFont="1" applyBorder="1"/>
    <xf numFmtId="3" fontId="8" fillId="16" borderId="1" xfId="0" applyNumberFormat="1" applyFont="1" applyFill="1" applyBorder="1" applyAlignment="1">
      <alignment horizontal="center" vertical="center"/>
    </xf>
    <xf numFmtId="3" fontId="8" fillId="7" borderId="1" xfId="0" applyNumberFormat="1" applyFont="1" applyFill="1" applyBorder="1" applyAlignment="1">
      <alignment horizontal="center" vertical="center"/>
    </xf>
    <xf numFmtId="3" fontId="2" fillId="7" borderId="6" xfId="0" applyNumberFormat="1" applyFont="1" applyFill="1" applyBorder="1" applyAlignment="1">
      <alignment horizontal="center" vertical="center" wrapText="1"/>
    </xf>
    <xf numFmtId="3" fontId="9" fillId="16" borderId="1" xfId="0" applyNumberFormat="1" applyFont="1" applyFill="1" applyBorder="1"/>
    <xf numFmtId="0" fontId="9" fillId="16" borderId="7" xfId="0" applyFont="1" applyFill="1" applyBorder="1" applyAlignment="1">
      <alignment wrapText="1"/>
    </xf>
    <xf numFmtId="3" fontId="9" fillId="16" borderId="7" xfId="0" applyNumberFormat="1" applyFont="1" applyFill="1" applyBorder="1" applyAlignment="1">
      <alignment wrapText="1"/>
    </xf>
    <xf numFmtId="3" fontId="9" fillId="7" borderId="7" xfId="0" applyNumberFormat="1" applyFont="1" applyFill="1" applyBorder="1" applyAlignment="1">
      <alignment wrapText="1"/>
    </xf>
    <xf numFmtId="3" fontId="9" fillId="7" borderId="1" xfId="0" applyNumberFormat="1" applyFont="1" applyFill="1" applyBorder="1"/>
    <xf numFmtId="3" fontId="9" fillId="7" borderId="8" xfId="0" applyNumberFormat="1" applyFont="1" applyFill="1" applyBorder="1"/>
    <xf numFmtId="3" fontId="9" fillId="7" borderId="9" xfId="0" applyNumberFormat="1" applyFont="1" applyFill="1" applyBorder="1" applyAlignment="1">
      <alignment wrapText="1"/>
    </xf>
    <xf numFmtId="0" fontId="9" fillId="16" borderId="9" xfId="0" applyFont="1" applyFill="1" applyBorder="1" applyAlignment="1">
      <alignment wrapText="1"/>
    </xf>
    <xf numFmtId="3" fontId="9" fillId="16" borderId="9" xfId="0" applyNumberFormat="1" applyFont="1" applyFill="1" applyBorder="1" applyAlignment="1">
      <alignment wrapText="1"/>
    </xf>
    <xf numFmtId="0" fontId="10" fillId="0" borderId="0" xfId="0" applyFont="1"/>
    <xf numFmtId="3" fontId="2" fillId="7" borderId="1" xfId="0" applyNumberFormat="1" applyFont="1" applyFill="1" applyBorder="1"/>
    <xf numFmtId="3" fontId="2" fillId="7" borderId="7" xfId="0" applyNumberFormat="1" applyFont="1" applyFill="1" applyBorder="1" applyAlignment="1">
      <alignment wrapText="1"/>
    </xf>
    <xf numFmtId="0" fontId="2" fillId="16" borderId="7" xfId="0" applyFont="1" applyFill="1" applyBorder="1" applyAlignment="1">
      <alignment wrapText="1"/>
    </xf>
    <xf numFmtId="3" fontId="2" fillId="16" borderId="7" xfId="0" applyNumberFormat="1" applyFont="1" applyFill="1" applyBorder="1" applyAlignment="1">
      <alignment wrapText="1"/>
    </xf>
    <xf numFmtId="3" fontId="2" fillId="16" borderId="1" xfId="0" applyNumberFormat="1" applyFont="1" applyFill="1" applyBorder="1"/>
    <xf numFmtId="3" fontId="8" fillId="16" borderId="6" xfId="0" applyNumberFormat="1" applyFont="1" applyFill="1" applyBorder="1" applyAlignment="1">
      <alignment horizontal="center" vertical="center" wrapText="1"/>
    </xf>
    <xf numFmtId="3" fontId="9" fillId="16" borderId="10" xfId="0" applyNumberFormat="1" applyFont="1" applyFill="1" applyBorder="1"/>
    <xf numFmtId="3" fontId="2" fillId="16" borderId="10" xfId="0" applyNumberFormat="1" applyFont="1" applyFill="1" applyBorder="1"/>
    <xf numFmtId="3" fontId="9" fillId="16" borderId="10" xfId="0" applyNumberFormat="1" applyFont="1" applyFill="1" applyBorder="1" applyAlignment="1">
      <alignment wrapText="1"/>
    </xf>
    <xf numFmtId="3" fontId="2" fillId="16" borderId="10" xfId="0" applyNumberFormat="1" applyFont="1" applyFill="1" applyBorder="1" applyAlignment="1">
      <alignment wrapText="1"/>
    </xf>
    <xf numFmtId="3" fontId="2" fillId="8" borderId="3" xfId="0" applyNumberFormat="1" applyFont="1" applyFill="1" applyBorder="1" applyAlignment="1">
      <alignment horizontal="center" vertical="center" wrapText="1"/>
    </xf>
    <xf numFmtId="3" fontId="8" fillId="16" borderId="2" xfId="0" applyNumberFormat="1" applyFont="1" applyFill="1" applyBorder="1" applyAlignment="1">
      <alignment horizontal="center" vertical="center" wrapText="1"/>
    </xf>
    <xf numFmtId="3" fontId="2" fillId="7" borderId="10" xfId="0" applyNumberFormat="1" applyFont="1" applyFill="1" applyBorder="1" applyAlignment="1">
      <alignment wrapText="1"/>
    </xf>
    <xf numFmtId="3" fontId="9" fillId="7" borderId="10" xfId="0" applyNumberFormat="1" applyFont="1" applyFill="1" applyBorder="1" applyAlignment="1">
      <alignment wrapText="1"/>
    </xf>
    <xf numFmtId="3" fontId="8" fillId="16" borderId="0" xfId="0" applyNumberFormat="1" applyFont="1" applyFill="1" applyAlignment="1">
      <alignment horizontal="center" vertical="center" wrapText="1"/>
    </xf>
    <xf numFmtId="3" fontId="2" fillId="7" borderId="10" xfId="0" applyNumberFormat="1" applyFont="1" applyFill="1" applyBorder="1"/>
    <xf numFmtId="3" fontId="9" fillId="7" borderId="10" xfId="0" applyNumberFormat="1" applyFont="1" applyFill="1" applyBorder="1"/>
    <xf numFmtId="3" fontId="11" fillId="16" borderId="1" xfId="0" applyNumberFormat="1" applyFont="1" applyFill="1" applyBorder="1" applyAlignment="1">
      <alignment horizontal="center" vertical="center" wrapText="1"/>
    </xf>
    <xf numFmtId="3" fontId="3" fillId="0" borderId="0" xfId="0" applyNumberFormat="1" applyFont="1"/>
    <xf numFmtId="3" fontId="8" fillId="18" borderId="1" xfId="0" applyNumberFormat="1" applyFont="1" applyFill="1" applyBorder="1" applyAlignment="1">
      <alignment horizontal="center" vertical="center" wrapText="1"/>
    </xf>
    <xf numFmtId="0" fontId="3" fillId="0" borderId="11" xfId="0" applyFont="1" applyBorder="1"/>
    <xf numFmtId="0" fontId="3" fillId="16" borderId="1" xfId="0" applyFont="1" applyFill="1" applyBorder="1"/>
    <xf numFmtId="0" fontId="3" fillId="0" borderId="3" xfId="0" applyFont="1" applyBorder="1"/>
    <xf numFmtId="0" fontId="12" fillId="0" borderId="0" xfId="0" applyFont="1"/>
    <xf numFmtId="0" fontId="2" fillId="16" borderId="10" xfId="2" applyNumberFormat="1" applyFont="1" applyFill="1" applyBorder="1"/>
    <xf numFmtId="0" fontId="2" fillId="7" borderId="10" xfId="2" applyNumberFormat="1" applyFont="1" applyFill="1" applyBorder="1"/>
    <xf numFmtId="0" fontId="2" fillId="16" borderId="7" xfId="2" applyNumberFormat="1" applyFont="1" applyFill="1" applyBorder="1" applyAlignment="1">
      <alignment wrapText="1"/>
    </xf>
    <xf numFmtId="0" fontId="9" fillId="7" borderId="1" xfId="2" applyNumberFormat="1" applyFont="1" applyFill="1" applyBorder="1" applyAlignment="1">
      <alignment horizontal="center" wrapText="1"/>
    </xf>
    <xf numFmtId="0" fontId="8" fillId="16" borderId="1" xfId="2" applyNumberFormat="1" applyFont="1" applyFill="1" applyBorder="1" applyAlignment="1">
      <alignment horizontal="center" vertical="center" wrapText="1"/>
    </xf>
    <xf numFmtId="0" fontId="9" fillId="7" borderId="7" xfId="2" applyNumberFormat="1" applyFont="1" applyFill="1" applyBorder="1" applyAlignment="1">
      <alignment horizontal="center" wrapText="1"/>
    </xf>
    <xf numFmtId="0" fontId="9" fillId="16" borderId="7" xfId="2" applyNumberFormat="1" applyFont="1" applyFill="1" applyBorder="1" applyAlignment="1">
      <alignment horizontal="center" wrapText="1"/>
    </xf>
    <xf numFmtId="0" fontId="8" fillId="7" borderId="1" xfId="2" applyNumberFormat="1" applyFont="1" applyFill="1" applyBorder="1" applyAlignment="1">
      <alignment horizontal="center" vertical="center" wrapText="1"/>
    </xf>
    <xf numFmtId="0" fontId="8" fillId="16" borderId="2" xfId="2" applyNumberFormat="1" applyFont="1" applyFill="1" applyBorder="1" applyAlignment="1">
      <alignment horizontal="center" vertical="center" wrapText="1"/>
    </xf>
    <xf numFmtId="0" fontId="9" fillId="16" borderId="9" xfId="2" applyNumberFormat="1" applyFont="1" applyFill="1" applyBorder="1" applyAlignment="1">
      <alignment horizontal="center" wrapText="1"/>
    </xf>
    <xf numFmtId="0" fontId="2" fillId="16" borderId="10" xfId="2" applyNumberFormat="1" applyFont="1" applyFill="1" applyBorder="1" applyAlignment="1">
      <alignment wrapText="1"/>
    </xf>
    <xf numFmtId="0" fontId="2" fillId="7" borderId="1" xfId="2" applyNumberFormat="1" applyFont="1" applyFill="1" applyBorder="1" applyAlignment="1">
      <alignment horizontal="center" vertical="center" wrapText="1"/>
    </xf>
    <xf numFmtId="0" fontId="2" fillId="8" borderId="1" xfId="2" applyNumberFormat="1" applyFont="1" applyFill="1" applyBorder="1" applyAlignment="1">
      <alignment horizontal="center" vertical="center" wrapText="1"/>
    </xf>
    <xf numFmtId="0" fontId="2" fillId="7" borderId="7" xfId="2" applyNumberFormat="1" applyFont="1" applyFill="1" applyBorder="1" applyAlignment="1">
      <alignment wrapText="1"/>
    </xf>
    <xf numFmtId="0" fontId="9" fillId="16" borderId="7" xfId="2" applyNumberFormat="1" applyFont="1" applyFill="1" applyBorder="1" applyAlignment="1">
      <alignment wrapText="1"/>
    </xf>
    <xf numFmtId="0" fontId="2" fillId="2" borderId="1" xfId="2" applyNumberFormat="1" applyFont="1" applyFill="1" applyBorder="1" applyAlignment="1">
      <alignment horizontal="center" vertical="center" wrapText="1"/>
    </xf>
    <xf numFmtId="0" fontId="2" fillId="16" borderId="1" xfId="2" applyNumberFormat="1" applyFont="1" applyFill="1" applyBorder="1" applyAlignment="1">
      <alignment horizontal="center" vertical="center" wrapText="1"/>
    </xf>
    <xf numFmtId="0" fontId="8" fillId="3" borderId="1" xfId="2" applyNumberFormat="1" applyFont="1" applyFill="1" applyBorder="1" applyAlignment="1">
      <alignment horizontal="center" vertical="center" wrapText="1"/>
    </xf>
    <xf numFmtId="3" fontId="2" fillId="7" borderId="10" xfId="2" applyNumberFormat="1" applyFont="1" applyFill="1" applyBorder="1"/>
    <xf numFmtId="3" fontId="2" fillId="16" borderId="10" xfId="2" applyNumberFormat="1" applyFont="1" applyFill="1" applyBorder="1"/>
    <xf numFmtId="3" fontId="2" fillId="16" borderId="7" xfId="2" applyNumberFormat="1" applyFont="1" applyFill="1" applyBorder="1" applyAlignment="1">
      <alignment wrapText="1"/>
    </xf>
    <xf numFmtId="3" fontId="8" fillId="16" borderId="1" xfId="2" applyNumberFormat="1" applyFont="1" applyFill="1" applyBorder="1" applyAlignment="1">
      <alignment horizontal="center" vertical="center" wrapText="1"/>
    </xf>
    <xf numFmtId="3" fontId="2" fillId="7" borderId="7" xfId="2" applyNumberFormat="1" applyFont="1" applyFill="1" applyBorder="1" applyAlignment="1">
      <alignment wrapText="1"/>
    </xf>
    <xf numFmtId="3" fontId="9" fillId="16" borderId="7" xfId="2" applyNumberFormat="1" applyFont="1" applyFill="1" applyBorder="1" applyAlignment="1">
      <alignment wrapText="1"/>
    </xf>
    <xf numFmtId="3" fontId="2" fillId="7" borderId="10" xfId="2" applyNumberFormat="1" applyFont="1" applyFill="1" applyBorder="1" applyAlignment="1">
      <alignment wrapText="1"/>
    </xf>
    <xf numFmtId="3" fontId="2" fillId="7" borderId="1" xfId="2" applyNumberFormat="1" applyFont="1" applyFill="1" applyBorder="1" applyAlignment="1">
      <alignment horizontal="center" vertical="center" wrapText="1"/>
    </xf>
    <xf numFmtId="41" fontId="8" fillId="16" borderId="1" xfId="1" applyFont="1" applyFill="1" applyBorder="1" applyAlignment="1">
      <alignment horizontal="center" vertical="center" wrapText="1"/>
    </xf>
    <xf numFmtId="41" fontId="8" fillId="7" borderId="1" xfId="1" applyFont="1" applyFill="1" applyBorder="1" applyAlignment="1">
      <alignment horizontal="center" vertical="center" wrapText="1"/>
    </xf>
    <xf numFmtId="41" fontId="2" fillId="8" borderId="1" xfId="1" applyFont="1" applyFill="1" applyBorder="1" applyAlignment="1">
      <alignment horizontal="center" vertical="center" wrapText="1"/>
    </xf>
    <xf numFmtId="1" fontId="0" fillId="0" borderId="0" xfId="0" applyNumberFormat="1"/>
    <xf numFmtId="1" fontId="0" fillId="0" borderId="0" xfId="1" applyNumberFormat="1" applyFont="1"/>
    <xf numFmtId="0" fontId="3" fillId="16" borderId="1" xfId="0" applyFont="1" applyFill="1" applyBorder="1" applyAlignment="1">
      <alignment horizontal="center" vertical="center"/>
    </xf>
    <xf numFmtId="0" fontId="2" fillId="16" borderId="7" xfId="2" applyNumberFormat="1" applyFont="1" applyFill="1" applyBorder="1" applyAlignment="1">
      <alignment horizontal="center" vertical="center" wrapText="1"/>
    </xf>
    <xf numFmtId="0" fontId="9" fillId="16" borderId="1" xfId="2" applyNumberFormat="1" applyFont="1" applyFill="1" applyBorder="1" applyAlignment="1">
      <alignment horizontal="center" wrapText="1"/>
    </xf>
    <xf numFmtId="3" fontId="2" fillId="16" borderId="10" xfId="2" applyNumberFormat="1" applyFont="1" applyFill="1" applyBorder="1" applyAlignment="1">
      <alignment wrapText="1"/>
    </xf>
    <xf numFmtId="0" fontId="9" fillId="7" borderId="9" xfId="2" applyNumberFormat="1" applyFont="1" applyFill="1" applyBorder="1" applyAlignment="1">
      <alignment horizontal="center" wrapText="1"/>
    </xf>
    <xf numFmtId="3" fontId="9" fillId="7" borderId="7" xfId="2" applyNumberFormat="1" applyFont="1" applyFill="1" applyBorder="1" applyAlignment="1">
      <alignment wrapText="1"/>
    </xf>
    <xf numFmtId="41" fontId="0" fillId="0" borderId="0" xfId="1" applyFont="1"/>
    <xf numFmtId="3" fontId="13" fillId="0" borderId="0" xfId="0" applyNumberFormat="1" applyFont="1"/>
    <xf numFmtId="41" fontId="2" fillId="2" borderId="1" xfId="1" applyFont="1" applyFill="1" applyBorder="1" applyAlignment="1">
      <alignment horizontal="center" vertical="center" wrapText="1"/>
    </xf>
    <xf numFmtId="0" fontId="14" fillId="0" borderId="0" xfId="0" applyFont="1"/>
    <xf numFmtId="41" fontId="3" fillId="16" borderId="1" xfId="1" applyFont="1" applyFill="1" applyBorder="1"/>
    <xf numFmtId="41" fontId="3" fillId="0" borderId="0" xfId="1" applyFont="1"/>
    <xf numFmtId="41" fontId="2" fillId="16" borderId="10" xfId="1" applyFont="1" applyFill="1" applyBorder="1"/>
    <xf numFmtId="41" fontId="3" fillId="16" borderId="0" xfId="1" applyFont="1" applyFill="1" applyAlignment="1">
      <alignment horizontal="center" vertical="center"/>
    </xf>
    <xf numFmtId="41" fontId="2" fillId="7" borderId="10" xfId="1" applyFont="1" applyFill="1" applyBorder="1"/>
    <xf numFmtId="41" fontId="2" fillId="16" borderId="7" xfId="1" applyFont="1" applyFill="1" applyBorder="1" applyAlignment="1">
      <alignment horizontal="center" vertical="center" wrapText="1"/>
    </xf>
    <xf numFmtId="41" fontId="2" fillId="7" borderId="1" xfId="1" applyFont="1" applyFill="1" applyBorder="1" applyAlignment="1">
      <alignment horizontal="center" wrapText="1"/>
    </xf>
    <xf numFmtId="41" fontId="2" fillId="16" borderId="7" xfId="1" applyFont="1" applyFill="1" applyBorder="1" applyAlignment="1">
      <alignment horizontal="center" wrapText="1"/>
    </xf>
    <xf numFmtId="41" fontId="2" fillId="7" borderId="7" xfId="1" applyFont="1" applyFill="1" applyBorder="1" applyAlignment="1">
      <alignment horizontal="center" wrapText="1"/>
    </xf>
    <xf numFmtId="41" fontId="8" fillId="16" borderId="2" xfId="1" applyFont="1" applyFill="1" applyBorder="1" applyAlignment="1">
      <alignment horizontal="center" vertical="center" wrapText="1"/>
    </xf>
    <xf numFmtId="41" fontId="2" fillId="16" borderId="7" xfId="1" applyFont="1" applyFill="1" applyBorder="1" applyAlignment="1">
      <alignment wrapText="1"/>
    </xf>
    <xf numFmtId="41" fontId="2" fillId="16" borderId="9" xfId="1" applyFont="1" applyFill="1" applyBorder="1" applyAlignment="1">
      <alignment horizontal="center" wrapText="1"/>
    </xf>
    <xf numFmtId="41" fontId="2" fillId="7" borderId="10" xfId="1" applyFont="1" applyFill="1" applyBorder="1" applyAlignment="1">
      <alignment wrapText="1"/>
    </xf>
    <xf numFmtId="41" fontId="2" fillId="16" borderId="10" xfId="1" applyFont="1" applyFill="1" applyBorder="1" applyAlignment="1">
      <alignment wrapText="1"/>
    </xf>
    <xf numFmtId="41" fontId="2" fillId="7" borderId="1" xfId="1" applyFont="1" applyFill="1" applyBorder="1" applyAlignment="1">
      <alignment horizontal="center" vertical="center" wrapText="1"/>
    </xf>
    <xf numFmtId="41" fontId="2" fillId="7" borderId="7" xfId="1" applyFont="1" applyFill="1" applyBorder="1" applyAlignment="1">
      <alignment wrapText="1"/>
    </xf>
    <xf numFmtId="41" fontId="2" fillId="16" borderId="1" xfId="1" applyFont="1" applyFill="1" applyBorder="1" applyAlignment="1">
      <alignment horizontal="center" vertical="center" wrapText="1"/>
    </xf>
    <xf numFmtId="41" fontId="8" fillId="3" borderId="1" xfId="1" applyFont="1" applyFill="1" applyBorder="1" applyAlignment="1">
      <alignment horizontal="center" vertical="center" wrapText="1"/>
    </xf>
    <xf numFmtId="0" fontId="15" fillId="19" borderId="12" xfId="0" applyFont="1" applyFill="1" applyBorder="1" applyAlignment="1">
      <alignment horizontal="center" vertical="center"/>
    </xf>
    <xf numFmtId="0" fontId="15" fillId="19" borderId="13" xfId="0" applyFont="1" applyFill="1" applyBorder="1" applyAlignment="1">
      <alignment horizontal="center" vertical="center"/>
    </xf>
    <xf numFmtId="0" fontId="15" fillId="19" borderId="14" xfId="0" applyFont="1" applyFill="1" applyBorder="1" applyAlignment="1">
      <alignment horizontal="center" vertical="center"/>
    </xf>
    <xf numFmtId="0" fontId="0" fillId="0" borderId="15" xfId="0" applyBorder="1"/>
    <xf numFmtId="0" fontId="0" fillId="0" borderId="16" xfId="0" applyBorder="1"/>
    <xf numFmtId="0" fontId="0" fillId="7" borderId="15" xfId="0" applyFill="1" applyBorder="1"/>
    <xf numFmtId="41" fontId="0" fillId="7" borderId="0" xfId="1" applyFont="1" applyFill="1"/>
    <xf numFmtId="41" fontId="0" fillId="7" borderId="17" xfId="1" applyFont="1" applyFill="1" applyBorder="1"/>
    <xf numFmtId="0" fontId="3" fillId="0" borderId="0" xfId="0" applyFont="1"/>
    <xf numFmtId="0" fontId="3" fillId="16" borderId="0" xfId="0" applyFont="1" applyFill="1" applyAlignment="1">
      <alignment horizontal="center" vertical="center"/>
    </xf>
    <xf numFmtId="0" fontId="0" fillId="20" borderId="0" xfId="0" applyFill="1"/>
    <xf numFmtId="41" fontId="2" fillId="7" borderId="7" xfId="1" applyFont="1" applyFill="1" applyBorder="1" applyAlignment="1">
      <alignment horizontal="center" vertical="center" wrapText="1"/>
    </xf>
    <xf numFmtId="41" fontId="3" fillId="7" borderId="1" xfId="1" applyFont="1" applyFill="1" applyBorder="1"/>
    <xf numFmtId="41" fontId="0" fillId="16" borderId="1" xfId="1" applyFont="1" applyFill="1" applyBorder="1"/>
    <xf numFmtId="41" fontId="0" fillId="7" borderId="1" xfId="1" applyFont="1" applyFill="1" applyBorder="1"/>
    <xf numFmtId="41" fontId="2" fillId="7" borderId="9" xfId="1" applyFont="1" applyFill="1" applyBorder="1" applyAlignment="1">
      <alignment horizontal="center" wrapText="1"/>
    </xf>
    <xf numFmtId="41" fontId="8" fillId="16" borderId="0" xfId="1" applyFont="1" applyFill="1" applyAlignment="1">
      <alignment horizontal="center" vertical="center" wrapText="1"/>
    </xf>
    <xf numFmtId="41" fontId="2" fillId="16" borderId="1" xfId="1" applyFont="1" applyFill="1" applyBorder="1" applyAlignment="1">
      <alignment horizontal="center" wrapText="1"/>
    </xf>
    <xf numFmtId="41" fontId="2" fillId="7" borderId="0" xfId="1" applyFont="1" applyFill="1" applyAlignment="1">
      <alignment horizontal="center" vertical="center" wrapText="1"/>
    </xf>
    <xf numFmtId="41" fontId="2" fillId="18" borderId="7" xfId="1" applyFont="1" applyFill="1" applyBorder="1" applyAlignment="1">
      <alignment wrapText="1"/>
    </xf>
    <xf numFmtId="41" fontId="2" fillId="14" borderId="10" xfId="1" applyFont="1" applyFill="1" applyBorder="1"/>
    <xf numFmtId="41" fontId="2" fillId="14" borderId="10" xfId="1" applyFont="1" applyFill="1" applyBorder="1" applyAlignment="1">
      <alignment wrapText="1"/>
    </xf>
    <xf numFmtId="41" fontId="2" fillId="14" borderId="7" xfId="1" applyFont="1" applyFill="1" applyBorder="1" applyAlignment="1">
      <alignment wrapText="1"/>
    </xf>
    <xf numFmtId="41" fontId="2" fillId="2" borderId="1" xfId="0" applyNumberFormat="1" applyFont="1" applyFill="1" applyBorder="1" applyAlignment="1">
      <alignment horizontal="center" vertical="center" wrapText="1"/>
    </xf>
    <xf numFmtId="41" fontId="17" fillId="16" borderId="1" xfId="1" applyFont="1" applyFill="1" applyBorder="1"/>
    <xf numFmtId="0" fontId="5" fillId="0" borderId="0" xfId="0" applyFont="1" applyAlignment="1">
      <alignment horizontal="left" vertical="top" wrapText="1"/>
    </xf>
    <xf numFmtId="0" fontId="0" fillId="0" borderId="0" xfId="0"/>
  </cellXfs>
  <cellStyles count="4">
    <cellStyle name="Comma" xfId="2" builtinId="3"/>
    <cellStyle name="Comma [0]" xfId="1" builtinId="6"/>
    <cellStyle name="Normal" xfId="0" builtinId="0"/>
    <cellStyle name="Normal 2" xfId="3" xr:uid="{00000000-0005-0000-0000-000003000000}"/>
  </cellStyles>
  <dxfs count="93">
    <dxf>
      <font>
        <color rgb="FF006100"/>
      </font>
      <fill>
        <patternFill>
          <bgColor rgb="FFC6EFCE"/>
        </patternFill>
      </fill>
    </dxf>
    <dxf>
      <font>
        <color rgb="FF9C0006"/>
      </font>
      <fill>
        <patternFill>
          <bgColor rgb="FFFFC7CE"/>
        </patternFill>
      </fill>
    </dxf>
    <dxf>
      <fill>
        <patternFill>
          <bgColor rgb="FFFFFF00"/>
        </patternFill>
      </fill>
    </dxf>
    <dxf>
      <fill>
        <patternFill>
          <bgColor rgb="FF67C5FF"/>
        </patternFill>
      </fill>
    </dxf>
    <dxf>
      <font>
        <color rgb="FF006100"/>
      </font>
      <fill>
        <patternFill>
          <bgColor rgb="FFC6EFCE"/>
        </patternFill>
      </fill>
    </dxf>
    <dxf>
      <font>
        <color rgb="FF9C0006"/>
      </font>
      <fill>
        <patternFill>
          <bgColor rgb="FFFFC7CE"/>
        </patternFill>
      </fill>
    </dxf>
    <dxf>
      <fill>
        <patternFill>
          <bgColor rgb="FFFFFF00"/>
        </patternFill>
      </fill>
    </dxf>
    <dxf>
      <fill>
        <patternFill>
          <bgColor rgb="FF67C5FF"/>
        </patternFill>
      </fill>
    </dxf>
    <dxf>
      <font>
        <color rgb="FF006100"/>
      </font>
      <fill>
        <patternFill>
          <bgColor rgb="FFC6EFCE"/>
        </patternFill>
      </fill>
    </dxf>
    <dxf>
      <font>
        <color rgb="FF9C0006"/>
      </font>
      <fill>
        <patternFill>
          <bgColor rgb="FFFFC7CE"/>
        </patternFill>
      </fill>
    </dxf>
    <dxf>
      <fill>
        <patternFill>
          <bgColor rgb="FFFFFF00"/>
        </patternFill>
      </fill>
    </dxf>
    <dxf>
      <fill>
        <patternFill>
          <bgColor rgb="FF67C5FF"/>
        </patternFill>
      </fill>
    </dxf>
    <dxf>
      <fill>
        <patternFill>
          <bgColor rgb="FFFFFF00"/>
        </patternFill>
      </fill>
    </dxf>
    <dxf>
      <fill>
        <patternFill>
          <bgColor rgb="FF67C5FF"/>
        </patternFill>
      </fill>
    </dxf>
    <dxf>
      <font>
        <color rgb="FF006100"/>
      </font>
      <fill>
        <patternFill>
          <bgColor rgb="FFC6EFCE"/>
        </patternFill>
      </fill>
    </dxf>
    <dxf>
      <font>
        <color rgb="FF9C0006"/>
      </font>
      <fill>
        <patternFill>
          <bgColor rgb="FFFFC7CE"/>
        </patternFill>
      </fill>
    </dxf>
    <dxf>
      <fill>
        <patternFill>
          <bgColor rgb="FFFFFF00"/>
        </patternFill>
      </fill>
    </dxf>
    <dxf>
      <fill>
        <patternFill>
          <bgColor rgb="FF67C5FF"/>
        </patternFill>
      </fill>
    </dxf>
    <dxf>
      <fill>
        <patternFill>
          <bgColor rgb="FFFFFF00"/>
        </patternFill>
      </fill>
    </dxf>
    <dxf>
      <fill>
        <patternFill>
          <bgColor rgb="FF67C5FF"/>
        </patternFill>
      </fill>
    </dxf>
    <dxf>
      <font>
        <color rgb="FF006100"/>
      </font>
      <fill>
        <patternFill>
          <bgColor rgb="FFC6EFCE"/>
        </patternFill>
      </fill>
    </dxf>
    <dxf>
      <font>
        <color rgb="FF9C0006"/>
      </font>
      <fill>
        <patternFill>
          <bgColor rgb="FFFFC7CE"/>
        </patternFill>
      </fill>
    </dxf>
    <dxf>
      <fill>
        <patternFill>
          <bgColor rgb="FFFFFF00"/>
        </patternFill>
      </fill>
    </dxf>
    <dxf>
      <fill>
        <patternFill>
          <bgColor rgb="FF67C5FF"/>
        </patternFill>
      </fill>
    </dxf>
    <dxf>
      <fill>
        <patternFill>
          <bgColor rgb="FFFFFF00"/>
        </patternFill>
      </fill>
    </dxf>
    <dxf>
      <fill>
        <patternFill>
          <bgColor rgb="FF67C5FF"/>
        </patternFill>
      </fill>
    </dxf>
    <dxf>
      <font>
        <color rgb="FF006100"/>
      </font>
      <fill>
        <patternFill>
          <bgColor rgb="FFC6EFCE"/>
        </patternFill>
      </fill>
    </dxf>
    <dxf>
      <font>
        <color rgb="FF9C0006"/>
      </font>
      <fill>
        <patternFill>
          <bgColor rgb="FFFFC7CE"/>
        </patternFill>
      </fill>
    </dxf>
    <dxf>
      <fill>
        <patternFill>
          <bgColor rgb="FFFFFF00"/>
        </patternFill>
      </fill>
    </dxf>
    <dxf>
      <fill>
        <patternFill>
          <bgColor rgb="FF67C5FF"/>
        </patternFill>
      </fill>
    </dxf>
    <dxf>
      <fill>
        <patternFill>
          <bgColor rgb="FFFFFF00"/>
        </patternFill>
      </fill>
    </dxf>
    <dxf>
      <fill>
        <patternFill>
          <bgColor rgb="FF67C5FF"/>
        </patternFill>
      </fill>
    </dxf>
    <dxf>
      <font>
        <color rgb="FF006100"/>
      </font>
      <fill>
        <patternFill>
          <bgColor rgb="FFC6EFCE"/>
        </patternFill>
      </fill>
    </dxf>
    <dxf>
      <font>
        <color rgb="FF9C0006"/>
      </font>
      <fill>
        <patternFill>
          <bgColor rgb="FFFFC7CE"/>
        </patternFill>
      </fill>
    </dxf>
    <dxf>
      <fill>
        <patternFill>
          <bgColor rgb="FFFFFF00"/>
        </patternFill>
      </fill>
    </dxf>
    <dxf>
      <fill>
        <patternFill>
          <bgColor rgb="FF67C5FF"/>
        </patternFill>
      </fill>
    </dxf>
    <dxf>
      <fill>
        <patternFill>
          <bgColor rgb="FFFFFF00"/>
        </patternFill>
      </fill>
    </dxf>
    <dxf>
      <fill>
        <patternFill>
          <bgColor rgb="FF67C5FF"/>
        </patternFill>
      </fill>
    </dxf>
    <dxf>
      <font>
        <color rgb="FF006100"/>
      </font>
      <fill>
        <patternFill>
          <bgColor rgb="FFC6EFCE"/>
        </patternFill>
      </fill>
    </dxf>
    <dxf>
      <font>
        <color rgb="FF9C0006"/>
      </font>
      <fill>
        <patternFill>
          <bgColor rgb="FFFFC7CE"/>
        </patternFill>
      </fill>
    </dxf>
    <dxf>
      <fill>
        <patternFill>
          <bgColor rgb="FFFFFF00"/>
        </patternFill>
      </fill>
    </dxf>
    <dxf>
      <fill>
        <patternFill>
          <bgColor rgb="FF67C5FF"/>
        </patternFill>
      </fill>
    </dxf>
    <dxf>
      <fill>
        <patternFill>
          <bgColor rgb="FFFFFF00"/>
        </patternFill>
      </fill>
    </dxf>
    <dxf>
      <fill>
        <patternFill>
          <bgColor rgb="FF67C5FF"/>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rgb="FFFFFF00"/>
        </patternFill>
      </fill>
    </dxf>
    <dxf>
      <fill>
        <patternFill>
          <bgColor rgb="FF67C5FF"/>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rgb="FFFFFF00"/>
        </patternFill>
      </fill>
    </dxf>
    <dxf>
      <fill>
        <patternFill>
          <bgColor rgb="FF67C5FF"/>
        </patternFill>
      </fill>
    </dxf>
    <dxf>
      <fill>
        <patternFill>
          <bgColor rgb="FFFFFF00"/>
        </patternFill>
      </fill>
    </dxf>
    <dxf>
      <fill>
        <patternFill>
          <bgColor rgb="FF67C5FF"/>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rgb="FFFFFF00"/>
        </patternFill>
      </fill>
    </dxf>
    <dxf>
      <fill>
        <patternFill>
          <bgColor rgb="FFFFFF00"/>
        </patternFill>
      </fill>
    </dxf>
    <dxf>
      <fill>
        <patternFill>
          <bgColor rgb="FF67C5FF"/>
        </patternFill>
      </fill>
    </dxf>
    <dxf>
      <fill>
        <patternFill>
          <bgColor rgb="FFFFFF00"/>
        </patternFill>
      </fill>
    </dxf>
    <dxf>
      <fill>
        <patternFill>
          <bgColor rgb="FF67C5FF"/>
        </patternFill>
      </fill>
    </dxf>
    <dxf>
      <fill>
        <patternFill>
          <bgColor rgb="FFFFFF00"/>
        </patternFill>
      </fill>
    </dxf>
    <dxf>
      <fill>
        <patternFill>
          <bgColor rgb="FF67C5FF"/>
        </patternFill>
      </fill>
    </dxf>
    <dxf>
      <fill>
        <patternFill>
          <bgColor rgb="FFFFFF00"/>
        </patternFill>
      </fill>
    </dxf>
    <dxf>
      <fill>
        <patternFill>
          <bgColor rgb="FF67C5FF"/>
        </patternFill>
      </fill>
    </dxf>
    <dxf>
      <fill>
        <patternFill>
          <bgColor rgb="FFFFFF00"/>
        </patternFill>
      </fill>
    </dxf>
    <dxf>
      <fill>
        <patternFill>
          <bgColor rgb="FF67C5FF"/>
        </patternFill>
      </fill>
    </dxf>
    <dxf>
      <fill>
        <patternFill>
          <bgColor rgb="FFFFFF00"/>
        </patternFill>
      </fill>
    </dxf>
    <dxf>
      <fill>
        <patternFill>
          <bgColor rgb="FF67C5FF"/>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84" Type="http://schemas.openxmlformats.org/officeDocument/2006/relationships/worksheet" Target="worksheets/sheet84.xml"/><Relationship Id="rId89" Type="http://schemas.openxmlformats.org/officeDocument/2006/relationships/worksheet" Target="worksheets/sheet89.xml"/><Relationship Id="rId112" Type="http://schemas.openxmlformats.org/officeDocument/2006/relationships/calcChain" Target="calcChain.xml"/><Relationship Id="rId16" Type="http://schemas.openxmlformats.org/officeDocument/2006/relationships/worksheet" Target="worksheets/sheet16.xml"/><Relationship Id="rId107" Type="http://schemas.openxmlformats.org/officeDocument/2006/relationships/worksheet" Target="worksheets/sheet107.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worksheet" Target="worksheets/sheet53.xml"/><Relationship Id="rId58" Type="http://schemas.openxmlformats.org/officeDocument/2006/relationships/worksheet" Target="worksheets/sheet58.xml"/><Relationship Id="rId74" Type="http://schemas.openxmlformats.org/officeDocument/2006/relationships/worksheet" Target="worksheets/sheet74.xml"/><Relationship Id="rId79" Type="http://schemas.openxmlformats.org/officeDocument/2006/relationships/worksheet" Target="worksheets/sheet79.xml"/><Relationship Id="rId102" Type="http://schemas.openxmlformats.org/officeDocument/2006/relationships/worksheet" Target="worksheets/sheet102.xml"/><Relationship Id="rId5" Type="http://schemas.openxmlformats.org/officeDocument/2006/relationships/worksheet" Target="worksheets/sheet5.xml"/><Relationship Id="rId90" Type="http://schemas.openxmlformats.org/officeDocument/2006/relationships/worksheet" Target="worksheets/sheet90.xml"/><Relationship Id="rId95" Type="http://schemas.openxmlformats.org/officeDocument/2006/relationships/worksheet" Target="worksheets/sheet95.xml"/><Relationship Id="rId22" Type="http://schemas.openxmlformats.org/officeDocument/2006/relationships/worksheet" Target="worksheets/sheet22.xml"/><Relationship Id="rId27" Type="http://schemas.openxmlformats.org/officeDocument/2006/relationships/worksheet" Target="worksheets/sheet27.xml"/><Relationship Id="rId43" Type="http://schemas.openxmlformats.org/officeDocument/2006/relationships/worksheet" Target="worksheets/sheet43.xml"/><Relationship Id="rId48" Type="http://schemas.openxmlformats.org/officeDocument/2006/relationships/worksheet" Target="worksheets/sheet48.xml"/><Relationship Id="rId64" Type="http://schemas.openxmlformats.org/officeDocument/2006/relationships/worksheet" Target="worksheets/sheet64.xml"/><Relationship Id="rId69" Type="http://schemas.openxmlformats.org/officeDocument/2006/relationships/worksheet" Target="worksheets/sheet69.xml"/><Relationship Id="rId80" Type="http://schemas.openxmlformats.org/officeDocument/2006/relationships/worksheet" Target="worksheets/sheet80.xml"/><Relationship Id="rId85" Type="http://schemas.openxmlformats.org/officeDocument/2006/relationships/worksheet" Target="worksheets/sheet85.xml"/><Relationship Id="rId12" Type="http://schemas.openxmlformats.org/officeDocument/2006/relationships/worksheet" Target="worksheets/sheet12.xml"/><Relationship Id="rId17" Type="http://schemas.openxmlformats.org/officeDocument/2006/relationships/worksheet" Target="worksheets/sheet17.xml"/><Relationship Id="rId33" Type="http://schemas.openxmlformats.org/officeDocument/2006/relationships/worksheet" Target="worksheets/sheet33.xml"/><Relationship Id="rId38" Type="http://schemas.openxmlformats.org/officeDocument/2006/relationships/worksheet" Target="worksheets/sheet38.xml"/><Relationship Id="rId59" Type="http://schemas.openxmlformats.org/officeDocument/2006/relationships/worksheet" Target="worksheets/sheet59.xml"/><Relationship Id="rId103" Type="http://schemas.openxmlformats.org/officeDocument/2006/relationships/worksheet" Target="worksheets/sheet103.xml"/><Relationship Id="rId108" Type="http://schemas.openxmlformats.org/officeDocument/2006/relationships/worksheet" Target="worksheets/sheet108.xml"/><Relationship Id="rId54" Type="http://schemas.openxmlformats.org/officeDocument/2006/relationships/worksheet" Target="worksheets/sheet54.xml"/><Relationship Id="rId70" Type="http://schemas.openxmlformats.org/officeDocument/2006/relationships/worksheet" Target="worksheets/sheet70.xml"/><Relationship Id="rId75" Type="http://schemas.openxmlformats.org/officeDocument/2006/relationships/worksheet" Target="worksheets/sheet75.xml"/><Relationship Id="rId91" Type="http://schemas.openxmlformats.org/officeDocument/2006/relationships/worksheet" Target="worksheets/sheet91.xml"/><Relationship Id="rId96" Type="http://schemas.openxmlformats.org/officeDocument/2006/relationships/worksheet" Target="worksheets/sheet96.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6" Type="http://schemas.openxmlformats.org/officeDocument/2006/relationships/worksheet" Target="worksheets/sheet106.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worksheet" Target="worksheets/sheet73.xml"/><Relationship Id="rId78" Type="http://schemas.openxmlformats.org/officeDocument/2006/relationships/worksheet" Target="worksheets/sheet78.xml"/><Relationship Id="rId81" Type="http://schemas.openxmlformats.org/officeDocument/2006/relationships/worksheet" Target="worksheets/sheet81.xml"/><Relationship Id="rId86" Type="http://schemas.openxmlformats.org/officeDocument/2006/relationships/worksheet" Target="worksheets/sheet86.xml"/><Relationship Id="rId94" Type="http://schemas.openxmlformats.org/officeDocument/2006/relationships/worksheet" Target="worksheets/sheet94.xml"/><Relationship Id="rId99" Type="http://schemas.openxmlformats.org/officeDocument/2006/relationships/worksheet" Target="worksheets/sheet99.xml"/><Relationship Id="rId101" Type="http://schemas.openxmlformats.org/officeDocument/2006/relationships/worksheet" Target="worksheets/sheet101.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109" Type="http://schemas.openxmlformats.org/officeDocument/2006/relationships/theme" Target="theme/theme1.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worksheet" Target="worksheets/sheet76.xml"/><Relationship Id="rId97" Type="http://schemas.openxmlformats.org/officeDocument/2006/relationships/worksheet" Target="worksheets/sheet97.xml"/><Relationship Id="rId104" Type="http://schemas.openxmlformats.org/officeDocument/2006/relationships/worksheet" Target="worksheets/sheet104.xml"/><Relationship Id="rId7" Type="http://schemas.openxmlformats.org/officeDocument/2006/relationships/worksheet" Target="worksheets/sheet7.xml"/><Relationship Id="rId71" Type="http://schemas.openxmlformats.org/officeDocument/2006/relationships/worksheet" Target="worksheets/sheet71.xml"/><Relationship Id="rId92" Type="http://schemas.openxmlformats.org/officeDocument/2006/relationships/worksheet" Target="worksheets/sheet92.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 Id="rId87" Type="http://schemas.openxmlformats.org/officeDocument/2006/relationships/worksheet" Target="worksheets/sheet87.xml"/><Relationship Id="rId110" Type="http://schemas.openxmlformats.org/officeDocument/2006/relationships/styles" Target="styles.xml"/><Relationship Id="rId61" Type="http://schemas.openxmlformats.org/officeDocument/2006/relationships/worksheet" Target="worksheets/sheet61.xml"/><Relationship Id="rId82" Type="http://schemas.openxmlformats.org/officeDocument/2006/relationships/worksheet" Target="worksheets/sheet82.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worksheet" Target="worksheets/sheet30.xml"/><Relationship Id="rId35" Type="http://schemas.openxmlformats.org/officeDocument/2006/relationships/worksheet" Target="worksheets/sheet35.xml"/><Relationship Id="rId56" Type="http://schemas.openxmlformats.org/officeDocument/2006/relationships/worksheet" Target="worksheets/sheet56.xml"/><Relationship Id="rId77" Type="http://schemas.openxmlformats.org/officeDocument/2006/relationships/worksheet" Target="worksheets/sheet77.xml"/><Relationship Id="rId100" Type="http://schemas.openxmlformats.org/officeDocument/2006/relationships/worksheet" Target="worksheets/sheet100.xml"/><Relationship Id="rId105" Type="http://schemas.openxmlformats.org/officeDocument/2006/relationships/worksheet" Target="worksheets/sheet105.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93" Type="http://schemas.openxmlformats.org/officeDocument/2006/relationships/worksheet" Target="worksheets/sheet93.xml"/><Relationship Id="rId98" Type="http://schemas.openxmlformats.org/officeDocument/2006/relationships/worksheet" Target="worksheets/sheet98.xml"/><Relationship Id="rId3" Type="http://schemas.openxmlformats.org/officeDocument/2006/relationships/worksheet" Target="worksheets/sheet3.xml"/><Relationship Id="rId25" Type="http://schemas.openxmlformats.org/officeDocument/2006/relationships/worksheet" Target="worksheets/sheet25.xml"/><Relationship Id="rId46" Type="http://schemas.openxmlformats.org/officeDocument/2006/relationships/worksheet" Target="worksheets/sheet46.xml"/><Relationship Id="rId67" Type="http://schemas.openxmlformats.org/officeDocument/2006/relationships/worksheet" Target="worksheets/sheet67.xml"/><Relationship Id="rId20" Type="http://schemas.openxmlformats.org/officeDocument/2006/relationships/worksheet" Target="worksheets/sheet20.xml"/><Relationship Id="rId41" Type="http://schemas.openxmlformats.org/officeDocument/2006/relationships/worksheet" Target="worksheets/sheet41.xml"/><Relationship Id="rId62" Type="http://schemas.openxmlformats.org/officeDocument/2006/relationships/worksheet" Target="worksheets/sheet62.xml"/><Relationship Id="rId83" Type="http://schemas.openxmlformats.org/officeDocument/2006/relationships/worksheet" Target="worksheets/sheet83.xml"/><Relationship Id="rId88" Type="http://schemas.openxmlformats.org/officeDocument/2006/relationships/worksheet" Target="worksheets/sheet88.xml"/><Relationship Id="rId111"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endParaRPr/>
          </a:p>
        </c:rich>
      </c:tx>
      <c:overlay val="0"/>
      <c:spPr>
        <a:noFill/>
        <a:ln>
          <a:noFill/>
          <a:prstDash val="solid"/>
        </a:ln>
      </c:spPr>
    </c:title>
    <c:autoTitleDeleted val="0"/>
    <c:plotArea>
      <c:layout/>
      <c:lineChart>
        <c:grouping val="standard"/>
        <c:varyColors val="0"/>
        <c:ser>
          <c:idx val="0"/>
          <c:order val="0"/>
          <c:tx>
            <c:v>iPhone 15  128GB</c:v>
          </c:tx>
          <c:spPr>
            <a:ln w="28575" cap="rnd">
              <a:solidFill>
                <a:schemeClr val="accent1"/>
              </a:solidFill>
              <a:prstDash val="solid"/>
              <a:round/>
            </a:ln>
          </c:spPr>
          <c:marker>
            <c:symbol val="none"/>
          </c:marker>
          <c:dLbls>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Lit>
              <c:ptCount val="6"/>
              <c:pt idx="0">
                <c:v>MW</c:v>
              </c:pt>
              <c:pt idx="1">
                <c:v>TZ</c:v>
              </c:pt>
              <c:pt idx="2">
                <c:v>FPT</c:v>
              </c:pt>
              <c:pt idx="3">
                <c:v>Viettel</c:v>
              </c:pt>
              <c:pt idx="4">
                <c:v>CPS</c:v>
              </c:pt>
              <c:pt idx="5">
                <c:v>Shopdunk</c:v>
              </c:pt>
            </c:strLit>
          </c:cat>
          <c:val>
            <c:numLit>
              <c:formatCode>General</c:formatCode>
              <c:ptCount val="6"/>
              <c:pt idx="0">
                <c:v>19890000</c:v>
              </c:pt>
              <c:pt idx="1">
                <c:v>19890000</c:v>
              </c:pt>
              <c:pt idx="2">
                <c:v>19890000</c:v>
              </c:pt>
              <c:pt idx="3">
                <c:v>19490000</c:v>
              </c:pt>
              <c:pt idx="4">
                <c:v>19450000</c:v>
              </c:pt>
              <c:pt idx="5">
                <c:v>19450000</c:v>
              </c:pt>
            </c:numLit>
          </c:val>
          <c:smooth val="0"/>
          <c:extLst>
            <c:ext xmlns:c16="http://schemas.microsoft.com/office/drawing/2014/chart" uri="{C3380CC4-5D6E-409C-BE32-E72D297353CC}">
              <c16:uniqueId val="{00000000-FEDF-D04B-BCAF-9D0365193C58}"/>
            </c:ext>
          </c:extLst>
        </c:ser>
        <c:dLbls>
          <c:showLegendKey val="0"/>
          <c:showVal val="0"/>
          <c:showCatName val="0"/>
          <c:showSerName val="0"/>
          <c:showPercent val="0"/>
          <c:showBubbleSize val="0"/>
        </c:dLbls>
        <c:smooth val="0"/>
        <c:axId val="285593472"/>
        <c:axId val="285595184"/>
      </c:lineChart>
      <c:catAx>
        <c:axId val="2855934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285595184"/>
        <c:crosses val="autoZero"/>
        <c:auto val="1"/>
        <c:lblAlgn val="ctr"/>
        <c:lblOffset val="100"/>
        <c:noMultiLvlLbl val="0"/>
      </c:catAx>
      <c:valAx>
        <c:axId val="285595184"/>
        <c:scaling>
          <c:orientation val="minMax"/>
        </c:scaling>
        <c:delete val="1"/>
        <c:axPos val="l"/>
        <c:numFmt formatCode="General" sourceLinked="1"/>
        <c:majorTickMark val="none"/>
        <c:minorTickMark val="none"/>
        <c:tickLblPos val="nextTo"/>
        <c:crossAx val="285593472"/>
        <c:crosses val="autoZero"/>
        <c:crossBetween val="between"/>
      </c:valAx>
    </c:plotArea>
    <c:plotVisOnly val="1"/>
    <c:dispBlanksAs val="gap"/>
    <c:showDLblsOverMax val="1"/>
  </c:chart>
  <c:spPr>
    <a:solidFill>
      <a:schemeClr val="bg1"/>
    </a:solidFill>
    <a:ln w="9525" cap="flat" cmpd="sng" algn="ctr">
      <a:solidFill>
        <a:schemeClr val="tx1">
          <a:lumMod val="15000"/>
          <a:lumOff val="85000"/>
        </a:schemeClr>
      </a:solidFill>
      <a:prstDash val="solid"/>
      <a:roun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1"/>
  <c:lang val="en-GB"/>
  <c:roundedCorners val="1"/>
  <c:style val="2"/>
  <c:chart>
    <c:autoTitleDeleted val="1"/>
    <c:plotArea>
      <c:layout/>
      <c:barChart>
        <c:barDir val="col"/>
        <c:grouping val="clustered"/>
        <c:varyColors val="0"/>
        <c:dLbls>
          <c:showLegendKey val="0"/>
          <c:showVal val="0"/>
          <c:showCatName val="0"/>
          <c:showSerName val="0"/>
          <c:showPercent val="0"/>
          <c:showBubbleSize val="0"/>
        </c:dLbls>
        <c:gapWidth val="219"/>
        <c:overlap val="-27"/>
        <c:axId val="2018845792"/>
        <c:axId val="2030161136"/>
      </c:barChart>
      <c:catAx>
        <c:axId val="2018845792"/>
        <c:scaling>
          <c:orientation val="minMax"/>
        </c:scaling>
        <c:delete val="1"/>
        <c:axPos val="b"/>
        <c:numFmt formatCode="General" sourceLinked="1"/>
        <c:majorTickMark val="none"/>
        <c:minorTickMark val="none"/>
        <c:tickLblPos val="nextTo"/>
        <c:crossAx val="2030161136"/>
        <c:crosses val="autoZero"/>
        <c:auto val="1"/>
        <c:lblAlgn val="ctr"/>
        <c:lblOffset val="100"/>
        <c:noMultiLvlLbl val="0"/>
      </c:catAx>
      <c:valAx>
        <c:axId val="2030161136"/>
        <c:scaling>
          <c:orientation val="minMax"/>
        </c:scaling>
        <c:delete val="1"/>
        <c:axPos val="l"/>
        <c:numFmt formatCode="General" sourceLinked="1"/>
        <c:majorTickMark val="none"/>
        <c:minorTickMark val="none"/>
        <c:tickLblPos val="nextTo"/>
        <c:crossAx val="2018845792"/>
        <c:crosses val="autoZero"/>
        <c:crossBetween val="between"/>
      </c:valAx>
    </c:plotArea>
    <c:plotVisOnly val="1"/>
    <c:dispBlanksAs val="gap"/>
    <c:showDLblsOverMax val="1"/>
  </c:chart>
  <c:spPr>
    <a:noFill/>
    <a:ln w="9525" cap="flat" cmpd="sng" algn="ctr">
      <a:noFill/>
      <a:prstDash val="solid"/>
      <a:round/>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autoTitleDeleted val="1"/>
    <c:plotArea>
      <c:layout/>
      <c:barChart>
        <c:barDir val="col"/>
        <c:grouping val="clustered"/>
        <c:varyColors val="0"/>
        <c:ser>
          <c:idx val="0"/>
          <c:order val="0"/>
          <c:tx>
            <c:strRef>
              <c:f>W7Q4FY24!$K$15</c:f>
              <c:strCache>
                <c:ptCount val="1"/>
                <c:pt idx="0">
                  <c:v>iPhone 15 Pro Max 256GB</c:v>
                </c:pt>
              </c:strCache>
            </c:strRef>
          </c:tx>
          <c:spPr>
            <a:solidFill>
              <a:schemeClr val="accent1"/>
            </a:solidFill>
            <a:ln>
              <a:noFill/>
              <a:prstDash val="solid"/>
            </a:ln>
          </c:spPr>
          <c:invertIfNegative val="0"/>
          <c:dLbls>
            <c:spPr>
              <a:noFill/>
              <a:ln>
                <a:noFill/>
                <a:prstDash val="solid"/>
              </a:ln>
            </c:spPr>
            <c:txPr>
              <a:bodyPr rot="0" spcFirstLastPara="1" vertOverflow="ellipsis" vert="horz" wrap="square" lIns="38100" tIns="19050" rIns="38100" bIns="19050" anchor="ctr" anchorCtr="1">
                <a:spAutoFit/>
              </a:bodyPr>
              <a:lstStyle/>
              <a:p>
                <a:pPr>
                  <a:defRPr sz="900" b="1" i="0" strike="noStrike" kern="1200" baseline="0">
                    <a:solidFill>
                      <a:schemeClr val="bg1"/>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W7Q4FY24!$L$14:$P$14</c:f>
              <c:strCache>
                <c:ptCount val="5"/>
                <c:pt idx="0">
                  <c:v>MW</c:v>
                </c:pt>
                <c:pt idx="1">
                  <c:v>FPT</c:v>
                </c:pt>
                <c:pt idx="2">
                  <c:v>Viettel</c:v>
                </c:pt>
                <c:pt idx="3">
                  <c:v>CPS</c:v>
                </c:pt>
                <c:pt idx="4">
                  <c:v>Shopdunk</c:v>
                </c:pt>
              </c:strCache>
            </c:strRef>
          </c:cat>
          <c:val>
            <c:numRef>
              <c:f>W7Q4FY24!$L$15:$P$15</c:f>
              <c:numCache>
                <c:formatCode>General</c:formatCode>
                <c:ptCount val="5"/>
                <c:pt idx="0">
                  <c:v>350</c:v>
                </c:pt>
                <c:pt idx="1">
                  <c:v>316</c:v>
                </c:pt>
                <c:pt idx="2">
                  <c:v>68</c:v>
                </c:pt>
                <c:pt idx="3">
                  <c:v>388</c:v>
                </c:pt>
                <c:pt idx="4">
                  <c:v>89</c:v>
                </c:pt>
              </c:numCache>
            </c:numRef>
          </c:val>
          <c:extLst>
            <c:ext xmlns:c16="http://schemas.microsoft.com/office/drawing/2014/chart" uri="{C3380CC4-5D6E-409C-BE32-E72D297353CC}">
              <c16:uniqueId val="{00000000-9C37-0348-82E5-A1E91B6952F7}"/>
            </c:ext>
          </c:extLst>
        </c:ser>
        <c:dLbls>
          <c:showLegendKey val="0"/>
          <c:showVal val="0"/>
          <c:showCatName val="0"/>
          <c:showSerName val="0"/>
          <c:showPercent val="0"/>
          <c:showBubbleSize val="0"/>
        </c:dLbls>
        <c:gapWidth val="219"/>
        <c:overlap val="-27"/>
        <c:axId val="1663167168"/>
        <c:axId val="1393932224"/>
      </c:barChart>
      <c:catAx>
        <c:axId val="16631671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393932224"/>
        <c:crosses val="autoZero"/>
        <c:auto val="1"/>
        <c:lblAlgn val="ctr"/>
        <c:lblOffset val="100"/>
        <c:noMultiLvlLbl val="0"/>
      </c:catAx>
      <c:valAx>
        <c:axId val="1393932224"/>
        <c:scaling>
          <c:orientation val="minMax"/>
        </c:scaling>
        <c:delete val="1"/>
        <c:axPos val="l"/>
        <c:numFmt formatCode="General" sourceLinked="1"/>
        <c:majorTickMark val="none"/>
        <c:minorTickMark val="none"/>
        <c:tickLblPos val="nextTo"/>
        <c:crossAx val="1663167168"/>
        <c:crosses val="autoZero"/>
        <c:crossBetween val="between"/>
      </c:valAx>
    </c:plotArea>
    <c:plotVisOnly val="1"/>
    <c:dispBlanksAs val="gap"/>
    <c:showDLblsOverMax val="1"/>
  </c:chart>
  <c:spPr>
    <a:solidFill>
      <a:schemeClr val="bg1"/>
    </a:solidFill>
    <a:ln w="9525" cap="flat" cmpd="sng" algn="ctr">
      <a:noFill/>
      <a:prstDash val="solid"/>
      <a:round/>
    </a:ln>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autoTitleDeleted val="1"/>
    <c:plotArea>
      <c:layout>
        <c:manualLayout>
          <c:layoutTarget val="inner"/>
          <c:xMode val="edge"/>
          <c:yMode val="edge"/>
          <c:x val="6.1246611872066037E-2"/>
          <c:y val="0.13291274425808861"/>
          <c:w val="0.93875338812793396"/>
          <c:h val="0.86708725574191137"/>
        </c:manualLayout>
      </c:layout>
      <c:lineChart>
        <c:grouping val="standard"/>
        <c:varyColors val="0"/>
        <c:ser>
          <c:idx val="0"/>
          <c:order val="0"/>
          <c:tx>
            <c:strRef>
              <c:f>W7Q4FY24!$K$16</c:f>
              <c:strCache>
                <c:ptCount val="1"/>
                <c:pt idx="0">
                  <c:v>iPhone 15 Pro Max 256GB</c:v>
                </c:pt>
              </c:strCache>
            </c:strRef>
          </c:tx>
          <c:spPr>
            <a:ln w="28575" cap="rnd">
              <a:solidFill>
                <a:schemeClr val="accent2"/>
              </a:solidFill>
              <a:prstDash val="solid"/>
              <a:round/>
            </a:ln>
          </c:spPr>
          <c:marker>
            <c:symbol val="none"/>
          </c:marker>
          <c:dLbls>
            <c:spPr>
              <a:noFill/>
              <a:ln>
                <a:noFill/>
                <a:prstDash val="solid"/>
              </a:ln>
            </c:spPr>
            <c:txPr>
              <a:bodyPr rot="0" spcFirstLastPara="1" vertOverflow="ellipsis" vert="horz" wrap="square" lIns="38100" tIns="19050" rIns="38100" bIns="19050" anchor="ctr" anchorCtr="1">
                <a:spAutoFit/>
              </a:bodyPr>
              <a:lstStyle/>
              <a:p>
                <a:pPr>
                  <a:defRPr sz="900" b="1" i="0" strike="noStrike" kern="1200" baseline="0">
                    <a:solidFill>
                      <a:schemeClr val="accent2"/>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W7Q4FY24!$L$16:$P$16</c:f>
              <c:numCache>
                <c:formatCode>#,##0</c:formatCode>
                <c:ptCount val="5"/>
                <c:pt idx="0">
                  <c:v>29390000</c:v>
                </c:pt>
                <c:pt idx="1">
                  <c:v>29390000</c:v>
                </c:pt>
                <c:pt idx="2">
                  <c:v>28700000</c:v>
                </c:pt>
                <c:pt idx="3">
                  <c:v>28790000</c:v>
                </c:pt>
                <c:pt idx="4">
                  <c:v>28850000</c:v>
                </c:pt>
              </c:numCache>
            </c:numRef>
          </c:val>
          <c:smooth val="0"/>
          <c:extLst>
            <c:ext xmlns:c16="http://schemas.microsoft.com/office/drawing/2014/chart" uri="{C3380CC4-5D6E-409C-BE32-E72D297353CC}">
              <c16:uniqueId val="{00000000-860E-3944-9562-F6A7B669EEFA}"/>
            </c:ext>
          </c:extLst>
        </c:ser>
        <c:dLbls>
          <c:showLegendKey val="0"/>
          <c:showVal val="0"/>
          <c:showCatName val="0"/>
          <c:showSerName val="0"/>
          <c:showPercent val="0"/>
          <c:showBubbleSize val="0"/>
        </c:dLbls>
        <c:smooth val="0"/>
        <c:axId val="1113289168"/>
        <c:axId val="1424307200"/>
      </c:lineChart>
      <c:catAx>
        <c:axId val="1113289168"/>
        <c:scaling>
          <c:orientation val="minMax"/>
        </c:scaling>
        <c:delete val="1"/>
        <c:axPos val="b"/>
        <c:majorTickMark val="none"/>
        <c:minorTickMark val="none"/>
        <c:tickLblPos val="nextTo"/>
        <c:crossAx val="1424307200"/>
        <c:crosses val="autoZero"/>
        <c:auto val="1"/>
        <c:lblAlgn val="ctr"/>
        <c:lblOffset val="100"/>
        <c:noMultiLvlLbl val="0"/>
      </c:catAx>
      <c:valAx>
        <c:axId val="1424307200"/>
        <c:scaling>
          <c:orientation val="minMax"/>
        </c:scaling>
        <c:delete val="1"/>
        <c:axPos val="l"/>
        <c:numFmt formatCode="#,##0" sourceLinked="1"/>
        <c:majorTickMark val="none"/>
        <c:minorTickMark val="none"/>
        <c:tickLblPos val="nextTo"/>
        <c:crossAx val="1113289168"/>
        <c:crosses val="autoZero"/>
        <c:crossBetween val="between"/>
      </c:valAx>
    </c:plotArea>
    <c:plotVisOnly val="1"/>
    <c:dispBlanksAs val="gap"/>
    <c:showDLblsOverMax val="1"/>
  </c:chart>
  <c:spPr>
    <a:noFill/>
    <a:ln w="9525" cap="flat" cmpd="sng" algn="ctr">
      <a:noFill/>
      <a:prstDash val="solid"/>
      <a:round/>
    </a:ln>
  </c:sp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1"/>
  <c:lang val="en-GB"/>
  <c:roundedCorners val="1"/>
  <c:style val="2"/>
  <c:chart>
    <c:autoTitleDeleted val="1"/>
    <c:plotArea>
      <c:layout/>
      <c:barChart>
        <c:barDir val="col"/>
        <c:grouping val="clustered"/>
        <c:varyColors val="0"/>
        <c:dLbls>
          <c:showLegendKey val="0"/>
          <c:showVal val="0"/>
          <c:showCatName val="0"/>
          <c:showSerName val="0"/>
          <c:showPercent val="0"/>
          <c:showBubbleSize val="0"/>
        </c:dLbls>
        <c:gapWidth val="219"/>
        <c:overlap val="-27"/>
        <c:axId val="2018845792"/>
        <c:axId val="2030161136"/>
      </c:barChart>
      <c:catAx>
        <c:axId val="2018845792"/>
        <c:scaling>
          <c:orientation val="minMax"/>
        </c:scaling>
        <c:delete val="1"/>
        <c:axPos val="b"/>
        <c:numFmt formatCode="General" sourceLinked="1"/>
        <c:majorTickMark val="none"/>
        <c:minorTickMark val="none"/>
        <c:tickLblPos val="nextTo"/>
        <c:crossAx val="2030161136"/>
        <c:crosses val="autoZero"/>
        <c:auto val="1"/>
        <c:lblAlgn val="ctr"/>
        <c:lblOffset val="100"/>
        <c:noMultiLvlLbl val="0"/>
      </c:catAx>
      <c:valAx>
        <c:axId val="2030161136"/>
        <c:scaling>
          <c:orientation val="minMax"/>
        </c:scaling>
        <c:delete val="1"/>
        <c:axPos val="l"/>
        <c:numFmt formatCode="General" sourceLinked="1"/>
        <c:majorTickMark val="none"/>
        <c:minorTickMark val="none"/>
        <c:tickLblPos val="nextTo"/>
        <c:crossAx val="2018845792"/>
        <c:crosses val="autoZero"/>
        <c:crossBetween val="between"/>
      </c:valAx>
    </c:plotArea>
    <c:plotVisOnly val="1"/>
    <c:dispBlanksAs val="gap"/>
    <c:showDLblsOverMax val="1"/>
  </c:chart>
  <c:spPr>
    <a:noFill/>
    <a:ln w="9525" cap="flat" cmpd="sng" algn="ctr">
      <a:noFill/>
      <a:prstDash val="solid"/>
      <a:round/>
    </a:ln>
  </c:sp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1"/>
  <c:lang val="en-GB"/>
  <c:roundedCorners val="1"/>
  <c:style val="2"/>
  <c:chart>
    <c:autoTitleDeleted val="1"/>
    <c:plotArea>
      <c:layout>
        <c:manualLayout>
          <c:layoutTarget val="inner"/>
          <c:xMode val="edge"/>
          <c:yMode val="edge"/>
          <c:x val="6.1246611872066037E-2"/>
          <c:y val="0.13291274425808861"/>
          <c:w val="0.93875338812793396"/>
          <c:h val="0.86708725574191137"/>
        </c:manualLayout>
      </c:layout>
      <c:lineChart>
        <c:grouping val="standard"/>
        <c:varyColors val="0"/>
        <c:dLbls>
          <c:showLegendKey val="0"/>
          <c:showVal val="0"/>
          <c:showCatName val="0"/>
          <c:showSerName val="0"/>
          <c:showPercent val="0"/>
          <c:showBubbleSize val="0"/>
        </c:dLbls>
        <c:marker val="1"/>
        <c:smooth val="0"/>
        <c:axId val="1113289168"/>
        <c:axId val="1424307200"/>
      </c:lineChart>
      <c:catAx>
        <c:axId val="1113289168"/>
        <c:scaling>
          <c:orientation val="minMax"/>
        </c:scaling>
        <c:delete val="1"/>
        <c:axPos val="b"/>
        <c:majorTickMark val="none"/>
        <c:minorTickMark val="none"/>
        <c:tickLblPos val="nextTo"/>
        <c:crossAx val="1424307200"/>
        <c:crosses val="autoZero"/>
        <c:auto val="1"/>
        <c:lblAlgn val="ctr"/>
        <c:lblOffset val="100"/>
        <c:noMultiLvlLbl val="0"/>
      </c:catAx>
      <c:valAx>
        <c:axId val="1424307200"/>
        <c:scaling>
          <c:orientation val="minMax"/>
        </c:scaling>
        <c:delete val="1"/>
        <c:axPos val="l"/>
        <c:numFmt formatCode="#,##0" sourceLinked="1"/>
        <c:majorTickMark val="none"/>
        <c:minorTickMark val="none"/>
        <c:tickLblPos val="nextTo"/>
        <c:crossAx val="1113289168"/>
        <c:crosses val="autoZero"/>
        <c:crossBetween val="between"/>
      </c:valAx>
    </c:plotArea>
    <c:plotVisOnly val="1"/>
    <c:dispBlanksAs val="gap"/>
    <c:showDLblsOverMax val="1"/>
  </c:chart>
  <c:spPr>
    <a:noFill/>
    <a:ln w="9525" cap="flat" cmpd="sng" algn="ctr">
      <a:noFill/>
      <a:prstDash val="solid"/>
      <a:roun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2" Type="http://schemas.openxmlformats.org/officeDocument/2006/relationships/chart" Target="../charts/chart6.xml"/><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8</xdr:col>
      <xdr:colOff>111130</xdr:colOff>
      <xdr:row>1</xdr:row>
      <xdr:rowOff>24130</xdr:rowOff>
    </xdr:from>
    <xdr:to>
      <xdr:col>15</xdr:col>
      <xdr:colOff>213361</xdr:colOff>
      <xdr:row>14</xdr:row>
      <xdr:rowOff>125730</xdr:rowOff>
    </xdr:to>
    <xdr:graphicFrame macro="">
      <xdr:nvGraphicFramePr>
        <xdr:cNvPr id="2" name="Chart 1">
          <a:extLst>
            <a:ext uri="{FF2B5EF4-FFF2-40B4-BE49-F238E27FC236}">
              <a16:creationId xmlns:a16="http://schemas.microsoft.com/office/drawing/2014/main" id="{00000000-0008-0000-0F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8</xdr:col>
      <xdr:colOff>679636</xdr:colOff>
      <xdr:row>34</xdr:row>
      <xdr:rowOff>81616</xdr:rowOff>
    </xdr:from>
    <xdr:to>
      <xdr:col>16</xdr:col>
      <xdr:colOff>276225</xdr:colOff>
      <xdr:row>47</xdr:row>
      <xdr:rowOff>131856</xdr:rowOff>
    </xdr:to>
    <xdr:graphicFrame macro="">
      <xdr:nvGraphicFramePr>
        <xdr:cNvPr id="2" name="Chart 1">
          <a:extLst>
            <a:ext uri="{FF2B5EF4-FFF2-40B4-BE49-F238E27FC236}">
              <a16:creationId xmlns:a16="http://schemas.microsoft.com/office/drawing/2014/main" id="{00000000-0008-0000-1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259619</xdr:colOff>
      <xdr:row>29</xdr:row>
      <xdr:rowOff>78672</xdr:rowOff>
    </xdr:from>
    <xdr:to>
      <xdr:col>13</xdr:col>
      <xdr:colOff>538344</xdr:colOff>
      <xdr:row>39</xdr:row>
      <xdr:rowOff>89912</xdr:rowOff>
    </xdr:to>
    <xdr:graphicFrame macro="">
      <xdr:nvGraphicFramePr>
        <xdr:cNvPr id="3" name="Chart 2">
          <a:extLst>
            <a:ext uri="{FF2B5EF4-FFF2-40B4-BE49-F238E27FC236}">
              <a16:creationId xmlns:a16="http://schemas.microsoft.com/office/drawing/2014/main" id="{00000000-0008-0000-11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147230</xdr:colOff>
      <xdr:row>24</xdr:row>
      <xdr:rowOff>164095</xdr:rowOff>
    </xdr:from>
    <xdr:to>
      <xdr:col>13</xdr:col>
      <xdr:colOff>415840</xdr:colOff>
      <xdr:row>33</xdr:row>
      <xdr:rowOff>103649</xdr:rowOff>
    </xdr:to>
    <xdr:graphicFrame macro="">
      <xdr:nvGraphicFramePr>
        <xdr:cNvPr id="4" name="Chart 3">
          <a:extLst>
            <a:ext uri="{FF2B5EF4-FFF2-40B4-BE49-F238E27FC236}">
              <a16:creationId xmlns:a16="http://schemas.microsoft.com/office/drawing/2014/main" id="{00000000-0008-0000-11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8</xdr:col>
      <xdr:colOff>679636</xdr:colOff>
      <xdr:row>34</xdr:row>
      <xdr:rowOff>81616</xdr:rowOff>
    </xdr:from>
    <xdr:to>
      <xdr:col>16</xdr:col>
      <xdr:colOff>276225</xdr:colOff>
      <xdr:row>47</xdr:row>
      <xdr:rowOff>131856</xdr:rowOff>
    </xdr:to>
    <xdr:graphicFrame macro="">
      <xdr:nvGraphicFramePr>
        <xdr:cNvPr id="2" name="Chart 1">
          <a:extLst>
            <a:ext uri="{FF2B5EF4-FFF2-40B4-BE49-F238E27FC236}">
              <a16:creationId xmlns:a16="http://schemas.microsoft.com/office/drawing/2014/main" id="{00000000-0008-0000-12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147230</xdr:colOff>
      <xdr:row>24</xdr:row>
      <xdr:rowOff>164095</xdr:rowOff>
    </xdr:from>
    <xdr:to>
      <xdr:col>13</xdr:col>
      <xdr:colOff>415840</xdr:colOff>
      <xdr:row>33</xdr:row>
      <xdr:rowOff>103649</xdr:rowOff>
    </xdr:to>
    <xdr:graphicFrame macro="">
      <xdr:nvGraphicFramePr>
        <xdr:cNvPr id="3" name="Chart 2">
          <a:extLst>
            <a:ext uri="{FF2B5EF4-FFF2-40B4-BE49-F238E27FC236}">
              <a16:creationId xmlns:a16="http://schemas.microsoft.com/office/drawing/2014/main" id="{00000000-0008-0000-12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5.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6.xml.rels><?xml version="1.0" encoding="UTF-8" standalone="yes"?>
<Relationships xmlns="http://schemas.openxmlformats.org/package/2006/relationships"><Relationship Id="rId2" Type="http://schemas.openxmlformats.org/officeDocument/2006/relationships/comments" Target="../comments6.xml"/><Relationship Id="rId1" Type="http://schemas.openxmlformats.org/officeDocument/2006/relationships/vmlDrawing" Target="../drawings/vmlDrawing6.vml"/></Relationships>
</file>

<file path=xl/worksheets/_rels/sheet7.xml.rels><?xml version="1.0" encoding="UTF-8" standalone="yes"?>
<Relationships xmlns="http://schemas.openxmlformats.org/package/2006/relationships"><Relationship Id="rId2" Type="http://schemas.openxmlformats.org/officeDocument/2006/relationships/comments" Target="../comments7.xml"/><Relationship Id="rId1" Type="http://schemas.openxmlformats.org/officeDocument/2006/relationships/vmlDrawing" Target="../drawings/vmlDrawing7.vml"/></Relationships>
</file>

<file path=xl/worksheets/_rels/sheet8.xml.rels><?xml version="1.0" encoding="UTF-8" standalone="yes"?>
<Relationships xmlns="http://schemas.openxmlformats.org/package/2006/relationships"><Relationship Id="rId2" Type="http://schemas.openxmlformats.org/officeDocument/2006/relationships/comments" Target="../comments8.xml"/><Relationship Id="rId1" Type="http://schemas.openxmlformats.org/officeDocument/2006/relationships/vmlDrawing" Target="../drawings/vmlDrawing8.vml"/></Relationships>
</file>

<file path=xl/worksheets/_rels/sheet9.xml.rels><?xml version="1.0" encoding="UTF-8" standalone="yes"?>
<Relationships xmlns="http://schemas.openxmlformats.org/package/2006/relationships"><Relationship Id="rId2" Type="http://schemas.openxmlformats.org/officeDocument/2006/relationships/comments" Target="../comments9.xml"/><Relationship Id="rId1" Type="http://schemas.openxmlformats.org/officeDocument/2006/relationships/vmlDrawing" Target="../drawings/vmlDrawing9.vml"/></Relationships>
</file>

<file path=xl/worksheets/_rels/sheet10.xml.rels><?xml version="1.0" encoding="UTF-8" standalone="yes"?>
<Relationships xmlns="http://schemas.openxmlformats.org/package/2006/relationships"><Relationship Id="rId2" Type="http://schemas.openxmlformats.org/officeDocument/2006/relationships/comments" Target="../comments10.xml"/><Relationship Id="rId1" Type="http://schemas.openxmlformats.org/officeDocument/2006/relationships/vmlDrawing" Target="../drawings/vmlDrawing10.vml"/></Relationships>
</file>

<file path=xl/worksheets/_rels/sheet11.xml.rels><?xml version="1.0" encoding="UTF-8" standalone="yes"?>
<Relationships xmlns="http://schemas.openxmlformats.org/package/2006/relationships"><Relationship Id="rId2" Type="http://schemas.openxmlformats.org/officeDocument/2006/relationships/comments" Target="../comments11.xml"/><Relationship Id="rId1" Type="http://schemas.openxmlformats.org/officeDocument/2006/relationships/vmlDrawing" Target="../drawings/vmlDrawing11.vml"/></Relationships>
</file>

<file path=xl/worksheets/_rels/sheet12.xml.rels><?xml version="1.0" encoding="UTF-8" standalone="yes"?>
<Relationships xmlns="http://schemas.openxmlformats.org/package/2006/relationships"><Relationship Id="rId2" Type="http://schemas.openxmlformats.org/officeDocument/2006/relationships/comments" Target="../comments12.xml"/><Relationship Id="rId1" Type="http://schemas.openxmlformats.org/officeDocument/2006/relationships/vmlDrawing" Target="../drawings/vmlDrawing12.vml"/></Relationships>
</file>

<file path=xl/worksheets/_rels/sheet13.xml.rels><?xml version="1.0" encoding="UTF-8" standalone="yes"?>
<Relationships xmlns="http://schemas.openxmlformats.org/package/2006/relationships"><Relationship Id="rId2" Type="http://schemas.openxmlformats.org/officeDocument/2006/relationships/comments" Target="../comments13.xml"/><Relationship Id="rId1" Type="http://schemas.openxmlformats.org/officeDocument/2006/relationships/vmlDrawing" Target="../drawings/vmlDrawing13.vml"/></Relationships>
</file>

<file path=xl/worksheets/_rels/sheet14.xml.rels><?xml version="1.0" encoding="UTF-8" standalone="yes"?>
<Relationships xmlns="http://schemas.openxmlformats.org/package/2006/relationships"><Relationship Id="rId2" Type="http://schemas.openxmlformats.org/officeDocument/2006/relationships/comments" Target="../comments14.xml"/><Relationship Id="rId1" Type="http://schemas.openxmlformats.org/officeDocument/2006/relationships/vmlDrawing" Target="../drawings/vmlDrawing14.vml"/></Relationships>
</file>

<file path=xl/worksheets/_rels/sheet15.xml.rels><?xml version="1.0" encoding="UTF-8" standalone="yes"?>
<Relationships xmlns="http://schemas.openxmlformats.org/package/2006/relationships"><Relationship Id="rId2" Type="http://schemas.openxmlformats.org/officeDocument/2006/relationships/comments" Target="../comments15.xml"/><Relationship Id="rId1" Type="http://schemas.openxmlformats.org/officeDocument/2006/relationships/vmlDrawing" Target="../drawings/vmlDrawing15.vml"/></Relationships>
</file>

<file path=xl/worksheets/_rels/sheet16.xml.rels><?xml version="1.0" encoding="UTF-8" standalone="yes"?>
<Relationships xmlns="http://schemas.openxmlformats.org/package/2006/relationships"><Relationship Id="rId3" Type="http://schemas.openxmlformats.org/officeDocument/2006/relationships/comments" Target="../comments16.xml"/><Relationship Id="rId2" Type="http://schemas.openxmlformats.org/officeDocument/2006/relationships/vmlDrawing" Target="../drawings/vmlDrawing16.vml"/><Relationship Id="rId1" Type="http://schemas.openxmlformats.org/officeDocument/2006/relationships/drawing" Target="../drawings/drawing1.xml"/></Relationships>
</file>

<file path=xl/worksheets/_rels/sheet17.xml.rels><?xml version="1.0" encoding="UTF-8" standalone="yes"?>
<Relationships xmlns="http://schemas.openxmlformats.org/package/2006/relationships"><Relationship Id="rId2" Type="http://schemas.openxmlformats.org/officeDocument/2006/relationships/comments" Target="../comments17.xml"/><Relationship Id="rId1" Type="http://schemas.openxmlformats.org/officeDocument/2006/relationships/vmlDrawing" Target="../drawings/vmlDrawing17.vml"/></Relationships>
</file>

<file path=xl/worksheets/_rels/sheet18.xml.rels><?xml version="1.0" encoding="UTF-8" standalone="yes"?>
<Relationships xmlns="http://schemas.openxmlformats.org/package/2006/relationships"><Relationship Id="rId3" Type="http://schemas.openxmlformats.org/officeDocument/2006/relationships/comments" Target="../comments18.xml"/><Relationship Id="rId2" Type="http://schemas.openxmlformats.org/officeDocument/2006/relationships/vmlDrawing" Target="../drawings/vmlDrawing18.vml"/><Relationship Id="rId1" Type="http://schemas.openxmlformats.org/officeDocument/2006/relationships/drawing" Target="../drawings/drawing2.xml"/></Relationships>
</file>

<file path=xl/worksheets/_rels/sheet19.xml.rels><?xml version="1.0" encoding="UTF-8" standalone="yes"?>
<Relationships xmlns="http://schemas.openxmlformats.org/package/2006/relationships"><Relationship Id="rId3" Type="http://schemas.openxmlformats.org/officeDocument/2006/relationships/comments" Target="../comments19.xml"/><Relationship Id="rId2" Type="http://schemas.openxmlformats.org/officeDocument/2006/relationships/vmlDrawing" Target="../drawings/vmlDrawing19.vml"/><Relationship Id="rId1" Type="http://schemas.openxmlformats.org/officeDocument/2006/relationships/drawing" Target="../drawings/drawing3.xml"/></Relationships>
</file>

<file path=xl/worksheets/_rels/sheet20.xml.rels><?xml version="1.0" encoding="UTF-8" standalone="yes"?>
<Relationships xmlns="http://schemas.openxmlformats.org/package/2006/relationships"><Relationship Id="rId2" Type="http://schemas.openxmlformats.org/officeDocument/2006/relationships/comments" Target="../comments20.xml"/><Relationship Id="rId1" Type="http://schemas.openxmlformats.org/officeDocument/2006/relationships/vmlDrawing" Target="../drawings/vmlDrawing20.vml"/></Relationships>
</file>

<file path=xl/worksheets/_rels/sheet21.xml.rels><?xml version="1.0" encoding="UTF-8" standalone="yes"?>
<Relationships xmlns="http://schemas.openxmlformats.org/package/2006/relationships"><Relationship Id="rId2" Type="http://schemas.openxmlformats.org/officeDocument/2006/relationships/comments" Target="../comments21.xml"/><Relationship Id="rId1" Type="http://schemas.openxmlformats.org/officeDocument/2006/relationships/vmlDrawing" Target="../drawings/vmlDrawing21.vml"/></Relationships>
</file>

<file path=xl/worksheets/_rels/sheet22.xml.rels><?xml version="1.0" encoding="UTF-8" standalone="yes"?>
<Relationships xmlns="http://schemas.openxmlformats.org/package/2006/relationships"><Relationship Id="rId2" Type="http://schemas.openxmlformats.org/officeDocument/2006/relationships/comments" Target="../comments22.xml"/><Relationship Id="rId1" Type="http://schemas.openxmlformats.org/officeDocument/2006/relationships/vmlDrawing" Target="../drawings/vmlDrawing22.vml"/></Relationships>
</file>

<file path=xl/worksheets/_rels/sheet23.xml.rels><?xml version="1.0" encoding="UTF-8" standalone="yes"?>
<Relationships xmlns="http://schemas.openxmlformats.org/package/2006/relationships"><Relationship Id="rId2" Type="http://schemas.openxmlformats.org/officeDocument/2006/relationships/comments" Target="../comments23.xml"/><Relationship Id="rId1" Type="http://schemas.openxmlformats.org/officeDocument/2006/relationships/vmlDrawing" Target="../drawings/vmlDrawing23.vml"/></Relationships>
</file>

<file path=xl/worksheets/_rels/sheet24.xml.rels><?xml version="1.0" encoding="UTF-8" standalone="yes"?>
<Relationships xmlns="http://schemas.openxmlformats.org/package/2006/relationships"><Relationship Id="rId2" Type="http://schemas.openxmlformats.org/officeDocument/2006/relationships/comments" Target="../comments24.xml"/><Relationship Id="rId1" Type="http://schemas.openxmlformats.org/officeDocument/2006/relationships/vmlDrawing" Target="../drawings/vmlDrawing24.vml"/></Relationships>
</file>

<file path=xl/worksheets/_rels/sheet25.xml.rels><?xml version="1.0" encoding="UTF-8" standalone="yes"?>
<Relationships xmlns="http://schemas.openxmlformats.org/package/2006/relationships"><Relationship Id="rId2" Type="http://schemas.openxmlformats.org/officeDocument/2006/relationships/comments" Target="../comments25.xml"/><Relationship Id="rId1" Type="http://schemas.openxmlformats.org/officeDocument/2006/relationships/vmlDrawing" Target="../drawings/vmlDrawing25.vml"/></Relationships>
</file>

<file path=xl/worksheets/_rels/sheet26.xml.rels><?xml version="1.0" encoding="UTF-8" standalone="yes"?>
<Relationships xmlns="http://schemas.openxmlformats.org/package/2006/relationships"><Relationship Id="rId2" Type="http://schemas.openxmlformats.org/officeDocument/2006/relationships/comments" Target="../comments26.xml"/><Relationship Id="rId1" Type="http://schemas.openxmlformats.org/officeDocument/2006/relationships/vmlDrawing" Target="../drawings/vmlDrawing26.vml"/></Relationships>
</file>

<file path=xl/worksheets/_rels/sheet27.xml.rels><?xml version="1.0" encoding="UTF-8" standalone="yes"?>
<Relationships xmlns="http://schemas.openxmlformats.org/package/2006/relationships"><Relationship Id="rId2" Type="http://schemas.openxmlformats.org/officeDocument/2006/relationships/comments" Target="../comments27.xml"/><Relationship Id="rId1" Type="http://schemas.openxmlformats.org/officeDocument/2006/relationships/vmlDrawing" Target="../drawings/vmlDrawing27.vml"/></Relationships>
</file>

<file path=xl/worksheets/_rels/sheet28.xml.rels><?xml version="1.0" encoding="UTF-8" standalone="yes"?>
<Relationships xmlns="http://schemas.openxmlformats.org/package/2006/relationships"><Relationship Id="rId2" Type="http://schemas.openxmlformats.org/officeDocument/2006/relationships/comments" Target="../comments28.xml"/><Relationship Id="rId1" Type="http://schemas.openxmlformats.org/officeDocument/2006/relationships/vmlDrawing" Target="../drawings/vmlDrawing28.vml"/></Relationships>
</file>

<file path=xl/worksheets/_rels/sheet29.xml.rels><?xml version="1.0" encoding="UTF-8" standalone="yes"?>
<Relationships xmlns="http://schemas.openxmlformats.org/package/2006/relationships"><Relationship Id="rId2" Type="http://schemas.openxmlformats.org/officeDocument/2006/relationships/comments" Target="../comments29.xml"/><Relationship Id="rId1" Type="http://schemas.openxmlformats.org/officeDocument/2006/relationships/vmlDrawing" Target="../drawings/vmlDrawing29.vml"/></Relationships>
</file>

<file path=xl/worksheets/_rels/sheet30.xml.rels><?xml version="1.0" encoding="UTF-8" standalone="yes"?>
<Relationships xmlns="http://schemas.openxmlformats.org/package/2006/relationships"><Relationship Id="rId2" Type="http://schemas.openxmlformats.org/officeDocument/2006/relationships/comments" Target="../comments30.xml"/><Relationship Id="rId1" Type="http://schemas.openxmlformats.org/officeDocument/2006/relationships/vmlDrawing" Target="../drawings/vmlDrawing30.vml"/></Relationships>
</file>

<file path=xl/worksheets/_rels/sheet31.xml.rels><?xml version="1.0" encoding="UTF-8" standalone="yes"?>
<Relationships xmlns="http://schemas.openxmlformats.org/package/2006/relationships"><Relationship Id="rId2" Type="http://schemas.openxmlformats.org/officeDocument/2006/relationships/comments" Target="../comments31.xml"/><Relationship Id="rId1" Type="http://schemas.openxmlformats.org/officeDocument/2006/relationships/vmlDrawing" Target="../drawings/vmlDrawing31.vml"/></Relationships>
</file>

<file path=xl/worksheets/_rels/sheet32.xml.rels><?xml version="1.0" encoding="UTF-8" standalone="yes"?>
<Relationships xmlns="http://schemas.openxmlformats.org/package/2006/relationships"><Relationship Id="rId2" Type="http://schemas.openxmlformats.org/officeDocument/2006/relationships/comments" Target="../comments32.xml"/><Relationship Id="rId1" Type="http://schemas.openxmlformats.org/officeDocument/2006/relationships/vmlDrawing" Target="../drawings/vmlDrawing32.vml"/></Relationships>
</file>

<file path=xl/worksheets/_rels/sheet33.xml.rels><?xml version="1.0" encoding="UTF-8" standalone="yes"?>
<Relationships xmlns="http://schemas.openxmlformats.org/package/2006/relationships"><Relationship Id="rId2" Type="http://schemas.openxmlformats.org/officeDocument/2006/relationships/comments" Target="../comments33.xml"/><Relationship Id="rId1" Type="http://schemas.openxmlformats.org/officeDocument/2006/relationships/vmlDrawing" Target="../drawings/vmlDrawing33.vml"/></Relationships>
</file>

<file path=xl/worksheets/_rels/sheet34.xml.rels><?xml version="1.0" encoding="UTF-8" standalone="yes"?>
<Relationships xmlns="http://schemas.openxmlformats.org/package/2006/relationships"><Relationship Id="rId2" Type="http://schemas.openxmlformats.org/officeDocument/2006/relationships/comments" Target="../comments34.xml"/><Relationship Id="rId1" Type="http://schemas.openxmlformats.org/officeDocument/2006/relationships/vmlDrawing" Target="../drawings/vmlDrawing34.vml"/></Relationships>
</file>

<file path=xl/worksheets/_rels/sheet35.xml.rels><?xml version="1.0" encoding="UTF-8" standalone="yes"?>
<Relationships xmlns="http://schemas.openxmlformats.org/package/2006/relationships"><Relationship Id="rId2" Type="http://schemas.openxmlformats.org/officeDocument/2006/relationships/comments" Target="../comments35.xml"/><Relationship Id="rId1" Type="http://schemas.openxmlformats.org/officeDocument/2006/relationships/vmlDrawing" Target="../drawings/vmlDrawing35.vml"/></Relationships>
</file>

<file path=xl/worksheets/_rels/sheet36.xml.rels><?xml version="1.0" encoding="UTF-8" standalone="yes"?>
<Relationships xmlns="http://schemas.openxmlformats.org/package/2006/relationships"><Relationship Id="rId2" Type="http://schemas.openxmlformats.org/officeDocument/2006/relationships/comments" Target="../comments36.xml"/><Relationship Id="rId1" Type="http://schemas.openxmlformats.org/officeDocument/2006/relationships/vmlDrawing" Target="../drawings/vmlDrawing36.vml"/></Relationships>
</file>

<file path=xl/worksheets/_rels/sheet37.xml.rels><?xml version="1.0" encoding="UTF-8" standalone="yes"?>
<Relationships xmlns="http://schemas.openxmlformats.org/package/2006/relationships"><Relationship Id="rId2" Type="http://schemas.openxmlformats.org/officeDocument/2006/relationships/comments" Target="../comments37.xml"/><Relationship Id="rId1" Type="http://schemas.openxmlformats.org/officeDocument/2006/relationships/vmlDrawing" Target="../drawings/vmlDrawing37.vml"/></Relationships>
</file>

<file path=xl/worksheets/_rels/sheet38.xml.rels><?xml version="1.0" encoding="UTF-8" standalone="yes"?>
<Relationships xmlns="http://schemas.openxmlformats.org/package/2006/relationships"><Relationship Id="rId2" Type="http://schemas.openxmlformats.org/officeDocument/2006/relationships/comments" Target="../comments38.xml"/><Relationship Id="rId1" Type="http://schemas.openxmlformats.org/officeDocument/2006/relationships/vmlDrawing" Target="../drawings/vmlDrawing38.vml"/></Relationships>
</file>

<file path=xl/worksheets/_rels/sheet39.xml.rels><?xml version="1.0" encoding="UTF-8" standalone="yes"?>
<Relationships xmlns="http://schemas.openxmlformats.org/package/2006/relationships"><Relationship Id="rId2" Type="http://schemas.openxmlformats.org/officeDocument/2006/relationships/comments" Target="../comments39.xml"/><Relationship Id="rId1" Type="http://schemas.openxmlformats.org/officeDocument/2006/relationships/vmlDrawing" Target="../drawings/vmlDrawing39.vml"/></Relationships>
</file>

<file path=xl/worksheets/_rels/sheet40.xml.rels><?xml version="1.0" encoding="UTF-8" standalone="yes"?>
<Relationships xmlns="http://schemas.openxmlformats.org/package/2006/relationships"><Relationship Id="rId2" Type="http://schemas.openxmlformats.org/officeDocument/2006/relationships/comments" Target="../comments40.xml"/><Relationship Id="rId1" Type="http://schemas.openxmlformats.org/officeDocument/2006/relationships/vmlDrawing" Target="../drawings/vmlDrawing40.vml"/></Relationships>
</file>

<file path=xl/worksheets/_rels/sheet41.xml.rels><?xml version="1.0" encoding="UTF-8" standalone="yes"?>
<Relationships xmlns="http://schemas.openxmlformats.org/package/2006/relationships"><Relationship Id="rId2" Type="http://schemas.openxmlformats.org/officeDocument/2006/relationships/comments" Target="../comments41.xml"/><Relationship Id="rId1" Type="http://schemas.openxmlformats.org/officeDocument/2006/relationships/vmlDrawing" Target="../drawings/vmlDrawing41.vml"/></Relationships>
</file>

<file path=xl/worksheets/_rels/sheet42.xml.rels><?xml version="1.0" encoding="UTF-8" standalone="yes"?>
<Relationships xmlns="http://schemas.openxmlformats.org/package/2006/relationships"><Relationship Id="rId2" Type="http://schemas.openxmlformats.org/officeDocument/2006/relationships/comments" Target="../comments42.xml"/><Relationship Id="rId1" Type="http://schemas.openxmlformats.org/officeDocument/2006/relationships/vmlDrawing" Target="../drawings/vmlDrawing42.vml"/></Relationships>
</file>

<file path=xl/worksheets/_rels/sheet43.xml.rels><?xml version="1.0" encoding="UTF-8" standalone="yes"?>
<Relationships xmlns="http://schemas.openxmlformats.org/package/2006/relationships"><Relationship Id="rId2" Type="http://schemas.openxmlformats.org/officeDocument/2006/relationships/comments" Target="../comments43.xml"/><Relationship Id="rId1" Type="http://schemas.openxmlformats.org/officeDocument/2006/relationships/vmlDrawing" Target="../drawings/vmlDrawing43.vml"/></Relationships>
</file>

<file path=xl/worksheets/_rels/sheet44.xml.rels><?xml version="1.0" encoding="UTF-8" standalone="yes"?>
<Relationships xmlns="http://schemas.openxmlformats.org/package/2006/relationships"><Relationship Id="rId2" Type="http://schemas.openxmlformats.org/officeDocument/2006/relationships/comments" Target="../comments44.xml"/><Relationship Id="rId1" Type="http://schemas.openxmlformats.org/officeDocument/2006/relationships/vmlDrawing" Target="../drawings/vmlDrawing44.vml"/></Relationships>
</file>

<file path=xl/worksheets/_rels/sheet45.xml.rels><?xml version="1.0" encoding="UTF-8" standalone="yes"?>
<Relationships xmlns="http://schemas.openxmlformats.org/package/2006/relationships"><Relationship Id="rId2" Type="http://schemas.openxmlformats.org/officeDocument/2006/relationships/comments" Target="../comments45.xml"/><Relationship Id="rId1" Type="http://schemas.openxmlformats.org/officeDocument/2006/relationships/vmlDrawing" Target="../drawings/vmlDrawing45.vml"/></Relationships>
</file>

<file path=xl/worksheets/_rels/sheet46.xml.rels><?xml version="1.0" encoding="UTF-8" standalone="yes"?>
<Relationships xmlns="http://schemas.openxmlformats.org/package/2006/relationships"><Relationship Id="rId2" Type="http://schemas.openxmlformats.org/officeDocument/2006/relationships/comments" Target="../comments46.xml"/><Relationship Id="rId1" Type="http://schemas.openxmlformats.org/officeDocument/2006/relationships/vmlDrawing" Target="../drawings/vmlDrawing46.vml"/></Relationships>
</file>

<file path=xl/worksheets/_rels/sheet47.xml.rels><?xml version="1.0" encoding="UTF-8" standalone="yes"?>
<Relationships xmlns="http://schemas.openxmlformats.org/package/2006/relationships"><Relationship Id="rId2" Type="http://schemas.openxmlformats.org/officeDocument/2006/relationships/comments" Target="../comments47.xml"/><Relationship Id="rId1" Type="http://schemas.openxmlformats.org/officeDocument/2006/relationships/vmlDrawing" Target="../drawings/vmlDrawing47.vml"/></Relationships>
</file>

<file path=xl/worksheets/_rels/sheet48.xml.rels><?xml version="1.0" encoding="UTF-8" standalone="yes"?>
<Relationships xmlns="http://schemas.openxmlformats.org/package/2006/relationships"><Relationship Id="rId2" Type="http://schemas.openxmlformats.org/officeDocument/2006/relationships/comments" Target="../comments48.xml"/><Relationship Id="rId1" Type="http://schemas.openxmlformats.org/officeDocument/2006/relationships/vmlDrawing" Target="../drawings/vmlDrawing48.vml"/></Relationships>
</file>

<file path=xl/worksheets/_rels/sheet49.xml.rels><?xml version="1.0" encoding="UTF-8" standalone="yes"?>
<Relationships xmlns="http://schemas.openxmlformats.org/package/2006/relationships"><Relationship Id="rId2" Type="http://schemas.openxmlformats.org/officeDocument/2006/relationships/comments" Target="../comments49.xml"/><Relationship Id="rId1" Type="http://schemas.openxmlformats.org/officeDocument/2006/relationships/vmlDrawing" Target="../drawings/vmlDrawing49.vml"/></Relationships>
</file>

<file path=xl/worksheets/_rels/sheet50.xml.rels><?xml version="1.0" encoding="UTF-8" standalone="yes"?>
<Relationships xmlns="http://schemas.openxmlformats.org/package/2006/relationships"><Relationship Id="rId2" Type="http://schemas.openxmlformats.org/officeDocument/2006/relationships/comments" Target="../comments50.xml"/><Relationship Id="rId1" Type="http://schemas.openxmlformats.org/officeDocument/2006/relationships/vmlDrawing" Target="../drawings/vmlDrawing50.vml"/></Relationships>
</file>

<file path=xl/worksheets/_rels/sheet51.xml.rels><?xml version="1.0" encoding="UTF-8" standalone="yes"?>
<Relationships xmlns="http://schemas.openxmlformats.org/package/2006/relationships"><Relationship Id="rId2" Type="http://schemas.openxmlformats.org/officeDocument/2006/relationships/comments" Target="../comments51.xml"/><Relationship Id="rId1" Type="http://schemas.openxmlformats.org/officeDocument/2006/relationships/vmlDrawing" Target="../drawings/vmlDrawing51.vml"/></Relationships>
</file>

<file path=xl/worksheets/_rels/sheet52.xml.rels><?xml version="1.0" encoding="UTF-8" standalone="yes"?>
<Relationships xmlns="http://schemas.openxmlformats.org/package/2006/relationships"><Relationship Id="rId2" Type="http://schemas.openxmlformats.org/officeDocument/2006/relationships/comments" Target="../comments52.xml"/><Relationship Id="rId1" Type="http://schemas.openxmlformats.org/officeDocument/2006/relationships/vmlDrawing" Target="../drawings/vmlDrawing52.vml"/></Relationships>
</file>

<file path=xl/worksheets/_rels/sheet53.xml.rels><?xml version="1.0" encoding="UTF-8" standalone="yes"?>
<Relationships xmlns="http://schemas.openxmlformats.org/package/2006/relationships"><Relationship Id="rId2" Type="http://schemas.openxmlformats.org/officeDocument/2006/relationships/comments" Target="../comments53.xml"/><Relationship Id="rId1" Type="http://schemas.openxmlformats.org/officeDocument/2006/relationships/vmlDrawing" Target="../drawings/vmlDrawing53.vml"/></Relationships>
</file>

<file path=xl/worksheets/_rels/sheet54.xml.rels><?xml version="1.0" encoding="UTF-8" standalone="yes"?>
<Relationships xmlns="http://schemas.openxmlformats.org/package/2006/relationships"><Relationship Id="rId2" Type="http://schemas.openxmlformats.org/officeDocument/2006/relationships/comments" Target="../comments54.xml"/><Relationship Id="rId1" Type="http://schemas.openxmlformats.org/officeDocument/2006/relationships/vmlDrawing" Target="../drawings/vmlDrawing54.vml"/></Relationships>
</file>

<file path=xl/worksheets/_rels/sheet55.xml.rels><?xml version="1.0" encoding="UTF-8" standalone="yes"?>
<Relationships xmlns="http://schemas.openxmlformats.org/package/2006/relationships"><Relationship Id="rId2" Type="http://schemas.openxmlformats.org/officeDocument/2006/relationships/comments" Target="../comments55.xml"/><Relationship Id="rId1" Type="http://schemas.openxmlformats.org/officeDocument/2006/relationships/vmlDrawing" Target="../drawings/vmlDrawing55.vml"/></Relationships>
</file>

<file path=xl/worksheets/_rels/sheet56.xml.rels><?xml version="1.0" encoding="UTF-8" standalone="yes"?>
<Relationships xmlns="http://schemas.openxmlformats.org/package/2006/relationships"><Relationship Id="rId2" Type="http://schemas.openxmlformats.org/officeDocument/2006/relationships/comments" Target="../comments56.xml"/><Relationship Id="rId1" Type="http://schemas.openxmlformats.org/officeDocument/2006/relationships/vmlDrawing" Target="../drawings/vmlDrawing56.vml"/></Relationships>
</file>

<file path=xl/worksheets/_rels/sheet57.xml.rels><?xml version="1.0" encoding="UTF-8" standalone="yes"?>
<Relationships xmlns="http://schemas.openxmlformats.org/package/2006/relationships"><Relationship Id="rId2" Type="http://schemas.openxmlformats.org/officeDocument/2006/relationships/comments" Target="../comments57.xml"/><Relationship Id="rId1" Type="http://schemas.openxmlformats.org/officeDocument/2006/relationships/vmlDrawing" Target="../drawings/vmlDrawing57.vml"/></Relationships>
</file>

<file path=xl/worksheets/_rels/sheet58.xml.rels><?xml version="1.0" encoding="UTF-8" standalone="yes"?>
<Relationships xmlns="http://schemas.openxmlformats.org/package/2006/relationships"><Relationship Id="rId2" Type="http://schemas.openxmlformats.org/officeDocument/2006/relationships/comments" Target="../comments58.xml"/><Relationship Id="rId1" Type="http://schemas.openxmlformats.org/officeDocument/2006/relationships/vmlDrawing" Target="../drawings/vmlDrawing58.vml"/></Relationships>
</file>

<file path=xl/worksheets/_rels/sheet59.xml.rels><?xml version="1.0" encoding="UTF-8" standalone="yes"?>
<Relationships xmlns="http://schemas.openxmlformats.org/package/2006/relationships"><Relationship Id="rId2" Type="http://schemas.openxmlformats.org/officeDocument/2006/relationships/comments" Target="../comments59.xml"/><Relationship Id="rId1" Type="http://schemas.openxmlformats.org/officeDocument/2006/relationships/vmlDrawing" Target="../drawings/vmlDrawing59.vml"/></Relationships>
</file>

<file path=xl/worksheets/_rels/sheet60.xml.rels><?xml version="1.0" encoding="UTF-8" standalone="yes"?>
<Relationships xmlns="http://schemas.openxmlformats.org/package/2006/relationships"><Relationship Id="rId2" Type="http://schemas.openxmlformats.org/officeDocument/2006/relationships/comments" Target="../comments60.xml"/><Relationship Id="rId1" Type="http://schemas.openxmlformats.org/officeDocument/2006/relationships/vmlDrawing" Target="../drawings/vmlDrawing60.vml"/></Relationships>
</file>

<file path=xl/worksheets/_rels/sheet61.xml.rels><?xml version="1.0" encoding="UTF-8" standalone="yes"?>
<Relationships xmlns="http://schemas.openxmlformats.org/package/2006/relationships"><Relationship Id="rId2" Type="http://schemas.openxmlformats.org/officeDocument/2006/relationships/comments" Target="../comments61.xml"/><Relationship Id="rId1" Type="http://schemas.openxmlformats.org/officeDocument/2006/relationships/vmlDrawing" Target="../drawings/vmlDrawing61.vml"/></Relationships>
</file>

<file path=xl/worksheets/_rels/sheet62.xml.rels><?xml version="1.0" encoding="UTF-8" standalone="yes"?>
<Relationships xmlns="http://schemas.openxmlformats.org/package/2006/relationships"><Relationship Id="rId2" Type="http://schemas.openxmlformats.org/officeDocument/2006/relationships/comments" Target="../comments62.xml"/><Relationship Id="rId1" Type="http://schemas.openxmlformats.org/officeDocument/2006/relationships/vmlDrawing" Target="../drawings/vmlDrawing62.vml"/></Relationships>
</file>

<file path=xl/worksheets/_rels/sheet63.xml.rels><?xml version="1.0" encoding="UTF-8" standalone="yes"?>
<Relationships xmlns="http://schemas.openxmlformats.org/package/2006/relationships"><Relationship Id="rId2" Type="http://schemas.openxmlformats.org/officeDocument/2006/relationships/comments" Target="../comments63.xml"/><Relationship Id="rId1" Type="http://schemas.openxmlformats.org/officeDocument/2006/relationships/vmlDrawing" Target="../drawings/vmlDrawing63.vml"/></Relationships>
</file>

<file path=xl/worksheets/_rels/sheet64.xml.rels><?xml version="1.0" encoding="UTF-8" standalone="yes"?>
<Relationships xmlns="http://schemas.openxmlformats.org/package/2006/relationships"><Relationship Id="rId2" Type="http://schemas.openxmlformats.org/officeDocument/2006/relationships/comments" Target="../comments64.xml"/><Relationship Id="rId1" Type="http://schemas.openxmlformats.org/officeDocument/2006/relationships/vmlDrawing" Target="../drawings/vmlDrawing64.vml"/></Relationships>
</file>

<file path=xl/worksheets/_rels/sheet65.xml.rels><?xml version="1.0" encoding="UTF-8" standalone="yes"?>
<Relationships xmlns="http://schemas.openxmlformats.org/package/2006/relationships"><Relationship Id="rId2" Type="http://schemas.openxmlformats.org/officeDocument/2006/relationships/comments" Target="../comments65.xml"/><Relationship Id="rId1" Type="http://schemas.openxmlformats.org/officeDocument/2006/relationships/vmlDrawing" Target="../drawings/vmlDrawing65.vml"/></Relationships>
</file>

<file path=xl/worksheets/_rels/sheet66.xml.rels><?xml version="1.0" encoding="UTF-8" standalone="yes"?>
<Relationships xmlns="http://schemas.openxmlformats.org/package/2006/relationships"><Relationship Id="rId2" Type="http://schemas.openxmlformats.org/officeDocument/2006/relationships/comments" Target="../comments66.xml"/><Relationship Id="rId1" Type="http://schemas.openxmlformats.org/officeDocument/2006/relationships/vmlDrawing" Target="../drawings/vmlDrawing66.vml"/></Relationships>
</file>

<file path=xl/worksheets/_rels/sheet67.xml.rels><?xml version="1.0" encoding="UTF-8" standalone="yes"?>
<Relationships xmlns="http://schemas.openxmlformats.org/package/2006/relationships"><Relationship Id="rId2" Type="http://schemas.openxmlformats.org/officeDocument/2006/relationships/comments" Target="../comments67.xml"/><Relationship Id="rId1" Type="http://schemas.openxmlformats.org/officeDocument/2006/relationships/vmlDrawing" Target="../drawings/vmlDrawing67.vml"/></Relationships>
</file>

<file path=xl/worksheets/_rels/sheet68.xml.rels><?xml version="1.0" encoding="UTF-8" standalone="yes"?>
<Relationships xmlns="http://schemas.openxmlformats.org/package/2006/relationships"><Relationship Id="rId2" Type="http://schemas.openxmlformats.org/officeDocument/2006/relationships/comments" Target="../comments68.xml"/><Relationship Id="rId1" Type="http://schemas.openxmlformats.org/officeDocument/2006/relationships/vmlDrawing" Target="../drawings/vmlDrawing68.vml"/></Relationships>
</file>

<file path=xl/worksheets/_rels/sheet69.xml.rels><?xml version="1.0" encoding="UTF-8" standalone="yes"?>
<Relationships xmlns="http://schemas.openxmlformats.org/package/2006/relationships"><Relationship Id="rId2" Type="http://schemas.openxmlformats.org/officeDocument/2006/relationships/comments" Target="../comments69.xml"/><Relationship Id="rId1" Type="http://schemas.openxmlformats.org/officeDocument/2006/relationships/vmlDrawing" Target="../drawings/vmlDrawing69.vml"/></Relationships>
</file>

<file path=xl/worksheets/_rels/sheet70.xml.rels><?xml version="1.0" encoding="UTF-8" standalone="yes"?>
<Relationships xmlns="http://schemas.openxmlformats.org/package/2006/relationships"><Relationship Id="rId2" Type="http://schemas.openxmlformats.org/officeDocument/2006/relationships/comments" Target="../comments70.xml"/><Relationship Id="rId1" Type="http://schemas.openxmlformats.org/officeDocument/2006/relationships/vmlDrawing" Target="../drawings/vmlDrawing70.vml"/></Relationships>
</file>

<file path=xl/worksheets/_rels/sheet71.xml.rels><?xml version="1.0" encoding="UTF-8" standalone="yes"?>
<Relationships xmlns="http://schemas.openxmlformats.org/package/2006/relationships"><Relationship Id="rId2" Type="http://schemas.openxmlformats.org/officeDocument/2006/relationships/comments" Target="../comments71.xml"/><Relationship Id="rId1" Type="http://schemas.openxmlformats.org/officeDocument/2006/relationships/vmlDrawing" Target="../drawings/vmlDrawing71.vml"/></Relationships>
</file>

<file path=xl/worksheets/_rels/sheet72.xml.rels><?xml version="1.0" encoding="UTF-8" standalone="yes"?>
<Relationships xmlns="http://schemas.openxmlformats.org/package/2006/relationships"><Relationship Id="rId2" Type="http://schemas.openxmlformats.org/officeDocument/2006/relationships/comments" Target="../comments72.xml"/><Relationship Id="rId1" Type="http://schemas.openxmlformats.org/officeDocument/2006/relationships/vmlDrawing" Target="../drawings/vmlDrawing72.vml"/></Relationships>
</file>

<file path=xl/worksheets/_rels/sheet73.xml.rels><?xml version="1.0" encoding="UTF-8" standalone="yes"?>
<Relationships xmlns="http://schemas.openxmlformats.org/package/2006/relationships"><Relationship Id="rId2" Type="http://schemas.openxmlformats.org/officeDocument/2006/relationships/comments" Target="../comments73.xml"/><Relationship Id="rId1" Type="http://schemas.openxmlformats.org/officeDocument/2006/relationships/vmlDrawing" Target="../drawings/vmlDrawing73.vml"/></Relationships>
</file>

<file path=xl/worksheets/_rels/sheet74.xml.rels><?xml version="1.0" encoding="UTF-8" standalone="yes"?>
<Relationships xmlns="http://schemas.openxmlformats.org/package/2006/relationships"><Relationship Id="rId2" Type="http://schemas.openxmlformats.org/officeDocument/2006/relationships/comments" Target="../comments74.xml"/><Relationship Id="rId1" Type="http://schemas.openxmlformats.org/officeDocument/2006/relationships/vmlDrawing" Target="../drawings/vmlDrawing74.vml"/></Relationships>
</file>

<file path=xl/worksheets/_rels/sheet75.xml.rels><?xml version="1.0" encoding="UTF-8" standalone="yes"?>
<Relationships xmlns="http://schemas.openxmlformats.org/package/2006/relationships"><Relationship Id="rId2" Type="http://schemas.openxmlformats.org/officeDocument/2006/relationships/comments" Target="../comments75.xml"/><Relationship Id="rId1" Type="http://schemas.openxmlformats.org/officeDocument/2006/relationships/vmlDrawing" Target="../drawings/vmlDrawing75.vml"/></Relationships>
</file>

<file path=xl/worksheets/_rels/sheet76.xml.rels><?xml version="1.0" encoding="UTF-8" standalone="yes"?>
<Relationships xmlns="http://schemas.openxmlformats.org/package/2006/relationships"><Relationship Id="rId2" Type="http://schemas.openxmlformats.org/officeDocument/2006/relationships/comments" Target="../comments76.xml"/><Relationship Id="rId1" Type="http://schemas.openxmlformats.org/officeDocument/2006/relationships/vmlDrawing" Target="../drawings/vmlDrawing76.vml"/></Relationships>
</file>

<file path=xl/worksheets/_rels/sheet77.xml.rels><?xml version="1.0" encoding="UTF-8" standalone="yes"?>
<Relationships xmlns="http://schemas.openxmlformats.org/package/2006/relationships"><Relationship Id="rId2" Type="http://schemas.openxmlformats.org/officeDocument/2006/relationships/comments" Target="../comments77.xml"/><Relationship Id="rId1" Type="http://schemas.openxmlformats.org/officeDocument/2006/relationships/vmlDrawing" Target="../drawings/vmlDrawing77.vml"/></Relationships>
</file>

<file path=xl/worksheets/_rels/sheet78.xml.rels><?xml version="1.0" encoding="UTF-8" standalone="yes"?>
<Relationships xmlns="http://schemas.openxmlformats.org/package/2006/relationships"><Relationship Id="rId2" Type="http://schemas.openxmlformats.org/officeDocument/2006/relationships/comments" Target="../comments78.xml"/><Relationship Id="rId1" Type="http://schemas.openxmlformats.org/officeDocument/2006/relationships/vmlDrawing" Target="../drawings/vmlDrawing78.vml"/></Relationships>
</file>

<file path=xl/worksheets/_rels/sheet79.xml.rels><?xml version="1.0" encoding="UTF-8" standalone="yes"?>
<Relationships xmlns="http://schemas.openxmlformats.org/package/2006/relationships"><Relationship Id="rId2" Type="http://schemas.openxmlformats.org/officeDocument/2006/relationships/comments" Target="../comments79.xml"/><Relationship Id="rId1" Type="http://schemas.openxmlformats.org/officeDocument/2006/relationships/vmlDrawing" Target="../drawings/vmlDrawing79.vml"/></Relationships>
</file>

<file path=xl/worksheets/_rels/sheet80.xml.rels><?xml version="1.0" encoding="UTF-8" standalone="yes"?>
<Relationships xmlns="http://schemas.openxmlformats.org/package/2006/relationships"><Relationship Id="rId2" Type="http://schemas.openxmlformats.org/officeDocument/2006/relationships/comments" Target="../comments80.xml"/><Relationship Id="rId1" Type="http://schemas.openxmlformats.org/officeDocument/2006/relationships/vmlDrawing" Target="../drawings/vmlDrawing80.vml"/></Relationships>
</file>

<file path=xl/worksheets/_rels/sheet81.xml.rels><?xml version="1.0" encoding="UTF-8" standalone="yes"?>
<Relationships xmlns="http://schemas.openxmlformats.org/package/2006/relationships"><Relationship Id="rId2" Type="http://schemas.openxmlformats.org/officeDocument/2006/relationships/comments" Target="../comments81.xml"/><Relationship Id="rId1" Type="http://schemas.openxmlformats.org/officeDocument/2006/relationships/vmlDrawing" Target="../drawings/vmlDrawing81.vml"/></Relationships>
</file>

<file path=xl/worksheets/_rels/sheet82.xml.rels><?xml version="1.0" encoding="UTF-8" standalone="yes"?>
<Relationships xmlns="http://schemas.openxmlformats.org/package/2006/relationships"><Relationship Id="rId2" Type="http://schemas.openxmlformats.org/officeDocument/2006/relationships/comments" Target="../comments82.xml"/><Relationship Id="rId1" Type="http://schemas.openxmlformats.org/officeDocument/2006/relationships/vmlDrawing" Target="../drawings/vmlDrawing82.vml"/></Relationships>
</file>

<file path=xl/worksheets/_rels/sheet83.xml.rels><?xml version="1.0" encoding="UTF-8" standalone="yes"?>
<Relationships xmlns="http://schemas.openxmlformats.org/package/2006/relationships"><Relationship Id="rId2" Type="http://schemas.openxmlformats.org/officeDocument/2006/relationships/comments" Target="../comments83.xml"/><Relationship Id="rId1" Type="http://schemas.openxmlformats.org/officeDocument/2006/relationships/vmlDrawing" Target="../drawings/vmlDrawing83.vml"/></Relationships>
</file>

<file path=xl/worksheets/_rels/sheet84.xml.rels><?xml version="1.0" encoding="UTF-8" standalone="yes"?>
<Relationships xmlns="http://schemas.openxmlformats.org/package/2006/relationships"><Relationship Id="rId2" Type="http://schemas.openxmlformats.org/officeDocument/2006/relationships/comments" Target="../comments84.xml"/><Relationship Id="rId1" Type="http://schemas.openxmlformats.org/officeDocument/2006/relationships/vmlDrawing" Target="../drawings/vmlDrawing84.vml"/></Relationships>
</file>

<file path=xl/worksheets/_rels/sheet85.xml.rels><?xml version="1.0" encoding="UTF-8" standalone="yes"?>
<Relationships xmlns="http://schemas.openxmlformats.org/package/2006/relationships"><Relationship Id="rId2" Type="http://schemas.openxmlformats.org/officeDocument/2006/relationships/comments" Target="../comments85.xml"/><Relationship Id="rId1" Type="http://schemas.openxmlformats.org/officeDocument/2006/relationships/vmlDrawing" Target="../drawings/vmlDrawing85.vml"/></Relationships>
</file>

<file path=xl/worksheets/_rels/sheet86.xml.rels><?xml version="1.0" encoding="UTF-8" standalone="yes"?>
<Relationships xmlns="http://schemas.openxmlformats.org/package/2006/relationships"><Relationship Id="rId2" Type="http://schemas.openxmlformats.org/officeDocument/2006/relationships/comments" Target="../comments86.xml"/><Relationship Id="rId1" Type="http://schemas.openxmlformats.org/officeDocument/2006/relationships/vmlDrawing" Target="../drawings/vmlDrawing86.vml"/></Relationships>
</file>

<file path=xl/worksheets/_rels/sheet87.xml.rels><?xml version="1.0" encoding="UTF-8" standalone="yes"?>
<Relationships xmlns="http://schemas.openxmlformats.org/package/2006/relationships"><Relationship Id="rId2" Type="http://schemas.openxmlformats.org/officeDocument/2006/relationships/comments" Target="../comments87.xml"/><Relationship Id="rId1" Type="http://schemas.openxmlformats.org/officeDocument/2006/relationships/vmlDrawing" Target="../drawings/vmlDrawing87.vml"/></Relationships>
</file>

<file path=xl/worksheets/_rels/sheet88.xml.rels><?xml version="1.0" encoding="UTF-8" standalone="yes"?>
<Relationships xmlns="http://schemas.openxmlformats.org/package/2006/relationships"><Relationship Id="rId2" Type="http://schemas.openxmlformats.org/officeDocument/2006/relationships/comments" Target="../comments88.xml"/><Relationship Id="rId1" Type="http://schemas.openxmlformats.org/officeDocument/2006/relationships/vmlDrawing" Target="../drawings/vmlDrawing88.vml"/></Relationships>
</file>

<file path=xl/worksheets/_rels/sheet89.xml.rels><?xml version="1.0" encoding="UTF-8" standalone="yes"?>
<Relationships xmlns="http://schemas.openxmlformats.org/package/2006/relationships"><Relationship Id="rId2" Type="http://schemas.openxmlformats.org/officeDocument/2006/relationships/comments" Target="../comments89.xml"/><Relationship Id="rId1" Type="http://schemas.openxmlformats.org/officeDocument/2006/relationships/vmlDrawing" Target="../drawings/vmlDrawing89.vml"/></Relationships>
</file>

<file path=xl/worksheets/_rels/sheet90.xml.rels><?xml version="1.0" encoding="UTF-8" standalone="yes"?>
<Relationships xmlns="http://schemas.openxmlformats.org/package/2006/relationships"><Relationship Id="rId2" Type="http://schemas.openxmlformats.org/officeDocument/2006/relationships/comments" Target="../comments90.xml"/><Relationship Id="rId1" Type="http://schemas.openxmlformats.org/officeDocument/2006/relationships/vmlDrawing" Target="../drawings/vmlDrawing90.vml"/></Relationships>
</file>

<file path=xl/worksheets/_rels/sheet91.xml.rels><?xml version="1.0" encoding="UTF-8" standalone="yes"?>
<Relationships xmlns="http://schemas.openxmlformats.org/package/2006/relationships"><Relationship Id="rId2" Type="http://schemas.openxmlformats.org/officeDocument/2006/relationships/comments" Target="../comments91.xml"/><Relationship Id="rId1" Type="http://schemas.openxmlformats.org/officeDocument/2006/relationships/vmlDrawing" Target="../drawings/vmlDrawing91.vml"/></Relationships>
</file>

<file path=xl/worksheets/_rels/sheet92.xml.rels><?xml version="1.0" encoding="UTF-8" standalone="yes"?>
<Relationships xmlns="http://schemas.openxmlformats.org/package/2006/relationships"><Relationship Id="rId2" Type="http://schemas.openxmlformats.org/officeDocument/2006/relationships/comments" Target="../comments92.xml"/><Relationship Id="rId1" Type="http://schemas.openxmlformats.org/officeDocument/2006/relationships/vmlDrawing" Target="../drawings/vmlDrawing92.vml"/></Relationships>
</file>

<file path=xl/worksheets/_rels/sheet93.xml.rels><?xml version="1.0" encoding="UTF-8" standalone="yes"?>
<Relationships xmlns="http://schemas.openxmlformats.org/package/2006/relationships"><Relationship Id="rId2" Type="http://schemas.openxmlformats.org/officeDocument/2006/relationships/comments" Target="../comments93.xml"/><Relationship Id="rId1" Type="http://schemas.openxmlformats.org/officeDocument/2006/relationships/vmlDrawing" Target="../drawings/vmlDrawing93.vml"/></Relationships>
</file>

<file path=xl/worksheets/_rels/sheet94.xml.rels><?xml version="1.0" encoding="UTF-8" standalone="yes"?>
<Relationships xmlns="http://schemas.openxmlformats.org/package/2006/relationships"><Relationship Id="rId2" Type="http://schemas.openxmlformats.org/officeDocument/2006/relationships/comments" Target="../comments94.xml"/><Relationship Id="rId1" Type="http://schemas.openxmlformats.org/officeDocument/2006/relationships/vmlDrawing" Target="../drawings/vmlDrawing94.vml"/></Relationships>
</file>

<file path=xl/worksheets/_rels/sheet95.xml.rels><?xml version="1.0" encoding="UTF-8" standalone="yes"?>
<Relationships xmlns="http://schemas.openxmlformats.org/package/2006/relationships"><Relationship Id="rId2" Type="http://schemas.openxmlformats.org/officeDocument/2006/relationships/comments" Target="../comments95.xml"/><Relationship Id="rId1" Type="http://schemas.openxmlformats.org/officeDocument/2006/relationships/vmlDrawing" Target="../drawings/vmlDrawing95.vml"/></Relationships>
</file>

<file path=xl/worksheets/_rels/sheet96.xml.rels><?xml version="1.0" encoding="UTF-8" standalone="yes"?>
<Relationships xmlns="http://schemas.openxmlformats.org/package/2006/relationships"><Relationship Id="rId2" Type="http://schemas.openxmlformats.org/officeDocument/2006/relationships/comments" Target="../comments96.xml"/><Relationship Id="rId1" Type="http://schemas.openxmlformats.org/officeDocument/2006/relationships/vmlDrawing" Target="../drawings/vmlDrawing96.vml"/></Relationships>
</file>

<file path=xl/worksheets/_rels/sheet97.xml.rels><?xml version="1.0" encoding="UTF-8" standalone="yes"?>
<Relationships xmlns="http://schemas.openxmlformats.org/package/2006/relationships"><Relationship Id="rId2" Type="http://schemas.openxmlformats.org/officeDocument/2006/relationships/comments" Target="../comments97.xml"/><Relationship Id="rId1" Type="http://schemas.openxmlformats.org/officeDocument/2006/relationships/vmlDrawing" Target="../drawings/vmlDrawing97.vml"/></Relationships>
</file>

<file path=xl/worksheets/_rels/sheet98.xml.rels><?xml version="1.0" encoding="UTF-8" standalone="yes"?>
<Relationships xmlns="http://schemas.openxmlformats.org/package/2006/relationships"><Relationship Id="rId2" Type="http://schemas.openxmlformats.org/officeDocument/2006/relationships/comments" Target="../comments98.xml"/><Relationship Id="rId1" Type="http://schemas.openxmlformats.org/officeDocument/2006/relationships/vmlDrawing" Target="../drawings/vmlDrawing98.vml"/></Relationships>
</file>

<file path=xl/worksheets/_rels/sheet99.xml.rels><?xml version="1.0" encoding="UTF-8" standalone="yes"?>
<Relationships xmlns="http://schemas.openxmlformats.org/package/2006/relationships"><Relationship Id="rId2" Type="http://schemas.openxmlformats.org/officeDocument/2006/relationships/comments" Target="../comments99.xml"/><Relationship Id="rId1" Type="http://schemas.openxmlformats.org/officeDocument/2006/relationships/vmlDrawing" Target="../drawings/vmlDrawing99.vml"/></Relationships>
</file>

<file path=xl/worksheets/_rels/sheet100.xml.rels><?xml version="1.0" encoding="UTF-8" standalone="yes"?>
<Relationships xmlns="http://schemas.openxmlformats.org/package/2006/relationships"><Relationship Id="rId2" Type="http://schemas.openxmlformats.org/officeDocument/2006/relationships/comments" Target="../comments100.xml"/><Relationship Id="rId1" Type="http://schemas.openxmlformats.org/officeDocument/2006/relationships/vmlDrawing" Target="../drawings/vmlDrawing100.vml"/></Relationships>
</file>

<file path=xl/worksheets/_rels/sheet101.xml.rels><?xml version="1.0" encoding="UTF-8" standalone="yes"?>
<Relationships xmlns="http://schemas.openxmlformats.org/package/2006/relationships"><Relationship Id="rId2" Type="http://schemas.openxmlformats.org/officeDocument/2006/relationships/comments" Target="../comments101.xml"/><Relationship Id="rId1" Type="http://schemas.openxmlformats.org/officeDocument/2006/relationships/vmlDrawing" Target="../drawings/vmlDrawing101.vml"/></Relationships>
</file>

<file path=xl/worksheets/_rels/sheet102.xml.rels><?xml version="1.0" encoding="UTF-8" standalone="yes"?>
<Relationships xmlns="http://schemas.openxmlformats.org/package/2006/relationships"><Relationship Id="rId2" Type="http://schemas.openxmlformats.org/officeDocument/2006/relationships/comments" Target="../comments102.xml"/><Relationship Id="rId1" Type="http://schemas.openxmlformats.org/officeDocument/2006/relationships/vmlDrawing" Target="../drawings/vmlDrawing102.vml"/></Relationships>
</file>

<file path=xl/worksheets/_rels/sheet103.xml.rels><?xml version="1.0" encoding="UTF-8" standalone="yes"?>
<Relationships xmlns="http://schemas.openxmlformats.org/package/2006/relationships"><Relationship Id="rId2" Type="http://schemas.openxmlformats.org/officeDocument/2006/relationships/comments" Target="../comments103.xml"/><Relationship Id="rId1" Type="http://schemas.openxmlformats.org/officeDocument/2006/relationships/vmlDrawing" Target="../drawings/vmlDrawing103.vml"/></Relationships>
</file>

<file path=xl/worksheets/_rels/sheet104.xml.rels><?xml version="1.0" encoding="UTF-8" standalone="yes"?>
<Relationships xmlns="http://schemas.openxmlformats.org/package/2006/relationships"><Relationship Id="rId2" Type="http://schemas.openxmlformats.org/officeDocument/2006/relationships/comments" Target="../comments104.xml"/><Relationship Id="rId1" Type="http://schemas.openxmlformats.org/officeDocument/2006/relationships/vmlDrawing" Target="../drawings/vmlDrawing104.vml"/></Relationships>
</file>

<file path=xl/worksheets/_rels/sheet105.xml.rels><?xml version="1.0" encoding="UTF-8" standalone="yes"?>
<Relationships xmlns="http://schemas.openxmlformats.org/package/2006/relationships"><Relationship Id="rId2" Type="http://schemas.openxmlformats.org/officeDocument/2006/relationships/comments" Target="../comments105.xml"/><Relationship Id="rId1" Type="http://schemas.openxmlformats.org/officeDocument/2006/relationships/vmlDrawing" Target="../drawings/vmlDrawing105.vml"/></Relationships>
</file>

<file path=xl/worksheets/_rels/sheet106.xml.rels><?xml version="1.0" encoding="UTF-8" standalone="yes"?>
<Relationships xmlns="http://schemas.openxmlformats.org/package/2006/relationships"><Relationship Id="rId2" Type="http://schemas.openxmlformats.org/officeDocument/2006/relationships/comments" Target="../comments106.xml"/><Relationship Id="rId1" Type="http://schemas.openxmlformats.org/officeDocument/2006/relationships/vmlDrawing" Target="../drawings/vmlDrawing106.vml"/></Relationships>
</file>

<file path=xl/worksheets/_rels/sheet107.xml.rels><?xml version="1.0" encoding="UTF-8" standalone="yes"?>
<Relationships xmlns="http://schemas.openxmlformats.org/package/2006/relationships"><Relationship Id="rId2" Type="http://schemas.openxmlformats.org/officeDocument/2006/relationships/comments" Target="../comments107.xml"/><Relationship Id="rId1" Type="http://schemas.openxmlformats.org/officeDocument/2006/relationships/vmlDrawing" Target="../drawings/vmlDrawing107.vml"/></Relationships>
</file>

<file path=xl/worksheets/_rels/sheet108.xml.rels><?xml version="1.0" encoding="UTF-8" standalone="yes"?>
<Relationships xmlns="http://schemas.openxmlformats.org/package/2006/relationships"><Relationship Id="rId2" Type="http://schemas.openxmlformats.org/officeDocument/2006/relationships/comments" Target="../comments108.xml"/><Relationship Id="rId1" Type="http://schemas.openxmlformats.org/officeDocument/2006/relationships/vmlDrawing" Target="../drawings/vmlDrawing108.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N35"/>
  <sheetViews>
    <sheetView zoomScale="79" zoomScaleNormal="79" workbookViewId="0">
      <selection activeCell="M32" sqref="M32"/>
    </sheetView>
  </sheetViews>
  <sheetFormatPr baseColWidth="10" defaultColWidth="10.83203125" defaultRowHeight="16" x14ac:dyDescent="0.2"/>
  <cols>
    <col min="1" max="1" width="27" style="6" bestFit="1" customWidth="1"/>
    <col min="2" max="14" width="21.5" style="6" customWidth="1"/>
    <col min="15" max="15" width="10.83203125" style="6" customWidth="1"/>
    <col min="16" max="16384" width="10.83203125" style="6"/>
  </cols>
  <sheetData>
    <row r="1" spans="1:14" x14ac:dyDescent="0.2">
      <c r="A1" s="17" t="s">
        <v>1</v>
      </c>
      <c r="B1" s="17" t="s">
        <v>1</v>
      </c>
      <c r="C1" s="18" t="s">
        <v>0</v>
      </c>
      <c r="D1" s="18" t="s">
        <v>0</v>
      </c>
      <c r="E1" s="17" t="s">
        <v>2</v>
      </c>
      <c r="F1" s="17" t="s">
        <v>2</v>
      </c>
      <c r="G1" s="17" t="s">
        <v>4</v>
      </c>
      <c r="H1" s="17" t="s">
        <v>4</v>
      </c>
      <c r="I1" s="17" t="s">
        <v>64</v>
      </c>
      <c r="J1" s="17" t="s">
        <v>64</v>
      </c>
      <c r="K1" s="17" t="s">
        <v>65</v>
      </c>
      <c r="L1" s="17" t="s">
        <v>65</v>
      </c>
      <c r="M1" s="17" t="s">
        <v>3</v>
      </c>
      <c r="N1" s="17" t="s">
        <v>3</v>
      </c>
    </row>
    <row r="2" spans="1:14" x14ac:dyDescent="0.2">
      <c r="A2" s="9" t="s">
        <v>66</v>
      </c>
      <c r="B2" s="1">
        <v>19490000</v>
      </c>
      <c r="C2" s="19" t="s">
        <v>66</v>
      </c>
      <c r="D2" s="10">
        <v>19196000</v>
      </c>
      <c r="E2" s="7" t="s">
        <v>66</v>
      </c>
      <c r="F2" s="3">
        <v>19290000</v>
      </c>
      <c r="G2" s="7" t="s">
        <v>67</v>
      </c>
      <c r="H2" s="3">
        <v>19290000</v>
      </c>
      <c r="I2" s="7" t="s">
        <v>68</v>
      </c>
      <c r="J2" s="4">
        <v>18790000</v>
      </c>
      <c r="K2" s="7" t="s">
        <v>66</v>
      </c>
      <c r="L2" s="4">
        <v>18840000</v>
      </c>
      <c r="M2" s="9" t="s">
        <v>69</v>
      </c>
      <c r="N2" s="4">
        <v>18990000</v>
      </c>
    </row>
    <row r="3" spans="1:14" x14ac:dyDescent="0.2">
      <c r="A3" s="9" t="s">
        <v>70</v>
      </c>
      <c r="B3" s="1">
        <v>22790000</v>
      </c>
      <c r="C3" s="19" t="s">
        <v>71</v>
      </c>
      <c r="D3" s="10">
        <v>22590000</v>
      </c>
      <c r="E3" s="7" t="s">
        <v>72</v>
      </c>
      <c r="F3" s="3">
        <v>21790000</v>
      </c>
      <c r="G3" s="7" t="s">
        <v>73</v>
      </c>
      <c r="H3" s="3">
        <v>22290000</v>
      </c>
      <c r="I3" s="7" t="s">
        <v>74</v>
      </c>
      <c r="J3" s="4">
        <v>21890000</v>
      </c>
      <c r="K3" s="7" t="s">
        <v>71</v>
      </c>
      <c r="L3" s="4">
        <v>21940000</v>
      </c>
      <c r="M3" s="9" t="s">
        <v>75</v>
      </c>
      <c r="N3" s="4">
        <v>21990000</v>
      </c>
    </row>
    <row r="4" spans="1:14" x14ac:dyDescent="0.2">
      <c r="A4" s="9" t="s">
        <v>76</v>
      </c>
      <c r="B4" s="1">
        <v>25490000</v>
      </c>
      <c r="C4" s="19" t="s">
        <v>77</v>
      </c>
      <c r="D4" s="10">
        <v>24690000</v>
      </c>
      <c r="E4" s="7" t="s">
        <v>77</v>
      </c>
      <c r="F4" s="3">
        <v>24790000</v>
      </c>
      <c r="G4" s="7" t="s">
        <v>78</v>
      </c>
      <c r="H4" s="3">
        <v>24590000</v>
      </c>
      <c r="I4" s="7" t="s">
        <v>79</v>
      </c>
      <c r="J4" s="3">
        <v>23890000</v>
      </c>
      <c r="K4" s="7" t="s">
        <v>77</v>
      </c>
      <c r="L4" s="3">
        <v>24590000</v>
      </c>
      <c r="M4" s="9" t="s">
        <v>80</v>
      </c>
      <c r="N4" s="4">
        <v>23990000</v>
      </c>
    </row>
    <row r="5" spans="1:14" ht="28" customHeight="1" x14ac:dyDescent="0.2">
      <c r="A5" s="9" t="s">
        <v>81</v>
      </c>
      <c r="B5" s="2">
        <v>29990000</v>
      </c>
      <c r="C5" s="19" t="s">
        <v>82</v>
      </c>
      <c r="D5" s="10">
        <v>29190000</v>
      </c>
      <c r="E5" s="7" t="s">
        <v>83</v>
      </c>
      <c r="F5" s="3">
        <v>29290000</v>
      </c>
      <c r="G5" s="7" t="s">
        <v>84</v>
      </c>
      <c r="H5" s="3">
        <v>29090000</v>
      </c>
      <c r="I5" s="7" t="s">
        <v>85</v>
      </c>
      <c r="J5" s="3">
        <v>28690000</v>
      </c>
      <c r="K5" s="7" t="s">
        <v>83</v>
      </c>
      <c r="L5" s="3">
        <v>28790000</v>
      </c>
      <c r="M5" s="9" t="s">
        <v>86</v>
      </c>
      <c r="N5" s="4">
        <v>28990000</v>
      </c>
    </row>
    <row r="6" spans="1:14" ht="28" customHeight="1" x14ac:dyDescent="0.2">
      <c r="A6" s="9" t="s">
        <v>87</v>
      </c>
      <c r="B6" s="1">
        <v>16790000</v>
      </c>
      <c r="C6" s="19" t="s">
        <v>88</v>
      </c>
      <c r="D6" s="11">
        <v>27190000</v>
      </c>
      <c r="E6" s="7" t="s">
        <v>89</v>
      </c>
      <c r="F6" s="4" t="s">
        <v>22</v>
      </c>
      <c r="G6" s="7" t="s">
        <v>90</v>
      </c>
      <c r="H6" s="4">
        <v>16990000</v>
      </c>
      <c r="I6" s="7" t="s">
        <v>89</v>
      </c>
      <c r="J6" s="4" t="s">
        <v>91</v>
      </c>
      <c r="K6" s="7" t="s">
        <v>89</v>
      </c>
      <c r="L6" s="4">
        <v>26550000</v>
      </c>
      <c r="M6" s="9" t="s">
        <v>87</v>
      </c>
      <c r="N6" s="4">
        <v>16840000</v>
      </c>
    </row>
    <row r="7" spans="1:14" x14ac:dyDescent="0.2">
      <c r="A7" s="9" t="s">
        <v>89</v>
      </c>
      <c r="B7" s="2">
        <v>27390000</v>
      </c>
      <c r="C7" s="19" t="s">
        <v>92</v>
      </c>
      <c r="D7" s="10">
        <v>19691000</v>
      </c>
      <c r="E7" s="7" t="s">
        <v>93</v>
      </c>
      <c r="F7" s="4" t="s">
        <v>22</v>
      </c>
      <c r="G7" s="7" t="s">
        <v>92</v>
      </c>
      <c r="H7" s="4">
        <v>19390000</v>
      </c>
      <c r="I7" s="7" t="s">
        <v>94</v>
      </c>
      <c r="J7" s="4">
        <v>19690000</v>
      </c>
      <c r="K7" s="7" t="s">
        <v>93</v>
      </c>
      <c r="L7" s="4">
        <v>23890000</v>
      </c>
      <c r="M7" s="9" t="s">
        <v>94</v>
      </c>
      <c r="N7" s="4">
        <v>19990000</v>
      </c>
    </row>
    <row r="8" spans="1:14" x14ac:dyDescent="0.2">
      <c r="A8" s="9" t="s">
        <v>28</v>
      </c>
      <c r="B8" s="1">
        <v>13990000</v>
      </c>
      <c r="C8" s="19" t="s">
        <v>95</v>
      </c>
      <c r="D8" s="10">
        <v>16622000</v>
      </c>
      <c r="E8" s="7" t="s">
        <v>94</v>
      </c>
      <c r="F8" s="3">
        <v>19690000</v>
      </c>
      <c r="G8" s="7" t="s">
        <v>96</v>
      </c>
      <c r="H8" s="3" t="s">
        <v>22</v>
      </c>
      <c r="I8" s="7" t="s">
        <v>27</v>
      </c>
      <c r="J8" s="4">
        <v>16990000</v>
      </c>
      <c r="K8" s="7" t="s">
        <v>94</v>
      </c>
      <c r="L8" s="4">
        <v>19690000</v>
      </c>
      <c r="M8" s="9" t="s">
        <v>97</v>
      </c>
      <c r="N8" s="4" t="s">
        <v>91</v>
      </c>
    </row>
    <row r="9" spans="1:14" ht="28" customHeight="1" x14ac:dyDescent="0.2">
      <c r="A9" s="9" t="s">
        <v>98</v>
      </c>
      <c r="B9" s="1">
        <v>11990000</v>
      </c>
      <c r="C9" s="19" t="s">
        <v>28</v>
      </c>
      <c r="D9" s="10">
        <v>13652000</v>
      </c>
      <c r="E9" s="7" t="s">
        <v>99</v>
      </c>
      <c r="F9" s="3">
        <v>16690000</v>
      </c>
      <c r="G9" s="7" t="s">
        <v>88</v>
      </c>
      <c r="H9" s="3">
        <v>25590000</v>
      </c>
      <c r="I9" s="7" t="s">
        <v>28</v>
      </c>
      <c r="J9" s="4">
        <v>13390000</v>
      </c>
      <c r="K9" s="7" t="s">
        <v>100</v>
      </c>
      <c r="L9" s="4">
        <v>16990000</v>
      </c>
      <c r="M9" s="9" t="s">
        <v>101</v>
      </c>
      <c r="N9" s="3">
        <v>13190000</v>
      </c>
    </row>
    <row r="10" spans="1:14" x14ac:dyDescent="0.2">
      <c r="A10" s="9" t="s">
        <v>102</v>
      </c>
      <c r="B10" s="2">
        <v>8990000</v>
      </c>
      <c r="C10" s="19" t="s">
        <v>98</v>
      </c>
      <c r="D10" s="10">
        <v>11870000</v>
      </c>
      <c r="E10" s="7" t="s">
        <v>28</v>
      </c>
      <c r="F10" s="3">
        <v>13690000</v>
      </c>
      <c r="G10" s="7" t="s">
        <v>28</v>
      </c>
      <c r="H10" s="3">
        <v>13590000</v>
      </c>
      <c r="I10" s="7" t="s">
        <v>98</v>
      </c>
      <c r="J10" s="4">
        <v>11990000</v>
      </c>
      <c r="K10" s="7" t="s">
        <v>28</v>
      </c>
      <c r="L10" s="4">
        <v>13390000</v>
      </c>
      <c r="M10" s="9" t="s">
        <v>103</v>
      </c>
      <c r="N10" s="4">
        <v>11990000</v>
      </c>
    </row>
    <row r="11" spans="1:14" x14ac:dyDescent="0.2">
      <c r="A11" s="9" t="s">
        <v>104</v>
      </c>
      <c r="B11" s="2">
        <v>27990000</v>
      </c>
      <c r="C11" s="19" t="s">
        <v>102</v>
      </c>
      <c r="D11" s="11">
        <v>8900000</v>
      </c>
      <c r="E11" s="7" t="s">
        <v>98</v>
      </c>
      <c r="F11" s="3">
        <v>11890000</v>
      </c>
      <c r="G11" s="7" t="s">
        <v>103</v>
      </c>
      <c r="H11" s="3">
        <v>11790000</v>
      </c>
      <c r="I11" s="7" t="s">
        <v>102</v>
      </c>
      <c r="J11" s="4">
        <v>8790000</v>
      </c>
      <c r="K11" s="7" t="s">
        <v>98</v>
      </c>
      <c r="L11" s="4">
        <v>12290000</v>
      </c>
      <c r="M11" s="9" t="s">
        <v>102</v>
      </c>
      <c r="N11" s="4">
        <v>8790000</v>
      </c>
    </row>
    <row r="12" spans="1:14" ht="28" customHeight="1" x14ac:dyDescent="0.2">
      <c r="A12" s="9" t="s">
        <v>105</v>
      </c>
      <c r="B12" s="1">
        <v>32690000</v>
      </c>
      <c r="C12" s="19" t="s">
        <v>104</v>
      </c>
      <c r="D12" s="11">
        <v>27790000</v>
      </c>
      <c r="E12" s="7" t="s">
        <v>102</v>
      </c>
      <c r="F12" s="3">
        <v>8940000</v>
      </c>
      <c r="G12" s="7" t="s">
        <v>102</v>
      </c>
      <c r="H12" s="4">
        <v>8790000</v>
      </c>
      <c r="I12" s="7" t="s">
        <v>104</v>
      </c>
      <c r="J12" s="4">
        <v>26890000</v>
      </c>
      <c r="K12" s="7" t="s">
        <v>102</v>
      </c>
      <c r="L12" s="4">
        <v>8790000</v>
      </c>
      <c r="M12" s="9" t="s">
        <v>106</v>
      </c>
      <c r="N12" s="4">
        <v>19990000</v>
      </c>
    </row>
    <row r="13" spans="1:14" ht="28" customHeight="1" x14ac:dyDescent="0.2">
      <c r="A13" s="9" t="s">
        <v>107</v>
      </c>
      <c r="B13" s="1">
        <v>38690000</v>
      </c>
      <c r="C13" s="19" t="s">
        <v>105</v>
      </c>
      <c r="D13" s="10">
        <v>32490000</v>
      </c>
      <c r="E13" s="7" t="s">
        <v>104</v>
      </c>
      <c r="F13" s="5">
        <v>27890000</v>
      </c>
      <c r="G13" s="7" t="s">
        <v>104</v>
      </c>
      <c r="H13" s="4">
        <v>27990000</v>
      </c>
      <c r="I13" s="7" t="s">
        <v>105</v>
      </c>
      <c r="J13" s="4">
        <v>32990000</v>
      </c>
      <c r="K13" s="7" t="s">
        <v>104</v>
      </c>
      <c r="L13" s="3">
        <v>27350000</v>
      </c>
      <c r="M13" s="9" t="s">
        <v>108</v>
      </c>
      <c r="N13" s="4">
        <v>13990000</v>
      </c>
    </row>
    <row r="14" spans="1:14" ht="28" customHeight="1" x14ac:dyDescent="0.2">
      <c r="A14" s="9" t="s">
        <v>109</v>
      </c>
      <c r="B14" s="2">
        <v>79490000</v>
      </c>
      <c r="C14" s="19" t="s">
        <v>107</v>
      </c>
      <c r="D14" s="10">
        <v>38790000</v>
      </c>
      <c r="E14" s="7" t="s">
        <v>105</v>
      </c>
      <c r="F14" s="4" t="s">
        <v>22</v>
      </c>
      <c r="G14" s="7" t="s">
        <v>105</v>
      </c>
      <c r="H14" s="3">
        <v>32490000</v>
      </c>
      <c r="I14" s="7" t="s">
        <v>107</v>
      </c>
      <c r="J14" s="4">
        <v>37490000</v>
      </c>
      <c r="K14" s="7" t="s">
        <v>105</v>
      </c>
      <c r="L14" s="3">
        <v>32450000</v>
      </c>
      <c r="M14" s="9" t="s">
        <v>110</v>
      </c>
      <c r="N14" s="4" t="s">
        <v>111</v>
      </c>
    </row>
    <row r="15" spans="1:14" ht="28" customHeight="1" x14ac:dyDescent="0.2">
      <c r="A15" s="9" t="s">
        <v>112</v>
      </c>
      <c r="B15" s="1">
        <v>18690000</v>
      </c>
      <c r="C15" s="19" t="s">
        <v>109</v>
      </c>
      <c r="D15" s="11">
        <v>79290000</v>
      </c>
      <c r="E15" s="7" t="s">
        <v>107</v>
      </c>
      <c r="F15" s="4" t="s">
        <v>22</v>
      </c>
      <c r="G15" s="7" t="s">
        <v>107</v>
      </c>
      <c r="H15" s="3">
        <v>37690000</v>
      </c>
      <c r="I15" s="7" t="s">
        <v>109</v>
      </c>
      <c r="J15" s="4" t="s">
        <v>91</v>
      </c>
      <c r="K15" s="7" t="s">
        <v>107</v>
      </c>
      <c r="L15" s="4">
        <v>37490000</v>
      </c>
      <c r="M15" s="9" t="s">
        <v>113</v>
      </c>
      <c r="N15" s="3">
        <v>9890000</v>
      </c>
    </row>
    <row r="16" spans="1:14" ht="28" customHeight="1" x14ac:dyDescent="0.2">
      <c r="A16" s="9" t="s">
        <v>114</v>
      </c>
      <c r="B16" s="2">
        <v>24990000</v>
      </c>
      <c r="C16" s="19" t="s">
        <v>112</v>
      </c>
      <c r="D16" s="11">
        <v>18305000</v>
      </c>
      <c r="E16" s="7" t="s">
        <v>109</v>
      </c>
      <c r="F16" s="5">
        <v>79190000</v>
      </c>
      <c r="G16" s="7" t="s">
        <v>109</v>
      </c>
      <c r="H16" s="4">
        <v>77990000</v>
      </c>
      <c r="I16" s="7" t="s">
        <v>112</v>
      </c>
      <c r="J16" s="4">
        <v>18290000</v>
      </c>
      <c r="K16" s="7" t="s">
        <v>109</v>
      </c>
      <c r="L16" s="3">
        <v>76990000</v>
      </c>
      <c r="M16" s="9" t="s">
        <v>115</v>
      </c>
      <c r="N16" s="4">
        <v>7090000</v>
      </c>
    </row>
    <row r="17" spans="1:14" x14ac:dyDescent="0.2">
      <c r="A17" s="9" t="s">
        <v>106</v>
      </c>
      <c r="B17" s="2">
        <v>20990000</v>
      </c>
      <c r="C17" s="19" t="s">
        <v>114</v>
      </c>
      <c r="D17" s="11">
        <v>24790000</v>
      </c>
      <c r="E17" s="7" t="s">
        <v>112</v>
      </c>
      <c r="F17" s="3">
        <v>18390000</v>
      </c>
      <c r="G17" s="7" t="s">
        <v>112</v>
      </c>
      <c r="H17" s="3">
        <v>18490000</v>
      </c>
      <c r="I17" s="7" t="s">
        <v>114</v>
      </c>
      <c r="J17" s="4">
        <v>24590000</v>
      </c>
      <c r="K17" s="7" t="s">
        <v>112</v>
      </c>
      <c r="L17" s="4">
        <v>18240000</v>
      </c>
      <c r="M17" s="9" t="s">
        <v>116</v>
      </c>
      <c r="N17" s="4">
        <v>6990000</v>
      </c>
    </row>
    <row r="18" spans="1:14" ht="28" customHeight="1" x14ac:dyDescent="0.2">
      <c r="A18" s="9" t="s">
        <v>108</v>
      </c>
      <c r="B18" s="1">
        <v>14390000</v>
      </c>
      <c r="C18" s="19" t="s">
        <v>106</v>
      </c>
      <c r="D18" s="11">
        <v>20790000</v>
      </c>
      <c r="E18" s="7" t="s">
        <v>114</v>
      </c>
      <c r="F18" s="3">
        <v>24890000</v>
      </c>
      <c r="G18" s="7" t="s">
        <v>114</v>
      </c>
      <c r="H18" s="4">
        <v>24790000</v>
      </c>
      <c r="I18" s="7" t="s">
        <v>117</v>
      </c>
      <c r="J18" s="4">
        <v>29790000</v>
      </c>
      <c r="K18" s="7" t="s">
        <v>114</v>
      </c>
      <c r="L18" s="3">
        <v>24590000</v>
      </c>
      <c r="M18" s="9" t="s">
        <v>118</v>
      </c>
      <c r="N18" s="3">
        <v>8690000</v>
      </c>
    </row>
    <row r="19" spans="1:14" ht="28" customHeight="1" x14ac:dyDescent="0.2">
      <c r="A19" s="9" t="s">
        <v>110</v>
      </c>
      <c r="B19" s="1">
        <v>12390000</v>
      </c>
      <c r="C19" s="19" t="s">
        <v>108</v>
      </c>
      <c r="D19" s="10">
        <v>14246000</v>
      </c>
      <c r="E19" s="7" t="s">
        <v>117</v>
      </c>
      <c r="F19" s="4" t="s">
        <v>22</v>
      </c>
      <c r="G19" s="7" t="s">
        <v>119</v>
      </c>
      <c r="H19" s="4" t="s">
        <v>22</v>
      </c>
      <c r="I19" s="7" t="s">
        <v>106</v>
      </c>
      <c r="J19" s="4">
        <v>19990000</v>
      </c>
      <c r="K19" s="7" t="s">
        <v>117</v>
      </c>
      <c r="L19" s="4">
        <v>29290000</v>
      </c>
      <c r="M19" s="9" t="s">
        <v>120</v>
      </c>
      <c r="N19" s="4">
        <v>9990000</v>
      </c>
    </row>
    <row r="20" spans="1:14" ht="28" customHeight="1" x14ac:dyDescent="0.2">
      <c r="A20" s="9" t="s">
        <v>113</v>
      </c>
      <c r="B20" s="1">
        <v>10290000</v>
      </c>
      <c r="C20" s="19" t="s">
        <v>110</v>
      </c>
      <c r="D20" s="11">
        <v>12266000</v>
      </c>
      <c r="E20" s="7" t="s">
        <v>106</v>
      </c>
      <c r="F20" s="3">
        <v>20390000</v>
      </c>
      <c r="G20" s="7" t="s">
        <v>106</v>
      </c>
      <c r="H20" s="3">
        <v>20790000</v>
      </c>
      <c r="I20" s="7" t="s">
        <v>108</v>
      </c>
      <c r="J20" s="4">
        <v>14390000</v>
      </c>
      <c r="K20" s="7" t="s">
        <v>108</v>
      </c>
      <c r="L20" s="4">
        <v>14390000</v>
      </c>
      <c r="M20" s="9" t="s">
        <v>121</v>
      </c>
      <c r="N20" s="4">
        <v>4990000</v>
      </c>
    </row>
    <row r="21" spans="1:14" ht="28" customHeight="1" x14ac:dyDescent="0.2">
      <c r="A21" s="9" t="s">
        <v>115</v>
      </c>
      <c r="B21" s="1">
        <v>7090000</v>
      </c>
      <c r="C21" s="19" t="s">
        <v>122</v>
      </c>
      <c r="D21" s="10">
        <v>10187000</v>
      </c>
      <c r="E21" s="7" t="s">
        <v>108</v>
      </c>
      <c r="F21" s="3">
        <v>14390000</v>
      </c>
      <c r="G21" s="7" t="s">
        <v>108</v>
      </c>
      <c r="H21" s="3">
        <v>14390000</v>
      </c>
      <c r="I21" s="7" t="s">
        <v>110</v>
      </c>
      <c r="J21" s="4">
        <v>11190000</v>
      </c>
      <c r="K21" s="7" t="s">
        <v>110</v>
      </c>
      <c r="L21" s="4">
        <v>10940000</v>
      </c>
      <c r="M21" s="9" t="s">
        <v>123</v>
      </c>
      <c r="N21" s="4">
        <v>5690000</v>
      </c>
    </row>
    <row r="22" spans="1:14" ht="28" customHeight="1" x14ac:dyDescent="0.2">
      <c r="A22" s="9" t="s">
        <v>124</v>
      </c>
      <c r="B22" s="2">
        <v>12890000</v>
      </c>
      <c r="C22" s="19" t="s">
        <v>115</v>
      </c>
      <c r="D22" s="10">
        <v>7019000</v>
      </c>
      <c r="E22" s="7" t="s">
        <v>110</v>
      </c>
      <c r="F22" s="3">
        <v>11890000</v>
      </c>
      <c r="G22" s="7" t="s">
        <v>110</v>
      </c>
      <c r="H22" s="4">
        <v>11990000</v>
      </c>
      <c r="I22" s="7" t="s">
        <v>122</v>
      </c>
      <c r="J22" s="4">
        <v>9990000</v>
      </c>
      <c r="K22" s="7" t="s">
        <v>122</v>
      </c>
      <c r="L22" s="3">
        <v>9890000</v>
      </c>
      <c r="M22" s="9" t="s">
        <v>125</v>
      </c>
      <c r="N22" s="4">
        <v>14790000</v>
      </c>
    </row>
    <row r="23" spans="1:14" ht="28" customHeight="1" x14ac:dyDescent="0.2">
      <c r="A23" s="9" t="s">
        <v>118</v>
      </c>
      <c r="B23" s="2">
        <v>10190000</v>
      </c>
      <c r="C23" s="19" t="s">
        <v>124</v>
      </c>
      <c r="D23" s="10">
        <v>12167000</v>
      </c>
      <c r="E23" s="7" t="s">
        <v>122</v>
      </c>
      <c r="F23" s="3">
        <v>9940000</v>
      </c>
      <c r="G23" s="7" t="s">
        <v>126</v>
      </c>
      <c r="H23" s="3">
        <v>6990000</v>
      </c>
      <c r="I23" s="7" t="s">
        <v>115</v>
      </c>
      <c r="J23" s="4">
        <v>6990000</v>
      </c>
      <c r="K23" s="7" t="s">
        <v>115</v>
      </c>
      <c r="L23" s="4">
        <v>6990000</v>
      </c>
      <c r="M23" s="9" t="s">
        <v>127</v>
      </c>
      <c r="N23" s="4">
        <v>19690000</v>
      </c>
    </row>
    <row r="24" spans="1:14" x14ac:dyDescent="0.2">
      <c r="A24" s="9" t="s">
        <v>128</v>
      </c>
      <c r="B24" s="1">
        <v>6190000</v>
      </c>
      <c r="C24" s="19" t="s">
        <v>118</v>
      </c>
      <c r="D24" s="10">
        <v>9494000</v>
      </c>
      <c r="E24" s="7" t="s">
        <v>115</v>
      </c>
      <c r="F24" s="3">
        <v>7140000</v>
      </c>
      <c r="G24" s="7" t="s">
        <v>129</v>
      </c>
      <c r="H24" s="3">
        <v>9890000</v>
      </c>
      <c r="I24" s="7" t="s">
        <v>124</v>
      </c>
      <c r="J24" s="4">
        <v>11890000</v>
      </c>
      <c r="K24" s="7" t="s">
        <v>130</v>
      </c>
      <c r="L24" s="4">
        <v>11740000</v>
      </c>
      <c r="M24" s="9" t="s">
        <v>131</v>
      </c>
      <c r="N24" s="4">
        <v>5390000</v>
      </c>
    </row>
    <row r="25" spans="1:14" x14ac:dyDescent="0.2">
      <c r="A25" s="9" t="s">
        <v>132</v>
      </c>
      <c r="B25" s="2" t="s">
        <v>22</v>
      </c>
      <c r="C25" s="19" t="s">
        <v>128</v>
      </c>
      <c r="D25" s="10">
        <v>5930000</v>
      </c>
      <c r="E25" s="7" t="s">
        <v>124</v>
      </c>
      <c r="F25" s="3">
        <v>12290000</v>
      </c>
      <c r="G25" s="7" t="s">
        <v>124</v>
      </c>
      <c r="H25" s="3">
        <v>12290000</v>
      </c>
      <c r="I25" s="7" t="s">
        <v>118</v>
      </c>
      <c r="J25" s="4">
        <v>8690000</v>
      </c>
      <c r="K25" s="7" t="s">
        <v>118</v>
      </c>
      <c r="L25" s="4">
        <v>8940000</v>
      </c>
      <c r="M25" s="9" t="s">
        <v>133</v>
      </c>
      <c r="N25" s="4">
        <v>3790000</v>
      </c>
    </row>
    <row r="26" spans="1:14" x14ac:dyDescent="0.2">
      <c r="A26" s="9" t="s">
        <v>116</v>
      </c>
      <c r="B26" s="2" t="s">
        <v>91</v>
      </c>
      <c r="C26" s="19" t="s">
        <v>134</v>
      </c>
      <c r="D26" s="11">
        <v>20790000</v>
      </c>
      <c r="E26" s="7" t="s">
        <v>118</v>
      </c>
      <c r="F26" s="3">
        <v>9440000</v>
      </c>
      <c r="G26" s="7" t="s">
        <v>135</v>
      </c>
      <c r="H26" s="4">
        <v>5790000</v>
      </c>
      <c r="I26" s="7" t="s">
        <v>128</v>
      </c>
      <c r="J26" s="4" t="s">
        <v>91</v>
      </c>
      <c r="K26" s="7" t="s">
        <v>128</v>
      </c>
      <c r="L26" s="4">
        <v>5790000</v>
      </c>
      <c r="M26" s="9" t="s">
        <v>136</v>
      </c>
      <c r="N26" s="4" t="s">
        <v>137</v>
      </c>
    </row>
    <row r="27" spans="1:14" x14ac:dyDescent="0.2">
      <c r="A27" s="9" t="s">
        <v>138</v>
      </c>
      <c r="B27" s="2">
        <v>21990000</v>
      </c>
      <c r="C27" s="19" t="s">
        <v>116</v>
      </c>
      <c r="D27" s="10" t="s">
        <v>22</v>
      </c>
      <c r="E27" s="7" t="s">
        <v>134</v>
      </c>
      <c r="F27" s="3">
        <v>20890000</v>
      </c>
      <c r="G27" s="13" t="s">
        <v>118</v>
      </c>
      <c r="H27" s="14">
        <v>8990000</v>
      </c>
      <c r="I27" s="15" t="s">
        <v>134</v>
      </c>
      <c r="J27" s="16">
        <v>20890000</v>
      </c>
      <c r="K27" s="13" t="s">
        <v>134</v>
      </c>
      <c r="L27" s="16">
        <v>20890000</v>
      </c>
    </row>
    <row r="28" spans="1:14" x14ac:dyDescent="0.2">
      <c r="A28" s="9" t="s">
        <v>139</v>
      </c>
      <c r="B28" s="2" t="s">
        <v>22</v>
      </c>
      <c r="C28" s="19" t="s">
        <v>140</v>
      </c>
      <c r="D28" s="11" t="s">
        <v>22</v>
      </c>
      <c r="E28" s="7" t="s">
        <v>141</v>
      </c>
      <c r="F28" s="4" t="s">
        <v>22</v>
      </c>
      <c r="G28" s="7" t="s">
        <v>134</v>
      </c>
      <c r="H28" s="4">
        <v>20990000</v>
      </c>
      <c r="I28" s="12" t="s">
        <v>142</v>
      </c>
      <c r="J28" s="4">
        <v>5290000</v>
      </c>
      <c r="K28" s="7" t="s">
        <v>142</v>
      </c>
      <c r="L28" s="4">
        <v>5890000</v>
      </c>
    </row>
    <row r="29" spans="1:14" x14ac:dyDescent="0.2">
      <c r="A29" s="9" t="s">
        <v>143</v>
      </c>
      <c r="B29" s="2" t="s">
        <v>22</v>
      </c>
      <c r="C29" s="19" t="s">
        <v>143</v>
      </c>
      <c r="D29" s="11" t="s">
        <v>22</v>
      </c>
      <c r="E29" s="7" t="s">
        <v>142</v>
      </c>
      <c r="F29" s="3">
        <v>5940000</v>
      </c>
      <c r="G29" s="7" t="s">
        <v>142</v>
      </c>
      <c r="H29" s="4" t="s">
        <v>22</v>
      </c>
      <c r="I29" s="12" t="s">
        <v>116</v>
      </c>
      <c r="J29" s="4">
        <v>7490000</v>
      </c>
      <c r="K29" s="7" t="s">
        <v>116</v>
      </c>
      <c r="L29" s="4" t="s">
        <v>91</v>
      </c>
    </row>
    <row r="30" spans="1:14" x14ac:dyDescent="0.2">
      <c r="A30" s="9" t="s">
        <v>144</v>
      </c>
      <c r="B30" s="2">
        <v>6190000</v>
      </c>
      <c r="C30" s="19" t="s">
        <v>144</v>
      </c>
      <c r="D30" s="10">
        <v>5590000</v>
      </c>
      <c r="E30" s="7" t="s">
        <v>116</v>
      </c>
      <c r="F30" s="4" t="s">
        <v>22</v>
      </c>
      <c r="G30" s="7" t="s">
        <v>116</v>
      </c>
      <c r="H30" s="4" t="s">
        <v>22</v>
      </c>
      <c r="I30" s="12" t="s">
        <v>140</v>
      </c>
      <c r="J30" s="3">
        <v>14990000</v>
      </c>
      <c r="K30" s="7" t="s">
        <v>140</v>
      </c>
      <c r="L30" s="4" t="s">
        <v>91</v>
      </c>
    </row>
    <row r="31" spans="1:14" x14ac:dyDescent="0.2">
      <c r="A31" s="9" t="s">
        <v>145</v>
      </c>
      <c r="B31" s="2">
        <v>4390000</v>
      </c>
      <c r="C31" s="19" t="s">
        <v>145</v>
      </c>
      <c r="D31" s="10">
        <v>3890000</v>
      </c>
      <c r="E31" s="7" t="s">
        <v>140</v>
      </c>
      <c r="F31" s="3">
        <v>17390000</v>
      </c>
      <c r="G31" s="7" t="s">
        <v>140</v>
      </c>
      <c r="H31" s="4">
        <v>15990000</v>
      </c>
      <c r="I31" s="12" t="s">
        <v>143</v>
      </c>
      <c r="J31" s="4" t="s">
        <v>91</v>
      </c>
      <c r="K31" s="7" t="s">
        <v>143</v>
      </c>
      <c r="L31" s="4">
        <v>4850000</v>
      </c>
    </row>
    <row r="32" spans="1:14" ht="28" customHeight="1" x14ac:dyDescent="0.2">
      <c r="A32" s="9" t="s">
        <v>146</v>
      </c>
      <c r="B32" s="2">
        <v>2790000</v>
      </c>
      <c r="C32" s="19" t="s">
        <v>146</v>
      </c>
      <c r="D32" s="11">
        <v>2650000</v>
      </c>
      <c r="E32" s="7" t="s">
        <v>143</v>
      </c>
      <c r="F32" s="4" t="s">
        <v>22</v>
      </c>
      <c r="G32" s="7" t="s">
        <v>143</v>
      </c>
      <c r="H32" s="4">
        <v>4450000</v>
      </c>
      <c r="I32" s="12" t="s">
        <v>144</v>
      </c>
      <c r="J32" s="4">
        <v>5450000</v>
      </c>
      <c r="K32" s="7" t="s">
        <v>144</v>
      </c>
      <c r="L32" s="4">
        <v>4990000</v>
      </c>
    </row>
    <row r="33" spans="5:12" x14ac:dyDescent="0.2">
      <c r="E33" s="9" t="s">
        <v>144</v>
      </c>
      <c r="F33" s="3">
        <v>5500000</v>
      </c>
      <c r="G33" s="7" t="s">
        <v>144</v>
      </c>
      <c r="H33" s="4">
        <v>5390000</v>
      </c>
      <c r="I33" s="12" t="s">
        <v>145</v>
      </c>
      <c r="J33" s="4">
        <v>3990000</v>
      </c>
      <c r="K33" s="7" t="s">
        <v>145</v>
      </c>
      <c r="L33" s="4">
        <v>3950000</v>
      </c>
    </row>
    <row r="34" spans="5:12" ht="28" customHeight="1" x14ac:dyDescent="0.2">
      <c r="E34" s="9" t="s">
        <v>145</v>
      </c>
      <c r="F34" s="3">
        <v>3890000</v>
      </c>
      <c r="G34" s="7" t="s">
        <v>145</v>
      </c>
      <c r="H34" s="3">
        <v>3890000</v>
      </c>
      <c r="I34" s="12" t="s">
        <v>146</v>
      </c>
      <c r="J34" s="4">
        <v>2690000</v>
      </c>
      <c r="K34" s="7" t="s">
        <v>146</v>
      </c>
      <c r="L34" s="4">
        <v>2750000</v>
      </c>
    </row>
    <row r="35" spans="5:12" ht="28" customHeight="1" x14ac:dyDescent="0.2">
      <c r="E35" s="9" t="s">
        <v>136</v>
      </c>
      <c r="F35" s="5">
        <v>2650000</v>
      </c>
      <c r="G35" s="7" t="s">
        <v>146</v>
      </c>
      <c r="H35" s="3">
        <v>2650000</v>
      </c>
      <c r="I35" s="8"/>
    </row>
  </sheetData>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J77"/>
  <sheetViews>
    <sheetView workbookViewId="0">
      <selection activeCell="E2" sqref="E2"/>
    </sheetView>
  </sheetViews>
  <sheetFormatPr baseColWidth="10" defaultColWidth="11" defaultRowHeight="16" x14ac:dyDescent="0.2"/>
  <cols>
    <col min="1" max="1" width="25.33203125" bestFit="1" customWidth="1"/>
    <col min="9" max="9" width="25.33203125" bestFit="1" customWidth="1"/>
  </cols>
  <sheetData>
    <row r="1" spans="1:10" x14ac:dyDescent="0.2">
      <c r="B1" s="22" t="s">
        <v>1</v>
      </c>
      <c r="C1" s="22" t="s">
        <v>0</v>
      </c>
      <c r="D1" s="22" t="s">
        <v>2</v>
      </c>
      <c r="E1" s="22" t="s">
        <v>4</v>
      </c>
      <c r="F1" s="22" t="s">
        <v>147</v>
      </c>
      <c r="G1" s="22" t="s">
        <v>65</v>
      </c>
      <c r="I1" t="s">
        <v>148</v>
      </c>
    </row>
    <row r="2" spans="1:10" x14ac:dyDescent="0.2">
      <c r="A2" t="s">
        <v>68</v>
      </c>
      <c r="B2" s="3">
        <v>19390000</v>
      </c>
      <c r="C2" s="20">
        <v>19390000</v>
      </c>
      <c r="D2" s="3">
        <v>19290000</v>
      </c>
      <c r="E2" s="4">
        <v>19290000</v>
      </c>
      <c r="F2" s="4">
        <v>18790000</v>
      </c>
      <c r="G2" s="4">
        <v>18850000</v>
      </c>
      <c r="I2" t="s">
        <v>69</v>
      </c>
      <c r="J2" s="4">
        <v>18990000</v>
      </c>
    </row>
    <row r="3" spans="1:10" x14ac:dyDescent="0.2">
      <c r="A3" t="s">
        <v>74</v>
      </c>
      <c r="B3" s="4">
        <v>22790000</v>
      </c>
      <c r="C3" s="20">
        <v>22790000</v>
      </c>
      <c r="D3" s="3">
        <v>22490000</v>
      </c>
      <c r="E3" s="4">
        <v>22290000</v>
      </c>
      <c r="F3" s="4">
        <v>21890000</v>
      </c>
      <c r="G3" s="4">
        <v>21890000</v>
      </c>
      <c r="I3" t="s">
        <v>75</v>
      </c>
      <c r="J3" s="4">
        <v>21990000</v>
      </c>
    </row>
    <row r="4" spans="1:10" x14ac:dyDescent="0.2">
      <c r="A4" t="s">
        <v>79</v>
      </c>
      <c r="B4" s="3">
        <v>24990000</v>
      </c>
      <c r="C4" s="20">
        <v>24990000</v>
      </c>
      <c r="D4" s="5">
        <v>24790000</v>
      </c>
      <c r="E4" s="4">
        <v>24590000</v>
      </c>
      <c r="F4" s="4">
        <v>23890000</v>
      </c>
      <c r="G4" s="4">
        <v>24590000</v>
      </c>
      <c r="I4" t="s">
        <v>80</v>
      </c>
      <c r="J4" s="4">
        <v>23990000</v>
      </c>
    </row>
    <row r="5" spans="1:10" x14ac:dyDescent="0.2">
      <c r="A5" t="s">
        <v>85</v>
      </c>
      <c r="B5" s="3">
        <v>29590000</v>
      </c>
      <c r="C5" s="20">
        <v>29590000</v>
      </c>
      <c r="D5" s="5">
        <v>29390000</v>
      </c>
      <c r="E5" s="4">
        <v>29090000</v>
      </c>
      <c r="F5" s="4">
        <v>28690000</v>
      </c>
      <c r="G5" s="4">
        <v>28790000</v>
      </c>
      <c r="I5" t="s">
        <v>86</v>
      </c>
      <c r="J5" s="4">
        <v>28990000</v>
      </c>
    </row>
    <row r="6" spans="1:10" x14ac:dyDescent="0.2">
      <c r="A6" t="s">
        <v>94</v>
      </c>
      <c r="B6" s="4">
        <v>19690000</v>
      </c>
      <c r="C6" s="20">
        <v>19690000</v>
      </c>
      <c r="D6" s="4">
        <v>19590000</v>
      </c>
      <c r="E6" s="4">
        <v>19390000</v>
      </c>
      <c r="F6" s="4">
        <v>19690000</v>
      </c>
      <c r="G6" s="4">
        <v>19690000</v>
      </c>
      <c r="I6" t="s">
        <v>87</v>
      </c>
      <c r="J6" s="3">
        <v>16690000</v>
      </c>
    </row>
    <row r="7" spans="1:10" x14ac:dyDescent="0.2">
      <c r="A7" t="s">
        <v>27</v>
      </c>
      <c r="B7" s="4">
        <v>16790000</v>
      </c>
      <c r="C7" s="20">
        <v>16790000</v>
      </c>
      <c r="D7" s="4">
        <v>16690000</v>
      </c>
      <c r="E7" s="4">
        <v>16990000</v>
      </c>
      <c r="F7" s="4">
        <v>16990000</v>
      </c>
      <c r="G7" s="4">
        <v>16990000</v>
      </c>
      <c r="I7" t="s">
        <v>94</v>
      </c>
      <c r="J7" s="4">
        <v>19990000</v>
      </c>
    </row>
    <row r="8" spans="1:10" x14ac:dyDescent="0.2">
      <c r="A8" t="s">
        <v>28</v>
      </c>
      <c r="B8" s="3">
        <v>13890000</v>
      </c>
      <c r="C8" s="20">
        <v>13890000</v>
      </c>
      <c r="D8" s="4">
        <v>13690000</v>
      </c>
      <c r="E8" s="4">
        <v>13590000</v>
      </c>
      <c r="F8" s="4">
        <v>13390000</v>
      </c>
      <c r="G8" s="4">
        <v>13390000</v>
      </c>
      <c r="I8" t="s">
        <v>97</v>
      </c>
      <c r="J8" s="4" t="s">
        <v>91</v>
      </c>
    </row>
    <row r="9" spans="1:10" x14ac:dyDescent="0.2">
      <c r="A9" t="s">
        <v>98</v>
      </c>
      <c r="B9" s="4">
        <v>11990000</v>
      </c>
      <c r="C9" s="20">
        <v>11870000</v>
      </c>
      <c r="D9" s="4">
        <v>11890000</v>
      </c>
      <c r="E9" s="4">
        <v>11790000</v>
      </c>
      <c r="F9" s="4">
        <v>11990000</v>
      </c>
      <c r="G9" s="4">
        <v>11990000</v>
      </c>
      <c r="I9" t="s">
        <v>101</v>
      </c>
      <c r="J9" s="4">
        <v>13190000</v>
      </c>
    </row>
    <row r="10" spans="1:10" x14ac:dyDescent="0.2">
      <c r="A10" t="s">
        <v>102</v>
      </c>
      <c r="B10" s="4">
        <v>8990000</v>
      </c>
      <c r="C10" s="20">
        <v>8990000</v>
      </c>
      <c r="D10" s="4">
        <v>8940000</v>
      </c>
      <c r="E10" s="4">
        <v>8790000</v>
      </c>
      <c r="F10" s="4">
        <v>8790000</v>
      </c>
      <c r="G10" s="4">
        <v>8790000</v>
      </c>
      <c r="I10" t="s">
        <v>103</v>
      </c>
      <c r="J10" s="4">
        <v>11990000</v>
      </c>
    </row>
    <row r="11" spans="1:10" x14ac:dyDescent="0.2">
      <c r="A11" t="s">
        <v>106</v>
      </c>
      <c r="B11" s="4">
        <v>20990000</v>
      </c>
      <c r="C11" s="20">
        <v>20990000</v>
      </c>
      <c r="D11" s="4">
        <v>20390000</v>
      </c>
      <c r="E11" s="4">
        <v>20790000</v>
      </c>
      <c r="F11" s="4">
        <v>19990000</v>
      </c>
      <c r="G11" s="4">
        <v>20790000</v>
      </c>
      <c r="I11" t="s">
        <v>102</v>
      </c>
      <c r="J11" s="3">
        <v>8590000</v>
      </c>
    </row>
    <row r="12" spans="1:10" x14ac:dyDescent="0.2">
      <c r="A12" t="s">
        <v>108</v>
      </c>
      <c r="B12" s="4">
        <v>14590000</v>
      </c>
      <c r="C12" s="20">
        <v>14590000</v>
      </c>
      <c r="D12" s="4">
        <v>14290000</v>
      </c>
      <c r="E12" s="4">
        <v>14390000</v>
      </c>
      <c r="F12" s="4">
        <v>14390000</v>
      </c>
      <c r="G12" s="4">
        <v>13790000</v>
      </c>
      <c r="I12" t="s">
        <v>106</v>
      </c>
      <c r="J12" s="3">
        <v>19790000</v>
      </c>
    </row>
    <row r="13" spans="1:10" x14ac:dyDescent="0.2">
      <c r="A13" t="s">
        <v>110</v>
      </c>
      <c r="B13" s="4">
        <v>12390000</v>
      </c>
      <c r="C13" s="20">
        <v>12390000</v>
      </c>
      <c r="D13" s="3">
        <v>11890000</v>
      </c>
      <c r="E13" s="4">
        <v>11990000</v>
      </c>
      <c r="F13" s="4">
        <v>11190000</v>
      </c>
      <c r="G13" s="4">
        <v>11190000</v>
      </c>
      <c r="I13" t="s">
        <v>108</v>
      </c>
      <c r="J13" s="3">
        <v>13790000</v>
      </c>
    </row>
    <row r="14" spans="1:10" x14ac:dyDescent="0.2">
      <c r="A14" t="s">
        <v>122</v>
      </c>
      <c r="B14" s="4">
        <v>10290000</v>
      </c>
      <c r="C14" s="20">
        <v>10290000</v>
      </c>
      <c r="D14" s="3">
        <v>9940000</v>
      </c>
      <c r="E14" s="4">
        <v>6990000</v>
      </c>
      <c r="F14" s="4">
        <v>9990000</v>
      </c>
      <c r="G14" s="4">
        <v>9890000</v>
      </c>
      <c r="I14" t="s">
        <v>110</v>
      </c>
      <c r="J14" s="4" t="s">
        <v>111</v>
      </c>
    </row>
    <row r="15" spans="1:10" x14ac:dyDescent="0.2">
      <c r="A15" t="s">
        <v>115</v>
      </c>
      <c r="B15" s="4">
        <v>7190000</v>
      </c>
      <c r="C15" s="20">
        <v>7190000</v>
      </c>
      <c r="D15" s="3">
        <v>7140000</v>
      </c>
      <c r="E15" s="4">
        <v>9890000</v>
      </c>
      <c r="F15" s="4">
        <v>6990000</v>
      </c>
      <c r="G15" s="4">
        <v>6990000</v>
      </c>
      <c r="I15" t="s">
        <v>113</v>
      </c>
      <c r="J15" s="4">
        <v>9890000</v>
      </c>
    </row>
    <row r="16" spans="1:10" x14ac:dyDescent="0.2">
      <c r="A16" t="s">
        <v>124</v>
      </c>
      <c r="B16" s="4">
        <v>12690000</v>
      </c>
      <c r="C16" s="20">
        <v>12290000</v>
      </c>
      <c r="D16" s="3">
        <v>12290000</v>
      </c>
      <c r="E16" s="4">
        <v>12290000</v>
      </c>
      <c r="F16" s="4">
        <v>11890000</v>
      </c>
      <c r="G16" s="4">
        <v>11740000</v>
      </c>
      <c r="I16" t="s">
        <v>115</v>
      </c>
      <c r="J16" s="4">
        <v>7090000</v>
      </c>
    </row>
    <row r="17" spans="1:10" x14ac:dyDescent="0.2">
      <c r="A17" t="s">
        <v>118</v>
      </c>
      <c r="B17" s="4">
        <v>9790000</v>
      </c>
      <c r="C17" s="20">
        <v>9790000</v>
      </c>
      <c r="D17" s="3">
        <v>9440000</v>
      </c>
      <c r="E17" s="4">
        <v>9190000</v>
      </c>
      <c r="F17" s="4">
        <v>8690000</v>
      </c>
      <c r="G17" s="4">
        <v>8940000</v>
      </c>
      <c r="I17" t="s">
        <v>116</v>
      </c>
      <c r="J17" s="4">
        <v>6990000</v>
      </c>
    </row>
    <row r="18" spans="1:10" x14ac:dyDescent="0.2">
      <c r="A18" t="s">
        <v>134</v>
      </c>
      <c r="B18" s="4">
        <v>21990000</v>
      </c>
      <c r="C18" s="20">
        <v>20990000</v>
      </c>
      <c r="D18" s="3">
        <v>20890000</v>
      </c>
      <c r="E18" s="4">
        <v>20990000</v>
      </c>
      <c r="F18" s="4">
        <v>20890000</v>
      </c>
      <c r="G18" s="4">
        <v>20890000</v>
      </c>
      <c r="I18" t="s">
        <v>118</v>
      </c>
      <c r="J18" s="4">
        <v>8690000</v>
      </c>
    </row>
    <row r="19" spans="1:10" x14ac:dyDescent="0.2">
      <c r="A19" t="s">
        <v>123</v>
      </c>
      <c r="B19" s="4">
        <v>5990000</v>
      </c>
      <c r="C19" s="20">
        <v>5990000</v>
      </c>
      <c r="D19" s="4">
        <v>5940000</v>
      </c>
      <c r="E19" s="4">
        <v>5790000</v>
      </c>
      <c r="F19" s="4">
        <v>5290000</v>
      </c>
      <c r="G19" s="4">
        <v>5290000</v>
      </c>
      <c r="I19" t="s">
        <v>120</v>
      </c>
      <c r="J19" s="4">
        <v>9990000</v>
      </c>
    </row>
    <row r="20" spans="1:10" x14ac:dyDescent="0.2">
      <c r="A20" t="s">
        <v>140</v>
      </c>
      <c r="B20" s="4" t="s">
        <v>22</v>
      </c>
      <c r="C20" s="21" t="s">
        <v>22</v>
      </c>
      <c r="D20" s="3">
        <v>17390000</v>
      </c>
      <c r="E20" s="4">
        <v>15990000</v>
      </c>
      <c r="F20" s="4">
        <v>14990000</v>
      </c>
      <c r="G20" s="4">
        <v>20890000</v>
      </c>
      <c r="I20" t="s">
        <v>121</v>
      </c>
      <c r="J20" s="4">
        <v>4990000</v>
      </c>
    </row>
    <row r="21" spans="1:10" x14ac:dyDescent="0.2">
      <c r="A21" t="s">
        <v>144</v>
      </c>
      <c r="B21" s="20">
        <v>5790000</v>
      </c>
      <c r="C21" s="20">
        <v>5790000</v>
      </c>
      <c r="D21" s="4">
        <v>5640000</v>
      </c>
      <c r="E21" s="4">
        <v>5590000</v>
      </c>
      <c r="F21" s="4">
        <v>5450000</v>
      </c>
      <c r="G21" s="4">
        <v>4990000</v>
      </c>
      <c r="I21" t="s">
        <v>123</v>
      </c>
      <c r="J21" s="4">
        <v>5490000</v>
      </c>
    </row>
    <row r="22" spans="1:10" x14ac:dyDescent="0.2">
      <c r="A22" t="s">
        <v>145</v>
      </c>
      <c r="B22" s="20">
        <v>4090000</v>
      </c>
      <c r="C22" s="20">
        <v>4090000</v>
      </c>
      <c r="D22" s="4">
        <v>3890000</v>
      </c>
      <c r="E22" s="4">
        <v>3890000</v>
      </c>
      <c r="F22" s="4">
        <v>3990000</v>
      </c>
      <c r="G22" s="4">
        <v>3950000</v>
      </c>
      <c r="I22" t="s">
        <v>125</v>
      </c>
      <c r="J22" s="4">
        <v>14790000</v>
      </c>
    </row>
    <row r="23" spans="1:10" x14ac:dyDescent="0.2">
      <c r="A23" t="s">
        <v>146</v>
      </c>
      <c r="B23" s="20">
        <v>2790000</v>
      </c>
      <c r="C23" s="20">
        <v>2790000</v>
      </c>
      <c r="D23" s="4">
        <v>2650000</v>
      </c>
      <c r="E23" s="4">
        <v>2650000</v>
      </c>
      <c r="F23" s="4">
        <v>2690000</v>
      </c>
      <c r="G23" s="4">
        <v>2750000</v>
      </c>
      <c r="I23" t="s">
        <v>127</v>
      </c>
      <c r="J23" s="4">
        <v>19690000</v>
      </c>
    </row>
    <row r="24" spans="1:10" x14ac:dyDescent="0.2">
      <c r="A24" t="s">
        <v>104</v>
      </c>
      <c r="B24" s="21">
        <v>27790000</v>
      </c>
      <c r="C24" s="21">
        <v>27790000</v>
      </c>
      <c r="D24" s="5">
        <v>27890000</v>
      </c>
      <c r="E24" s="4">
        <v>27990000</v>
      </c>
      <c r="F24" s="4">
        <v>26890000</v>
      </c>
      <c r="G24" s="4">
        <v>26840000</v>
      </c>
      <c r="I24" t="s">
        <v>131</v>
      </c>
      <c r="J24" s="4">
        <v>5390000</v>
      </c>
    </row>
    <row r="25" spans="1:10" x14ac:dyDescent="0.2">
      <c r="A25" t="s">
        <v>105</v>
      </c>
      <c r="B25" s="20">
        <v>32190000</v>
      </c>
      <c r="C25" s="20">
        <v>32190000</v>
      </c>
      <c r="D25" s="4">
        <v>32690000</v>
      </c>
      <c r="E25" s="4">
        <v>31990000</v>
      </c>
      <c r="F25" s="3">
        <v>31990000</v>
      </c>
      <c r="G25" s="4">
        <v>31490000</v>
      </c>
      <c r="I25" t="s">
        <v>133</v>
      </c>
      <c r="J25" s="3">
        <v>3990000</v>
      </c>
    </row>
    <row r="26" spans="1:10" x14ac:dyDescent="0.2">
      <c r="A26" t="s">
        <v>149</v>
      </c>
      <c r="B26" s="20">
        <v>38690000</v>
      </c>
      <c r="C26" s="20">
        <v>38690000</v>
      </c>
      <c r="D26" s="4" t="s">
        <v>22</v>
      </c>
      <c r="E26" s="4">
        <v>37690000</v>
      </c>
      <c r="F26" s="3">
        <v>36990000</v>
      </c>
      <c r="G26" s="4">
        <v>37490000</v>
      </c>
      <c r="I26" t="s">
        <v>136</v>
      </c>
      <c r="J26" s="4" t="s">
        <v>137</v>
      </c>
    </row>
    <row r="27" spans="1:10" x14ac:dyDescent="0.2">
      <c r="A27" t="s">
        <v>150</v>
      </c>
      <c r="B27" s="20">
        <v>18590000</v>
      </c>
      <c r="C27" s="20">
        <v>18590000</v>
      </c>
      <c r="D27" s="3">
        <v>18390000</v>
      </c>
      <c r="E27" s="4">
        <v>18490000</v>
      </c>
      <c r="F27" s="4">
        <v>18290000</v>
      </c>
      <c r="G27" s="4">
        <v>18240000</v>
      </c>
    </row>
    <row r="28" spans="1:10" x14ac:dyDescent="0.2">
      <c r="A28" t="s">
        <v>151</v>
      </c>
      <c r="B28" s="20">
        <v>24990000</v>
      </c>
      <c r="C28" s="20">
        <v>24990000</v>
      </c>
      <c r="D28" s="4" t="s">
        <v>22</v>
      </c>
      <c r="E28" s="4">
        <v>24790000</v>
      </c>
      <c r="F28" s="4">
        <v>24590000</v>
      </c>
      <c r="G28" s="4">
        <v>24590000</v>
      </c>
    </row>
    <row r="29" spans="1:10" x14ac:dyDescent="0.2">
      <c r="A29" t="s">
        <v>152</v>
      </c>
      <c r="B29" s="21" t="s">
        <v>22</v>
      </c>
      <c r="C29" s="21" t="s">
        <v>22</v>
      </c>
      <c r="D29" s="4" t="s">
        <v>22</v>
      </c>
      <c r="E29" s="4" t="s">
        <v>22</v>
      </c>
      <c r="F29" s="4" t="s">
        <v>91</v>
      </c>
      <c r="G29" s="4">
        <v>29290000</v>
      </c>
    </row>
    <row r="32" spans="1:10" ht="16" customHeight="1" x14ac:dyDescent="0.2">
      <c r="A32" s="168" t="s">
        <v>153</v>
      </c>
      <c r="B32" s="169"/>
      <c r="C32" s="169"/>
      <c r="D32" s="169"/>
      <c r="E32" s="169"/>
      <c r="F32" s="169"/>
      <c r="G32" s="169"/>
      <c r="H32" s="169"/>
    </row>
    <row r="33" spans="1:8" ht="16" customHeight="1" x14ac:dyDescent="0.2">
      <c r="A33" s="169"/>
      <c r="B33" s="169"/>
      <c r="C33" s="169"/>
      <c r="D33" s="169"/>
      <c r="E33" s="169"/>
      <c r="F33" s="169"/>
      <c r="G33" s="169"/>
      <c r="H33" s="169"/>
    </row>
    <row r="34" spans="1:8" ht="16" customHeight="1" x14ac:dyDescent="0.2">
      <c r="A34" s="169"/>
      <c r="B34" s="169"/>
      <c r="C34" s="169"/>
      <c r="D34" s="169"/>
      <c r="E34" s="169"/>
      <c r="F34" s="169"/>
      <c r="G34" s="169"/>
      <c r="H34" s="169"/>
    </row>
    <row r="35" spans="1:8" ht="16" customHeight="1" x14ac:dyDescent="0.2">
      <c r="A35" s="169"/>
      <c r="B35" s="169"/>
      <c r="C35" s="169"/>
      <c r="D35" s="169"/>
      <c r="E35" s="169"/>
      <c r="F35" s="169"/>
      <c r="G35" s="169"/>
      <c r="H35" s="169"/>
    </row>
    <row r="36" spans="1:8" ht="16" customHeight="1" x14ac:dyDescent="0.2">
      <c r="A36" s="169"/>
      <c r="B36" s="169"/>
      <c r="C36" s="169"/>
      <c r="D36" s="169"/>
      <c r="E36" s="169"/>
      <c r="F36" s="169"/>
      <c r="G36" s="169"/>
      <c r="H36" s="169"/>
    </row>
    <row r="37" spans="1:8" ht="16" customHeight="1" x14ac:dyDescent="0.2">
      <c r="A37" s="169"/>
      <c r="B37" s="169"/>
      <c r="C37" s="169"/>
      <c r="D37" s="169"/>
      <c r="E37" s="169"/>
      <c r="F37" s="169"/>
      <c r="G37" s="169"/>
      <c r="H37" s="169"/>
    </row>
    <row r="38" spans="1:8" ht="16" customHeight="1" x14ac:dyDescent="0.2">
      <c r="A38" s="169"/>
      <c r="B38" s="169"/>
      <c r="C38" s="169"/>
      <c r="D38" s="169"/>
      <c r="E38" s="169"/>
      <c r="F38" s="169"/>
      <c r="G38" s="169"/>
      <c r="H38" s="169"/>
    </row>
    <row r="39" spans="1:8" ht="16" customHeight="1" x14ac:dyDescent="0.2">
      <c r="A39" s="169"/>
      <c r="B39" s="169"/>
      <c r="C39" s="169"/>
      <c r="D39" s="169"/>
      <c r="E39" s="169"/>
      <c r="F39" s="169"/>
      <c r="G39" s="169"/>
      <c r="H39" s="169"/>
    </row>
    <row r="40" spans="1:8" ht="16" customHeight="1" x14ac:dyDescent="0.2">
      <c r="A40" s="169"/>
      <c r="B40" s="169"/>
      <c r="C40" s="169"/>
      <c r="D40" s="169"/>
      <c r="E40" s="169"/>
      <c r="F40" s="169"/>
      <c r="G40" s="169"/>
      <c r="H40" s="169"/>
    </row>
    <row r="41" spans="1:8" ht="16" customHeight="1" x14ac:dyDescent="0.2">
      <c r="A41" s="169"/>
      <c r="B41" s="169"/>
      <c r="C41" s="169"/>
      <c r="D41" s="169"/>
      <c r="E41" s="169"/>
      <c r="F41" s="169"/>
      <c r="G41" s="169"/>
      <c r="H41" s="169"/>
    </row>
    <row r="42" spans="1:8" ht="16" customHeight="1" x14ac:dyDescent="0.2">
      <c r="A42" s="169"/>
      <c r="B42" s="169"/>
      <c r="C42" s="169"/>
      <c r="D42" s="169"/>
      <c r="E42" s="169"/>
      <c r="F42" s="169"/>
      <c r="G42" s="169"/>
      <c r="H42" s="169"/>
    </row>
    <row r="43" spans="1:8" ht="16" customHeight="1" x14ac:dyDescent="0.2">
      <c r="A43" s="169"/>
      <c r="B43" s="169"/>
      <c r="C43" s="169"/>
      <c r="D43" s="169"/>
      <c r="E43" s="169"/>
      <c r="F43" s="169"/>
      <c r="G43" s="169"/>
      <c r="H43" s="169"/>
    </row>
    <row r="44" spans="1:8" ht="16" customHeight="1" x14ac:dyDescent="0.2">
      <c r="A44" s="169"/>
      <c r="B44" s="169"/>
      <c r="C44" s="169"/>
      <c r="D44" s="169"/>
      <c r="E44" s="169"/>
      <c r="F44" s="169"/>
      <c r="G44" s="169"/>
      <c r="H44" s="169"/>
    </row>
    <row r="45" spans="1:8" ht="16" customHeight="1" x14ac:dyDescent="0.2">
      <c r="A45" s="169"/>
      <c r="B45" s="169"/>
      <c r="C45" s="169"/>
      <c r="D45" s="169"/>
      <c r="E45" s="169"/>
      <c r="F45" s="169"/>
      <c r="G45" s="169"/>
      <c r="H45" s="169"/>
    </row>
    <row r="46" spans="1:8" ht="16" customHeight="1" x14ac:dyDescent="0.2">
      <c r="A46" s="169"/>
      <c r="B46" s="169"/>
      <c r="C46" s="169"/>
      <c r="D46" s="169"/>
      <c r="E46" s="169"/>
      <c r="F46" s="169"/>
      <c r="G46" s="169"/>
      <c r="H46" s="169"/>
    </row>
    <row r="47" spans="1:8" ht="16" customHeight="1" x14ac:dyDescent="0.2">
      <c r="A47" s="169"/>
      <c r="B47" s="169"/>
      <c r="C47" s="169"/>
      <c r="D47" s="169"/>
      <c r="E47" s="169"/>
      <c r="F47" s="169"/>
      <c r="G47" s="169"/>
      <c r="H47" s="169"/>
    </row>
    <row r="48" spans="1:8" ht="16" customHeight="1" x14ac:dyDescent="0.2">
      <c r="A48" s="169"/>
      <c r="B48" s="169"/>
      <c r="C48" s="169"/>
      <c r="D48" s="169"/>
      <c r="E48" s="169"/>
      <c r="F48" s="169"/>
      <c r="G48" s="169"/>
      <c r="H48" s="169"/>
    </row>
    <row r="49" spans="1:8" ht="16" customHeight="1" x14ac:dyDescent="0.2">
      <c r="A49" s="169"/>
      <c r="B49" s="169"/>
      <c r="C49" s="169"/>
      <c r="D49" s="169"/>
      <c r="E49" s="169"/>
      <c r="F49" s="169"/>
      <c r="G49" s="169"/>
      <c r="H49" s="169"/>
    </row>
    <row r="50" spans="1:8" ht="16" customHeight="1" x14ac:dyDescent="0.2">
      <c r="A50" s="169"/>
      <c r="B50" s="169"/>
      <c r="C50" s="169"/>
      <c r="D50" s="169"/>
      <c r="E50" s="169"/>
      <c r="F50" s="169"/>
      <c r="G50" s="169"/>
      <c r="H50" s="169"/>
    </row>
    <row r="51" spans="1:8" ht="16" customHeight="1" x14ac:dyDescent="0.2">
      <c r="A51" s="169"/>
      <c r="B51" s="169"/>
      <c r="C51" s="169"/>
      <c r="D51" s="169"/>
      <c r="E51" s="169"/>
      <c r="F51" s="169"/>
      <c r="G51" s="169"/>
      <c r="H51" s="169"/>
    </row>
    <row r="52" spans="1:8" ht="16" customHeight="1" x14ac:dyDescent="0.2">
      <c r="A52" s="169"/>
      <c r="B52" s="169"/>
      <c r="C52" s="169"/>
      <c r="D52" s="169"/>
      <c r="E52" s="169"/>
      <c r="F52" s="169"/>
      <c r="G52" s="169"/>
      <c r="H52" s="169"/>
    </row>
    <row r="53" spans="1:8" ht="16" customHeight="1" x14ac:dyDescent="0.2">
      <c r="A53" s="169"/>
      <c r="B53" s="169"/>
      <c r="C53" s="169"/>
      <c r="D53" s="169"/>
      <c r="E53" s="169"/>
      <c r="F53" s="169"/>
      <c r="G53" s="169"/>
      <c r="H53" s="169"/>
    </row>
    <row r="54" spans="1:8" ht="16" customHeight="1" x14ac:dyDescent="0.2">
      <c r="A54" s="169"/>
      <c r="B54" s="169"/>
      <c r="C54" s="169"/>
      <c r="D54" s="169"/>
      <c r="E54" s="169"/>
      <c r="F54" s="169"/>
      <c r="G54" s="169"/>
      <c r="H54" s="169"/>
    </row>
    <row r="55" spans="1:8" ht="16" customHeight="1" x14ac:dyDescent="0.2">
      <c r="A55" s="169"/>
      <c r="B55" s="169"/>
      <c r="C55" s="169"/>
      <c r="D55" s="169"/>
      <c r="E55" s="169"/>
      <c r="F55" s="169"/>
      <c r="G55" s="169"/>
      <c r="H55" s="169"/>
    </row>
    <row r="56" spans="1:8" ht="16" customHeight="1" x14ac:dyDescent="0.2">
      <c r="A56" s="169"/>
      <c r="B56" s="169"/>
      <c r="C56" s="169"/>
      <c r="D56" s="169"/>
      <c r="E56" s="169"/>
      <c r="F56" s="169"/>
      <c r="G56" s="169"/>
      <c r="H56" s="169"/>
    </row>
    <row r="57" spans="1:8" x14ac:dyDescent="0.2">
      <c r="A57" s="169"/>
      <c r="B57" s="169"/>
      <c r="C57" s="169"/>
      <c r="D57" s="169"/>
      <c r="E57" s="169"/>
      <c r="F57" s="169"/>
      <c r="G57" s="169"/>
      <c r="H57" s="169"/>
    </row>
    <row r="58" spans="1:8" ht="16" customHeight="1" x14ac:dyDescent="0.2">
      <c r="A58" s="169"/>
      <c r="B58" s="169"/>
      <c r="C58" s="169"/>
      <c r="D58" s="169"/>
      <c r="E58" s="169"/>
      <c r="F58" s="169"/>
      <c r="G58" s="169"/>
      <c r="H58" s="169"/>
    </row>
    <row r="59" spans="1:8" ht="16" customHeight="1" x14ac:dyDescent="0.2">
      <c r="A59" s="169"/>
      <c r="B59" s="169"/>
      <c r="C59" s="169"/>
      <c r="D59" s="169"/>
      <c r="E59" s="169"/>
      <c r="F59" s="169"/>
      <c r="G59" s="169"/>
      <c r="H59" s="169"/>
    </row>
    <row r="60" spans="1:8" ht="16" customHeight="1" x14ac:dyDescent="0.2">
      <c r="A60" s="169"/>
      <c r="B60" s="169"/>
      <c r="C60" s="169"/>
      <c r="D60" s="169"/>
      <c r="E60" s="169"/>
      <c r="F60" s="169"/>
      <c r="G60" s="169"/>
      <c r="H60" s="169"/>
    </row>
    <row r="61" spans="1:8" ht="16" customHeight="1" x14ac:dyDescent="0.2">
      <c r="A61" s="169"/>
      <c r="B61" s="169"/>
      <c r="C61" s="169"/>
      <c r="D61" s="169"/>
      <c r="E61" s="169"/>
      <c r="F61" s="169"/>
      <c r="G61" s="169"/>
      <c r="H61" s="169"/>
    </row>
    <row r="62" spans="1:8" ht="16" customHeight="1" x14ac:dyDescent="0.2">
      <c r="A62" s="169"/>
      <c r="B62" s="169"/>
      <c r="C62" s="169"/>
      <c r="D62" s="169"/>
      <c r="E62" s="169"/>
      <c r="F62" s="169"/>
      <c r="G62" s="169"/>
      <c r="H62" s="169"/>
    </row>
    <row r="63" spans="1:8" ht="16" customHeight="1" x14ac:dyDescent="0.2">
      <c r="A63" s="169"/>
      <c r="B63" s="169"/>
      <c r="C63" s="169"/>
      <c r="D63" s="169"/>
      <c r="E63" s="169"/>
      <c r="F63" s="169"/>
      <c r="G63" s="169"/>
      <c r="H63" s="169"/>
    </row>
    <row r="64" spans="1:8" ht="16" customHeight="1" x14ac:dyDescent="0.2">
      <c r="A64" s="169"/>
      <c r="B64" s="169"/>
      <c r="C64" s="169"/>
      <c r="D64" s="169"/>
      <c r="E64" s="169"/>
      <c r="F64" s="169"/>
      <c r="G64" s="169"/>
      <c r="H64" s="169"/>
    </row>
    <row r="65" spans="1:8" ht="16" customHeight="1" x14ac:dyDescent="0.2">
      <c r="A65" s="169"/>
      <c r="B65" s="169"/>
      <c r="C65" s="169"/>
      <c r="D65" s="169"/>
      <c r="E65" s="169"/>
      <c r="F65" s="169"/>
      <c r="G65" s="169"/>
      <c r="H65" s="169"/>
    </row>
    <row r="66" spans="1:8" ht="16" customHeight="1" x14ac:dyDescent="0.2">
      <c r="A66" s="169"/>
      <c r="B66" s="169"/>
      <c r="C66" s="169"/>
      <c r="D66" s="169"/>
      <c r="E66" s="169"/>
      <c r="F66" s="169"/>
      <c r="G66" s="169"/>
      <c r="H66" s="169"/>
    </row>
    <row r="67" spans="1:8" ht="16" customHeight="1" x14ac:dyDescent="0.2">
      <c r="A67" s="169"/>
      <c r="B67" s="169"/>
      <c r="C67" s="169"/>
      <c r="D67" s="169"/>
      <c r="E67" s="169"/>
      <c r="F67" s="169"/>
      <c r="G67" s="169"/>
      <c r="H67" s="169"/>
    </row>
    <row r="68" spans="1:8" ht="16" customHeight="1" x14ac:dyDescent="0.2">
      <c r="A68" s="169"/>
      <c r="B68" s="169"/>
      <c r="C68" s="169"/>
      <c r="D68" s="169"/>
      <c r="E68" s="169"/>
      <c r="F68" s="169"/>
      <c r="G68" s="169"/>
      <c r="H68" s="169"/>
    </row>
    <row r="69" spans="1:8" ht="16" customHeight="1" x14ac:dyDescent="0.2">
      <c r="A69" s="169"/>
      <c r="B69" s="169"/>
      <c r="C69" s="169"/>
      <c r="D69" s="169"/>
      <c r="E69" s="169"/>
      <c r="F69" s="169"/>
      <c r="G69" s="169"/>
      <c r="H69" s="169"/>
    </row>
    <row r="70" spans="1:8" ht="16" customHeight="1" x14ac:dyDescent="0.2">
      <c r="A70" s="169"/>
      <c r="B70" s="169"/>
      <c r="C70" s="169"/>
      <c r="D70" s="169"/>
      <c r="E70" s="169"/>
      <c r="F70" s="169"/>
      <c r="G70" s="169"/>
      <c r="H70" s="169"/>
    </row>
    <row r="71" spans="1:8" ht="16" customHeight="1" x14ac:dyDescent="0.2">
      <c r="A71" s="169"/>
      <c r="B71" s="169"/>
      <c r="C71" s="169"/>
      <c r="D71" s="169"/>
      <c r="E71" s="169"/>
      <c r="F71" s="169"/>
      <c r="G71" s="169"/>
      <c r="H71" s="169"/>
    </row>
    <row r="72" spans="1:8" ht="16" customHeight="1" x14ac:dyDescent="0.2">
      <c r="A72" s="169"/>
      <c r="B72" s="169"/>
      <c r="C72" s="169"/>
      <c r="D72" s="169"/>
      <c r="E72" s="169"/>
      <c r="F72" s="169"/>
      <c r="G72" s="169"/>
      <c r="H72" s="169"/>
    </row>
    <row r="73" spans="1:8" ht="16" customHeight="1" x14ac:dyDescent="0.2">
      <c r="A73" s="169"/>
      <c r="B73" s="169"/>
      <c r="C73" s="169"/>
      <c r="D73" s="169"/>
      <c r="E73" s="169"/>
      <c r="F73" s="169"/>
      <c r="G73" s="169"/>
      <c r="H73" s="169"/>
    </row>
    <row r="74" spans="1:8" ht="16" customHeight="1" x14ac:dyDescent="0.2">
      <c r="A74" s="169"/>
      <c r="B74" s="169"/>
      <c r="C74" s="169"/>
      <c r="D74" s="169"/>
      <c r="E74" s="169"/>
      <c r="F74" s="169"/>
      <c r="G74" s="169"/>
      <c r="H74" s="169"/>
    </row>
    <row r="75" spans="1:8" ht="16" customHeight="1" x14ac:dyDescent="0.2">
      <c r="A75" s="169"/>
      <c r="B75" s="169"/>
      <c r="C75" s="169"/>
      <c r="D75" s="169"/>
      <c r="E75" s="169"/>
      <c r="F75" s="169"/>
      <c r="G75" s="169"/>
      <c r="H75" s="169"/>
    </row>
    <row r="76" spans="1:8" ht="16" customHeight="1" x14ac:dyDescent="0.2">
      <c r="A76" s="169"/>
      <c r="B76" s="169"/>
      <c r="C76" s="169"/>
      <c r="D76" s="169"/>
      <c r="E76" s="169"/>
      <c r="F76" s="169"/>
      <c r="G76" s="169"/>
      <c r="H76" s="169"/>
    </row>
    <row r="77" spans="1:8" ht="16" customHeight="1" x14ac:dyDescent="0.2">
      <c r="A77" s="169"/>
      <c r="B77" s="169"/>
      <c r="C77" s="169"/>
      <c r="D77" s="169"/>
      <c r="E77" s="169"/>
      <c r="F77" s="169"/>
      <c r="G77" s="169"/>
      <c r="H77" s="169"/>
    </row>
  </sheetData>
  <mergeCells count="1">
    <mergeCell ref="A32:H77"/>
  </mergeCells>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H29"/>
  <sheetViews>
    <sheetView workbookViewId="0">
      <selection activeCell="E2" sqref="E2"/>
    </sheetView>
  </sheetViews>
  <sheetFormatPr baseColWidth="10" defaultColWidth="11" defaultRowHeight="16" x14ac:dyDescent="0.2"/>
  <cols>
    <col min="1" max="1" width="25.33203125" bestFit="1" customWidth="1"/>
    <col min="2" max="2" width="10.1640625" bestFit="1" customWidth="1"/>
    <col min="8" max="8" width="18.6640625" customWidth="1"/>
    <col min="10" max="11" width="25.33203125" bestFit="1" customWidth="1"/>
  </cols>
  <sheetData>
    <row r="1" spans="1:8" x14ac:dyDescent="0.2">
      <c r="B1" t="s">
        <v>1</v>
      </c>
      <c r="C1" t="s">
        <v>0</v>
      </c>
      <c r="D1" t="s">
        <v>2</v>
      </c>
      <c r="E1" t="s">
        <v>4</v>
      </c>
      <c r="F1" t="s">
        <v>147</v>
      </c>
      <c r="G1" t="s">
        <v>65</v>
      </c>
      <c r="H1" t="s">
        <v>148</v>
      </c>
    </row>
    <row r="2" spans="1:8" x14ac:dyDescent="0.2">
      <c r="A2" t="s">
        <v>68</v>
      </c>
      <c r="B2" s="3">
        <v>19290000</v>
      </c>
      <c r="C2" s="20">
        <v>19290000</v>
      </c>
      <c r="D2" s="3">
        <v>19290000</v>
      </c>
      <c r="E2" s="4">
        <v>19290000</v>
      </c>
      <c r="F2" s="3">
        <v>18690000</v>
      </c>
      <c r="G2" s="3">
        <v>18800000</v>
      </c>
      <c r="H2" s="3">
        <v>18490000</v>
      </c>
    </row>
    <row r="3" spans="1:8" x14ac:dyDescent="0.2">
      <c r="A3" t="s">
        <v>74</v>
      </c>
      <c r="B3" s="3">
        <v>22290000</v>
      </c>
      <c r="C3" s="20">
        <v>22290000</v>
      </c>
      <c r="D3" s="3">
        <v>22190000</v>
      </c>
      <c r="E3" s="4">
        <v>22290000</v>
      </c>
      <c r="F3" s="4">
        <v>21890000</v>
      </c>
      <c r="G3" s="4">
        <v>21890000</v>
      </c>
      <c r="H3" s="4">
        <v>21990000</v>
      </c>
    </row>
    <row r="4" spans="1:8" x14ac:dyDescent="0.2">
      <c r="A4" t="s">
        <v>79</v>
      </c>
      <c r="B4" s="3">
        <v>23990000</v>
      </c>
      <c r="C4" s="20">
        <v>23990000</v>
      </c>
      <c r="D4" s="3">
        <v>24390000</v>
      </c>
      <c r="E4" s="4">
        <v>24590000</v>
      </c>
      <c r="F4" s="4">
        <v>23890000</v>
      </c>
      <c r="G4" s="4">
        <v>24590000</v>
      </c>
      <c r="H4" s="4">
        <v>23990000</v>
      </c>
    </row>
    <row r="5" spans="1:8" x14ac:dyDescent="0.2">
      <c r="A5" t="s">
        <v>82</v>
      </c>
      <c r="B5" s="4">
        <v>29590000</v>
      </c>
      <c r="C5" s="21">
        <v>29590000</v>
      </c>
      <c r="D5" s="5">
        <v>29390000</v>
      </c>
      <c r="E5" s="4">
        <v>29090000</v>
      </c>
      <c r="F5" s="4">
        <v>28690000</v>
      </c>
      <c r="G5" s="4">
        <v>28790000</v>
      </c>
      <c r="H5" s="4">
        <v>28990000</v>
      </c>
    </row>
    <row r="6" spans="1:8" x14ac:dyDescent="0.2">
      <c r="A6" t="s">
        <v>94</v>
      </c>
      <c r="B6" s="3">
        <v>19990000</v>
      </c>
      <c r="C6" s="20">
        <v>19390000</v>
      </c>
      <c r="D6" s="3">
        <v>19290000</v>
      </c>
      <c r="E6" s="4">
        <v>19390000</v>
      </c>
      <c r="F6" s="3">
        <v>18990000</v>
      </c>
      <c r="G6" s="4">
        <v>19690000</v>
      </c>
      <c r="H6" s="4">
        <v>19990000</v>
      </c>
    </row>
    <row r="7" spans="1:8" x14ac:dyDescent="0.2">
      <c r="A7" t="s">
        <v>27</v>
      </c>
      <c r="B7" s="3">
        <v>16490000</v>
      </c>
      <c r="C7" s="20">
        <v>16490000</v>
      </c>
      <c r="D7" s="3">
        <v>16390000</v>
      </c>
      <c r="E7" s="4">
        <v>16990000</v>
      </c>
      <c r="F7" s="3">
        <v>16590000</v>
      </c>
      <c r="G7" s="4">
        <v>16990000</v>
      </c>
      <c r="H7" s="4">
        <v>16690000</v>
      </c>
    </row>
    <row r="8" spans="1:8" x14ac:dyDescent="0.2">
      <c r="A8" t="s">
        <v>28</v>
      </c>
      <c r="B8" s="3">
        <v>13790000</v>
      </c>
      <c r="C8" s="20">
        <v>13790000</v>
      </c>
      <c r="D8" s="4">
        <v>13690000</v>
      </c>
      <c r="E8" s="4">
        <v>13590000</v>
      </c>
      <c r="F8" s="4">
        <v>13390000</v>
      </c>
      <c r="G8" s="4">
        <v>13390000</v>
      </c>
      <c r="H8" s="4">
        <v>13190000</v>
      </c>
    </row>
    <row r="9" spans="1:8" x14ac:dyDescent="0.2">
      <c r="A9" t="s">
        <v>98</v>
      </c>
      <c r="B9" s="4">
        <v>11990000</v>
      </c>
      <c r="C9" s="20">
        <v>11990000</v>
      </c>
      <c r="D9" s="4">
        <v>11890000</v>
      </c>
      <c r="E9" s="4">
        <v>11790000</v>
      </c>
      <c r="F9" s="3">
        <v>11790000</v>
      </c>
      <c r="G9" s="4">
        <v>12290000</v>
      </c>
      <c r="H9" s="4">
        <v>11990000</v>
      </c>
    </row>
    <row r="10" spans="1:8" x14ac:dyDescent="0.2">
      <c r="A10" t="s">
        <v>102</v>
      </c>
      <c r="B10" s="3">
        <v>8790000</v>
      </c>
      <c r="C10" s="20">
        <v>8790000</v>
      </c>
      <c r="D10" s="3">
        <v>8740000</v>
      </c>
      <c r="E10" s="4">
        <v>8790000</v>
      </c>
      <c r="F10" s="3">
        <v>8590000</v>
      </c>
      <c r="G10" s="4">
        <v>8790000</v>
      </c>
      <c r="H10" s="4">
        <v>8590000</v>
      </c>
    </row>
    <row r="11" spans="1:8" x14ac:dyDescent="0.2">
      <c r="A11" t="s">
        <v>106</v>
      </c>
      <c r="B11" s="4">
        <v>20990000</v>
      </c>
      <c r="C11" s="21">
        <v>20990000</v>
      </c>
      <c r="D11" s="3">
        <v>20890000</v>
      </c>
      <c r="E11" s="3">
        <v>21190000</v>
      </c>
      <c r="F11" s="4">
        <v>19990000</v>
      </c>
      <c r="G11" s="4">
        <v>20790000</v>
      </c>
      <c r="H11" s="4">
        <v>19790000</v>
      </c>
    </row>
    <row r="12" spans="1:8" x14ac:dyDescent="0.2">
      <c r="A12" t="s">
        <v>108</v>
      </c>
      <c r="B12" s="3">
        <v>14390000</v>
      </c>
      <c r="C12" s="20">
        <v>14390000</v>
      </c>
      <c r="D12" s="3">
        <v>14190000</v>
      </c>
      <c r="E12" s="3">
        <v>14290000</v>
      </c>
      <c r="F12" s="3">
        <v>13990000</v>
      </c>
      <c r="G12" s="4">
        <v>13790000</v>
      </c>
      <c r="H12" s="4">
        <v>13790000</v>
      </c>
    </row>
    <row r="13" spans="1:8" x14ac:dyDescent="0.2">
      <c r="A13" t="s">
        <v>110</v>
      </c>
      <c r="B13" s="4">
        <v>12390000</v>
      </c>
      <c r="C13" s="21">
        <v>12390000</v>
      </c>
      <c r="D13" s="3">
        <v>11890000</v>
      </c>
      <c r="E13" s="4">
        <v>11990000</v>
      </c>
      <c r="F13" s="3">
        <v>11690000</v>
      </c>
      <c r="G13" s="4">
        <v>11190000</v>
      </c>
      <c r="H13" s="4" t="s">
        <v>111</v>
      </c>
    </row>
    <row r="14" spans="1:8" x14ac:dyDescent="0.2">
      <c r="A14" t="s">
        <v>122</v>
      </c>
      <c r="B14" s="3">
        <v>10590000</v>
      </c>
      <c r="C14" s="20">
        <v>10590000</v>
      </c>
      <c r="D14" s="3">
        <v>9940000</v>
      </c>
      <c r="E14" s="24">
        <v>9790000</v>
      </c>
      <c r="F14" s="3">
        <v>9790000</v>
      </c>
      <c r="G14" s="4">
        <v>9890000</v>
      </c>
      <c r="H14" s="4">
        <v>9890000</v>
      </c>
    </row>
    <row r="15" spans="1:8" x14ac:dyDescent="0.2">
      <c r="A15" t="s">
        <v>115</v>
      </c>
      <c r="B15" s="3">
        <v>7090000</v>
      </c>
      <c r="C15" s="20">
        <v>6990000</v>
      </c>
      <c r="D15" s="3">
        <v>7040000</v>
      </c>
      <c r="E15" s="23">
        <v>6990000</v>
      </c>
      <c r="F15" s="3">
        <v>6890000</v>
      </c>
      <c r="G15" s="4">
        <v>6990000</v>
      </c>
      <c r="H15" s="4">
        <v>7090000</v>
      </c>
    </row>
    <row r="16" spans="1:8" x14ac:dyDescent="0.2">
      <c r="A16" t="s">
        <v>124</v>
      </c>
      <c r="B16" s="4">
        <v>12690000</v>
      </c>
      <c r="C16" s="21">
        <v>12290000</v>
      </c>
      <c r="D16" s="3">
        <v>12290000</v>
      </c>
      <c r="E16" s="4">
        <v>12290000</v>
      </c>
      <c r="F16" s="4">
        <v>11890000</v>
      </c>
      <c r="G16" s="3">
        <v>11540000</v>
      </c>
      <c r="H16" s="4">
        <v>11690000</v>
      </c>
    </row>
    <row r="17" spans="1:8" x14ac:dyDescent="0.2">
      <c r="A17" t="s">
        <v>118</v>
      </c>
      <c r="B17" s="3">
        <v>9390000</v>
      </c>
      <c r="C17" s="20">
        <v>9390000</v>
      </c>
      <c r="D17" s="3">
        <v>9440000</v>
      </c>
      <c r="E17" s="3">
        <v>8990000</v>
      </c>
      <c r="F17" s="4">
        <v>8690000</v>
      </c>
      <c r="G17" s="3">
        <v>8740000</v>
      </c>
      <c r="H17" s="4">
        <v>8890000</v>
      </c>
    </row>
    <row r="18" spans="1:8" x14ac:dyDescent="0.2">
      <c r="A18" t="s">
        <v>134</v>
      </c>
      <c r="B18" s="3">
        <v>20990000</v>
      </c>
      <c r="C18" s="21">
        <v>20990000</v>
      </c>
      <c r="D18" s="3">
        <v>20890000</v>
      </c>
      <c r="E18" s="4">
        <v>20990000</v>
      </c>
      <c r="F18" s="4">
        <v>20890000</v>
      </c>
      <c r="G18" s="4">
        <v>20890000</v>
      </c>
      <c r="H18" s="4">
        <v>19690000</v>
      </c>
    </row>
    <row r="19" spans="1:8" x14ac:dyDescent="0.2">
      <c r="A19" t="s">
        <v>123</v>
      </c>
      <c r="B19" s="4">
        <v>5890000</v>
      </c>
      <c r="C19" s="21">
        <v>5990000</v>
      </c>
      <c r="D19" s="4">
        <v>5940000</v>
      </c>
      <c r="E19" s="3">
        <v>5690000</v>
      </c>
      <c r="F19" s="4">
        <v>5690000</v>
      </c>
      <c r="G19" s="4">
        <v>5790000</v>
      </c>
      <c r="H19" s="4">
        <v>5690000</v>
      </c>
    </row>
    <row r="20" spans="1:8" x14ac:dyDescent="0.2">
      <c r="A20" t="s">
        <v>140</v>
      </c>
      <c r="B20" s="4" t="s">
        <v>22</v>
      </c>
      <c r="C20" s="21" t="s">
        <v>22</v>
      </c>
      <c r="D20" s="3">
        <v>17390000</v>
      </c>
      <c r="E20" s="4">
        <v>15990000</v>
      </c>
      <c r="F20" s="4">
        <v>14990000</v>
      </c>
      <c r="G20" s="21" t="s">
        <v>22</v>
      </c>
      <c r="H20" s="4">
        <v>14790000</v>
      </c>
    </row>
    <row r="21" spans="1:8" x14ac:dyDescent="0.2">
      <c r="A21" t="s">
        <v>144</v>
      </c>
      <c r="B21" s="3">
        <v>5390000</v>
      </c>
      <c r="C21" s="20">
        <v>5650000</v>
      </c>
      <c r="D21" s="4">
        <v>5640000</v>
      </c>
      <c r="E21" s="4">
        <v>5590000</v>
      </c>
      <c r="F21" s="4">
        <v>5450000</v>
      </c>
      <c r="G21" s="4">
        <v>4990000</v>
      </c>
      <c r="H21" s="4">
        <v>5390000</v>
      </c>
    </row>
    <row r="22" spans="1:8" x14ac:dyDescent="0.2">
      <c r="A22" t="s">
        <v>145</v>
      </c>
      <c r="B22" s="3">
        <v>4190000</v>
      </c>
      <c r="C22" s="20">
        <v>4199000</v>
      </c>
      <c r="D22" s="3">
        <v>4190000</v>
      </c>
      <c r="E22" s="3">
        <v>3990000</v>
      </c>
      <c r="F22" s="3">
        <v>3850000</v>
      </c>
      <c r="G22" s="4">
        <v>3950000</v>
      </c>
      <c r="H22" s="4">
        <v>3990000</v>
      </c>
    </row>
    <row r="23" spans="1:8" x14ac:dyDescent="0.2">
      <c r="A23" t="s">
        <v>146</v>
      </c>
      <c r="B23" s="3">
        <v>2700000</v>
      </c>
      <c r="C23" s="20">
        <v>2700000</v>
      </c>
      <c r="D23" s="3">
        <v>2690000</v>
      </c>
      <c r="E23" s="3">
        <v>2690000</v>
      </c>
      <c r="F23" s="3">
        <v>2590000</v>
      </c>
      <c r="G23" s="4">
        <v>2750000</v>
      </c>
      <c r="H23" s="4" t="s">
        <v>137</v>
      </c>
    </row>
    <row r="24" spans="1:8" x14ac:dyDescent="0.2">
      <c r="A24" t="s">
        <v>104</v>
      </c>
      <c r="B24" s="3">
        <v>27290000</v>
      </c>
      <c r="C24" s="20">
        <v>27290000</v>
      </c>
      <c r="D24" s="5">
        <v>27890000</v>
      </c>
      <c r="E24" s="3">
        <v>27590000</v>
      </c>
      <c r="F24" s="4">
        <v>26890000</v>
      </c>
      <c r="G24" s="4">
        <v>26840000</v>
      </c>
    </row>
    <row r="25" spans="1:8" x14ac:dyDescent="0.2">
      <c r="A25" t="s">
        <v>105</v>
      </c>
      <c r="B25" s="3">
        <v>31690000</v>
      </c>
      <c r="C25" s="20">
        <v>31690000</v>
      </c>
      <c r="D25" s="3">
        <v>31390000</v>
      </c>
      <c r="E25" s="4">
        <v>31990000</v>
      </c>
      <c r="F25" s="4">
        <v>31990000</v>
      </c>
      <c r="G25" s="4">
        <v>31490000</v>
      </c>
    </row>
    <row r="26" spans="1:8" x14ac:dyDescent="0.2">
      <c r="A26" t="s">
        <v>149</v>
      </c>
      <c r="B26" s="4" t="s">
        <v>22</v>
      </c>
      <c r="C26" s="20">
        <v>38490000</v>
      </c>
      <c r="D26" s="4" t="s">
        <v>22</v>
      </c>
      <c r="E26" s="3">
        <v>38290000</v>
      </c>
      <c r="F26" s="4">
        <v>36990000</v>
      </c>
      <c r="G26" s="4">
        <v>37490000</v>
      </c>
    </row>
    <row r="27" spans="1:8" x14ac:dyDescent="0.2">
      <c r="A27" t="s">
        <v>150</v>
      </c>
      <c r="B27" s="3">
        <v>18190000</v>
      </c>
      <c r="C27" s="20">
        <v>18190000</v>
      </c>
      <c r="D27" s="3">
        <v>18090000</v>
      </c>
      <c r="E27" s="3">
        <v>18390000</v>
      </c>
      <c r="F27" s="3">
        <v>18190000</v>
      </c>
      <c r="G27" s="4">
        <v>18240000</v>
      </c>
    </row>
    <row r="28" spans="1:8" x14ac:dyDescent="0.2">
      <c r="A28" t="s">
        <v>151</v>
      </c>
      <c r="B28" s="3">
        <v>24590000</v>
      </c>
      <c r="C28" s="20">
        <v>24590000</v>
      </c>
      <c r="D28" s="4" t="s">
        <v>22</v>
      </c>
      <c r="E28" s="3">
        <v>24590000</v>
      </c>
      <c r="F28" s="4">
        <v>24590000</v>
      </c>
      <c r="G28" s="4">
        <v>24590000</v>
      </c>
    </row>
    <row r="29" spans="1:8" x14ac:dyDescent="0.2">
      <c r="A29" t="s">
        <v>154</v>
      </c>
      <c r="B29" s="4" t="s">
        <v>22</v>
      </c>
      <c r="C29" s="21" t="s">
        <v>22</v>
      </c>
      <c r="D29" s="4" t="s">
        <v>22</v>
      </c>
      <c r="E29" s="4" t="s">
        <v>91</v>
      </c>
      <c r="F29" s="4" t="s">
        <v>91</v>
      </c>
      <c r="G29" s="4" t="s">
        <v>22</v>
      </c>
    </row>
  </sheetData>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I32"/>
  <sheetViews>
    <sheetView workbookViewId="0">
      <selection activeCell="E2" sqref="E2"/>
    </sheetView>
  </sheetViews>
  <sheetFormatPr baseColWidth="10" defaultColWidth="11" defaultRowHeight="16" x14ac:dyDescent="0.2"/>
  <cols>
    <col min="1" max="1" width="25.33203125" bestFit="1" customWidth="1"/>
  </cols>
  <sheetData>
    <row r="1" spans="1:9" x14ac:dyDescent="0.2">
      <c r="B1" t="s">
        <v>1</v>
      </c>
      <c r="C1" t="s">
        <v>0</v>
      </c>
      <c r="D1" t="s">
        <v>2</v>
      </c>
      <c r="E1" t="s">
        <v>3</v>
      </c>
      <c r="F1" t="s">
        <v>4</v>
      </c>
      <c r="G1" t="s">
        <v>155</v>
      </c>
      <c r="H1" t="s">
        <v>5</v>
      </c>
      <c r="I1" t="s">
        <v>156</v>
      </c>
    </row>
    <row r="2" spans="1:9" x14ac:dyDescent="0.2">
      <c r="A2" t="s">
        <v>25</v>
      </c>
      <c r="B2" s="3">
        <v>19190000</v>
      </c>
      <c r="C2" s="3">
        <v>19190000</v>
      </c>
      <c r="D2" s="3">
        <v>19090000</v>
      </c>
      <c r="E2" s="4">
        <v>18490000</v>
      </c>
      <c r="F2" s="4">
        <v>18690000</v>
      </c>
      <c r="G2" s="4">
        <v>18690000</v>
      </c>
      <c r="H2" s="3">
        <v>18740000</v>
      </c>
      <c r="I2" s="3">
        <v>18415000</v>
      </c>
    </row>
    <row r="3" spans="1:9" x14ac:dyDescent="0.2">
      <c r="A3" t="s">
        <v>26</v>
      </c>
      <c r="B3" s="3">
        <v>22190000</v>
      </c>
      <c r="C3" s="3">
        <v>22190000</v>
      </c>
      <c r="D3" s="3">
        <v>22090000</v>
      </c>
      <c r="E3" s="4">
        <v>21990000</v>
      </c>
      <c r="F3" s="4">
        <v>21790000</v>
      </c>
      <c r="G3" s="4">
        <v>21890000</v>
      </c>
      <c r="H3" s="4">
        <v>21890000</v>
      </c>
      <c r="I3" s="3">
        <v>21517000</v>
      </c>
    </row>
    <row r="4" spans="1:9" x14ac:dyDescent="0.2">
      <c r="A4" t="s">
        <v>157</v>
      </c>
      <c r="B4" s="3">
        <v>24690000</v>
      </c>
      <c r="C4" s="3">
        <v>24690000</v>
      </c>
      <c r="D4" s="3">
        <v>24590000</v>
      </c>
      <c r="E4" s="4">
        <v>23990000</v>
      </c>
      <c r="F4" s="4">
        <v>24190000</v>
      </c>
      <c r="G4" s="4">
        <v>23890000</v>
      </c>
      <c r="H4" s="4">
        <v>24590000</v>
      </c>
      <c r="I4" s="3">
        <v>24337000</v>
      </c>
    </row>
    <row r="5" spans="1:9" x14ac:dyDescent="0.2">
      <c r="A5" t="s">
        <v>158</v>
      </c>
      <c r="B5" s="4">
        <v>29590000</v>
      </c>
      <c r="C5" s="25">
        <v>29590000</v>
      </c>
      <c r="D5" s="3">
        <v>29390000</v>
      </c>
      <c r="E5" s="4">
        <v>28990000</v>
      </c>
      <c r="F5" s="4">
        <v>28690000</v>
      </c>
      <c r="G5" s="4">
        <v>28690000</v>
      </c>
      <c r="H5" s="3">
        <v>28590000</v>
      </c>
      <c r="I5" s="4">
        <v>29037000</v>
      </c>
    </row>
    <row r="6" spans="1:9" x14ac:dyDescent="0.2">
      <c r="A6" t="s">
        <v>92</v>
      </c>
      <c r="B6" s="3">
        <v>19390000</v>
      </c>
      <c r="C6" s="25">
        <v>19390000</v>
      </c>
      <c r="D6" s="3">
        <v>19290000</v>
      </c>
      <c r="E6" s="3">
        <v>19290000</v>
      </c>
      <c r="F6" s="4">
        <v>19190000</v>
      </c>
      <c r="G6" s="4">
        <v>18990000</v>
      </c>
      <c r="H6" s="4">
        <v>19690000</v>
      </c>
      <c r="I6" s="4">
        <v>23021000</v>
      </c>
    </row>
    <row r="7" spans="1:9" x14ac:dyDescent="0.2">
      <c r="A7" t="s">
        <v>27</v>
      </c>
      <c r="B7" s="4">
        <v>16490000</v>
      </c>
      <c r="C7" s="25">
        <v>16490000</v>
      </c>
      <c r="D7" s="3">
        <v>16390000</v>
      </c>
      <c r="E7" s="3">
        <v>16390000</v>
      </c>
      <c r="F7" s="4">
        <v>16390000</v>
      </c>
      <c r="G7" s="4">
        <v>16590000</v>
      </c>
      <c r="H7" s="4">
        <v>16990000</v>
      </c>
      <c r="I7" s="4">
        <v>16065000</v>
      </c>
    </row>
    <row r="8" spans="1:9" x14ac:dyDescent="0.2">
      <c r="A8" t="s">
        <v>28</v>
      </c>
      <c r="B8" s="3">
        <v>13690000</v>
      </c>
      <c r="C8" s="3">
        <v>13690000</v>
      </c>
      <c r="D8" s="3">
        <v>13590000</v>
      </c>
      <c r="E8" s="4">
        <v>13190000</v>
      </c>
      <c r="F8" s="4">
        <v>13390000</v>
      </c>
      <c r="G8" s="4">
        <v>13390000</v>
      </c>
      <c r="H8" s="4">
        <v>13390000</v>
      </c>
      <c r="I8" s="3">
        <v>12775000</v>
      </c>
    </row>
    <row r="9" spans="1:9" x14ac:dyDescent="0.2">
      <c r="A9" t="s">
        <v>98</v>
      </c>
      <c r="B9" s="4">
        <v>11990000</v>
      </c>
      <c r="C9" s="25">
        <v>11990000</v>
      </c>
      <c r="D9" s="3">
        <v>11890000</v>
      </c>
      <c r="E9" s="4">
        <v>11990000</v>
      </c>
      <c r="F9" s="4" t="s">
        <v>22</v>
      </c>
      <c r="G9" s="4">
        <v>11790000</v>
      </c>
      <c r="H9" s="4">
        <v>12290000</v>
      </c>
      <c r="I9" s="4" t="s">
        <v>22</v>
      </c>
    </row>
    <row r="10" spans="1:9" x14ac:dyDescent="0.2">
      <c r="A10" t="s">
        <v>102</v>
      </c>
      <c r="B10" s="3">
        <v>8690000</v>
      </c>
      <c r="C10" s="3">
        <v>8690000</v>
      </c>
      <c r="D10" s="3">
        <v>8640000</v>
      </c>
      <c r="E10" s="4">
        <v>8590000</v>
      </c>
      <c r="F10" s="4">
        <v>8550000</v>
      </c>
      <c r="G10" s="4">
        <v>8590000</v>
      </c>
      <c r="H10" s="3">
        <v>8690000</v>
      </c>
      <c r="I10" s="4" t="s">
        <v>22</v>
      </c>
    </row>
    <row r="11" spans="1:9" x14ac:dyDescent="0.2">
      <c r="A11" t="s">
        <v>159</v>
      </c>
      <c r="B11" s="3">
        <v>21190000</v>
      </c>
      <c r="C11" s="3">
        <v>21190000</v>
      </c>
      <c r="D11" s="4">
        <v>20890000</v>
      </c>
      <c r="E11" s="4">
        <v>19790000</v>
      </c>
      <c r="F11" s="4" t="s">
        <v>22</v>
      </c>
      <c r="G11" s="4">
        <v>19990000</v>
      </c>
      <c r="H11" s="4">
        <v>20790000</v>
      </c>
      <c r="I11" s="4">
        <v>21799000</v>
      </c>
    </row>
    <row r="12" spans="1:9" x14ac:dyDescent="0.2">
      <c r="A12" t="s">
        <v>160</v>
      </c>
      <c r="B12" s="3">
        <v>14090000</v>
      </c>
      <c r="C12" s="3">
        <v>14090000</v>
      </c>
      <c r="D12" s="3">
        <v>13990000</v>
      </c>
      <c r="E12" s="3">
        <v>14490000</v>
      </c>
      <c r="F12" s="4">
        <v>14090000</v>
      </c>
      <c r="G12" s="4">
        <v>13990000</v>
      </c>
      <c r="H12" s="4">
        <v>13790000</v>
      </c>
      <c r="I12" s="4">
        <v>13991000</v>
      </c>
    </row>
    <row r="13" spans="1:9" x14ac:dyDescent="0.2">
      <c r="A13" t="s">
        <v>161</v>
      </c>
      <c r="B13" s="4">
        <v>12390000</v>
      </c>
      <c r="C13" s="4">
        <v>12390000</v>
      </c>
      <c r="D13" s="5">
        <v>11890000</v>
      </c>
      <c r="E13" s="4" t="s">
        <v>111</v>
      </c>
      <c r="F13" s="4">
        <v>11790000</v>
      </c>
      <c r="G13" s="4">
        <v>11690000</v>
      </c>
      <c r="H13" s="4">
        <v>11190000</v>
      </c>
      <c r="I13" s="4">
        <v>11271000</v>
      </c>
    </row>
    <row r="14" spans="1:9" x14ac:dyDescent="0.2">
      <c r="A14" t="s">
        <v>162</v>
      </c>
      <c r="B14" s="4">
        <v>10590000</v>
      </c>
      <c r="C14" s="25">
        <v>10590000</v>
      </c>
      <c r="D14" s="5">
        <v>9940000</v>
      </c>
      <c r="E14" s="3">
        <v>10790000</v>
      </c>
      <c r="F14" s="4">
        <v>9590000</v>
      </c>
      <c r="G14" s="4">
        <v>9790000</v>
      </c>
      <c r="H14" s="4">
        <v>9890000</v>
      </c>
      <c r="I14" s="4">
        <v>9673000</v>
      </c>
    </row>
    <row r="15" spans="1:9" x14ac:dyDescent="0.2">
      <c r="A15" t="s">
        <v>163</v>
      </c>
      <c r="B15" s="4">
        <v>7090000</v>
      </c>
      <c r="C15" s="3">
        <v>7090000</v>
      </c>
      <c r="D15" s="5">
        <v>7040000</v>
      </c>
      <c r="E15" s="3">
        <v>6990000</v>
      </c>
      <c r="F15" s="4">
        <v>6890000</v>
      </c>
      <c r="G15" s="4">
        <v>6890000</v>
      </c>
      <c r="H15" s="3">
        <v>6890000</v>
      </c>
      <c r="I15" s="4">
        <v>6853000</v>
      </c>
    </row>
    <row r="16" spans="1:9" x14ac:dyDescent="0.2">
      <c r="A16" t="s">
        <v>164</v>
      </c>
      <c r="B16" s="3">
        <v>6090000</v>
      </c>
      <c r="C16" s="4">
        <v>5990000</v>
      </c>
      <c r="D16" s="3">
        <v>5740000</v>
      </c>
      <c r="E16" s="4">
        <v>5690000</v>
      </c>
      <c r="F16" s="4">
        <v>5590000</v>
      </c>
      <c r="G16" s="4">
        <v>5690000</v>
      </c>
      <c r="H16" s="4">
        <v>5790000</v>
      </c>
      <c r="I16" s="4">
        <v>5631000</v>
      </c>
    </row>
    <row r="17" spans="1:9" x14ac:dyDescent="0.2">
      <c r="A17" t="s">
        <v>165</v>
      </c>
      <c r="B17" s="4">
        <v>7390000</v>
      </c>
      <c r="C17" s="4">
        <v>7390000</v>
      </c>
      <c r="D17" s="4">
        <v>7240000</v>
      </c>
      <c r="E17" s="4">
        <v>7190000</v>
      </c>
      <c r="F17" s="4">
        <v>7190000</v>
      </c>
      <c r="G17" s="4">
        <v>7190000</v>
      </c>
      <c r="H17" s="4">
        <v>7390000</v>
      </c>
      <c r="I17" s="4" t="s">
        <v>22</v>
      </c>
    </row>
    <row r="18" spans="1:9" x14ac:dyDescent="0.2">
      <c r="A18" t="s">
        <v>166</v>
      </c>
      <c r="B18" s="4">
        <v>6990000</v>
      </c>
      <c r="C18" s="4">
        <v>6890000</v>
      </c>
      <c r="D18" s="4">
        <v>6240000</v>
      </c>
      <c r="E18" s="4">
        <v>6590000</v>
      </c>
      <c r="F18" s="4">
        <v>6490000</v>
      </c>
      <c r="G18" s="4">
        <v>6590000</v>
      </c>
      <c r="H18" s="4">
        <v>6590000</v>
      </c>
      <c r="I18" s="4" t="s">
        <v>22</v>
      </c>
    </row>
    <row r="19" spans="1:9" x14ac:dyDescent="0.2">
      <c r="A19" t="s">
        <v>167</v>
      </c>
      <c r="B19" s="4">
        <v>8390000</v>
      </c>
      <c r="C19" s="4">
        <v>8190000</v>
      </c>
      <c r="D19" s="4">
        <v>7940000</v>
      </c>
      <c r="E19" s="4">
        <v>7990000</v>
      </c>
      <c r="F19" s="4">
        <v>7990000</v>
      </c>
      <c r="G19" s="4">
        <v>7890000</v>
      </c>
      <c r="H19" s="4">
        <v>7890000</v>
      </c>
      <c r="I19" s="4" t="s">
        <v>22</v>
      </c>
    </row>
    <row r="20" spans="1:9" x14ac:dyDescent="0.2">
      <c r="A20" t="s">
        <v>168</v>
      </c>
      <c r="B20" s="4">
        <v>9390000</v>
      </c>
      <c r="C20" s="3">
        <v>9390000</v>
      </c>
      <c r="D20" s="3">
        <v>9340000</v>
      </c>
      <c r="E20" s="4">
        <v>8890000</v>
      </c>
      <c r="F20" s="4">
        <v>8890000</v>
      </c>
      <c r="G20" s="4">
        <v>8690000</v>
      </c>
      <c r="H20" s="4">
        <v>8740000</v>
      </c>
      <c r="I20" s="4">
        <v>9079000</v>
      </c>
    </row>
    <row r="21" spans="1:9" x14ac:dyDescent="0.2">
      <c r="A21" t="s">
        <v>169</v>
      </c>
      <c r="B21" s="3">
        <v>12590000</v>
      </c>
      <c r="C21" s="3">
        <v>12590000</v>
      </c>
      <c r="D21" s="3">
        <v>12290000</v>
      </c>
      <c r="E21" s="4">
        <v>11690000</v>
      </c>
      <c r="F21" s="4">
        <v>12090000</v>
      </c>
      <c r="G21" s="4">
        <v>11890000</v>
      </c>
      <c r="H21" s="4">
        <v>11540000</v>
      </c>
      <c r="I21" s="4" t="s">
        <v>22</v>
      </c>
    </row>
    <row r="22" spans="1:9" x14ac:dyDescent="0.2">
      <c r="A22" t="s">
        <v>170</v>
      </c>
      <c r="B22" s="4">
        <v>10790000</v>
      </c>
      <c r="C22" s="4">
        <v>10790000</v>
      </c>
      <c r="D22" s="4">
        <v>10490000</v>
      </c>
      <c r="E22" s="4">
        <v>10290000</v>
      </c>
      <c r="F22" s="4">
        <v>10490000</v>
      </c>
      <c r="G22" s="4">
        <v>9990000</v>
      </c>
      <c r="H22" s="4">
        <v>9940000</v>
      </c>
      <c r="I22" s="4" t="s">
        <v>22</v>
      </c>
    </row>
    <row r="23" spans="1:9" x14ac:dyDescent="0.2">
      <c r="A23" t="s">
        <v>171</v>
      </c>
      <c r="B23" s="4">
        <v>13690000</v>
      </c>
      <c r="C23" s="4">
        <v>13690000</v>
      </c>
      <c r="D23" s="4">
        <v>13390000</v>
      </c>
      <c r="E23" s="4">
        <v>12190000</v>
      </c>
      <c r="F23" s="4">
        <v>13290000</v>
      </c>
      <c r="G23" s="4">
        <v>12890000</v>
      </c>
      <c r="H23" s="4">
        <v>12640000</v>
      </c>
      <c r="I23" s="4" t="s">
        <v>22</v>
      </c>
    </row>
    <row r="24" spans="1:9" x14ac:dyDescent="0.2">
      <c r="A24" t="s">
        <v>172</v>
      </c>
      <c r="B24" s="4">
        <v>20990000</v>
      </c>
      <c r="C24" s="3">
        <v>21190000</v>
      </c>
      <c r="D24" s="5">
        <v>20890000</v>
      </c>
      <c r="E24" s="4">
        <v>19690000</v>
      </c>
      <c r="F24" s="4">
        <v>20790000</v>
      </c>
      <c r="G24" s="4">
        <v>20890000</v>
      </c>
      <c r="H24" s="4">
        <v>20890000</v>
      </c>
      <c r="I24" s="4" t="s">
        <v>22</v>
      </c>
    </row>
    <row r="25" spans="1:9" x14ac:dyDescent="0.2">
      <c r="A25" t="s">
        <v>53</v>
      </c>
      <c r="B25" s="4">
        <v>5390000</v>
      </c>
      <c r="C25" s="25">
        <v>5650000</v>
      </c>
      <c r="D25" s="4">
        <v>5640000</v>
      </c>
      <c r="E25" s="4">
        <v>5490000</v>
      </c>
      <c r="F25" s="4">
        <v>5450000</v>
      </c>
      <c r="G25" s="4">
        <v>5450000</v>
      </c>
      <c r="H25" s="4">
        <v>5450000</v>
      </c>
      <c r="I25" s="4" t="s">
        <v>22</v>
      </c>
    </row>
    <row r="26" spans="1:9" x14ac:dyDescent="0.2">
      <c r="A26" t="s">
        <v>173</v>
      </c>
      <c r="B26" s="3">
        <v>4090000</v>
      </c>
      <c r="C26" s="3">
        <v>4090000</v>
      </c>
      <c r="D26" s="5">
        <v>4190000</v>
      </c>
      <c r="E26" s="4">
        <v>3990000</v>
      </c>
      <c r="F26" s="4">
        <v>3990000</v>
      </c>
      <c r="G26" s="4">
        <v>3850000</v>
      </c>
      <c r="H26" s="4">
        <v>3950000</v>
      </c>
      <c r="I26" s="4" t="s">
        <v>22</v>
      </c>
    </row>
    <row r="27" spans="1:9" x14ac:dyDescent="0.2">
      <c r="A27" t="s">
        <v>174</v>
      </c>
      <c r="B27" s="4">
        <v>2700000</v>
      </c>
      <c r="C27" s="25">
        <v>2700000</v>
      </c>
      <c r="D27" s="5">
        <v>2690000</v>
      </c>
      <c r="E27" s="4" t="s">
        <v>137</v>
      </c>
      <c r="F27" s="4">
        <v>2690000</v>
      </c>
      <c r="G27" s="4">
        <v>2590000</v>
      </c>
      <c r="H27" s="4">
        <v>2750000</v>
      </c>
      <c r="I27" s="3">
        <v>2567000</v>
      </c>
    </row>
    <row r="28" spans="1:9" x14ac:dyDescent="0.2">
      <c r="A28" t="s">
        <v>175</v>
      </c>
      <c r="B28" s="4">
        <v>18190000</v>
      </c>
      <c r="C28" s="25">
        <v>18190000</v>
      </c>
      <c r="D28" s="5">
        <v>18090000</v>
      </c>
      <c r="F28" s="4">
        <v>17990000</v>
      </c>
      <c r="G28" s="4">
        <v>18190000</v>
      </c>
      <c r="H28" s="3">
        <v>18140000</v>
      </c>
      <c r="I28" s="4">
        <v>17663000</v>
      </c>
    </row>
    <row r="29" spans="1:9" x14ac:dyDescent="0.2">
      <c r="A29" t="s">
        <v>176</v>
      </c>
      <c r="B29" s="3">
        <v>24190000</v>
      </c>
      <c r="C29" s="3">
        <v>24190000</v>
      </c>
      <c r="D29" s="4" t="s">
        <v>22</v>
      </c>
      <c r="F29" s="4">
        <v>24090000</v>
      </c>
      <c r="G29" s="4">
        <v>24590000</v>
      </c>
      <c r="H29" s="3">
        <v>23790000</v>
      </c>
      <c r="I29" s="4">
        <v>24807000</v>
      </c>
    </row>
    <row r="30" spans="1:9" x14ac:dyDescent="0.2">
      <c r="A30" t="s">
        <v>177</v>
      </c>
      <c r="B30" s="4">
        <v>27290000</v>
      </c>
      <c r="C30" s="25">
        <v>27290000</v>
      </c>
      <c r="D30" s="3">
        <v>27190000</v>
      </c>
      <c r="F30" s="4">
        <v>26290000</v>
      </c>
      <c r="G30" s="4">
        <v>26890000</v>
      </c>
      <c r="H30" s="4">
        <v>26840000</v>
      </c>
      <c r="I30" s="4" t="s">
        <v>22</v>
      </c>
    </row>
    <row r="31" spans="1:9" x14ac:dyDescent="0.2">
      <c r="A31" t="s">
        <v>178</v>
      </c>
      <c r="B31" s="3">
        <v>31490000</v>
      </c>
      <c r="C31" s="3">
        <v>31490000</v>
      </c>
      <c r="D31" s="3">
        <v>31190000</v>
      </c>
      <c r="F31" s="4">
        <v>30790000</v>
      </c>
      <c r="G31" s="4">
        <v>31990000</v>
      </c>
      <c r="H31" s="4">
        <v>31490000</v>
      </c>
      <c r="I31" s="4" t="s">
        <v>22</v>
      </c>
    </row>
    <row r="32" spans="1:9" x14ac:dyDescent="0.2">
      <c r="A32" t="s">
        <v>179</v>
      </c>
      <c r="B32" s="4" t="s">
        <v>91</v>
      </c>
      <c r="C32" s="25">
        <v>38490000</v>
      </c>
      <c r="D32" s="4">
        <v>38190000</v>
      </c>
      <c r="F32" s="4">
        <v>37290000</v>
      </c>
      <c r="G32" s="4">
        <v>36990000</v>
      </c>
      <c r="H32" s="4">
        <v>37490000</v>
      </c>
      <c r="I32" s="4" t="s">
        <v>22</v>
      </c>
    </row>
  </sheetData>
  <pageMargins left="0.7" right="0.7" top="0.75" bottom="0.75" header="0.3" footer="0.3"/>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dimension ref="A1:L32"/>
  <sheetViews>
    <sheetView workbookViewId="0">
      <selection activeCell="E2" sqref="E2"/>
    </sheetView>
  </sheetViews>
  <sheetFormatPr baseColWidth="10" defaultColWidth="11" defaultRowHeight="16" x14ac:dyDescent="0.2"/>
  <cols>
    <col min="1" max="1" width="25.33203125" bestFit="1" customWidth="1"/>
  </cols>
  <sheetData>
    <row r="1" spans="1:12" x14ac:dyDescent="0.2">
      <c r="B1" t="s">
        <v>1</v>
      </c>
      <c r="C1" t="s">
        <v>0</v>
      </c>
      <c r="D1" t="s">
        <v>2</v>
      </c>
      <c r="E1" t="s">
        <v>3</v>
      </c>
      <c r="F1" t="s">
        <v>4</v>
      </c>
      <c r="G1" t="s">
        <v>155</v>
      </c>
      <c r="H1" t="s">
        <v>5</v>
      </c>
      <c r="I1" t="s">
        <v>156</v>
      </c>
    </row>
    <row r="2" spans="1:12" x14ac:dyDescent="0.2">
      <c r="A2" t="s">
        <v>25</v>
      </c>
      <c r="B2" s="3">
        <v>18990000</v>
      </c>
      <c r="C2" s="3">
        <v>18990000</v>
      </c>
      <c r="D2" s="3">
        <v>18890000</v>
      </c>
      <c r="E2" s="4">
        <v>18490000</v>
      </c>
      <c r="F2" s="4">
        <v>18590000</v>
      </c>
      <c r="G2" s="4">
        <v>18690000</v>
      </c>
      <c r="H2" s="4">
        <v>18740000</v>
      </c>
      <c r="I2" s="3">
        <v>18023000</v>
      </c>
      <c r="L2" s="26"/>
    </row>
    <row r="3" spans="1:12" x14ac:dyDescent="0.2">
      <c r="A3" t="s">
        <v>26</v>
      </c>
      <c r="B3" s="4">
        <v>22190000</v>
      </c>
      <c r="C3" s="25">
        <v>22190000</v>
      </c>
      <c r="D3" s="5">
        <v>22090000</v>
      </c>
      <c r="E3" s="4">
        <v>21990000</v>
      </c>
      <c r="F3" s="4">
        <v>21590000</v>
      </c>
      <c r="G3" s="3">
        <v>21690000</v>
      </c>
      <c r="H3" s="3">
        <v>21740000</v>
      </c>
      <c r="I3" s="3">
        <v>20783000</v>
      </c>
      <c r="L3" s="26"/>
    </row>
    <row r="4" spans="1:12" x14ac:dyDescent="0.2">
      <c r="A4" t="s">
        <v>157</v>
      </c>
      <c r="B4" s="3">
        <v>24590000</v>
      </c>
      <c r="C4" s="3">
        <v>24590000</v>
      </c>
      <c r="D4" s="3">
        <v>24490000</v>
      </c>
      <c r="E4" s="4">
        <v>23990000</v>
      </c>
      <c r="F4" s="4">
        <v>24190000</v>
      </c>
      <c r="G4" s="4">
        <v>23890000</v>
      </c>
      <c r="H4" s="3">
        <v>23740000</v>
      </c>
      <c r="I4" s="3">
        <v>23819000</v>
      </c>
      <c r="L4" s="26"/>
    </row>
    <row r="5" spans="1:12" x14ac:dyDescent="0.2">
      <c r="A5" t="s">
        <v>158</v>
      </c>
      <c r="B5" s="3">
        <v>29290000</v>
      </c>
      <c r="C5" s="3">
        <v>29290000</v>
      </c>
      <c r="D5" s="5">
        <v>29390000</v>
      </c>
      <c r="E5" s="4">
        <v>28990000</v>
      </c>
      <c r="F5" s="4">
        <v>28590000</v>
      </c>
      <c r="G5" s="3">
        <v>28590000</v>
      </c>
      <c r="H5" s="4">
        <v>28690000</v>
      </c>
      <c r="I5" s="3">
        <v>28443000</v>
      </c>
      <c r="L5" s="26"/>
    </row>
    <row r="6" spans="1:12" x14ac:dyDescent="0.2">
      <c r="A6" t="s">
        <v>92</v>
      </c>
      <c r="B6" s="4">
        <v>19390000</v>
      </c>
      <c r="C6" s="25">
        <v>19390000</v>
      </c>
      <c r="D6" s="5">
        <v>19290000</v>
      </c>
      <c r="E6" s="4">
        <v>19290000</v>
      </c>
      <c r="F6" s="4">
        <v>19190000</v>
      </c>
      <c r="G6" s="4">
        <v>18990000</v>
      </c>
      <c r="H6" s="4">
        <v>19690000</v>
      </c>
      <c r="I6" s="4">
        <v>23021000</v>
      </c>
      <c r="L6" s="26"/>
    </row>
    <row r="7" spans="1:12" x14ac:dyDescent="0.2">
      <c r="A7" t="s">
        <v>27</v>
      </c>
      <c r="B7" s="4">
        <v>16490000</v>
      </c>
      <c r="C7" s="25">
        <v>16490000</v>
      </c>
      <c r="D7" s="5">
        <v>16390000</v>
      </c>
      <c r="E7" s="4">
        <v>16390000</v>
      </c>
      <c r="F7" s="4">
        <v>16390000</v>
      </c>
      <c r="G7" s="3">
        <v>16290000</v>
      </c>
      <c r="H7" s="4">
        <v>16990000</v>
      </c>
      <c r="I7" s="3">
        <v>15539000</v>
      </c>
      <c r="L7" s="26"/>
    </row>
    <row r="8" spans="1:12" x14ac:dyDescent="0.2">
      <c r="A8" t="s">
        <v>28</v>
      </c>
      <c r="B8" s="4">
        <v>13690000</v>
      </c>
      <c r="C8" s="25">
        <v>13690000</v>
      </c>
      <c r="D8" s="5">
        <v>13590000</v>
      </c>
      <c r="E8" s="4">
        <v>13190000</v>
      </c>
      <c r="F8" s="4">
        <v>13390000</v>
      </c>
      <c r="G8" s="4">
        <v>13390000</v>
      </c>
      <c r="H8" s="4">
        <v>13390000</v>
      </c>
      <c r="I8" s="3">
        <v>12779000</v>
      </c>
      <c r="L8" s="26"/>
    </row>
    <row r="9" spans="1:12" x14ac:dyDescent="0.2">
      <c r="A9" t="s">
        <v>98</v>
      </c>
      <c r="B9" s="3">
        <v>11590000</v>
      </c>
      <c r="C9" s="3">
        <v>11590000</v>
      </c>
      <c r="D9" s="3">
        <v>11490000</v>
      </c>
      <c r="E9" s="4">
        <v>11990000</v>
      </c>
      <c r="F9" s="4" t="s">
        <v>22</v>
      </c>
      <c r="G9" s="4">
        <v>11790000</v>
      </c>
      <c r="H9" s="4">
        <v>12290000</v>
      </c>
      <c r="I9" s="4" t="s">
        <v>22</v>
      </c>
      <c r="L9" s="26"/>
    </row>
    <row r="10" spans="1:12" x14ac:dyDescent="0.2">
      <c r="A10" t="s">
        <v>102</v>
      </c>
      <c r="B10" s="4">
        <v>8690000</v>
      </c>
      <c r="C10" s="25">
        <v>8690000</v>
      </c>
      <c r="D10" s="5">
        <v>8640000</v>
      </c>
      <c r="E10" s="4">
        <v>8590000</v>
      </c>
      <c r="F10" s="4">
        <v>8550000</v>
      </c>
      <c r="G10" s="3">
        <v>8490000</v>
      </c>
      <c r="H10" s="3">
        <v>8490000</v>
      </c>
      <c r="I10" s="4" t="s">
        <v>22</v>
      </c>
      <c r="L10" s="26"/>
    </row>
    <row r="11" spans="1:12" x14ac:dyDescent="0.2">
      <c r="A11" t="s">
        <v>159</v>
      </c>
      <c r="B11" s="3">
        <v>21790000</v>
      </c>
      <c r="C11" s="3">
        <v>21190000</v>
      </c>
      <c r="D11" s="5">
        <v>20890000</v>
      </c>
      <c r="E11" s="4">
        <v>19790000</v>
      </c>
      <c r="F11" s="4" t="s">
        <v>22</v>
      </c>
      <c r="G11" s="4">
        <v>19990000</v>
      </c>
      <c r="H11" s="4">
        <v>20790000</v>
      </c>
      <c r="I11" s="4" t="s">
        <v>22</v>
      </c>
      <c r="L11" s="26"/>
    </row>
    <row r="12" spans="1:12" x14ac:dyDescent="0.2">
      <c r="A12" t="s">
        <v>160</v>
      </c>
      <c r="B12" s="3">
        <v>13890000</v>
      </c>
      <c r="C12" s="3">
        <v>13890000</v>
      </c>
      <c r="D12" s="5">
        <v>13990000</v>
      </c>
      <c r="E12" s="4">
        <v>14490000</v>
      </c>
      <c r="F12" s="4">
        <v>14090000</v>
      </c>
      <c r="G12" s="4">
        <v>13990000</v>
      </c>
      <c r="H12" s="4">
        <v>13790000</v>
      </c>
      <c r="I12" s="3">
        <v>13607000</v>
      </c>
      <c r="L12" s="26"/>
    </row>
    <row r="13" spans="1:12" x14ac:dyDescent="0.2">
      <c r="A13" t="s">
        <v>161</v>
      </c>
      <c r="B13" s="3">
        <v>12890000</v>
      </c>
      <c r="C13" s="4">
        <v>12390000</v>
      </c>
      <c r="D13" s="3">
        <v>12290000</v>
      </c>
      <c r="E13" s="4" t="s">
        <v>111</v>
      </c>
      <c r="F13" s="4">
        <v>11990000</v>
      </c>
      <c r="G13" s="4">
        <v>11690000</v>
      </c>
      <c r="H13" s="4">
        <v>11190000</v>
      </c>
      <c r="I13" s="3">
        <v>10939000</v>
      </c>
      <c r="L13" s="26"/>
    </row>
    <row r="14" spans="1:12" x14ac:dyDescent="0.2">
      <c r="A14" t="s">
        <v>162</v>
      </c>
      <c r="B14" s="4">
        <v>10590000</v>
      </c>
      <c r="C14" s="25">
        <v>10590000</v>
      </c>
      <c r="D14" s="5">
        <v>9940000</v>
      </c>
      <c r="E14" s="3">
        <v>9690000</v>
      </c>
      <c r="F14" s="4">
        <v>9590000</v>
      </c>
      <c r="G14" s="4">
        <v>9790000</v>
      </c>
      <c r="H14" s="4">
        <v>9890000</v>
      </c>
      <c r="I14" s="3">
        <v>9191000</v>
      </c>
      <c r="L14" s="26"/>
    </row>
    <row r="15" spans="1:12" x14ac:dyDescent="0.2">
      <c r="A15" t="s">
        <v>163</v>
      </c>
      <c r="B15" s="4">
        <v>7090000</v>
      </c>
      <c r="C15" s="25">
        <v>7090000</v>
      </c>
      <c r="D15" s="5">
        <v>7040000</v>
      </c>
      <c r="E15" s="4">
        <v>6990000</v>
      </c>
      <c r="F15" s="4">
        <v>6890000</v>
      </c>
      <c r="G15" s="3">
        <v>6690000</v>
      </c>
      <c r="H15" s="4">
        <v>6890000</v>
      </c>
      <c r="I15" s="3">
        <v>6707000</v>
      </c>
      <c r="L15" s="26"/>
    </row>
    <row r="16" spans="1:12" x14ac:dyDescent="0.2">
      <c r="A16" t="s">
        <v>164</v>
      </c>
      <c r="B16" s="3">
        <v>5990000</v>
      </c>
      <c r="C16" s="4">
        <v>5990000</v>
      </c>
      <c r="D16" s="3">
        <v>5940000</v>
      </c>
      <c r="E16" s="4">
        <v>5690000</v>
      </c>
      <c r="F16" s="4">
        <v>5590000</v>
      </c>
      <c r="G16" s="4">
        <v>5690000</v>
      </c>
      <c r="H16" s="4">
        <v>5790000</v>
      </c>
      <c r="I16" s="3">
        <v>5511000</v>
      </c>
      <c r="L16" s="26"/>
    </row>
    <row r="17" spans="1:12" x14ac:dyDescent="0.2">
      <c r="A17" t="s">
        <v>165</v>
      </c>
      <c r="B17" s="4">
        <v>7390000</v>
      </c>
      <c r="C17" s="4">
        <v>7390000</v>
      </c>
      <c r="D17" s="5">
        <v>7240000</v>
      </c>
      <c r="E17" s="4">
        <v>7190000</v>
      </c>
      <c r="F17" s="4">
        <v>7190000</v>
      </c>
      <c r="G17" s="4">
        <v>7190000</v>
      </c>
      <c r="H17" s="4">
        <v>7390000</v>
      </c>
      <c r="I17" s="4" t="s">
        <v>22</v>
      </c>
      <c r="L17" s="26"/>
    </row>
    <row r="18" spans="1:12" x14ac:dyDescent="0.2">
      <c r="A18" t="s">
        <v>166</v>
      </c>
      <c r="B18" s="4">
        <v>6990000</v>
      </c>
      <c r="C18" s="3">
        <v>6990000</v>
      </c>
      <c r="D18" s="3">
        <v>6740000</v>
      </c>
      <c r="E18" s="4">
        <v>6590000</v>
      </c>
      <c r="F18" s="4">
        <v>6490000</v>
      </c>
      <c r="G18" s="4">
        <v>6590000</v>
      </c>
      <c r="H18" s="4">
        <v>6590000</v>
      </c>
      <c r="I18" s="4" t="s">
        <v>22</v>
      </c>
      <c r="L18" s="26"/>
    </row>
    <row r="19" spans="1:12" x14ac:dyDescent="0.2">
      <c r="A19" t="s">
        <v>167</v>
      </c>
      <c r="B19" s="3">
        <v>7990000</v>
      </c>
      <c r="C19" s="4">
        <v>8190000</v>
      </c>
      <c r="D19" s="4">
        <v>7940000</v>
      </c>
      <c r="E19" s="4">
        <v>7990000</v>
      </c>
      <c r="F19" s="4">
        <v>7990000</v>
      </c>
      <c r="G19" s="4">
        <v>7890000</v>
      </c>
      <c r="H19" s="4">
        <v>7890000</v>
      </c>
      <c r="I19" s="4" t="s">
        <v>22</v>
      </c>
      <c r="L19" s="26"/>
    </row>
    <row r="20" spans="1:12" x14ac:dyDescent="0.2">
      <c r="A20" t="s">
        <v>168</v>
      </c>
      <c r="B20" s="4">
        <v>9390000</v>
      </c>
      <c r="C20" s="25">
        <v>9390000</v>
      </c>
      <c r="D20" s="5">
        <v>9340000</v>
      </c>
      <c r="E20" s="3">
        <v>8690000</v>
      </c>
      <c r="F20" s="4">
        <v>8490000</v>
      </c>
      <c r="G20" s="4">
        <v>8690000</v>
      </c>
      <c r="H20" s="4">
        <v>8740000</v>
      </c>
      <c r="I20" s="3">
        <v>9099000</v>
      </c>
      <c r="L20" s="26"/>
    </row>
    <row r="21" spans="1:12" x14ac:dyDescent="0.2">
      <c r="A21" t="s">
        <v>169</v>
      </c>
      <c r="B21" s="3">
        <v>12390000</v>
      </c>
      <c r="C21" s="3">
        <v>12390000</v>
      </c>
      <c r="D21" s="5">
        <v>12290000</v>
      </c>
      <c r="E21" s="4">
        <v>11690000</v>
      </c>
      <c r="F21" s="4">
        <v>11790000</v>
      </c>
      <c r="G21" s="4">
        <v>11890000</v>
      </c>
      <c r="H21" s="4">
        <v>11540000</v>
      </c>
      <c r="I21" s="4">
        <v>12690000</v>
      </c>
      <c r="L21" s="26"/>
    </row>
    <row r="22" spans="1:12" x14ac:dyDescent="0.2">
      <c r="A22" t="s">
        <v>170</v>
      </c>
      <c r="B22" s="4">
        <v>10790000</v>
      </c>
      <c r="C22" s="4">
        <v>10790000</v>
      </c>
      <c r="D22" s="4">
        <v>10490000</v>
      </c>
      <c r="E22" s="3">
        <v>9890000</v>
      </c>
      <c r="F22" s="4">
        <v>10190000</v>
      </c>
      <c r="G22" s="4">
        <v>9990000</v>
      </c>
      <c r="H22" s="4">
        <v>9940000</v>
      </c>
      <c r="I22" s="4" t="s">
        <v>22</v>
      </c>
      <c r="L22" s="26"/>
    </row>
    <row r="23" spans="1:12" x14ac:dyDescent="0.2">
      <c r="A23" t="s">
        <v>171</v>
      </c>
      <c r="B23" s="4">
        <v>13690000</v>
      </c>
      <c r="C23" s="4">
        <v>13690000</v>
      </c>
      <c r="D23" s="4">
        <v>13390000</v>
      </c>
      <c r="E23" s="4">
        <v>12190000</v>
      </c>
      <c r="F23" s="4">
        <v>12990000</v>
      </c>
      <c r="G23" s="4">
        <v>12890000</v>
      </c>
      <c r="H23" s="4">
        <v>12640000</v>
      </c>
      <c r="I23" s="4" t="s">
        <v>22</v>
      </c>
      <c r="L23" s="26"/>
    </row>
    <row r="24" spans="1:12" x14ac:dyDescent="0.2">
      <c r="A24" t="s">
        <v>172</v>
      </c>
      <c r="B24" s="4">
        <v>20990000</v>
      </c>
      <c r="C24" s="25">
        <v>21190000</v>
      </c>
      <c r="D24" s="5">
        <v>20890000</v>
      </c>
      <c r="E24" s="4">
        <v>19690000</v>
      </c>
      <c r="F24" s="4">
        <v>19990000</v>
      </c>
      <c r="G24" s="4">
        <v>20890000</v>
      </c>
      <c r="H24" s="4">
        <v>20890000</v>
      </c>
      <c r="I24" s="4" t="s">
        <v>22</v>
      </c>
      <c r="L24" s="26"/>
    </row>
    <row r="25" spans="1:12" x14ac:dyDescent="0.2">
      <c r="A25" t="s">
        <v>53</v>
      </c>
      <c r="B25" s="4">
        <v>5390000</v>
      </c>
      <c r="C25" s="3">
        <v>5590000</v>
      </c>
      <c r="D25" s="3">
        <v>5540000</v>
      </c>
      <c r="E25" s="4">
        <v>5490000</v>
      </c>
      <c r="F25" s="4">
        <v>5450000</v>
      </c>
      <c r="G25" s="4">
        <v>5450000</v>
      </c>
      <c r="H25" s="4">
        <v>5450000</v>
      </c>
      <c r="I25" s="4" t="s">
        <v>22</v>
      </c>
      <c r="L25" s="26"/>
    </row>
    <row r="26" spans="1:12" x14ac:dyDescent="0.2">
      <c r="A26" t="s">
        <v>173</v>
      </c>
      <c r="B26" s="3">
        <v>3990000</v>
      </c>
      <c r="C26" s="3">
        <v>3990000</v>
      </c>
      <c r="D26" s="3">
        <v>3990000</v>
      </c>
      <c r="E26" s="4">
        <v>3990000</v>
      </c>
      <c r="F26" s="4">
        <v>3990000</v>
      </c>
      <c r="G26" s="3">
        <v>3790000</v>
      </c>
      <c r="H26" s="4">
        <v>3950000</v>
      </c>
      <c r="I26" s="3">
        <v>3763000</v>
      </c>
      <c r="L26" s="26"/>
    </row>
    <row r="27" spans="1:12" x14ac:dyDescent="0.2">
      <c r="A27" t="s">
        <v>174</v>
      </c>
      <c r="B27" s="3">
        <v>2690000</v>
      </c>
      <c r="C27" s="3">
        <v>2690000</v>
      </c>
      <c r="D27" s="5">
        <v>2690000</v>
      </c>
      <c r="E27" s="3" t="s">
        <v>180</v>
      </c>
      <c r="F27" s="4">
        <v>2690000</v>
      </c>
      <c r="G27" s="4">
        <v>2590000</v>
      </c>
      <c r="H27" s="4">
        <v>2750000</v>
      </c>
      <c r="I27" s="3">
        <v>2623000</v>
      </c>
      <c r="L27" s="26"/>
    </row>
    <row r="28" spans="1:12" x14ac:dyDescent="0.2">
      <c r="A28" t="s">
        <v>175</v>
      </c>
      <c r="B28" s="3">
        <v>18490000</v>
      </c>
      <c r="C28" s="3">
        <v>18490000</v>
      </c>
      <c r="D28" s="3">
        <v>18390000</v>
      </c>
      <c r="F28" s="4">
        <v>18290000</v>
      </c>
      <c r="G28" s="3">
        <v>17990000</v>
      </c>
      <c r="H28" s="3">
        <v>17940000</v>
      </c>
      <c r="I28" s="3">
        <v>17287000</v>
      </c>
      <c r="L28" s="26"/>
    </row>
    <row r="29" spans="1:12" x14ac:dyDescent="0.2">
      <c r="A29" t="s">
        <v>176</v>
      </c>
      <c r="B29" s="3">
        <v>23990000</v>
      </c>
      <c r="C29" s="3">
        <v>24090000</v>
      </c>
      <c r="D29" s="4">
        <v>23990000</v>
      </c>
      <c r="F29" s="4">
        <v>23790000</v>
      </c>
      <c r="G29" s="3">
        <v>23990000</v>
      </c>
      <c r="H29" s="4">
        <v>23790000</v>
      </c>
      <c r="I29" s="3">
        <v>23435000</v>
      </c>
      <c r="L29" s="26"/>
    </row>
    <row r="30" spans="1:12" x14ac:dyDescent="0.2">
      <c r="A30" t="s">
        <v>177</v>
      </c>
      <c r="B30" s="4">
        <v>27290000</v>
      </c>
      <c r="C30" s="3">
        <v>27890000</v>
      </c>
      <c r="D30" s="5">
        <v>27190000</v>
      </c>
      <c r="F30" s="4">
        <v>26190000</v>
      </c>
      <c r="G30" s="4">
        <v>26890000</v>
      </c>
      <c r="H30" s="4">
        <v>26840000</v>
      </c>
      <c r="I30" s="4" t="s">
        <v>22</v>
      </c>
      <c r="L30" s="26"/>
    </row>
    <row r="31" spans="1:12" x14ac:dyDescent="0.2">
      <c r="A31" t="s">
        <v>178</v>
      </c>
      <c r="B31" s="4">
        <v>31490000</v>
      </c>
      <c r="C31" s="25">
        <v>31490000</v>
      </c>
      <c r="D31" s="5">
        <v>31190000</v>
      </c>
      <c r="F31" s="4">
        <v>30790000</v>
      </c>
      <c r="G31" s="4">
        <v>31990000</v>
      </c>
      <c r="H31" s="4">
        <v>31490000</v>
      </c>
      <c r="I31" s="4" t="s">
        <v>22</v>
      </c>
      <c r="L31" s="26"/>
    </row>
    <row r="32" spans="1:12" x14ac:dyDescent="0.2">
      <c r="A32" t="s">
        <v>179</v>
      </c>
      <c r="B32" s="4" t="s">
        <v>91</v>
      </c>
      <c r="C32" s="3">
        <v>38790000</v>
      </c>
      <c r="D32" s="4">
        <v>38190000</v>
      </c>
      <c r="F32" s="4">
        <v>37290000</v>
      </c>
      <c r="G32" s="4">
        <v>36990000</v>
      </c>
      <c r="H32" s="4">
        <v>37490000</v>
      </c>
      <c r="I32" s="3" t="s">
        <v>22</v>
      </c>
      <c r="L32" s="26"/>
    </row>
  </sheetData>
  <pageMargins left="0.7" right="0.7" top="0.75" bottom="0.75" header="0.3" footer="0.3"/>
  <legacy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dimension ref="A1:I32"/>
  <sheetViews>
    <sheetView workbookViewId="0">
      <selection activeCell="E2" sqref="E2"/>
    </sheetView>
  </sheetViews>
  <sheetFormatPr baseColWidth="10" defaultColWidth="11" defaultRowHeight="16" x14ac:dyDescent="0.2"/>
  <cols>
    <col min="1" max="1" width="25.33203125" bestFit="1" customWidth="1"/>
  </cols>
  <sheetData>
    <row r="1" spans="1:9" x14ac:dyDescent="0.2">
      <c r="B1" t="s">
        <v>1</v>
      </c>
      <c r="C1" t="s">
        <v>0</v>
      </c>
      <c r="D1" t="s">
        <v>2</v>
      </c>
      <c r="E1" t="s">
        <v>3</v>
      </c>
      <c r="F1" t="s">
        <v>4</v>
      </c>
      <c r="G1" t="s">
        <v>155</v>
      </c>
      <c r="H1" t="s">
        <v>5</v>
      </c>
      <c r="I1" t="s">
        <v>156</v>
      </c>
    </row>
    <row r="2" spans="1:9" x14ac:dyDescent="0.2">
      <c r="A2" t="s">
        <v>25</v>
      </c>
      <c r="B2" s="3">
        <v>18800000</v>
      </c>
      <c r="C2" s="25">
        <v>18990000</v>
      </c>
      <c r="D2" s="3">
        <v>18990000</v>
      </c>
      <c r="E2" s="4">
        <v>18490000</v>
      </c>
      <c r="F2" s="4">
        <v>18590000</v>
      </c>
      <c r="G2" s="4">
        <v>18690000</v>
      </c>
      <c r="H2" s="4">
        <v>18740000</v>
      </c>
      <c r="I2" s="3">
        <v>17890000</v>
      </c>
    </row>
    <row r="3" spans="1:9" x14ac:dyDescent="0.2">
      <c r="A3" t="s">
        <v>26</v>
      </c>
      <c r="B3" s="3">
        <v>21990000</v>
      </c>
      <c r="C3" s="25">
        <v>22190000</v>
      </c>
      <c r="D3" s="5">
        <v>22090000</v>
      </c>
      <c r="E3" s="4">
        <v>21990000</v>
      </c>
      <c r="F3" s="4">
        <v>21590000</v>
      </c>
      <c r="G3" s="4">
        <v>21690000</v>
      </c>
      <c r="H3" s="4">
        <v>21740000</v>
      </c>
      <c r="I3" s="3">
        <v>21059000</v>
      </c>
    </row>
    <row r="4" spans="1:9" x14ac:dyDescent="0.2">
      <c r="A4" t="s">
        <v>157</v>
      </c>
      <c r="B4" s="3">
        <v>25490000</v>
      </c>
      <c r="C4" s="3">
        <v>25690000</v>
      </c>
      <c r="D4" s="3">
        <v>24690000</v>
      </c>
      <c r="E4" s="4">
        <v>23990000</v>
      </c>
      <c r="F4" s="4">
        <v>24390000</v>
      </c>
      <c r="G4" s="4">
        <v>23890000</v>
      </c>
      <c r="H4" s="4">
        <v>23740000</v>
      </c>
      <c r="I4" s="4">
        <v>23819000</v>
      </c>
    </row>
    <row r="5" spans="1:9" x14ac:dyDescent="0.2">
      <c r="A5" t="s">
        <v>158</v>
      </c>
      <c r="B5" s="3">
        <v>29390000</v>
      </c>
      <c r="C5" s="3">
        <v>29590000</v>
      </c>
      <c r="D5" s="5">
        <v>29390000</v>
      </c>
      <c r="E5" s="4">
        <v>28990000</v>
      </c>
      <c r="F5" s="4">
        <v>28590000</v>
      </c>
      <c r="G5" s="4">
        <v>28590000</v>
      </c>
      <c r="H5" s="4">
        <v>28690000</v>
      </c>
      <c r="I5" s="3">
        <v>28419000</v>
      </c>
    </row>
    <row r="6" spans="1:9" x14ac:dyDescent="0.2">
      <c r="A6" t="s">
        <v>92</v>
      </c>
      <c r="B6" s="3">
        <v>19196000</v>
      </c>
      <c r="C6" s="25">
        <v>19390000</v>
      </c>
      <c r="D6" s="5">
        <v>19290000</v>
      </c>
      <c r="E6" s="4">
        <v>19290000</v>
      </c>
      <c r="F6" s="4">
        <v>19190000</v>
      </c>
      <c r="G6" s="4">
        <v>18990000</v>
      </c>
      <c r="H6" s="4">
        <v>19690000</v>
      </c>
      <c r="I6" s="4" t="s">
        <v>22</v>
      </c>
    </row>
    <row r="7" spans="1:9" x14ac:dyDescent="0.2">
      <c r="A7" t="s">
        <v>27</v>
      </c>
      <c r="B7" s="3">
        <v>16226000</v>
      </c>
      <c r="C7" s="3">
        <v>16390000</v>
      </c>
      <c r="D7" s="3">
        <v>16290000</v>
      </c>
      <c r="E7" s="4">
        <v>16390000</v>
      </c>
      <c r="F7" s="4">
        <v>16390000</v>
      </c>
      <c r="G7" s="4">
        <v>16290000</v>
      </c>
      <c r="H7" s="4">
        <v>16990000</v>
      </c>
      <c r="I7" s="3">
        <v>15723000</v>
      </c>
    </row>
    <row r="8" spans="1:9" x14ac:dyDescent="0.2">
      <c r="A8" t="s">
        <v>28</v>
      </c>
      <c r="B8" s="3">
        <v>13553000</v>
      </c>
      <c r="C8" s="25">
        <v>13690000</v>
      </c>
      <c r="D8" s="5">
        <v>13590000</v>
      </c>
      <c r="E8" s="4">
        <v>13190000</v>
      </c>
      <c r="F8" s="4">
        <v>13190000</v>
      </c>
      <c r="G8" s="3">
        <v>13190000</v>
      </c>
      <c r="H8" s="3">
        <v>13190000</v>
      </c>
      <c r="I8" s="4">
        <v>12779000</v>
      </c>
    </row>
    <row r="9" spans="1:9" x14ac:dyDescent="0.2">
      <c r="A9" t="s">
        <v>98</v>
      </c>
      <c r="B9" s="3">
        <v>11474000</v>
      </c>
      <c r="C9" s="25">
        <v>11590000</v>
      </c>
      <c r="D9" s="3">
        <v>11490000</v>
      </c>
      <c r="E9" s="4">
        <v>11990000</v>
      </c>
      <c r="F9" s="4" t="s">
        <v>22</v>
      </c>
      <c r="G9" s="4">
        <v>11790000</v>
      </c>
      <c r="H9" s="4">
        <v>12290000</v>
      </c>
      <c r="I9" s="4" t="s">
        <v>22</v>
      </c>
    </row>
    <row r="10" spans="1:9" x14ac:dyDescent="0.2">
      <c r="A10" t="s">
        <v>102</v>
      </c>
      <c r="B10" s="3">
        <v>8603000</v>
      </c>
      <c r="C10" s="25">
        <v>8690000</v>
      </c>
      <c r="D10" s="5">
        <v>8640000</v>
      </c>
      <c r="E10" s="4">
        <v>8590000</v>
      </c>
      <c r="F10" s="4">
        <v>8550000</v>
      </c>
      <c r="G10" s="4">
        <v>8490000</v>
      </c>
      <c r="H10" s="4">
        <v>8490000</v>
      </c>
      <c r="I10" s="4" t="s">
        <v>22</v>
      </c>
    </row>
    <row r="11" spans="1:9" x14ac:dyDescent="0.2">
      <c r="A11" t="s">
        <v>159</v>
      </c>
      <c r="B11" s="3" t="s">
        <v>22</v>
      </c>
      <c r="C11" s="3">
        <v>21990000</v>
      </c>
      <c r="D11" s="5">
        <v>20890000</v>
      </c>
      <c r="E11" s="4">
        <v>19790000</v>
      </c>
      <c r="F11" s="4" t="s">
        <v>22</v>
      </c>
      <c r="G11" s="4">
        <v>19990000</v>
      </c>
      <c r="H11" s="4">
        <v>20790000</v>
      </c>
      <c r="I11" s="4" t="s">
        <v>22</v>
      </c>
    </row>
    <row r="12" spans="1:9" x14ac:dyDescent="0.2">
      <c r="A12" t="s">
        <v>160</v>
      </c>
      <c r="B12" s="3">
        <v>13949000</v>
      </c>
      <c r="C12" s="3">
        <v>14090000</v>
      </c>
      <c r="D12" s="3">
        <v>13790000</v>
      </c>
      <c r="E12" s="4">
        <v>14490000</v>
      </c>
      <c r="F12" s="4">
        <v>14490000</v>
      </c>
      <c r="G12" s="4">
        <v>13990000</v>
      </c>
      <c r="H12" s="4">
        <v>13790000</v>
      </c>
      <c r="I12" s="3">
        <v>13699000</v>
      </c>
    </row>
    <row r="13" spans="1:9" x14ac:dyDescent="0.2">
      <c r="A13" t="s">
        <v>161</v>
      </c>
      <c r="B13" s="3">
        <v>12266000</v>
      </c>
      <c r="C13" s="25">
        <v>12390000</v>
      </c>
      <c r="D13" s="3">
        <v>12290000</v>
      </c>
      <c r="E13" s="4" t="s">
        <v>111</v>
      </c>
      <c r="F13" s="4">
        <v>11990000</v>
      </c>
      <c r="G13" s="4">
        <v>11690000</v>
      </c>
      <c r="H13" s="4">
        <v>11190000</v>
      </c>
      <c r="I13" s="3">
        <v>11031000</v>
      </c>
    </row>
    <row r="14" spans="1:9" x14ac:dyDescent="0.2">
      <c r="A14" t="s">
        <v>162</v>
      </c>
      <c r="B14" s="3">
        <v>10484000</v>
      </c>
      <c r="C14" s="25">
        <v>10590000</v>
      </c>
      <c r="D14" s="5">
        <v>9940000</v>
      </c>
      <c r="E14" s="3">
        <v>9490000</v>
      </c>
      <c r="F14" s="4">
        <v>9590000</v>
      </c>
      <c r="G14" s="4">
        <v>9790000</v>
      </c>
      <c r="H14" s="3">
        <v>9690000</v>
      </c>
      <c r="I14" s="3">
        <v>9283000</v>
      </c>
    </row>
    <row r="15" spans="1:9" x14ac:dyDescent="0.2">
      <c r="A15" t="s">
        <v>163</v>
      </c>
      <c r="B15" s="3">
        <v>7118000</v>
      </c>
      <c r="C15" s="3">
        <v>7190000</v>
      </c>
      <c r="D15" s="5">
        <v>7040000</v>
      </c>
      <c r="E15" s="3">
        <v>6790000</v>
      </c>
      <c r="F15" s="4">
        <v>6790000</v>
      </c>
      <c r="G15" s="3">
        <v>6890000</v>
      </c>
      <c r="H15" s="4">
        <v>6890000</v>
      </c>
      <c r="I15" s="4">
        <v>6707000</v>
      </c>
    </row>
    <row r="16" spans="1:9" x14ac:dyDescent="0.2">
      <c r="A16" t="s">
        <v>164</v>
      </c>
      <c r="B16" s="3">
        <v>5930000</v>
      </c>
      <c r="C16" s="3">
        <v>5790000</v>
      </c>
      <c r="D16" s="3">
        <v>5740000</v>
      </c>
      <c r="E16" s="5">
        <v>5690000</v>
      </c>
      <c r="F16" s="4">
        <v>5590000</v>
      </c>
      <c r="G16" s="4">
        <v>5690000</v>
      </c>
      <c r="H16" s="4">
        <v>5790000</v>
      </c>
      <c r="I16" s="3">
        <v>5503000</v>
      </c>
    </row>
    <row r="17" spans="1:9" x14ac:dyDescent="0.2">
      <c r="A17" t="s">
        <v>165</v>
      </c>
      <c r="B17" s="3">
        <v>7217000</v>
      </c>
      <c r="C17" s="3">
        <v>7290000</v>
      </c>
      <c r="D17" s="5">
        <v>7240000</v>
      </c>
      <c r="E17" s="5">
        <v>7190000</v>
      </c>
      <c r="F17" s="4">
        <v>7190000</v>
      </c>
      <c r="G17" s="4">
        <v>7190000</v>
      </c>
      <c r="H17" s="4">
        <v>7390000</v>
      </c>
      <c r="I17" s="4" t="s">
        <v>22</v>
      </c>
    </row>
    <row r="18" spans="1:9" x14ac:dyDescent="0.2">
      <c r="A18" t="s">
        <v>166</v>
      </c>
      <c r="B18" s="3">
        <v>6821000</v>
      </c>
      <c r="C18" s="3">
        <v>6890000</v>
      </c>
      <c r="D18" s="3">
        <v>6740000</v>
      </c>
      <c r="E18" s="5">
        <v>6590000</v>
      </c>
      <c r="F18" s="4">
        <v>6490000</v>
      </c>
      <c r="G18" s="4">
        <v>6590000</v>
      </c>
      <c r="H18" s="4">
        <v>6590000</v>
      </c>
      <c r="I18" s="4">
        <v>6891000</v>
      </c>
    </row>
    <row r="19" spans="1:9" x14ac:dyDescent="0.2">
      <c r="A19" t="s">
        <v>167</v>
      </c>
      <c r="B19" s="3">
        <v>8009000</v>
      </c>
      <c r="C19" s="3">
        <v>7890000</v>
      </c>
      <c r="D19" s="4">
        <v>7940000</v>
      </c>
      <c r="E19" s="5">
        <v>7990000</v>
      </c>
      <c r="F19" s="4">
        <v>7990000</v>
      </c>
      <c r="G19" s="4">
        <v>7890000</v>
      </c>
      <c r="H19" s="4">
        <v>7890000</v>
      </c>
      <c r="I19" s="4" t="s">
        <v>22</v>
      </c>
    </row>
    <row r="20" spans="1:9" x14ac:dyDescent="0.2">
      <c r="A20" t="s">
        <v>168</v>
      </c>
      <c r="B20" s="3">
        <v>9593000</v>
      </c>
      <c r="C20" s="3">
        <v>9190000</v>
      </c>
      <c r="D20" s="3">
        <v>9040000</v>
      </c>
      <c r="E20" s="5">
        <v>8690000</v>
      </c>
      <c r="F20" s="4">
        <v>8490000</v>
      </c>
      <c r="G20" s="4">
        <v>8690000</v>
      </c>
      <c r="H20" s="3">
        <v>8640000</v>
      </c>
      <c r="I20" s="4">
        <v>9099000</v>
      </c>
    </row>
    <row r="21" spans="1:9" x14ac:dyDescent="0.2">
      <c r="A21" t="s">
        <v>169</v>
      </c>
      <c r="B21" s="3">
        <v>11969000</v>
      </c>
      <c r="C21" s="3">
        <v>12790000</v>
      </c>
      <c r="D21" s="3">
        <v>11990000</v>
      </c>
      <c r="E21" s="5">
        <v>11690000</v>
      </c>
      <c r="F21" s="4">
        <v>11790000</v>
      </c>
      <c r="G21" s="4">
        <v>11890000</v>
      </c>
      <c r="H21" s="4">
        <v>11540000</v>
      </c>
      <c r="I21" s="4" t="s">
        <v>22</v>
      </c>
    </row>
    <row r="22" spans="1:9" x14ac:dyDescent="0.2">
      <c r="A22" t="s">
        <v>170</v>
      </c>
      <c r="B22" s="3">
        <v>10583000</v>
      </c>
      <c r="C22" s="3">
        <v>10690000</v>
      </c>
      <c r="D22" s="4">
        <v>10490000</v>
      </c>
      <c r="E22" s="5">
        <v>9890000</v>
      </c>
      <c r="F22" s="4">
        <v>10190000</v>
      </c>
      <c r="G22" s="4">
        <v>9990000</v>
      </c>
      <c r="H22" s="4">
        <v>9940000</v>
      </c>
      <c r="I22" s="4" t="s">
        <v>22</v>
      </c>
    </row>
    <row r="23" spans="1:9" x14ac:dyDescent="0.2">
      <c r="A23" t="s">
        <v>171</v>
      </c>
      <c r="B23" s="4">
        <v>13690000</v>
      </c>
      <c r="C23" s="4">
        <v>13690000</v>
      </c>
      <c r="D23" s="4">
        <v>13390000</v>
      </c>
      <c r="E23" s="5">
        <v>12190000</v>
      </c>
      <c r="F23" s="4">
        <v>12990000</v>
      </c>
      <c r="G23" s="4">
        <v>12890000</v>
      </c>
      <c r="H23" s="4">
        <v>12640000</v>
      </c>
      <c r="I23" s="4" t="s">
        <v>22</v>
      </c>
    </row>
    <row r="24" spans="1:9" x14ac:dyDescent="0.2">
      <c r="A24" t="s">
        <v>172</v>
      </c>
      <c r="B24" s="3">
        <v>20590000</v>
      </c>
      <c r="C24" s="3">
        <v>21090000</v>
      </c>
      <c r="D24" s="5">
        <v>20890000</v>
      </c>
      <c r="E24" s="5">
        <v>19690000</v>
      </c>
      <c r="F24" s="4">
        <v>19990000</v>
      </c>
      <c r="G24" s="4">
        <v>20890000</v>
      </c>
      <c r="H24" s="4">
        <v>20890000</v>
      </c>
      <c r="I24" s="4" t="s">
        <v>22</v>
      </c>
    </row>
    <row r="25" spans="1:9" x14ac:dyDescent="0.2">
      <c r="A25" t="s">
        <v>53</v>
      </c>
      <c r="B25" s="27">
        <v>5390000</v>
      </c>
      <c r="C25" s="25">
        <v>5590000</v>
      </c>
      <c r="D25" s="5">
        <v>5540000</v>
      </c>
      <c r="E25" s="5">
        <v>5490000</v>
      </c>
      <c r="F25" s="4">
        <v>5450000</v>
      </c>
      <c r="G25" s="4">
        <v>5450000</v>
      </c>
      <c r="H25" s="4">
        <v>5450000</v>
      </c>
      <c r="I25" s="4" t="s">
        <v>22</v>
      </c>
    </row>
    <row r="26" spans="1:9" x14ac:dyDescent="0.2">
      <c r="A26" t="s">
        <v>173</v>
      </c>
      <c r="B26" s="3">
        <v>3890000</v>
      </c>
      <c r="C26" s="3">
        <v>3890000</v>
      </c>
      <c r="D26" s="5">
        <v>3990000</v>
      </c>
      <c r="E26" s="5">
        <v>3990000</v>
      </c>
      <c r="F26" s="4">
        <v>3990000</v>
      </c>
      <c r="G26" s="4">
        <v>3790000</v>
      </c>
      <c r="H26" s="4">
        <v>3950000</v>
      </c>
      <c r="I26" s="4" t="s">
        <v>22</v>
      </c>
    </row>
    <row r="27" spans="1:9" x14ac:dyDescent="0.2">
      <c r="A27" t="s">
        <v>174</v>
      </c>
      <c r="B27" s="28">
        <v>2690000</v>
      </c>
      <c r="C27" s="25">
        <v>2690000</v>
      </c>
      <c r="D27" s="5">
        <v>2690000</v>
      </c>
      <c r="E27" s="5" t="s">
        <v>180</v>
      </c>
      <c r="F27" s="4">
        <v>2690000</v>
      </c>
      <c r="G27" s="4">
        <v>2590000</v>
      </c>
      <c r="H27" s="3">
        <v>2690000</v>
      </c>
      <c r="I27" s="3">
        <v>2790000</v>
      </c>
    </row>
    <row r="28" spans="1:9" x14ac:dyDescent="0.2">
      <c r="A28" t="s">
        <v>175</v>
      </c>
      <c r="B28" s="28">
        <v>18490000</v>
      </c>
      <c r="C28" s="25">
        <v>18490000</v>
      </c>
      <c r="D28" s="5">
        <v>18390000</v>
      </c>
      <c r="F28" s="4">
        <v>18290000</v>
      </c>
      <c r="G28" s="3">
        <v>18190000</v>
      </c>
      <c r="H28" s="4">
        <v>17940000</v>
      </c>
      <c r="I28" s="4">
        <v>17287000</v>
      </c>
    </row>
    <row r="29" spans="1:9" x14ac:dyDescent="0.2">
      <c r="A29" t="s">
        <v>176</v>
      </c>
      <c r="B29" s="3">
        <v>23790000</v>
      </c>
      <c r="C29" s="3">
        <v>23990000</v>
      </c>
      <c r="D29" s="4">
        <v>23890000</v>
      </c>
      <c r="F29" s="4">
        <v>23690000</v>
      </c>
      <c r="G29" s="4">
        <v>23990000</v>
      </c>
      <c r="H29" s="3">
        <v>23490000</v>
      </c>
      <c r="I29" s="3">
        <v>23635000</v>
      </c>
    </row>
    <row r="30" spans="1:9" x14ac:dyDescent="0.2">
      <c r="A30" t="s">
        <v>177</v>
      </c>
      <c r="B30" s="3">
        <v>27090000</v>
      </c>
      <c r="C30" s="3">
        <v>27290000</v>
      </c>
      <c r="D30" s="5">
        <v>27190000</v>
      </c>
      <c r="F30" s="4">
        <v>26190000</v>
      </c>
      <c r="G30" s="4">
        <v>26890000</v>
      </c>
      <c r="H30" s="4">
        <v>26840000</v>
      </c>
      <c r="I30" s="4" t="s">
        <v>22</v>
      </c>
    </row>
    <row r="31" spans="1:9" x14ac:dyDescent="0.2">
      <c r="A31" t="s">
        <v>178</v>
      </c>
      <c r="B31" s="3">
        <v>31290000</v>
      </c>
      <c r="C31" s="25">
        <v>31490000</v>
      </c>
      <c r="D31" s="5">
        <v>31190000</v>
      </c>
      <c r="F31" s="4">
        <v>30790000</v>
      </c>
      <c r="G31" s="4">
        <v>31990000</v>
      </c>
      <c r="H31" s="4">
        <v>31490000</v>
      </c>
      <c r="I31" s="4" t="s">
        <v>22</v>
      </c>
    </row>
    <row r="32" spans="1:9" x14ac:dyDescent="0.2">
      <c r="A32" t="s">
        <v>179</v>
      </c>
      <c r="B32" s="4" t="s">
        <v>91</v>
      </c>
      <c r="C32" s="3">
        <v>38490000</v>
      </c>
      <c r="D32" s="4">
        <v>38190000</v>
      </c>
      <c r="F32" s="4">
        <v>37290000</v>
      </c>
      <c r="G32" s="4">
        <v>36990000</v>
      </c>
      <c r="H32" s="4">
        <v>37490000</v>
      </c>
      <c r="I32" s="4" t="s">
        <v>22</v>
      </c>
    </row>
  </sheetData>
  <pageMargins left="0.7" right="0.7" top="0.75" bottom="0.75" header="0.3" footer="0.3"/>
  <legacy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dimension ref="A1:N32"/>
  <sheetViews>
    <sheetView workbookViewId="0">
      <selection activeCell="E2" sqref="E2"/>
    </sheetView>
  </sheetViews>
  <sheetFormatPr baseColWidth="10" defaultColWidth="11" defaultRowHeight="16" x14ac:dyDescent="0.2"/>
  <cols>
    <col min="1" max="1" width="25.33203125" bestFit="1" customWidth="1"/>
  </cols>
  <sheetData>
    <row r="1" spans="1:9" x14ac:dyDescent="0.2">
      <c r="B1" t="s">
        <v>1</v>
      </c>
      <c r="C1" t="s">
        <v>0</v>
      </c>
      <c r="D1" t="s">
        <v>2</v>
      </c>
      <c r="E1" t="s">
        <v>3</v>
      </c>
      <c r="F1" t="s">
        <v>4</v>
      </c>
      <c r="G1" t="s">
        <v>155</v>
      </c>
      <c r="H1" t="s">
        <v>5</v>
      </c>
      <c r="I1" t="s">
        <v>156</v>
      </c>
    </row>
    <row r="2" spans="1:9" x14ac:dyDescent="0.2">
      <c r="A2" t="s">
        <v>25</v>
      </c>
      <c r="B2" s="3">
        <v>18998000</v>
      </c>
      <c r="C2" s="3">
        <v>19190000</v>
      </c>
      <c r="D2" s="3">
        <v>19090000</v>
      </c>
      <c r="E2" s="3">
        <v>18990000</v>
      </c>
      <c r="F2" s="3">
        <v>18790000</v>
      </c>
      <c r="G2" s="4">
        <v>18690000</v>
      </c>
      <c r="H2" s="4">
        <v>18740000</v>
      </c>
      <c r="I2" s="3">
        <v>18023000</v>
      </c>
    </row>
    <row r="3" spans="1:9" x14ac:dyDescent="0.2">
      <c r="A3" t="s">
        <v>26</v>
      </c>
      <c r="B3" s="3">
        <v>21790000</v>
      </c>
      <c r="C3" s="3">
        <v>21990000</v>
      </c>
      <c r="D3" s="3">
        <v>21990000</v>
      </c>
      <c r="E3" s="4">
        <v>21990000</v>
      </c>
      <c r="F3" s="3">
        <v>21490000</v>
      </c>
      <c r="G3" s="3">
        <v>21790000</v>
      </c>
      <c r="H3" s="4">
        <v>21740000</v>
      </c>
      <c r="I3" s="3">
        <v>20783000</v>
      </c>
    </row>
    <row r="4" spans="1:9" x14ac:dyDescent="0.2">
      <c r="A4" t="s">
        <v>157</v>
      </c>
      <c r="B4" s="3">
        <v>25990000</v>
      </c>
      <c r="C4" s="3">
        <v>26190000</v>
      </c>
      <c r="D4" s="3">
        <v>25590000</v>
      </c>
      <c r="E4" s="3">
        <v>24490000</v>
      </c>
      <c r="F4" s="3">
        <v>24890000</v>
      </c>
      <c r="G4" s="3">
        <v>24090000</v>
      </c>
      <c r="H4" s="4">
        <v>24290000</v>
      </c>
      <c r="I4" s="3">
        <v>23490000</v>
      </c>
    </row>
    <row r="5" spans="1:9" x14ac:dyDescent="0.2">
      <c r="A5" t="s">
        <v>158</v>
      </c>
      <c r="B5" s="3">
        <v>29590000</v>
      </c>
      <c r="C5" s="3">
        <v>29790000</v>
      </c>
      <c r="D5" s="5">
        <v>29390000</v>
      </c>
      <c r="E5" s="3">
        <v>29990000</v>
      </c>
      <c r="F5" s="3">
        <v>28890000</v>
      </c>
      <c r="G5" s="3">
        <v>28690000</v>
      </c>
      <c r="H5" s="4">
        <v>28890000</v>
      </c>
      <c r="I5" s="3">
        <v>28490000</v>
      </c>
    </row>
    <row r="6" spans="1:9" x14ac:dyDescent="0.2">
      <c r="A6" t="s">
        <v>92</v>
      </c>
      <c r="B6" s="28">
        <v>19196000</v>
      </c>
      <c r="C6" s="3">
        <v>19390000</v>
      </c>
      <c r="D6" s="5">
        <v>19290000</v>
      </c>
      <c r="E6" s="3">
        <v>19490000</v>
      </c>
      <c r="F6" s="4">
        <v>19190000</v>
      </c>
      <c r="G6" s="4">
        <v>18990000</v>
      </c>
      <c r="H6" s="3">
        <v>18990000</v>
      </c>
      <c r="I6" s="4">
        <v>23031000</v>
      </c>
    </row>
    <row r="7" spans="1:9" x14ac:dyDescent="0.2">
      <c r="A7" t="s">
        <v>27</v>
      </c>
      <c r="B7" s="3">
        <v>17414000</v>
      </c>
      <c r="C7" s="3">
        <v>17590000</v>
      </c>
      <c r="D7" s="3">
        <v>17090000</v>
      </c>
      <c r="E7" s="4">
        <v>16390000</v>
      </c>
      <c r="F7" s="3">
        <v>16590000</v>
      </c>
      <c r="G7" s="4">
        <v>16290000</v>
      </c>
      <c r="H7" s="4">
        <v>16290000</v>
      </c>
      <c r="I7" s="4">
        <v>15723000</v>
      </c>
    </row>
    <row r="8" spans="1:9" x14ac:dyDescent="0.2">
      <c r="A8" t="s">
        <v>28</v>
      </c>
      <c r="B8" s="3">
        <v>13454000</v>
      </c>
      <c r="C8" s="3">
        <v>13590000</v>
      </c>
      <c r="D8" s="3">
        <v>13690000</v>
      </c>
      <c r="E8" s="3">
        <v>13490000</v>
      </c>
      <c r="F8" s="4">
        <v>13190000</v>
      </c>
      <c r="G8" s="4">
        <v>13190000</v>
      </c>
      <c r="H8" s="4">
        <v>13390000</v>
      </c>
      <c r="I8" s="3">
        <v>12687000</v>
      </c>
    </row>
    <row r="9" spans="1:9" x14ac:dyDescent="0.2">
      <c r="A9" t="s">
        <v>98</v>
      </c>
      <c r="B9" s="4">
        <v>11474000</v>
      </c>
      <c r="C9" s="3">
        <v>11590000</v>
      </c>
      <c r="D9" s="5">
        <v>11490000</v>
      </c>
      <c r="E9" s="3">
        <v>11490000</v>
      </c>
      <c r="F9" s="4" t="s">
        <v>22</v>
      </c>
      <c r="G9" s="4">
        <v>11790000</v>
      </c>
      <c r="H9" s="4">
        <v>12290000</v>
      </c>
      <c r="I9" s="4" t="s">
        <v>22</v>
      </c>
    </row>
    <row r="10" spans="1:9" x14ac:dyDescent="0.2">
      <c r="A10" t="s">
        <v>102</v>
      </c>
      <c r="B10" s="4">
        <v>8603000</v>
      </c>
      <c r="C10" s="3">
        <v>8680000</v>
      </c>
      <c r="D10" s="5">
        <v>8640000</v>
      </c>
      <c r="E10" s="3">
        <v>8790000</v>
      </c>
      <c r="F10" s="4">
        <v>8550000</v>
      </c>
      <c r="G10" s="3">
        <v>8590000</v>
      </c>
      <c r="H10" s="4">
        <v>8490000</v>
      </c>
      <c r="I10" s="4" t="s">
        <v>22</v>
      </c>
    </row>
    <row r="11" spans="1:9" x14ac:dyDescent="0.2">
      <c r="A11" t="s">
        <v>159</v>
      </c>
      <c r="B11" s="4" t="s">
        <v>22</v>
      </c>
      <c r="C11" s="3" t="s">
        <v>22</v>
      </c>
      <c r="D11" s="5">
        <v>20890000</v>
      </c>
      <c r="E11" s="4" t="s">
        <v>91</v>
      </c>
      <c r="F11" s="4" t="s">
        <v>22</v>
      </c>
      <c r="G11" s="4">
        <v>19990000</v>
      </c>
      <c r="H11" s="4">
        <v>20790000</v>
      </c>
      <c r="I11" s="4" t="s">
        <v>22</v>
      </c>
    </row>
    <row r="12" spans="1:9" x14ac:dyDescent="0.2">
      <c r="A12" t="s">
        <v>160</v>
      </c>
      <c r="B12" s="4">
        <v>13949000</v>
      </c>
      <c r="C12" s="3">
        <v>14090000</v>
      </c>
      <c r="D12" s="3">
        <v>13990000</v>
      </c>
      <c r="E12" s="3">
        <v>14290000</v>
      </c>
      <c r="F12" s="4">
        <v>14490000</v>
      </c>
      <c r="G12" s="4">
        <v>13990000</v>
      </c>
      <c r="H12" s="4">
        <v>14290000</v>
      </c>
      <c r="I12" s="3">
        <v>13515000</v>
      </c>
    </row>
    <row r="13" spans="1:9" x14ac:dyDescent="0.2">
      <c r="A13" t="s">
        <v>161</v>
      </c>
      <c r="B13" s="4">
        <v>12266000</v>
      </c>
      <c r="C13" s="3">
        <v>12390000</v>
      </c>
      <c r="D13" s="3">
        <v>12690000</v>
      </c>
      <c r="E13" s="4" t="s">
        <v>111</v>
      </c>
      <c r="F13" s="3">
        <v>12190000</v>
      </c>
      <c r="G13" s="4">
        <v>11690000</v>
      </c>
      <c r="H13" s="4">
        <v>12190000</v>
      </c>
      <c r="I13" s="4">
        <v>11031000</v>
      </c>
    </row>
    <row r="14" spans="1:9" x14ac:dyDescent="0.2">
      <c r="A14" t="s">
        <v>162</v>
      </c>
      <c r="B14" s="3">
        <v>10187000</v>
      </c>
      <c r="C14" s="3">
        <v>10290000</v>
      </c>
      <c r="D14" s="5">
        <v>9940000</v>
      </c>
      <c r="E14" s="3">
        <v>9690000</v>
      </c>
      <c r="F14" s="4">
        <v>9590000</v>
      </c>
      <c r="G14" s="3">
        <v>9490000</v>
      </c>
      <c r="H14" s="4">
        <v>9690000</v>
      </c>
      <c r="I14" s="3">
        <v>9391000</v>
      </c>
    </row>
    <row r="15" spans="1:9" ht="17" customHeight="1" x14ac:dyDescent="0.2">
      <c r="A15" t="s">
        <v>163</v>
      </c>
      <c r="B15" s="4">
        <v>7118000</v>
      </c>
      <c r="C15" s="3">
        <v>7190000</v>
      </c>
      <c r="D15" s="3">
        <v>7140000</v>
      </c>
      <c r="E15" s="3">
        <v>6990000</v>
      </c>
      <c r="F15" s="4">
        <v>6790000</v>
      </c>
      <c r="G15" s="4">
        <v>6890000</v>
      </c>
      <c r="H15" s="4">
        <v>6890000</v>
      </c>
      <c r="I15" s="3">
        <v>6561000</v>
      </c>
    </row>
    <row r="16" spans="1:9" x14ac:dyDescent="0.2">
      <c r="A16" t="s">
        <v>164</v>
      </c>
      <c r="B16" s="4">
        <v>5930000</v>
      </c>
      <c r="C16" s="3">
        <v>5790000</v>
      </c>
      <c r="D16" s="5">
        <v>5740000</v>
      </c>
      <c r="E16" s="4">
        <v>5690000</v>
      </c>
      <c r="F16" s="3">
        <v>5690000</v>
      </c>
      <c r="G16" s="4">
        <v>5690000</v>
      </c>
      <c r="H16" s="4">
        <v>5790000</v>
      </c>
      <c r="I16" s="3">
        <v>5083000</v>
      </c>
    </row>
    <row r="17" spans="1:14" x14ac:dyDescent="0.2">
      <c r="A17" t="s">
        <v>165</v>
      </c>
      <c r="B17" s="4">
        <v>7217000</v>
      </c>
      <c r="C17" s="3">
        <v>7290000</v>
      </c>
      <c r="D17" s="5">
        <v>7240000</v>
      </c>
      <c r="E17" s="4">
        <v>7190000</v>
      </c>
      <c r="F17" s="4">
        <v>7190000</v>
      </c>
      <c r="G17" s="4">
        <v>7190000</v>
      </c>
      <c r="H17" s="4">
        <v>7390000</v>
      </c>
      <c r="I17" s="4" t="s">
        <v>22</v>
      </c>
    </row>
    <row r="18" spans="1:14" x14ac:dyDescent="0.2">
      <c r="A18" t="s">
        <v>166</v>
      </c>
      <c r="B18" s="4">
        <v>6821000</v>
      </c>
      <c r="C18" s="3">
        <v>6890000</v>
      </c>
      <c r="D18" s="5">
        <v>6740000</v>
      </c>
      <c r="E18" s="4">
        <v>6590000</v>
      </c>
      <c r="F18" s="4">
        <v>6490000</v>
      </c>
      <c r="G18" s="4">
        <v>6590000</v>
      </c>
      <c r="H18" s="4">
        <v>6590000</v>
      </c>
      <c r="I18" s="3">
        <v>6577000</v>
      </c>
    </row>
    <row r="19" spans="1:14" x14ac:dyDescent="0.2">
      <c r="A19" t="s">
        <v>167</v>
      </c>
      <c r="B19" s="4">
        <v>8009000</v>
      </c>
      <c r="C19" s="3">
        <v>8090000</v>
      </c>
      <c r="D19" s="4">
        <v>7940000</v>
      </c>
      <c r="E19" s="4">
        <v>7990000</v>
      </c>
      <c r="F19" s="4">
        <v>7990000</v>
      </c>
      <c r="G19" s="4">
        <v>7890000</v>
      </c>
      <c r="H19" s="4">
        <v>7890000</v>
      </c>
      <c r="I19" s="4" t="s">
        <v>22</v>
      </c>
    </row>
    <row r="20" spans="1:14" x14ac:dyDescent="0.2">
      <c r="A20" t="s">
        <v>168</v>
      </c>
      <c r="B20" s="4">
        <v>9593000</v>
      </c>
      <c r="C20" s="3">
        <v>9190000</v>
      </c>
      <c r="D20" s="5">
        <v>9040000</v>
      </c>
      <c r="E20" s="4">
        <v>8690000</v>
      </c>
      <c r="F20" s="4">
        <v>8490000</v>
      </c>
      <c r="G20" s="4">
        <v>8690000</v>
      </c>
      <c r="H20" s="4">
        <v>8890000</v>
      </c>
      <c r="I20" s="3">
        <v>9209000</v>
      </c>
      <c r="N20" s="29"/>
    </row>
    <row r="21" spans="1:14" x14ac:dyDescent="0.2">
      <c r="A21" t="s">
        <v>169</v>
      </c>
      <c r="B21" s="4">
        <v>11969000</v>
      </c>
      <c r="C21" s="3">
        <v>12090000</v>
      </c>
      <c r="D21" s="5">
        <v>11990000</v>
      </c>
      <c r="E21" s="4">
        <v>11690000</v>
      </c>
      <c r="F21" s="4">
        <v>11790000</v>
      </c>
      <c r="G21" s="4">
        <v>11890000</v>
      </c>
      <c r="H21" s="4">
        <v>11540000</v>
      </c>
      <c r="I21" s="4" t="s">
        <v>22</v>
      </c>
    </row>
    <row r="22" spans="1:14" x14ac:dyDescent="0.2">
      <c r="A22" t="s">
        <v>170</v>
      </c>
      <c r="B22" s="4">
        <v>10583000</v>
      </c>
      <c r="C22" s="3">
        <v>10490000</v>
      </c>
      <c r="D22" s="4">
        <v>10490000</v>
      </c>
      <c r="E22" s="4">
        <v>9890000</v>
      </c>
      <c r="F22" s="4">
        <v>10190000</v>
      </c>
      <c r="G22" s="4">
        <v>9990000</v>
      </c>
      <c r="H22" s="4">
        <v>9940000</v>
      </c>
      <c r="I22" s="4" t="s">
        <v>22</v>
      </c>
    </row>
    <row r="23" spans="1:14" x14ac:dyDescent="0.2">
      <c r="A23" t="s">
        <v>171</v>
      </c>
      <c r="B23" s="4">
        <v>13690000</v>
      </c>
      <c r="C23" s="3">
        <v>13690000</v>
      </c>
      <c r="D23" s="4">
        <v>13390000</v>
      </c>
      <c r="E23" s="4">
        <v>12190000</v>
      </c>
      <c r="F23" s="4">
        <v>12990000</v>
      </c>
      <c r="G23" s="4">
        <v>12890000</v>
      </c>
      <c r="H23" s="4">
        <v>12640000</v>
      </c>
      <c r="I23" s="4" t="s">
        <v>22</v>
      </c>
    </row>
    <row r="24" spans="1:14" x14ac:dyDescent="0.2">
      <c r="A24" t="s">
        <v>172</v>
      </c>
      <c r="B24" s="3">
        <v>20790000</v>
      </c>
      <c r="C24" s="3">
        <v>20990000</v>
      </c>
      <c r="D24" s="5">
        <v>20890000</v>
      </c>
      <c r="E24" s="4">
        <v>19990000</v>
      </c>
      <c r="F24" s="4">
        <v>19990000</v>
      </c>
      <c r="G24" s="4">
        <v>20890000</v>
      </c>
      <c r="H24" s="4">
        <v>20890000</v>
      </c>
      <c r="I24" s="4" t="s">
        <v>22</v>
      </c>
    </row>
    <row r="25" spans="1:14" x14ac:dyDescent="0.2">
      <c r="A25" t="s">
        <v>53</v>
      </c>
      <c r="B25" s="27">
        <v>5390000</v>
      </c>
      <c r="C25" s="25">
        <v>5590000</v>
      </c>
      <c r="D25" s="5">
        <v>5540000</v>
      </c>
      <c r="E25" s="3">
        <v>5290000</v>
      </c>
      <c r="F25" s="4">
        <v>5450000</v>
      </c>
      <c r="G25" s="4">
        <v>5450000</v>
      </c>
      <c r="H25" s="4">
        <v>5450000</v>
      </c>
      <c r="I25" s="4" t="s">
        <v>22</v>
      </c>
    </row>
    <row r="26" spans="1:14" x14ac:dyDescent="0.2">
      <c r="A26" t="s">
        <v>173</v>
      </c>
      <c r="B26" s="3">
        <v>4090000</v>
      </c>
      <c r="C26" s="3">
        <v>4090000</v>
      </c>
      <c r="D26" s="3">
        <v>4090000</v>
      </c>
      <c r="E26" s="3">
        <v>3790000</v>
      </c>
      <c r="F26" s="3">
        <v>3850000</v>
      </c>
      <c r="G26" s="4">
        <v>3790000</v>
      </c>
      <c r="H26" s="4">
        <v>3950000</v>
      </c>
      <c r="I26" s="4" t="s">
        <v>22</v>
      </c>
    </row>
    <row r="27" spans="1:14" x14ac:dyDescent="0.2">
      <c r="A27" t="s">
        <v>174</v>
      </c>
      <c r="B27" s="4">
        <v>2690000</v>
      </c>
      <c r="C27" s="25">
        <v>2690000</v>
      </c>
      <c r="D27" s="5">
        <v>2690000</v>
      </c>
      <c r="E27" s="4" t="s">
        <v>180</v>
      </c>
      <c r="F27" s="4">
        <v>2690000</v>
      </c>
      <c r="G27" s="4">
        <v>2590000</v>
      </c>
      <c r="H27" s="4">
        <v>2690000</v>
      </c>
      <c r="I27" s="3">
        <v>2511000</v>
      </c>
    </row>
    <row r="28" spans="1:14" x14ac:dyDescent="0.2">
      <c r="A28" t="s">
        <v>175</v>
      </c>
      <c r="B28" s="3">
        <v>18800000</v>
      </c>
      <c r="C28" s="3">
        <v>18990000</v>
      </c>
      <c r="D28" s="3">
        <v>18690000</v>
      </c>
      <c r="F28" s="3">
        <v>18490000</v>
      </c>
      <c r="G28" s="4">
        <v>18190000</v>
      </c>
      <c r="H28" s="4">
        <v>17940000</v>
      </c>
      <c r="I28" s="4">
        <v>17287000</v>
      </c>
    </row>
    <row r="29" spans="1:14" x14ac:dyDescent="0.2">
      <c r="A29" t="s">
        <v>176</v>
      </c>
      <c r="B29" s="4">
        <v>2379000</v>
      </c>
      <c r="C29" s="3">
        <v>23890000</v>
      </c>
      <c r="D29" s="3">
        <v>23990000</v>
      </c>
      <c r="F29" s="3">
        <v>23890000</v>
      </c>
      <c r="G29" s="4">
        <v>23990000</v>
      </c>
      <c r="H29" s="4">
        <v>23990000</v>
      </c>
      <c r="I29" s="3">
        <v>23490000</v>
      </c>
    </row>
    <row r="30" spans="1:14" x14ac:dyDescent="0.2">
      <c r="A30" t="s">
        <v>177</v>
      </c>
      <c r="B30" s="3">
        <v>26918000</v>
      </c>
      <c r="C30" s="3">
        <v>27190000</v>
      </c>
      <c r="D30" s="5">
        <v>27190000</v>
      </c>
      <c r="F30" s="3">
        <v>26390000</v>
      </c>
      <c r="G30" s="4">
        <v>26890000</v>
      </c>
      <c r="H30" s="4">
        <v>26840000</v>
      </c>
      <c r="I30" s="4" t="s">
        <v>22</v>
      </c>
    </row>
    <row r="31" spans="1:14" x14ac:dyDescent="0.2">
      <c r="A31" t="s">
        <v>178</v>
      </c>
      <c r="B31" s="4">
        <v>31290000</v>
      </c>
      <c r="C31" s="3">
        <v>31490000</v>
      </c>
      <c r="D31" s="5">
        <v>31190000</v>
      </c>
      <c r="F31" s="4">
        <v>30790000</v>
      </c>
      <c r="G31" s="4">
        <v>31990000</v>
      </c>
      <c r="H31" s="4">
        <v>31490000</v>
      </c>
      <c r="I31" s="4" t="s">
        <v>22</v>
      </c>
    </row>
    <row r="32" spans="1:14" x14ac:dyDescent="0.2">
      <c r="A32" t="s">
        <v>179</v>
      </c>
      <c r="B32" s="4" t="s">
        <v>91</v>
      </c>
      <c r="C32" s="3">
        <v>38490000</v>
      </c>
      <c r="D32" s="4">
        <v>38190000</v>
      </c>
      <c r="F32" s="3">
        <v>37490000</v>
      </c>
      <c r="G32" s="4">
        <v>36990000</v>
      </c>
      <c r="H32" s="4">
        <v>37490000</v>
      </c>
      <c r="I32" s="4" t="s">
        <v>22</v>
      </c>
    </row>
  </sheetData>
  <pageMargins left="0.7" right="0.7" top="0.75" bottom="0.75" header="0.3" footer="0.3"/>
  <legacy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dimension ref="A1:I32"/>
  <sheetViews>
    <sheetView workbookViewId="0">
      <selection activeCell="E2" sqref="E2"/>
    </sheetView>
  </sheetViews>
  <sheetFormatPr baseColWidth="10" defaultColWidth="11" defaultRowHeight="16" x14ac:dyDescent="0.2"/>
  <cols>
    <col min="1" max="1" width="25.33203125" bestFit="1" customWidth="1"/>
  </cols>
  <sheetData>
    <row r="1" spans="1:9" x14ac:dyDescent="0.2">
      <c r="B1" t="s">
        <v>1</v>
      </c>
      <c r="C1" t="s">
        <v>0</v>
      </c>
      <c r="D1" t="s">
        <v>2</v>
      </c>
      <c r="E1" t="s">
        <v>3</v>
      </c>
      <c r="F1" t="s">
        <v>4</v>
      </c>
      <c r="G1" t="s">
        <v>155</v>
      </c>
      <c r="H1" t="s">
        <v>5</v>
      </c>
      <c r="I1" t="s">
        <v>156</v>
      </c>
    </row>
    <row r="2" spans="1:9" x14ac:dyDescent="0.2">
      <c r="A2" t="s">
        <v>25</v>
      </c>
      <c r="B2" s="3">
        <v>19493000</v>
      </c>
      <c r="C2" s="3">
        <v>19690000</v>
      </c>
      <c r="D2" s="3">
        <v>19590000</v>
      </c>
      <c r="E2" s="4">
        <v>18990000</v>
      </c>
      <c r="F2" s="3">
        <v>21790000</v>
      </c>
      <c r="G2" s="4">
        <v>18690000</v>
      </c>
      <c r="H2" s="4">
        <v>18740000</v>
      </c>
      <c r="I2" s="3">
        <v>18697000</v>
      </c>
    </row>
    <row r="3" spans="1:9" x14ac:dyDescent="0.2">
      <c r="A3" t="s">
        <v>26</v>
      </c>
      <c r="B3" s="3">
        <v>22190000</v>
      </c>
      <c r="C3" s="3">
        <v>22390000</v>
      </c>
      <c r="D3" s="3">
        <v>22290000</v>
      </c>
      <c r="E3" s="4">
        <v>21990000</v>
      </c>
      <c r="F3" s="3">
        <v>21790000</v>
      </c>
      <c r="G3" s="4">
        <v>21790000</v>
      </c>
      <c r="H3" s="4">
        <v>21740000</v>
      </c>
      <c r="I3" s="3">
        <v>21329000</v>
      </c>
    </row>
    <row r="4" spans="1:9" x14ac:dyDescent="0.2">
      <c r="A4" t="s">
        <v>157</v>
      </c>
      <c r="B4" s="3">
        <v>25690000</v>
      </c>
      <c r="C4" s="3">
        <v>25890000</v>
      </c>
      <c r="D4" s="5">
        <v>25590000</v>
      </c>
      <c r="E4" s="4">
        <v>24490000</v>
      </c>
      <c r="F4" s="3">
        <v>24690000</v>
      </c>
      <c r="G4" s="4">
        <v>24090000</v>
      </c>
      <c r="H4" s="4">
        <v>24290000</v>
      </c>
      <c r="I4" s="3">
        <v>24337000</v>
      </c>
    </row>
    <row r="5" spans="1:9" x14ac:dyDescent="0.2">
      <c r="A5" t="s">
        <v>158</v>
      </c>
      <c r="B5" s="3">
        <v>29790000</v>
      </c>
      <c r="C5" s="3">
        <v>29990000</v>
      </c>
      <c r="D5" s="3">
        <v>29690000</v>
      </c>
      <c r="E5" s="4">
        <v>29990000</v>
      </c>
      <c r="F5" s="3">
        <v>28990000</v>
      </c>
      <c r="G5" s="3">
        <v>28890000</v>
      </c>
      <c r="H5" s="4">
        <v>28890000</v>
      </c>
      <c r="I5" s="3">
        <v>28943000</v>
      </c>
    </row>
    <row r="6" spans="1:9" x14ac:dyDescent="0.2">
      <c r="A6" t="s">
        <v>92</v>
      </c>
      <c r="B6" s="3">
        <v>19592000</v>
      </c>
      <c r="C6" s="3">
        <v>19590000</v>
      </c>
      <c r="D6" s="3">
        <v>19490000</v>
      </c>
      <c r="E6" s="4">
        <v>19490000</v>
      </c>
      <c r="F6" s="4">
        <v>19190000</v>
      </c>
      <c r="G6" s="4">
        <v>18990000</v>
      </c>
      <c r="H6" s="4">
        <v>18990000</v>
      </c>
      <c r="I6" s="4" t="s">
        <v>22</v>
      </c>
    </row>
    <row r="7" spans="1:9" x14ac:dyDescent="0.2">
      <c r="A7" t="s">
        <v>27</v>
      </c>
      <c r="B7" s="3">
        <v>17513000</v>
      </c>
      <c r="C7" s="3">
        <v>17690000</v>
      </c>
      <c r="D7" s="3">
        <v>17590000</v>
      </c>
      <c r="E7" s="4">
        <v>16390000</v>
      </c>
      <c r="F7" s="3">
        <v>16890000</v>
      </c>
      <c r="G7" s="4">
        <v>16290000</v>
      </c>
      <c r="H7" s="4">
        <v>16290000</v>
      </c>
      <c r="I7" s="4" t="s">
        <v>22</v>
      </c>
    </row>
    <row r="8" spans="1:9" x14ac:dyDescent="0.2">
      <c r="A8" t="s">
        <v>28</v>
      </c>
      <c r="B8" s="3">
        <v>13949000</v>
      </c>
      <c r="C8" s="3">
        <v>14090000</v>
      </c>
      <c r="D8" s="3">
        <v>13990000</v>
      </c>
      <c r="E8" s="4">
        <v>13490000</v>
      </c>
      <c r="F8" s="3">
        <v>13390000</v>
      </c>
      <c r="G8" s="4">
        <v>13190000</v>
      </c>
      <c r="H8" s="4">
        <v>13390000</v>
      </c>
      <c r="I8" s="3">
        <v>13057000</v>
      </c>
    </row>
    <row r="9" spans="1:9" x14ac:dyDescent="0.2">
      <c r="A9" t="s">
        <v>98</v>
      </c>
      <c r="B9" s="3">
        <v>11870000</v>
      </c>
      <c r="C9" s="3">
        <v>11990000</v>
      </c>
      <c r="D9" s="3">
        <v>11990000</v>
      </c>
      <c r="E9" s="4">
        <v>11490000</v>
      </c>
      <c r="F9" s="4" t="s">
        <v>22</v>
      </c>
      <c r="G9" s="4">
        <v>11790000</v>
      </c>
      <c r="H9" s="4">
        <v>12290000</v>
      </c>
      <c r="I9" s="4" t="s">
        <v>22</v>
      </c>
    </row>
    <row r="10" spans="1:9" x14ac:dyDescent="0.2">
      <c r="A10" t="s">
        <v>102</v>
      </c>
      <c r="B10" s="3">
        <v>8504000</v>
      </c>
      <c r="C10" s="3">
        <v>8590000</v>
      </c>
      <c r="D10" s="3">
        <v>8590000</v>
      </c>
      <c r="E10" s="4">
        <v>8790000</v>
      </c>
      <c r="F10" s="3">
        <v>8490000</v>
      </c>
      <c r="G10" s="3">
        <v>8390000</v>
      </c>
      <c r="H10" s="4">
        <v>8490000</v>
      </c>
      <c r="I10" s="4" t="s">
        <v>22</v>
      </c>
    </row>
    <row r="11" spans="1:9" x14ac:dyDescent="0.2">
      <c r="A11" t="s">
        <v>159</v>
      </c>
      <c r="B11" s="4" t="s">
        <v>22</v>
      </c>
      <c r="C11" s="25" t="s">
        <v>22</v>
      </c>
      <c r="D11" s="5">
        <v>20990000</v>
      </c>
      <c r="E11" s="4" t="s">
        <v>91</v>
      </c>
      <c r="F11" s="4" t="s">
        <v>22</v>
      </c>
      <c r="G11" s="4">
        <v>19990000</v>
      </c>
      <c r="H11" s="4">
        <v>20790000</v>
      </c>
      <c r="I11" s="4" t="s">
        <v>22</v>
      </c>
    </row>
    <row r="12" spans="1:9" x14ac:dyDescent="0.2">
      <c r="A12" t="s">
        <v>160</v>
      </c>
      <c r="B12" s="4">
        <v>13949000</v>
      </c>
      <c r="C12" s="25">
        <v>14090000</v>
      </c>
      <c r="D12" s="3">
        <v>14090000</v>
      </c>
      <c r="E12" s="4">
        <v>14290000</v>
      </c>
      <c r="F12" s="3">
        <v>14790000</v>
      </c>
      <c r="G12" s="4">
        <v>13990000</v>
      </c>
      <c r="H12" s="4">
        <v>14290000</v>
      </c>
      <c r="I12" s="3">
        <v>13903000</v>
      </c>
    </row>
    <row r="13" spans="1:9" x14ac:dyDescent="0.2">
      <c r="A13" t="s">
        <v>161</v>
      </c>
      <c r="B13" s="3" t="s">
        <v>22</v>
      </c>
      <c r="C13" s="25">
        <v>12390000</v>
      </c>
      <c r="D13" s="3">
        <v>12790000</v>
      </c>
      <c r="E13" s="4" t="s">
        <v>111</v>
      </c>
      <c r="F13" s="3">
        <v>12490000</v>
      </c>
      <c r="G13" s="4">
        <v>11690000</v>
      </c>
      <c r="H13" s="4">
        <v>12190000</v>
      </c>
      <c r="I13" s="4" t="s">
        <v>22</v>
      </c>
    </row>
    <row r="14" spans="1:9" x14ac:dyDescent="0.2">
      <c r="A14" t="s">
        <v>162</v>
      </c>
      <c r="B14" s="3">
        <v>9890000</v>
      </c>
      <c r="C14" s="3">
        <v>9990000</v>
      </c>
      <c r="D14" s="3">
        <v>9990000</v>
      </c>
      <c r="E14" s="4">
        <v>9690000</v>
      </c>
      <c r="F14" s="4">
        <v>9590000</v>
      </c>
      <c r="G14" s="4">
        <v>9490000</v>
      </c>
      <c r="H14" s="4">
        <v>9690000</v>
      </c>
      <c r="I14" s="3">
        <v>9485000</v>
      </c>
    </row>
    <row r="15" spans="1:9" x14ac:dyDescent="0.2">
      <c r="A15" t="s">
        <v>163</v>
      </c>
      <c r="B15" s="3">
        <v>7019000</v>
      </c>
      <c r="C15" s="3">
        <v>7090000</v>
      </c>
      <c r="D15" s="3">
        <v>7140000</v>
      </c>
      <c r="E15" s="4">
        <v>6990000</v>
      </c>
      <c r="F15" s="3">
        <v>6750000</v>
      </c>
      <c r="G15" s="4">
        <v>6890000</v>
      </c>
      <c r="H15" s="4">
        <v>6890000</v>
      </c>
      <c r="I15" s="3">
        <v>6853000</v>
      </c>
    </row>
    <row r="16" spans="1:9" x14ac:dyDescent="0.2">
      <c r="A16" t="s">
        <v>164</v>
      </c>
      <c r="B16" s="3">
        <v>6128000</v>
      </c>
      <c r="C16" s="3">
        <v>5990000</v>
      </c>
      <c r="D16" s="3">
        <v>5790000</v>
      </c>
      <c r="E16" s="3">
        <v>5990000</v>
      </c>
      <c r="F16" s="3">
        <v>5790000</v>
      </c>
      <c r="G16" s="4">
        <v>5690000</v>
      </c>
      <c r="H16" s="4">
        <v>5790000</v>
      </c>
      <c r="I16" s="4">
        <v>5083000</v>
      </c>
    </row>
    <row r="17" spans="1:9" x14ac:dyDescent="0.2">
      <c r="A17" t="s">
        <v>165</v>
      </c>
      <c r="B17" s="3">
        <v>7415000</v>
      </c>
      <c r="C17" s="3">
        <v>7490000</v>
      </c>
      <c r="D17" s="3">
        <v>7290000</v>
      </c>
      <c r="E17" s="3">
        <v>7490000</v>
      </c>
      <c r="F17" s="4">
        <v>7190000</v>
      </c>
      <c r="G17" s="4">
        <v>7190000</v>
      </c>
      <c r="H17" s="4">
        <v>7390000</v>
      </c>
      <c r="I17" s="4" t="s">
        <v>22</v>
      </c>
    </row>
    <row r="18" spans="1:9" x14ac:dyDescent="0.2">
      <c r="A18" t="s">
        <v>166</v>
      </c>
      <c r="B18" s="3">
        <v>7019000</v>
      </c>
      <c r="C18" s="25">
        <v>6890000</v>
      </c>
      <c r="D18" s="3">
        <v>6790000</v>
      </c>
      <c r="E18" s="3">
        <v>6790000</v>
      </c>
      <c r="F18" s="3">
        <v>6690000</v>
      </c>
      <c r="G18" s="4">
        <v>6590000</v>
      </c>
      <c r="H18" s="4">
        <v>6590000</v>
      </c>
      <c r="I18" s="3">
        <v>6665000</v>
      </c>
    </row>
    <row r="19" spans="1:9" x14ac:dyDescent="0.2">
      <c r="A19" t="s">
        <v>167</v>
      </c>
      <c r="B19" s="3">
        <v>8207000</v>
      </c>
      <c r="C19" s="3">
        <v>7990000</v>
      </c>
      <c r="D19" s="3">
        <v>7990000</v>
      </c>
      <c r="E19" s="3">
        <v>8190000</v>
      </c>
      <c r="F19" s="3">
        <v>8090000</v>
      </c>
      <c r="G19" s="4">
        <v>7890000</v>
      </c>
      <c r="H19" s="4">
        <v>7890000</v>
      </c>
      <c r="I19" s="4" t="s">
        <v>22</v>
      </c>
    </row>
    <row r="20" spans="1:9" x14ac:dyDescent="0.2">
      <c r="A20" t="s">
        <v>168</v>
      </c>
      <c r="B20" s="3">
        <v>9692000</v>
      </c>
      <c r="C20" s="3">
        <v>9890000</v>
      </c>
      <c r="D20" s="3">
        <v>9090000</v>
      </c>
      <c r="E20" s="3">
        <v>9790000</v>
      </c>
      <c r="F20" s="3">
        <v>8690000</v>
      </c>
      <c r="G20" s="4">
        <v>8690000</v>
      </c>
      <c r="H20" s="4">
        <v>8890000</v>
      </c>
      <c r="I20" s="3">
        <v>8899000</v>
      </c>
    </row>
    <row r="21" spans="1:9" x14ac:dyDescent="0.2">
      <c r="A21" t="s">
        <v>169</v>
      </c>
      <c r="B21" s="3">
        <v>12167000</v>
      </c>
      <c r="C21" s="3">
        <v>12290000</v>
      </c>
      <c r="D21" s="3">
        <v>12090000</v>
      </c>
      <c r="E21" s="3">
        <v>12490000</v>
      </c>
      <c r="F21" s="3">
        <v>11890000</v>
      </c>
      <c r="G21" s="4">
        <v>11890000</v>
      </c>
      <c r="H21" s="4">
        <v>11540000</v>
      </c>
      <c r="I21" s="4" t="s">
        <v>22</v>
      </c>
    </row>
    <row r="22" spans="1:9" x14ac:dyDescent="0.2">
      <c r="A22" t="s">
        <v>170</v>
      </c>
      <c r="B22" s="3">
        <v>10781000</v>
      </c>
      <c r="C22" s="3">
        <v>10890000</v>
      </c>
      <c r="D22" s="3">
        <v>10590000</v>
      </c>
      <c r="E22" s="3">
        <v>10590000</v>
      </c>
      <c r="F22" s="4">
        <v>10190000</v>
      </c>
      <c r="G22" s="4">
        <v>9990000</v>
      </c>
      <c r="H22" s="4">
        <v>9940000</v>
      </c>
      <c r="I22" s="4" t="s">
        <v>22</v>
      </c>
    </row>
    <row r="23" spans="1:9" x14ac:dyDescent="0.2">
      <c r="A23" t="s">
        <v>171</v>
      </c>
      <c r="B23" s="4">
        <v>13690000</v>
      </c>
      <c r="C23" s="3">
        <v>13790000</v>
      </c>
      <c r="D23" s="3">
        <v>13490000</v>
      </c>
      <c r="E23" s="3">
        <v>13190000</v>
      </c>
      <c r="F23" s="4">
        <v>12990000</v>
      </c>
      <c r="G23" s="4">
        <v>12890000</v>
      </c>
      <c r="H23" s="4">
        <v>12640000</v>
      </c>
      <c r="I23" s="4" t="s">
        <v>22</v>
      </c>
    </row>
    <row r="24" spans="1:9" x14ac:dyDescent="0.2">
      <c r="A24" t="s">
        <v>172</v>
      </c>
      <c r="B24" s="3">
        <v>21090000</v>
      </c>
      <c r="C24" s="3">
        <v>21190000</v>
      </c>
      <c r="D24" s="3">
        <v>20990000</v>
      </c>
      <c r="E24" s="4">
        <v>19990000</v>
      </c>
      <c r="F24" s="4">
        <v>19990000</v>
      </c>
      <c r="G24" s="4">
        <v>20890000</v>
      </c>
      <c r="H24" s="4">
        <v>20890000</v>
      </c>
      <c r="I24" s="4" t="s">
        <v>22</v>
      </c>
    </row>
    <row r="25" spans="1:9" x14ac:dyDescent="0.2">
      <c r="A25" t="s">
        <v>53</v>
      </c>
      <c r="B25" s="3">
        <v>5435000</v>
      </c>
      <c r="C25" s="3">
        <v>5690000</v>
      </c>
      <c r="D25" s="3">
        <v>5690000</v>
      </c>
      <c r="E25" s="3">
        <v>5690000</v>
      </c>
      <c r="F25" s="4">
        <v>5450000</v>
      </c>
      <c r="G25" s="4">
        <v>5450000</v>
      </c>
      <c r="H25" s="4">
        <v>5450000</v>
      </c>
      <c r="I25" s="4" t="s">
        <v>22</v>
      </c>
    </row>
    <row r="26" spans="1:9" x14ac:dyDescent="0.2">
      <c r="A26" t="s">
        <v>173</v>
      </c>
      <c r="B26" s="4">
        <v>4090000</v>
      </c>
      <c r="C26" s="3">
        <v>4090000</v>
      </c>
      <c r="D26" s="5">
        <v>4090000</v>
      </c>
      <c r="E26" s="3">
        <v>4090000</v>
      </c>
      <c r="F26" s="4">
        <v>3850000</v>
      </c>
      <c r="G26" s="4">
        <v>3790000</v>
      </c>
      <c r="H26" s="4">
        <v>3950000</v>
      </c>
      <c r="I26" s="4" t="s">
        <v>22</v>
      </c>
    </row>
    <row r="27" spans="1:9" x14ac:dyDescent="0.2">
      <c r="A27" t="s">
        <v>174</v>
      </c>
      <c r="B27" s="3">
        <v>2790000</v>
      </c>
      <c r="C27" s="3">
        <v>2790000</v>
      </c>
      <c r="D27" s="3">
        <v>2790000</v>
      </c>
      <c r="E27" s="4" t="s">
        <v>180</v>
      </c>
      <c r="F27" s="4">
        <v>2690000</v>
      </c>
      <c r="G27" s="4">
        <v>2590000</v>
      </c>
      <c r="H27" s="4">
        <v>2690000</v>
      </c>
      <c r="I27" s="3">
        <v>2623000</v>
      </c>
    </row>
    <row r="28" spans="1:9" x14ac:dyDescent="0.2">
      <c r="A28" t="s">
        <v>175</v>
      </c>
      <c r="B28" s="3">
        <v>19097000</v>
      </c>
      <c r="C28" s="3">
        <v>19290000</v>
      </c>
      <c r="D28" s="3">
        <v>18990000</v>
      </c>
      <c r="F28" s="3">
        <v>18690000</v>
      </c>
      <c r="G28" s="4">
        <v>18190000</v>
      </c>
      <c r="H28" s="4">
        <v>18190000</v>
      </c>
      <c r="I28" s="4">
        <v>17851000</v>
      </c>
    </row>
    <row r="29" spans="1:9" x14ac:dyDescent="0.2">
      <c r="A29" t="s">
        <v>176</v>
      </c>
      <c r="B29" s="3">
        <v>24190000</v>
      </c>
      <c r="C29" s="3">
        <v>24390000</v>
      </c>
      <c r="D29" s="3">
        <v>24390000</v>
      </c>
      <c r="F29" s="3">
        <v>24190000</v>
      </c>
      <c r="G29" s="4">
        <v>23990000</v>
      </c>
      <c r="H29" s="4">
        <v>23990000</v>
      </c>
      <c r="I29" s="3">
        <v>23051000</v>
      </c>
    </row>
    <row r="30" spans="1:9" x14ac:dyDescent="0.2">
      <c r="A30" t="s">
        <v>177</v>
      </c>
      <c r="B30" s="3">
        <v>27590000</v>
      </c>
      <c r="C30" s="3">
        <v>27790000</v>
      </c>
      <c r="D30" s="3">
        <v>27490000</v>
      </c>
      <c r="F30" s="3">
        <v>26290000</v>
      </c>
      <c r="G30" s="4">
        <v>26890000</v>
      </c>
      <c r="H30" s="4">
        <v>26840000</v>
      </c>
      <c r="I30" s="4" t="s">
        <v>22</v>
      </c>
    </row>
    <row r="31" spans="1:9" x14ac:dyDescent="0.2">
      <c r="A31" t="s">
        <v>178</v>
      </c>
      <c r="B31" s="3">
        <v>31490000</v>
      </c>
      <c r="C31" s="3">
        <v>31690000</v>
      </c>
      <c r="D31" s="3">
        <v>31490000</v>
      </c>
      <c r="F31" s="4">
        <v>30790000</v>
      </c>
      <c r="G31" s="4">
        <v>31990000</v>
      </c>
      <c r="H31" s="4">
        <v>31490000</v>
      </c>
      <c r="I31" s="4" t="s">
        <v>22</v>
      </c>
    </row>
    <row r="32" spans="1:9" x14ac:dyDescent="0.2">
      <c r="A32" t="s">
        <v>179</v>
      </c>
      <c r="B32" s="4" t="s">
        <v>91</v>
      </c>
      <c r="C32" s="3">
        <v>38890000</v>
      </c>
      <c r="D32" s="3">
        <v>38490000</v>
      </c>
      <c r="F32" s="3">
        <v>37690000</v>
      </c>
      <c r="G32" s="4">
        <v>36990000</v>
      </c>
      <c r="H32" s="4">
        <v>37490000</v>
      </c>
      <c r="I32" s="4" t="s">
        <v>22</v>
      </c>
    </row>
  </sheetData>
  <pageMargins left="0.7" right="0.7" top="0.75" bottom="0.75" header="0.3" footer="0.3"/>
  <legacy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L153"/>
  <sheetViews>
    <sheetView zoomScale="80" zoomScaleNormal="80" workbookViewId="0">
      <pane xSplit="2" ySplit="1" topLeftCell="C24" activePane="bottomRight" state="frozen"/>
      <selection pane="topRight" activeCell="C1" sqref="C1"/>
      <selection pane="bottomLeft" activeCell="A2" sqref="A2"/>
      <selection pane="bottomRight" activeCell="C1" sqref="C1"/>
    </sheetView>
  </sheetViews>
  <sheetFormatPr baseColWidth="10" defaultColWidth="11" defaultRowHeight="16" x14ac:dyDescent="0.2"/>
  <cols>
    <col min="1" max="1" width="27.5" bestFit="1" customWidth="1"/>
    <col min="2" max="2" width="0" hidden="1"/>
    <col min="3" max="3" width="10.1640625" bestFit="1" customWidth="1"/>
    <col min="4" max="4" width="11.1640625" bestFit="1" customWidth="1"/>
    <col min="5" max="6" width="10.1640625" bestFit="1" customWidth="1"/>
    <col min="7" max="7" width="13" customWidth="1"/>
    <col min="8" max="8" width="12.1640625" customWidth="1"/>
  </cols>
  <sheetData>
    <row r="1" spans="1:12" x14ac:dyDescent="0.2">
      <c r="B1" s="46" t="s">
        <v>0</v>
      </c>
      <c r="C1" s="80" t="s">
        <v>1</v>
      </c>
      <c r="D1" s="80" t="s">
        <v>2</v>
      </c>
      <c r="E1" s="81" t="s">
        <v>3</v>
      </c>
      <c r="F1" s="81" t="s">
        <v>4</v>
      </c>
      <c r="G1" s="81" t="s">
        <v>5</v>
      </c>
    </row>
    <row r="2" spans="1:12" x14ac:dyDescent="0.2">
      <c r="A2" t="s">
        <v>17</v>
      </c>
      <c r="B2" s="82"/>
      <c r="C2" s="67">
        <v>24990000</v>
      </c>
      <c r="D2" s="67">
        <v>24990000</v>
      </c>
      <c r="E2" s="71">
        <v>24490000</v>
      </c>
      <c r="F2" s="39">
        <v>24990000</v>
      </c>
      <c r="G2" s="39">
        <v>24990000</v>
      </c>
    </row>
    <row r="3" spans="1:12" x14ac:dyDescent="0.2">
      <c r="A3" t="s">
        <v>18</v>
      </c>
      <c r="B3" s="82"/>
      <c r="C3" s="67">
        <v>30990000</v>
      </c>
      <c r="D3" s="75">
        <v>30390000</v>
      </c>
      <c r="E3" s="25">
        <v>29990000</v>
      </c>
      <c r="F3" s="37">
        <v>30890000</v>
      </c>
      <c r="G3" s="37">
        <v>30290000</v>
      </c>
      <c r="H3" s="26">
        <v>-400</v>
      </c>
    </row>
    <row r="4" spans="1:12" x14ac:dyDescent="0.2">
      <c r="A4" t="s">
        <v>19</v>
      </c>
      <c r="B4" s="82"/>
      <c r="C4" s="67">
        <v>34990000</v>
      </c>
      <c r="D4" s="75">
        <v>34790000</v>
      </c>
      <c r="E4" s="71">
        <v>33990000</v>
      </c>
      <c r="F4" s="37">
        <v>33990000</v>
      </c>
      <c r="G4" s="37">
        <v>34290000</v>
      </c>
      <c r="H4" s="26">
        <v>-200</v>
      </c>
    </row>
    <row r="5" spans="1:12" x14ac:dyDescent="0.2">
      <c r="A5" t="s">
        <v>20</v>
      </c>
      <c r="B5" s="82"/>
      <c r="C5" s="67">
        <v>37990000</v>
      </c>
      <c r="D5" s="67">
        <v>37990000</v>
      </c>
      <c r="E5" s="71">
        <v>37490000</v>
      </c>
      <c r="F5" s="39">
        <v>37990000</v>
      </c>
      <c r="G5" s="37">
        <v>37490000</v>
      </c>
      <c r="H5" s="26">
        <v>-200</v>
      </c>
    </row>
    <row r="6" spans="1:12" x14ac:dyDescent="0.2">
      <c r="A6" t="s">
        <v>21</v>
      </c>
      <c r="B6" s="82"/>
      <c r="C6" s="66">
        <v>14990000</v>
      </c>
      <c r="D6" s="67">
        <v>14990000</v>
      </c>
      <c r="E6" s="71">
        <v>12490000</v>
      </c>
      <c r="F6" s="39">
        <v>16990000</v>
      </c>
      <c r="G6" s="39">
        <v>15190000</v>
      </c>
      <c r="H6" s="26"/>
    </row>
    <row r="7" spans="1:12" x14ac:dyDescent="0.2">
      <c r="A7" t="s">
        <v>181</v>
      </c>
      <c r="B7" s="70"/>
      <c r="C7" s="68">
        <v>21290000</v>
      </c>
      <c r="D7" s="72">
        <v>20690000</v>
      </c>
      <c r="E7" s="25">
        <v>20990000</v>
      </c>
      <c r="F7" s="37">
        <v>20590000</v>
      </c>
      <c r="G7" s="39">
        <v>20990000</v>
      </c>
      <c r="H7" s="26"/>
    </row>
    <row r="8" spans="1:12" x14ac:dyDescent="0.2">
      <c r="A8" t="s">
        <v>24</v>
      </c>
      <c r="B8" s="3"/>
      <c r="C8" s="52">
        <v>24990000</v>
      </c>
      <c r="D8" s="63">
        <v>24690000</v>
      </c>
      <c r="E8" s="25">
        <v>24190000</v>
      </c>
      <c r="F8" s="39">
        <v>24590000</v>
      </c>
      <c r="G8" s="37">
        <v>24490000</v>
      </c>
      <c r="H8" s="26">
        <v>500</v>
      </c>
    </row>
    <row r="9" spans="1:12" x14ac:dyDescent="0.2">
      <c r="A9" t="s">
        <v>182</v>
      </c>
      <c r="B9" s="25"/>
      <c r="C9" s="39" t="s">
        <v>22</v>
      </c>
      <c r="D9" s="39">
        <v>25590000</v>
      </c>
      <c r="E9" s="25">
        <v>24990000</v>
      </c>
      <c r="F9" s="39">
        <v>25590000</v>
      </c>
      <c r="G9" s="39">
        <v>24990000</v>
      </c>
      <c r="H9" s="26"/>
    </row>
    <row r="10" spans="1:12" x14ac:dyDescent="0.2">
      <c r="A10" t="s">
        <v>183</v>
      </c>
      <c r="B10" s="3"/>
      <c r="C10" s="52">
        <v>30590000</v>
      </c>
      <c r="D10" s="61">
        <v>29990000</v>
      </c>
      <c r="E10" s="25">
        <v>29690000</v>
      </c>
      <c r="F10" s="37">
        <v>29890000</v>
      </c>
      <c r="G10" s="37">
        <v>29690000</v>
      </c>
      <c r="H10" s="26">
        <v>-200</v>
      </c>
    </row>
    <row r="11" spans="1:12" x14ac:dyDescent="0.2">
      <c r="A11" t="s">
        <v>25</v>
      </c>
      <c r="B11" s="25"/>
      <c r="C11" s="52">
        <v>17290000</v>
      </c>
      <c r="D11" s="61">
        <v>16090000</v>
      </c>
      <c r="E11" s="25">
        <v>16790000</v>
      </c>
      <c r="F11" s="37">
        <v>16890000</v>
      </c>
      <c r="G11" s="39">
        <v>16590000</v>
      </c>
      <c r="H11" s="26"/>
    </row>
    <row r="12" spans="1:12" x14ac:dyDescent="0.2">
      <c r="A12" t="s">
        <v>26</v>
      </c>
      <c r="B12" s="25"/>
      <c r="C12" s="52">
        <v>19590000</v>
      </c>
      <c r="D12" s="63" t="s">
        <v>22</v>
      </c>
      <c r="E12" s="25">
        <v>18490000</v>
      </c>
      <c r="F12" s="39">
        <v>17690000</v>
      </c>
      <c r="G12" s="39">
        <v>18490000</v>
      </c>
      <c r="H12" s="26"/>
    </row>
    <row r="13" spans="1:12" x14ac:dyDescent="0.2">
      <c r="A13" t="s">
        <v>27</v>
      </c>
      <c r="B13" s="25"/>
      <c r="C13" s="52">
        <v>13990000</v>
      </c>
      <c r="D13" s="61">
        <v>13490000</v>
      </c>
      <c r="E13" s="25">
        <v>13390000</v>
      </c>
      <c r="F13" s="37">
        <v>13390000</v>
      </c>
      <c r="G13" s="39">
        <v>13490000</v>
      </c>
      <c r="H13" s="26"/>
    </row>
    <row r="14" spans="1:12" x14ac:dyDescent="0.2">
      <c r="A14" t="s">
        <v>28</v>
      </c>
      <c r="B14" s="3"/>
      <c r="C14" s="52">
        <v>12390000</v>
      </c>
      <c r="D14" s="53">
        <v>11990000</v>
      </c>
      <c r="E14" s="25">
        <v>11990000</v>
      </c>
      <c r="F14" s="37">
        <v>11990000</v>
      </c>
      <c r="G14" s="39">
        <v>11890000</v>
      </c>
      <c r="H14" s="26"/>
    </row>
    <row r="15" spans="1:12" x14ac:dyDescent="0.2">
      <c r="A15" t="s">
        <v>29</v>
      </c>
      <c r="B15" s="25"/>
      <c r="C15" s="52">
        <v>11790000</v>
      </c>
      <c r="D15" s="63">
        <v>11790000</v>
      </c>
      <c r="E15" s="25">
        <v>11590000</v>
      </c>
      <c r="F15" s="39">
        <v>11790000</v>
      </c>
      <c r="G15" s="39">
        <v>11590000</v>
      </c>
      <c r="H15" s="26"/>
    </row>
    <row r="16" spans="1:12" x14ac:dyDescent="0.2">
      <c r="A16" t="s">
        <v>30</v>
      </c>
      <c r="B16" s="3"/>
      <c r="C16" s="53">
        <v>8490000</v>
      </c>
      <c r="D16" s="61">
        <v>8490000</v>
      </c>
      <c r="E16" s="34">
        <v>8390000</v>
      </c>
      <c r="F16" s="39">
        <v>8690000</v>
      </c>
      <c r="G16" s="37">
        <v>8390000</v>
      </c>
      <c r="H16" s="26">
        <v>-100</v>
      </c>
      <c r="J16" t="s">
        <v>31</v>
      </c>
      <c r="K16" t="s">
        <v>38</v>
      </c>
      <c r="L16" t="b">
        <v>1</v>
      </c>
    </row>
    <row r="17" spans="1:12" x14ac:dyDescent="0.2">
      <c r="A17" t="s">
        <v>33</v>
      </c>
      <c r="B17" s="3"/>
      <c r="C17" s="53">
        <v>13190000</v>
      </c>
      <c r="D17" s="61">
        <v>13190000</v>
      </c>
      <c r="E17" s="34">
        <v>12790000</v>
      </c>
      <c r="F17" s="39">
        <v>13390000</v>
      </c>
      <c r="G17" s="37">
        <v>13190000</v>
      </c>
      <c r="H17" s="26">
        <v>-100</v>
      </c>
      <c r="J17" t="s">
        <v>2</v>
      </c>
      <c r="K17" t="s">
        <v>34</v>
      </c>
      <c r="L17" t="b">
        <v>1</v>
      </c>
    </row>
    <row r="18" spans="1:12" x14ac:dyDescent="0.2">
      <c r="A18" t="s">
        <v>37</v>
      </c>
      <c r="B18" s="25"/>
      <c r="C18" s="53">
        <v>18890000</v>
      </c>
      <c r="D18" s="63">
        <v>18890000</v>
      </c>
      <c r="E18" s="25">
        <v>20490000</v>
      </c>
      <c r="F18" s="39">
        <v>18890000</v>
      </c>
      <c r="G18" s="34">
        <v>18890000</v>
      </c>
      <c r="H18" s="78">
        <v>-100</v>
      </c>
      <c r="J18" t="s">
        <v>3</v>
      </c>
      <c r="K18" t="s">
        <v>36</v>
      </c>
      <c r="L18" t="b">
        <v>1</v>
      </c>
    </row>
    <row r="19" spans="1:12" x14ac:dyDescent="0.2">
      <c r="A19" t="s">
        <v>184</v>
      </c>
      <c r="B19" s="25"/>
      <c r="C19" s="25" t="s">
        <v>22</v>
      </c>
      <c r="D19" s="63">
        <v>27990000</v>
      </c>
      <c r="E19" s="25" t="s">
        <v>22</v>
      </c>
      <c r="F19" s="37">
        <v>28190000</v>
      </c>
      <c r="G19" s="38">
        <v>27990000</v>
      </c>
      <c r="H19" s="26"/>
      <c r="J19" t="s">
        <v>4</v>
      </c>
      <c r="K19" t="s">
        <v>32</v>
      </c>
      <c r="L19" t="b">
        <v>1</v>
      </c>
    </row>
    <row r="20" spans="1:12" x14ac:dyDescent="0.2">
      <c r="A20" t="s">
        <v>185</v>
      </c>
      <c r="B20" s="3"/>
      <c r="C20" s="25" t="s">
        <v>22</v>
      </c>
      <c r="D20" s="63">
        <v>36290000</v>
      </c>
      <c r="E20" s="25">
        <v>34490000</v>
      </c>
      <c r="F20" s="39">
        <v>36490000</v>
      </c>
      <c r="G20" s="39">
        <v>33690000</v>
      </c>
      <c r="H20" s="26"/>
      <c r="J20" t="s">
        <v>41</v>
      </c>
      <c r="K20" t="s">
        <v>42</v>
      </c>
      <c r="L20" t="b">
        <v>1</v>
      </c>
    </row>
    <row r="21" spans="1:12" x14ac:dyDescent="0.2">
      <c r="A21" t="s">
        <v>40</v>
      </c>
      <c r="B21" s="3"/>
      <c r="C21" s="63">
        <v>29990000</v>
      </c>
      <c r="D21" s="63">
        <v>29990000</v>
      </c>
      <c r="E21" s="25">
        <v>29490000</v>
      </c>
      <c r="F21" s="39">
        <v>29990000</v>
      </c>
      <c r="G21" s="39">
        <v>29590000</v>
      </c>
      <c r="H21" s="26"/>
    </row>
    <row r="22" spans="1:12" x14ac:dyDescent="0.2">
      <c r="A22" t="s">
        <v>43</v>
      </c>
      <c r="B22" s="3"/>
      <c r="C22" s="25">
        <v>39990000</v>
      </c>
      <c r="D22" s="25">
        <v>39990000</v>
      </c>
      <c r="E22" s="25">
        <v>39490000</v>
      </c>
      <c r="F22" s="39">
        <v>39990000</v>
      </c>
      <c r="G22" s="39">
        <v>39590000</v>
      </c>
      <c r="H22" s="26"/>
    </row>
    <row r="23" spans="1:12" x14ac:dyDescent="0.2">
      <c r="A23" t="s">
        <v>44</v>
      </c>
      <c r="B23" s="25"/>
      <c r="C23" s="61">
        <v>6390000</v>
      </c>
      <c r="D23" s="61">
        <v>6290000</v>
      </c>
      <c r="E23" s="34">
        <v>6590000</v>
      </c>
      <c r="F23" s="37">
        <v>5990000</v>
      </c>
      <c r="G23" s="38">
        <v>6690000</v>
      </c>
      <c r="H23" s="26"/>
    </row>
    <row r="24" spans="1:12" x14ac:dyDescent="0.2">
      <c r="A24" t="s">
        <v>45</v>
      </c>
      <c r="B24" s="25"/>
      <c r="C24" s="63">
        <v>8290000</v>
      </c>
      <c r="D24" s="61">
        <v>8290000</v>
      </c>
      <c r="E24" s="34">
        <v>7990000</v>
      </c>
      <c r="F24" s="37">
        <v>8190000</v>
      </c>
      <c r="G24" s="34">
        <v>8290000</v>
      </c>
      <c r="H24" s="26">
        <v>-200</v>
      </c>
    </row>
    <row r="25" spans="1:12" x14ac:dyDescent="0.2">
      <c r="A25" t="s">
        <v>46</v>
      </c>
      <c r="B25" s="25"/>
      <c r="C25" s="61">
        <v>7390000</v>
      </c>
      <c r="D25" s="61">
        <v>7390000</v>
      </c>
      <c r="E25" s="34">
        <v>7290000</v>
      </c>
      <c r="F25" s="37">
        <v>7290000</v>
      </c>
      <c r="G25" s="34">
        <v>7590000</v>
      </c>
      <c r="H25" s="26">
        <v>-100</v>
      </c>
    </row>
    <row r="26" spans="1:12" x14ac:dyDescent="0.2">
      <c r="A26" t="s">
        <v>47</v>
      </c>
      <c r="B26" s="25"/>
      <c r="C26" s="63">
        <v>9090000</v>
      </c>
      <c r="D26" s="63">
        <v>9350000</v>
      </c>
      <c r="E26" s="34">
        <v>8790000</v>
      </c>
      <c r="F26" s="39">
        <v>8990000</v>
      </c>
      <c r="G26" s="34">
        <v>8990000</v>
      </c>
      <c r="H26" s="26">
        <v>-300</v>
      </c>
    </row>
    <row r="27" spans="1:12" x14ac:dyDescent="0.2">
      <c r="A27" t="s">
        <v>48</v>
      </c>
      <c r="B27" s="3"/>
      <c r="C27" s="61">
        <v>10990000</v>
      </c>
      <c r="D27" s="61">
        <v>11890000</v>
      </c>
      <c r="E27" s="34">
        <v>10990000</v>
      </c>
      <c r="F27" s="37">
        <v>10790000</v>
      </c>
      <c r="G27" s="34">
        <v>11090000</v>
      </c>
      <c r="H27" s="26">
        <v>-200</v>
      </c>
    </row>
    <row r="28" spans="1:12" x14ac:dyDescent="0.2">
      <c r="A28" t="s">
        <v>49</v>
      </c>
      <c r="B28" s="3"/>
      <c r="C28" s="63">
        <v>14490000</v>
      </c>
      <c r="D28" s="61">
        <v>14290000</v>
      </c>
      <c r="E28" s="34">
        <v>13590000</v>
      </c>
      <c r="F28" s="39">
        <v>14290000</v>
      </c>
      <c r="G28" s="34">
        <v>14290000</v>
      </c>
      <c r="H28" s="26">
        <v>-100</v>
      </c>
    </row>
    <row r="29" spans="1:12" x14ac:dyDescent="0.2">
      <c r="A29" t="s">
        <v>50</v>
      </c>
      <c r="B29" s="3"/>
      <c r="C29" s="63">
        <v>12090000</v>
      </c>
      <c r="D29" s="61">
        <v>11790000</v>
      </c>
      <c r="E29" s="34">
        <v>11490000</v>
      </c>
      <c r="F29" s="37">
        <v>11790000</v>
      </c>
      <c r="G29" s="38">
        <v>11990000</v>
      </c>
      <c r="H29" s="26"/>
    </row>
    <row r="30" spans="1:12" x14ac:dyDescent="0.2">
      <c r="A30" t="s">
        <v>51</v>
      </c>
      <c r="B30" s="3"/>
      <c r="C30" s="63">
        <v>15350000</v>
      </c>
      <c r="D30" s="63">
        <v>15350000</v>
      </c>
      <c r="E30" s="34">
        <v>14390000</v>
      </c>
      <c r="F30" s="37">
        <v>15290000</v>
      </c>
      <c r="G30" s="38">
        <v>15290000</v>
      </c>
      <c r="H30" s="26"/>
    </row>
    <row r="31" spans="1:12" x14ac:dyDescent="0.2">
      <c r="A31" t="s">
        <v>52</v>
      </c>
      <c r="B31" s="25"/>
      <c r="C31" s="63">
        <v>23990000</v>
      </c>
      <c r="D31" s="61">
        <v>23990000</v>
      </c>
      <c r="E31" s="25">
        <v>23490000</v>
      </c>
      <c r="F31" s="39">
        <v>23990000</v>
      </c>
      <c r="G31" s="38">
        <v>23990000</v>
      </c>
      <c r="H31" s="26"/>
    </row>
    <row r="32" spans="1:12" x14ac:dyDescent="0.2">
      <c r="A32" t="s">
        <v>53</v>
      </c>
      <c r="B32" s="3"/>
      <c r="C32" s="53">
        <v>4790000</v>
      </c>
      <c r="D32" s="61">
        <v>5290000</v>
      </c>
      <c r="E32" s="25">
        <v>5590000</v>
      </c>
      <c r="F32" s="37">
        <v>4790000</v>
      </c>
      <c r="G32" s="38">
        <v>5590000</v>
      </c>
      <c r="H32" s="26"/>
    </row>
    <row r="33" spans="1:8" x14ac:dyDescent="0.2">
      <c r="A33" t="s">
        <v>54</v>
      </c>
      <c r="B33" s="3"/>
      <c r="C33" s="53">
        <v>4290000</v>
      </c>
      <c r="D33" s="63">
        <v>4290000</v>
      </c>
      <c r="E33" s="34">
        <v>4190000</v>
      </c>
      <c r="F33" s="39">
        <v>4390000</v>
      </c>
      <c r="G33" s="38">
        <v>4390000</v>
      </c>
      <c r="H33" s="26"/>
    </row>
    <row r="34" spans="1:8" x14ac:dyDescent="0.2">
      <c r="A34" t="s">
        <v>55</v>
      </c>
      <c r="B34" s="3"/>
      <c r="C34" s="53">
        <v>3090000</v>
      </c>
      <c r="D34" s="61">
        <v>2990000</v>
      </c>
      <c r="E34" s="34">
        <v>2890000</v>
      </c>
      <c r="F34" s="38">
        <v>3090000</v>
      </c>
      <c r="G34" s="37">
        <v>2890000</v>
      </c>
      <c r="H34" s="26">
        <v>-100</v>
      </c>
    </row>
    <row r="35" spans="1:8" x14ac:dyDescent="0.2">
      <c r="A35" t="s">
        <v>56</v>
      </c>
      <c r="B35" s="3"/>
      <c r="C35" s="39">
        <v>6690000</v>
      </c>
      <c r="D35" s="61">
        <v>6690000</v>
      </c>
      <c r="E35" s="71">
        <v>6490000</v>
      </c>
      <c r="F35" s="39">
        <v>6790000</v>
      </c>
      <c r="G35" s="37">
        <v>6390000</v>
      </c>
      <c r="H35" s="26">
        <v>-200</v>
      </c>
    </row>
    <row r="36" spans="1:8" x14ac:dyDescent="0.2">
      <c r="A36" t="s">
        <v>186</v>
      </c>
      <c r="B36" s="25"/>
      <c r="C36" s="52">
        <v>19690000</v>
      </c>
      <c r="D36" s="63">
        <v>19690000</v>
      </c>
      <c r="E36" s="36"/>
      <c r="F36" s="39">
        <v>19690000</v>
      </c>
      <c r="G36" s="39">
        <v>18990000</v>
      </c>
      <c r="H36" s="26"/>
    </row>
    <row r="37" spans="1:8" x14ac:dyDescent="0.2">
      <c r="A37" t="s">
        <v>59</v>
      </c>
      <c r="B37" s="3"/>
      <c r="C37" s="52">
        <v>25290000</v>
      </c>
      <c r="D37" s="61">
        <v>24990000</v>
      </c>
      <c r="E37" s="36"/>
      <c r="F37" s="39">
        <v>24990000</v>
      </c>
      <c r="G37" s="39">
        <v>24290000</v>
      </c>
      <c r="H37" s="26"/>
    </row>
    <row r="38" spans="1:8" x14ac:dyDescent="0.2">
      <c r="A38" t="s">
        <v>61</v>
      </c>
      <c r="B38" s="25"/>
      <c r="C38" s="61">
        <v>29590000</v>
      </c>
      <c r="D38" s="61">
        <v>28990000</v>
      </c>
      <c r="E38" s="36"/>
      <c r="F38" s="39">
        <v>28990000</v>
      </c>
      <c r="G38" s="37">
        <v>28290000</v>
      </c>
      <c r="H38" s="26">
        <v>-1400</v>
      </c>
    </row>
    <row r="39" spans="1:8" x14ac:dyDescent="0.2">
      <c r="A39" t="s">
        <v>187</v>
      </c>
      <c r="B39" s="25"/>
      <c r="C39" s="52" t="s">
        <v>22</v>
      </c>
      <c r="D39" s="63">
        <v>37990000</v>
      </c>
      <c r="E39" s="36"/>
      <c r="F39" s="39">
        <v>38590000</v>
      </c>
      <c r="G39" s="37">
        <v>38990000</v>
      </c>
      <c r="H39" s="26">
        <v>600</v>
      </c>
    </row>
    <row r="40" spans="1:8" x14ac:dyDescent="0.2">
      <c r="A40" t="s">
        <v>62</v>
      </c>
      <c r="B40" s="25"/>
      <c r="C40" s="63">
        <v>41990000</v>
      </c>
      <c r="D40" s="63">
        <v>41990000</v>
      </c>
      <c r="E40" s="36"/>
      <c r="F40" s="39">
        <v>41990000</v>
      </c>
      <c r="G40" s="39">
        <v>41990000</v>
      </c>
      <c r="H40" s="26"/>
    </row>
    <row r="41" spans="1:8" x14ac:dyDescent="0.2">
      <c r="A41" t="s">
        <v>188</v>
      </c>
      <c r="B41" s="25"/>
      <c r="C41" s="52"/>
      <c r="D41" s="63">
        <v>64990000</v>
      </c>
      <c r="E41" s="36"/>
      <c r="F41" s="39">
        <v>63990000</v>
      </c>
      <c r="G41" s="39">
        <v>63990000</v>
      </c>
    </row>
    <row r="42" spans="1:8" x14ac:dyDescent="0.2">
      <c r="C42" s="59"/>
      <c r="D42" s="59"/>
    </row>
    <row r="43" spans="1:8" x14ac:dyDescent="0.2">
      <c r="C43" s="59"/>
      <c r="D43" s="59"/>
    </row>
    <row r="44" spans="1:8" x14ac:dyDescent="0.2">
      <c r="C44" s="59"/>
      <c r="D44" s="59"/>
    </row>
    <row r="45" spans="1:8" x14ac:dyDescent="0.2">
      <c r="C45" s="59"/>
      <c r="D45" s="59"/>
    </row>
    <row r="46" spans="1:8" x14ac:dyDescent="0.2">
      <c r="C46" s="59"/>
      <c r="D46" s="59"/>
    </row>
    <row r="47" spans="1:8" x14ac:dyDescent="0.2">
      <c r="C47" s="59"/>
      <c r="D47" s="59"/>
    </row>
    <row r="48" spans="1:8" x14ac:dyDescent="0.2">
      <c r="C48" s="59"/>
      <c r="D48" s="59"/>
    </row>
    <row r="49" spans="3:4" x14ac:dyDescent="0.2">
      <c r="C49" s="59"/>
      <c r="D49" s="59"/>
    </row>
    <row r="50" spans="3:4" x14ac:dyDescent="0.2">
      <c r="C50" s="59"/>
      <c r="D50" s="59"/>
    </row>
    <row r="51" spans="3:4" x14ac:dyDescent="0.2">
      <c r="C51" s="59"/>
      <c r="D51" s="59"/>
    </row>
    <row r="52" spans="3:4" x14ac:dyDescent="0.2">
      <c r="C52" s="59"/>
      <c r="D52" s="59"/>
    </row>
    <row r="53" spans="3:4" x14ac:dyDescent="0.2">
      <c r="C53" s="59"/>
      <c r="D53" s="59"/>
    </row>
    <row r="54" spans="3:4" x14ac:dyDescent="0.2">
      <c r="C54" s="59"/>
      <c r="D54" s="59"/>
    </row>
    <row r="55" spans="3:4" x14ac:dyDescent="0.2">
      <c r="C55" s="59"/>
      <c r="D55" s="59"/>
    </row>
    <row r="56" spans="3:4" x14ac:dyDescent="0.2">
      <c r="C56" s="59"/>
      <c r="D56" s="59"/>
    </row>
    <row r="57" spans="3:4" x14ac:dyDescent="0.2">
      <c r="C57" s="59"/>
      <c r="D57" s="59"/>
    </row>
    <row r="58" spans="3:4" x14ac:dyDescent="0.2">
      <c r="C58" s="59"/>
      <c r="D58" s="59"/>
    </row>
    <row r="59" spans="3:4" x14ac:dyDescent="0.2">
      <c r="C59" s="59"/>
      <c r="D59" s="59"/>
    </row>
    <row r="60" spans="3:4" x14ac:dyDescent="0.2">
      <c r="C60" s="59"/>
      <c r="D60" s="59"/>
    </row>
    <row r="61" spans="3:4" x14ac:dyDescent="0.2">
      <c r="C61" s="59"/>
      <c r="D61" s="59"/>
    </row>
    <row r="62" spans="3:4" x14ac:dyDescent="0.2">
      <c r="C62" s="59"/>
      <c r="D62" s="59"/>
    </row>
    <row r="63" spans="3:4" x14ac:dyDescent="0.2">
      <c r="C63" s="59"/>
      <c r="D63" s="59"/>
    </row>
    <row r="64" spans="3:4" x14ac:dyDescent="0.2">
      <c r="C64" s="59"/>
      <c r="D64" s="59"/>
    </row>
    <row r="65" spans="3:4" x14ac:dyDescent="0.2">
      <c r="C65" s="59"/>
      <c r="D65" s="59"/>
    </row>
    <row r="66" spans="3:4" x14ac:dyDescent="0.2">
      <c r="C66" s="59"/>
      <c r="D66" s="59"/>
    </row>
    <row r="67" spans="3:4" x14ac:dyDescent="0.2">
      <c r="C67" s="59"/>
      <c r="D67" s="59"/>
    </row>
    <row r="68" spans="3:4" x14ac:dyDescent="0.2">
      <c r="C68" s="59"/>
      <c r="D68" s="59"/>
    </row>
    <row r="69" spans="3:4" x14ac:dyDescent="0.2">
      <c r="C69" s="59"/>
      <c r="D69" s="59"/>
    </row>
    <row r="70" spans="3:4" x14ac:dyDescent="0.2">
      <c r="C70" s="59"/>
      <c r="D70" s="59"/>
    </row>
    <row r="71" spans="3:4" x14ac:dyDescent="0.2">
      <c r="C71" s="59"/>
      <c r="D71" s="59"/>
    </row>
    <row r="72" spans="3:4" x14ac:dyDescent="0.2">
      <c r="C72" s="59"/>
      <c r="D72" s="59"/>
    </row>
    <row r="73" spans="3:4" x14ac:dyDescent="0.2">
      <c r="C73" s="59"/>
      <c r="D73" s="59"/>
    </row>
    <row r="74" spans="3:4" x14ac:dyDescent="0.2">
      <c r="C74" s="59"/>
      <c r="D74" s="59"/>
    </row>
    <row r="75" spans="3:4" x14ac:dyDescent="0.2">
      <c r="C75" s="59"/>
      <c r="D75" s="59"/>
    </row>
    <row r="76" spans="3:4" x14ac:dyDescent="0.2">
      <c r="C76" s="59"/>
      <c r="D76" s="59"/>
    </row>
    <row r="77" spans="3:4" x14ac:dyDescent="0.2">
      <c r="C77" s="59"/>
      <c r="D77" s="59"/>
    </row>
    <row r="78" spans="3:4" x14ac:dyDescent="0.2">
      <c r="C78" s="59"/>
      <c r="D78" s="59"/>
    </row>
    <row r="79" spans="3:4" x14ac:dyDescent="0.2">
      <c r="C79" s="59"/>
      <c r="D79" s="59"/>
    </row>
    <row r="80" spans="3:4" x14ac:dyDescent="0.2">
      <c r="C80" s="59"/>
      <c r="D80" s="59"/>
    </row>
    <row r="81" spans="3:4" x14ac:dyDescent="0.2">
      <c r="C81" s="59"/>
      <c r="D81" s="59"/>
    </row>
    <row r="82" spans="3:4" x14ac:dyDescent="0.2">
      <c r="C82" s="59"/>
      <c r="D82" s="59"/>
    </row>
    <row r="83" spans="3:4" x14ac:dyDescent="0.2">
      <c r="C83" s="59"/>
      <c r="D83" s="59"/>
    </row>
    <row r="84" spans="3:4" x14ac:dyDescent="0.2">
      <c r="C84" s="59"/>
      <c r="D84" s="59"/>
    </row>
    <row r="85" spans="3:4" x14ac:dyDescent="0.2">
      <c r="C85" s="59"/>
      <c r="D85" s="59"/>
    </row>
    <row r="86" spans="3:4" x14ac:dyDescent="0.2">
      <c r="C86" s="59"/>
      <c r="D86" s="59"/>
    </row>
    <row r="87" spans="3:4" x14ac:dyDescent="0.2">
      <c r="C87" s="59"/>
      <c r="D87" s="59"/>
    </row>
    <row r="88" spans="3:4" x14ac:dyDescent="0.2">
      <c r="C88" s="59"/>
      <c r="D88" s="59"/>
    </row>
    <row r="89" spans="3:4" x14ac:dyDescent="0.2">
      <c r="C89" s="59"/>
      <c r="D89" s="59"/>
    </row>
    <row r="90" spans="3:4" x14ac:dyDescent="0.2">
      <c r="C90" s="59"/>
      <c r="D90" s="59"/>
    </row>
    <row r="91" spans="3:4" x14ac:dyDescent="0.2">
      <c r="C91" s="59"/>
      <c r="D91" s="59"/>
    </row>
    <row r="92" spans="3:4" x14ac:dyDescent="0.2">
      <c r="C92" s="59"/>
      <c r="D92" s="59"/>
    </row>
    <row r="93" spans="3:4" x14ac:dyDescent="0.2">
      <c r="C93" s="59"/>
      <c r="D93" s="59"/>
    </row>
    <row r="94" spans="3:4" x14ac:dyDescent="0.2">
      <c r="C94" s="59"/>
      <c r="D94" s="59"/>
    </row>
    <row r="95" spans="3:4" x14ac:dyDescent="0.2">
      <c r="C95" s="59"/>
      <c r="D95" s="59"/>
    </row>
    <row r="96" spans="3:4" x14ac:dyDescent="0.2">
      <c r="C96" s="59"/>
      <c r="D96" s="59"/>
    </row>
    <row r="97" spans="3:4" x14ac:dyDescent="0.2">
      <c r="C97" s="59"/>
      <c r="D97" s="59"/>
    </row>
    <row r="98" spans="3:4" x14ac:dyDescent="0.2">
      <c r="C98" s="59"/>
      <c r="D98" s="59"/>
    </row>
    <row r="99" spans="3:4" x14ac:dyDescent="0.2">
      <c r="C99" s="59"/>
      <c r="D99" s="59"/>
    </row>
    <row r="100" spans="3:4" x14ac:dyDescent="0.2">
      <c r="C100" s="59"/>
      <c r="D100" s="59"/>
    </row>
    <row r="101" spans="3:4" x14ac:dyDescent="0.2">
      <c r="C101" s="59"/>
      <c r="D101" s="59"/>
    </row>
    <row r="102" spans="3:4" x14ac:dyDescent="0.2">
      <c r="C102" s="59"/>
      <c r="D102" s="59"/>
    </row>
    <row r="103" spans="3:4" x14ac:dyDescent="0.2">
      <c r="C103" s="59"/>
      <c r="D103" s="59"/>
    </row>
    <row r="104" spans="3:4" x14ac:dyDescent="0.2">
      <c r="C104" s="59"/>
      <c r="D104" s="59"/>
    </row>
    <row r="105" spans="3:4" x14ac:dyDescent="0.2">
      <c r="C105" s="59"/>
      <c r="D105" s="59"/>
    </row>
    <row r="106" spans="3:4" x14ac:dyDescent="0.2">
      <c r="C106" s="59"/>
      <c r="D106" s="59"/>
    </row>
    <row r="107" spans="3:4" x14ac:dyDescent="0.2">
      <c r="C107" s="59"/>
      <c r="D107" s="59"/>
    </row>
    <row r="108" spans="3:4" x14ac:dyDescent="0.2">
      <c r="C108" s="59"/>
      <c r="D108" s="59"/>
    </row>
    <row r="109" spans="3:4" x14ac:dyDescent="0.2">
      <c r="C109" s="59"/>
      <c r="D109" s="59"/>
    </row>
    <row r="110" spans="3:4" x14ac:dyDescent="0.2">
      <c r="C110" s="59"/>
      <c r="D110" s="59"/>
    </row>
    <row r="111" spans="3:4" x14ac:dyDescent="0.2">
      <c r="C111" s="59"/>
      <c r="D111" s="59"/>
    </row>
    <row r="112" spans="3:4" x14ac:dyDescent="0.2">
      <c r="C112" s="59"/>
      <c r="D112" s="59"/>
    </row>
    <row r="113" spans="3:4" x14ac:dyDescent="0.2">
      <c r="C113" s="59"/>
      <c r="D113" s="59"/>
    </row>
    <row r="114" spans="3:4" x14ac:dyDescent="0.2">
      <c r="C114" s="59"/>
      <c r="D114" s="59"/>
    </row>
    <row r="115" spans="3:4" x14ac:dyDescent="0.2">
      <c r="C115" s="59"/>
      <c r="D115" s="59"/>
    </row>
    <row r="116" spans="3:4" x14ac:dyDescent="0.2">
      <c r="C116" s="59"/>
      <c r="D116" s="59"/>
    </row>
    <row r="117" spans="3:4" x14ac:dyDescent="0.2">
      <c r="C117" s="59"/>
      <c r="D117" s="59"/>
    </row>
    <row r="118" spans="3:4" x14ac:dyDescent="0.2">
      <c r="C118" s="59"/>
      <c r="D118" s="59"/>
    </row>
    <row r="119" spans="3:4" x14ac:dyDescent="0.2">
      <c r="C119" s="59"/>
      <c r="D119" s="59"/>
    </row>
    <row r="120" spans="3:4" x14ac:dyDescent="0.2">
      <c r="C120" s="59"/>
      <c r="D120" s="59"/>
    </row>
    <row r="121" spans="3:4" x14ac:dyDescent="0.2">
      <c r="C121" s="59"/>
      <c r="D121" s="59"/>
    </row>
    <row r="122" spans="3:4" x14ac:dyDescent="0.2">
      <c r="C122" s="59"/>
      <c r="D122" s="59"/>
    </row>
    <row r="123" spans="3:4" x14ac:dyDescent="0.2">
      <c r="C123" s="59"/>
      <c r="D123" s="59"/>
    </row>
    <row r="124" spans="3:4" x14ac:dyDescent="0.2">
      <c r="C124" s="59"/>
      <c r="D124" s="59"/>
    </row>
    <row r="125" spans="3:4" x14ac:dyDescent="0.2">
      <c r="C125" s="59"/>
      <c r="D125" s="59"/>
    </row>
    <row r="126" spans="3:4" x14ac:dyDescent="0.2">
      <c r="C126" s="59"/>
      <c r="D126" s="59"/>
    </row>
    <row r="127" spans="3:4" x14ac:dyDescent="0.2">
      <c r="C127" s="59"/>
      <c r="D127" s="59"/>
    </row>
    <row r="128" spans="3:4" x14ac:dyDescent="0.2">
      <c r="C128" s="59"/>
      <c r="D128" s="59"/>
    </row>
    <row r="129" spans="3:4" x14ac:dyDescent="0.2">
      <c r="C129" s="59"/>
      <c r="D129" s="59"/>
    </row>
    <row r="130" spans="3:4" x14ac:dyDescent="0.2">
      <c r="C130" s="59"/>
      <c r="D130" s="59"/>
    </row>
    <row r="131" spans="3:4" x14ac:dyDescent="0.2">
      <c r="C131" s="59"/>
      <c r="D131" s="59"/>
    </row>
    <row r="132" spans="3:4" x14ac:dyDescent="0.2">
      <c r="C132" s="59"/>
      <c r="D132" s="59"/>
    </row>
    <row r="133" spans="3:4" x14ac:dyDescent="0.2">
      <c r="C133" s="59"/>
      <c r="D133" s="59"/>
    </row>
    <row r="134" spans="3:4" x14ac:dyDescent="0.2">
      <c r="C134" s="59"/>
      <c r="D134" s="59"/>
    </row>
    <row r="135" spans="3:4" x14ac:dyDescent="0.2">
      <c r="C135" s="59"/>
      <c r="D135" s="59"/>
    </row>
    <row r="136" spans="3:4" x14ac:dyDescent="0.2">
      <c r="C136" s="59"/>
      <c r="D136" s="59"/>
    </row>
    <row r="137" spans="3:4" x14ac:dyDescent="0.2">
      <c r="C137" s="59"/>
      <c r="D137" s="59"/>
    </row>
    <row r="138" spans="3:4" x14ac:dyDescent="0.2">
      <c r="C138" s="59"/>
      <c r="D138" s="59"/>
    </row>
    <row r="139" spans="3:4" x14ac:dyDescent="0.2">
      <c r="C139" s="59"/>
      <c r="D139" s="59"/>
    </row>
    <row r="140" spans="3:4" x14ac:dyDescent="0.2">
      <c r="C140" s="59"/>
      <c r="D140" s="59"/>
    </row>
    <row r="141" spans="3:4" x14ac:dyDescent="0.2">
      <c r="C141" s="59"/>
      <c r="D141" s="59"/>
    </row>
    <row r="142" spans="3:4" x14ac:dyDescent="0.2">
      <c r="C142" s="59"/>
      <c r="D142" s="59"/>
    </row>
    <row r="143" spans="3:4" x14ac:dyDescent="0.2">
      <c r="C143" s="59"/>
      <c r="D143" s="59"/>
    </row>
    <row r="144" spans="3:4" x14ac:dyDescent="0.2">
      <c r="C144" s="59"/>
      <c r="D144" s="59"/>
    </row>
    <row r="145" spans="3:4" x14ac:dyDescent="0.2">
      <c r="C145" s="59"/>
      <c r="D145" s="59"/>
    </row>
    <row r="146" spans="3:4" x14ac:dyDescent="0.2">
      <c r="C146" s="59"/>
      <c r="D146" s="59"/>
    </row>
    <row r="147" spans="3:4" x14ac:dyDescent="0.2">
      <c r="C147" s="59"/>
      <c r="D147" s="59"/>
    </row>
    <row r="148" spans="3:4" x14ac:dyDescent="0.2">
      <c r="C148" s="59"/>
      <c r="D148" s="59"/>
    </row>
    <row r="149" spans="3:4" x14ac:dyDescent="0.2">
      <c r="C149" s="59"/>
      <c r="D149" s="59"/>
    </row>
    <row r="150" spans="3:4" x14ac:dyDescent="0.2">
      <c r="C150" s="59"/>
      <c r="D150" s="59"/>
    </row>
    <row r="151" spans="3:4" x14ac:dyDescent="0.2">
      <c r="C151" s="59"/>
      <c r="D151" s="59"/>
    </row>
    <row r="152" spans="3:4" x14ac:dyDescent="0.2">
      <c r="C152" s="59"/>
      <c r="D152" s="59"/>
    </row>
    <row r="153" spans="3:4" x14ac:dyDescent="0.2">
      <c r="C153" s="59"/>
      <c r="D153" s="59"/>
    </row>
  </sheetData>
  <pageMargins left="0.7" right="0.7" top="0.75" bottom="0.75" header="0.3" footer="0.3"/>
  <pageSetup paperSize="9" orientation="portrait" horizontalDpi="0" verticalDpi="0"/>
  <legacy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9"/>
  <dimension ref="A1:I32"/>
  <sheetViews>
    <sheetView workbookViewId="0">
      <selection activeCell="K20" sqref="K20"/>
    </sheetView>
  </sheetViews>
  <sheetFormatPr baseColWidth="10" defaultColWidth="11" defaultRowHeight="16" x14ac:dyDescent="0.2"/>
  <cols>
    <col min="1" max="1" width="25.33203125" bestFit="1" customWidth="1"/>
  </cols>
  <sheetData>
    <row r="1" spans="1:9" x14ac:dyDescent="0.2">
      <c r="B1" t="s">
        <v>1</v>
      </c>
      <c r="C1" t="s">
        <v>0</v>
      </c>
      <c r="D1" t="s">
        <v>2</v>
      </c>
      <c r="E1" t="s">
        <v>3</v>
      </c>
      <c r="F1" t="s">
        <v>4</v>
      </c>
      <c r="G1" t="s">
        <v>155</v>
      </c>
      <c r="H1" t="s">
        <v>5</v>
      </c>
      <c r="I1" t="s">
        <v>156</v>
      </c>
    </row>
    <row r="2" spans="1:9" x14ac:dyDescent="0.2">
      <c r="A2" t="s">
        <v>25</v>
      </c>
      <c r="B2" s="3">
        <v>19590000</v>
      </c>
      <c r="C2" s="3">
        <v>19590000</v>
      </c>
      <c r="D2" s="3">
        <v>19490000</v>
      </c>
      <c r="E2" s="3">
        <v>18490000</v>
      </c>
      <c r="F2" s="3">
        <v>18890000</v>
      </c>
      <c r="G2" s="4">
        <v>18690000</v>
      </c>
      <c r="H2" s="4">
        <v>18740000</v>
      </c>
      <c r="I2" s="3">
        <v>21610000</v>
      </c>
    </row>
    <row r="3" spans="1:9" x14ac:dyDescent="0.2">
      <c r="A3" t="s">
        <v>26</v>
      </c>
      <c r="B3" s="3">
        <v>22590000</v>
      </c>
      <c r="C3" s="3">
        <v>22590000</v>
      </c>
      <c r="D3" s="3">
        <v>22290000</v>
      </c>
      <c r="E3" s="3">
        <v>21790000</v>
      </c>
      <c r="F3" s="3">
        <v>21590000</v>
      </c>
      <c r="G3" s="4">
        <v>21790000</v>
      </c>
      <c r="H3" s="4">
        <v>21940000</v>
      </c>
      <c r="I3" s="3">
        <v>21242000</v>
      </c>
    </row>
    <row r="4" spans="1:9" x14ac:dyDescent="0.2">
      <c r="A4" t="s">
        <v>157</v>
      </c>
      <c r="B4" s="3">
        <v>25490000</v>
      </c>
      <c r="C4" s="3">
        <v>25490000</v>
      </c>
      <c r="D4" s="3">
        <v>25190000</v>
      </c>
      <c r="E4" s="3">
        <v>23990000</v>
      </c>
      <c r="F4" s="3">
        <v>24690000</v>
      </c>
      <c r="G4" s="4">
        <v>24090000</v>
      </c>
      <c r="H4" s="4">
        <v>24290000</v>
      </c>
      <c r="I4" s="3">
        <v>23773000</v>
      </c>
    </row>
    <row r="5" spans="1:9" x14ac:dyDescent="0.2">
      <c r="A5" t="s">
        <v>158</v>
      </c>
      <c r="B5" s="30">
        <v>29790000</v>
      </c>
      <c r="C5" s="3">
        <v>29790000</v>
      </c>
      <c r="D5" s="3">
        <v>29590000</v>
      </c>
      <c r="E5" s="3">
        <v>28790000</v>
      </c>
      <c r="F5" s="3">
        <v>29090000</v>
      </c>
      <c r="G5" s="4">
        <v>28890000</v>
      </c>
      <c r="H5" s="4">
        <v>28890000</v>
      </c>
      <c r="I5" s="3">
        <v>28755000</v>
      </c>
    </row>
    <row r="6" spans="1:9" x14ac:dyDescent="0.2">
      <c r="A6" t="s">
        <v>92</v>
      </c>
      <c r="B6" s="3">
        <v>19890000</v>
      </c>
      <c r="C6" s="3">
        <v>19690000</v>
      </c>
      <c r="D6" s="3">
        <v>19390000</v>
      </c>
      <c r="E6" s="5">
        <v>19490000</v>
      </c>
      <c r="F6" s="3">
        <v>19190000</v>
      </c>
      <c r="G6" s="4">
        <v>18990000</v>
      </c>
      <c r="H6" s="4">
        <v>18990000</v>
      </c>
      <c r="I6" s="4" t="s">
        <v>22</v>
      </c>
    </row>
    <row r="7" spans="1:9" x14ac:dyDescent="0.2">
      <c r="A7" t="s">
        <v>27</v>
      </c>
      <c r="B7" s="3">
        <v>17790000</v>
      </c>
      <c r="C7" s="3">
        <v>17790000</v>
      </c>
      <c r="D7" s="3">
        <v>17490000</v>
      </c>
      <c r="E7" s="5">
        <v>16390000</v>
      </c>
      <c r="F7" s="3">
        <v>16890000</v>
      </c>
      <c r="G7" s="4">
        <v>16290000</v>
      </c>
      <c r="H7" s="4">
        <v>16290000</v>
      </c>
      <c r="I7" s="4">
        <v>23491000</v>
      </c>
    </row>
    <row r="8" spans="1:9" x14ac:dyDescent="0.2">
      <c r="A8" t="s">
        <v>28</v>
      </c>
      <c r="B8" s="3">
        <v>14290000</v>
      </c>
      <c r="C8" s="3">
        <v>14290000</v>
      </c>
      <c r="D8" s="3">
        <v>13890000</v>
      </c>
      <c r="E8" s="3">
        <v>13290000</v>
      </c>
      <c r="F8" s="3">
        <v>13590000</v>
      </c>
      <c r="G8" s="3">
        <v>13690000</v>
      </c>
      <c r="H8" s="4">
        <v>13690000</v>
      </c>
      <c r="I8" s="3">
        <v>23491000</v>
      </c>
    </row>
    <row r="9" spans="1:9" x14ac:dyDescent="0.2">
      <c r="A9" t="s">
        <v>98</v>
      </c>
      <c r="B9" s="3">
        <v>11990000</v>
      </c>
      <c r="C9" s="25">
        <v>11990000</v>
      </c>
      <c r="D9" s="3">
        <v>11890000</v>
      </c>
      <c r="E9" s="5">
        <v>11490000</v>
      </c>
      <c r="F9" s="4" t="s">
        <v>22</v>
      </c>
      <c r="G9" s="4">
        <v>11790000</v>
      </c>
      <c r="H9" s="4">
        <v>12290000</v>
      </c>
      <c r="I9" s="4" t="s">
        <v>22</v>
      </c>
    </row>
    <row r="10" spans="1:9" x14ac:dyDescent="0.2">
      <c r="A10" t="s">
        <v>102</v>
      </c>
      <c r="B10" s="3">
        <v>8590000</v>
      </c>
      <c r="C10" s="25">
        <v>8590000</v>
      </c>
      <c r="D10" s="3">
        <v>8540000</v>
      </c>
      <c r="E10" s="3">
        <v>8590000</v>
      </c>
      <c r="F10" s="3">
        <v>8490000</v>
      </c>
      <c r="G10" s="4">
        <v>8390000</v>
      </c>
      <c r="H10" s="4">
        <v>8490000</v>
      </c>
      <c r="I10" s="4" t="s">
        <v>22</v>
      </c>
    </row>
    <row r="11" spans="1:9" x14ac:dyDescent="0.2">
      <c r="A11" t="s">
        <v>159</v>
      </c>
      <c r="B11" s="4" t="s">
        <v>22</v>
      </c>
      <c r="C11" s="25" t="s">
        <v>22</v>
      </c>
      <c r="D11" s="5">
        <v>20990000</v>
      </c>
      <c r="E11" s="5" t="s">
        <v>91</v>
      </c>
      <c r="F11" s="4" t="s">
        <v>22</v>
      </c>
      <c r="G11" s="4">
        <v>19990000</v>
      </c>
      <c r="H11" s="4">
        <v>20790000</v>
      </c>
      <c r="I11" s="4" t="s">
        <v>22</v>
      </c>
    </row>
    <row r="12" spans="1:9" x14ac:dyDescent="0.2">
      <c r="A12" t="s">
        <v>160</v>
      </c>
      <c r="B12" s="3">
        <v>14090000</v>
      </c>
      <c r="C12" s="25">
        <v>14090000</v>
      </c>
      <c r="D12" s="3">
        <v>13990000</v>
      </c>
      <c r="E12" s="5">
        <v>14290000</v>
      </c>
      <c r="F12" s="3">
        <v>14790000</v>
      </c>
      <c r="G12" s="4">
        <v>13990000</v>
      </c>
      <c r="H12" s="4">
        <v>14290000</v>
      </c>
      <c r="I12" s="3">
        <v>15971000</v>
      </c>
    </row>
    <row r="13" spans="1:9" x14ac:dyDescent="0.2">
      <c r="A13" t="s">
        <v>161</v>
      </c>
      <c r="B13" s="4" t="s">
        <v>22</v>
      </c>
      <c r="C13" s="25">
        <v>12390000</v>
      </c>
      <c r="D13" s="3">
        <v>12690000</v>
      </c>
      <c r="E13" s="5" t="s">
        <v>111</v>
      </c>
      <c r="F13" s="3">
        <v>12490000</v>
      </c>
      <c r="G13" s="4">
        <v>11690000</v>
      </c>
      <c r="H13" s="4">
        <v>12190000</v>
      </c>
      <c r="I13" s="4">
        <v>16911000</v>
      </c>
    </row>
    <row r="14" spans="1:9" x14ac:dyDescent="0.2">
      <c r="A14" t="s">
        <v>162</v>
      </c>
      <c r="B14" s="3">
        <v>10290000</v>
      </c>
      <c r="C14" s="3">
        <v>10290000</v>
      </c>
      <c r="D14" s="3">
        <v>9940000</v>
      </c>
      <c r="E14" s="3">
        <v>9490000</v>
      </c>
      <c r="F14" s="3">
        <v>9590000</v>
      </c>
      <c r="G14" s="4">
        <v>9490000</v>
      </c>
      <c r="H14" s="4">
        <v>9690000</v>
      </c>
      <c r="I14" s="3">
        <v>10801000</v>
      </c>
    </row>
    <row r="15" spans="1:9" x14ac:dyDescent="0.2">
      <c r="A15" t="s">
        <v>163</v>
      </c>
      <c r="B15" s="3">
        <v>7190000</v>
      </c>
      <c r="C15" s="3">
        <v>7190000</v>
      </c>
      <c r="D15" s="3">
        <v>7040000</v>
      </c>
      <c r="E15" s="3">
        <v>6790000</v>
      </c>
      <c r="F15" s="3">
        <v>6750000</v>
      </c>
      <c r="G15" s="4">
        <v>6890000</v>
      </c>
      <c r="H15" s="4">
        <v>6890000</v>
      </c>
      <c r="I15" s="4">
        <v>6853000</v>
      </c>
    </row>
    <row r="16" spans="1:9" x14ac:dyDescent="0.2">
      <c r="A16" t="s">
        <v>164</v>
      </c>
      <c r="B16" s="3">
        <v>6190000</v>
      </c>
      <c r="C16" s="25">
        <v>5990000</v>
      </c>
      <c r="D16" s="3">
        <v>5740000</v>
      </c>
      <c r="E16" s="3">
        <v>5890000</v>
      </c>
      <c r="F16" s="3">
        <v>5790000</v>
      </c>
      <c r="G16" s="3">
        <v>5790000</v>
      </c>
      <c r="H16" s="4">
        <v>5790000</v>
      </c>
      <c r="I16" s="3">
        <v>5083000</v>
      </c>
    </row>
    <row r="17" spans="1:9" x14ac:dyDescent="0.2">
      <c r="A17" t="s">
        <v>165</v>
      </c>
      <c r="B17" s="3">
        <v>7490000</v>
      </c>
      <c r="C17" s="25">
        <v>7490000</v>
      </c>
      <c r="D17" s="3">
        <v>6790000</v>
      </c>
      <c r="E17" s="3">
        <v>7390000</v>
      </c>
      <c r="F17" s="3">
        <v>7190000</v>
      </c>
      <c r="G17" s="4">
        <v>7190000</v>
      </c>
      <c r="H17" s="4">
        <v>7390000</v>
      </c>
      <c r="I17" s="4" t="s">
        <v>22</v>
      </c>
    </row>
    <row r="18" spans="1:9" x14ac:dyDescent="0.2">
      <c r="A18" t="s">
        <v>166</v>
      </c>
      <c r="B18" s="3">
        <v>7090000</v>
      </c>
      <c r="C18" s="25">
        <v>6890000</v>
      </c>
      <c r="D18" s="3">
        <v>6740000</v>
      </c>
      <c r="E18" s="3">
        <v>6690000</v>
      </c>
      <c r="F18" s="3">
        <v>6690000</v>
      </c>
      <c r="G18" s="4">
        <v>6590000</v>
      </c>
      <c r="H18" s="4">
        <v>6590000</v>
      </c>
      <c r="I18" s="3">
        <v>7041000</v>
      </c>
    </row>
    <row r="19" spans="1:9" x14ac:dyDescent="0.2">
      <c r="A19" t="s">
        <v>167</v>
      </c>
      <c r="B19" s="3">
        <v>8290000</v>
      </c>
      <c r="C19" s="3">
        <v>8290000</v>
      </c>
      <c r="D19" s="3">
        <v>7540000</v>
      </c>
      <c r="E19" s="3">
        <v>8090000</v>
      </c>
      <c r="F19" s="3">
        <v>8090000</v>
      </c>
      <c r="G19" s="4">
        <v>7890000</v>
      </c>
      <c r="H19" s="4">
        <v>7890000</v>
      </c>
      <c r="I19" s="4" t="s">
        <v>22</v>
      </c>
    </row>
    <row r="20" spans="1:9" x14ac:dyDescent="0.2">
      <c r="A20" t="s">
        <v>168</v>
      </c>
      <c r="B20" s="3">
        <v>9790000</v>
      </c>
      <c r="C20" s="25">
        <v>9890000</v>
      </c>
      <c r="D20" s="3">
        <v>9390000</v>
      </c>
      <c r="E20" s="3">
        <v>9690000</v>
      </c>
      <c r="F20" s="3">
        <v>8690000</v>
      </c>
      <c r="G20" s="4">
        <v>8690000</v>
      </c>
      <c r="H20" s="3">
        <v>9040000</v>
      </c>
      <c r="I20" s="3">
        <v>9467000</v>
      </c>
    </row>
    <row r="21" spans="1:9" x14ac:dyDescent="0.2">
      <c r="A21" t="s">
        <v>169</v>
      </c>
      <c r="B21" s="3">
        <v>12290000</v>
      </c>
      <c r="C21" s="25">
        <v>12290000</v>
      </c>
      <c r="D21" s="3">
        <v>11990000</v>
      </c>
      <c r="E21" s="3">
        <v>12390000</v>
      </c>
      <c r="F21" s="3">
        <v>11890000</v>
      </c>
      <c r="G21" s="4">
        <v>11890000</v>
      </c>
      <c r="H21" s="4">
        <v>11540000</v>
      </c>
      <c r="I21" s="4" t="s">
        <v>22</v>
      </c>
    </row>
    <row r="22" spans="1:9" x14ac:dyDescent="0.2">
      <c r="A22" t="s">
        <v>170</v>
      </c>
      <c r="B22" s="3">
        <v>10890000</v>
      </c>
      <c r="C22" s="3">
        <v>10690000</v>
      </c>
      <c r="D22" s="3">
        <v>10490000</v>
      </c>
      <c r="E22" s="3">
        <v>10490000</v>
      </c>
      <c r="F22" s="3">
        <v>9990000</v>
      </c>
      <c r="G22" s="4">
        <v>9990000</v>
      </c>
      <c r="H22" s="4">
        <v>9940000</v>
      </c>
      <c r="I22" s="4" t="s">
        <v>22</v>
      </c>
    </row>
    <row r="23" spans="1:9" x14ac:dyDescent="0.2">
      <c r="A23" t="s">
        <v>171</v>
      </c>
      <c r="B23" s="4">
        <v>13690000</v>
      </c>
      <c r="C23" s="3">
        <v>13690000</v>
      </c>
      <c r="D23" s="3">
        <v>13390000</v>
      </c>
      <c r="E23" s="3">
        <v>13090000</v>
      </c>
      <c r="F23" s="3" t="s">
        <v>22</v>
      </c>
      <c r="G23" s="4">
        <v>12890000</v>
      </c>
      <c r="H23" s="4">
        <v>12640000</v>
      </c>
      <c r="I23" s="4" t="s">
        <v>22</v>
      </c>
    </row>
    <row r="24" spans="1:9" x14ac:dyDescent="0.2">
      <c r="A24" t="s">
        <v>172</v>
      </c>
      <c r="B24" s="3" t="s">
        <v>22</v>
      </c>
      <c r="C24" s="3">
        <v>21290000</v>
      </c>
      <c r="D24" s="3">
        <v>20890000</v>
      </c>
      <c r="E24" s="5">
        <v>19990000</v>
      </c>
      <c r="F24" s="3" t="s">
        <v>22</v>
      </c>
      <c r="G24" s="4">
        <v>20890000</v>
      </c>
      <c r="H24" s="4">
        <v>20890000</v>
      </c>
      <c r="I24" s="4" t="s">
        <v>22</v>
      </c>
    </row>
    <row r="25" spans="1:9" x14ac:dyDescent="0.2">
      <c r="A25" t="s">
        <v>53</v>
      </c>
      <c r="B25" s="3">
        <v>5490000</v>
      </c>
      <c r="C25" s="25">
        <v>5690000</v>
      </c>
      <c r="D25" s="3">
        <v>5640000</v>
      </c>
      <c r="E25" s="5">
        <v>5690000</v>
      </c>
      <c r="F25" s="3">
        <v>5450000</v>
      </c>
      <c r="G25" s="3">
        <v>5590000</v>
      </c>
      <c r="H25" s="4">
        <v>5450000</v>
      </c>
      <c r="I25" s="4" t="s">
        <v>22</v>
      </c>
    </row>
    <row r="26" spans="1:9" x14ac:dyDescent="0.2">
      <c r="A26" t="s">
        <v>173</v>
      </c>
      <c r="B26" s="4">
        <v>4090000</v>
      </c>
      <c r="C26" s="25">
        <v>4090000</v>
      </c>
      <c r="D26" s="5">
        <v>4090000</v>
      </c>
      <c r="E26" s="5">
        <v>4090000</v>
      </c>
      <c r="F26" s="3">
        <v>3890000</v>
      </c>
      <c r="G26" s="3">
        <v>3890000</v>
      </c>
      <c r="H26" s="4">
        <v>3950000</v>
      </c>
      <c r="I26" s="4" t="s">
        <v>22</v>
      </c>
    </row>
    <row r="27" spans="1:9" x14ac:dyDescent="0.2">
      <c r="A27" t="s">
        <v>174</v>
      </c>
      <c r="B27" s="4">
        <v>2790000</v>
      </c>
      <c r="C27" s="25">
        <v>2790000</v>
      </c>
      <c r="D27" s="5">
        <v>2790000</v>
      </c>
      <c r="E27" s="5" t="s">
        <v>180</v>
      </c>
      <c r="F27" s="3">
        <v>2690000</v>
      </c>
      <c r="G27" s="4">
        <v>2590000</v>
      </c>
      <c r="H27" s="4">
        <v>2690000</v>
      </c>
      <c r="I27" s="3">
        <v>2790000</v>
      </c>
    </row>
    <row r="28" spans="1:9" x14ac:dyDescent="0.2">
      <c r="A28" t="s">
        <v>175</v>
      </c>
      <c r="B28" s="3">
        <v>19090000</v>
      </c>
      <c r="C28" s="3">
        <v>19090000</v>
      </c>
      <c r="D28" s="3">
        <v>18890000</v>
      </c>
      <c r="F28" s="3">
        <v>18690000</v>
      </c>
      <c r="G28" s="3">
        <v>18390000</v>
      </c>
      <c r="H28" s="3">
        <v>18390000</v>
      </c>
      <c r="I28" s="4">
        <v>27251000</v>
      </c>
    </row>
    <row r="29" spans="1:9" x14ac:dyDescent="0.2">
      <c r="A29" t="s">
        <v>176</v>
      </c>
      <c r="B29" s="3">
        <v>24390000</v>
      </c>
      <c r="C29" s="25">
        <v>24390000</v>
      </c>
      <c r="D29" s="3">
        <v>24290000</v>
      </c>
      <c r="F29" s="3">
        <v>24090000</v>
      </c>
      <c r="G29" s="4">
        <v>23990000</v>
      </c>
      <c r="H29" s="4">
        <v>23990000</v>
      </c>
      <c r="I29" s="4">
        <v>23267000</v>
      </c>
    </row>
    <row r="30" spans="1:9" x14ac:dyDescent="0.2">
      <c r="A30" t="s">
        <v>177</v>
      </c>
      <c r="B30" s="3">
        <v>27690000</v>
      </c>
      <c r="C30" s="3">
        <v>27690000</v>
      </c>
      <c r="D30" s="3">
        <v>27390000</v>
      </c>
      <c r="F30" s="3">
        <v>26490000</v>
      </c>
      <c r="G30" s="4">
        <v>26890000</v>
      </c>
      <c r="H30" s="4">
        <v>26840000</v>
      </c>
      <c r="I30" s="4" t="s">
        <v>22</v>
      </c>
    </row>
    <row r="31" spans="1:9" x14ac:dyDescent="0.2">
      <c r="A31" t="s">
        <v>178</v>
      </c>
      <c r="B31" s="3">
        <v>31690000</v>
      </c>
      <c r="C31" s="25">
        <v>31690000</v>
      </c>
      <c r="D31" s="3">
        <v>31190000</v>
      </c>
      <c r="F31" s="3">
        <v>31290000</v>
      </c>
      <c r="G31" s="4">
        <v>31990000</v>
      </c>
      <c r="H31" s="4">
        <v>31490000</v>
      </c>
      <c r="I31" s="4" t="s">
        <v>22</v>
      </c>
    </row>
    <row r="32" spans="1:9" x14ac:dyDescent="0.2">
      <c r="A32" t="s">
        <v>179</v>
      </c>
      <c r="B32" s="4">
        <v>38690000</v>
      </c>
      <c r="C32" s="3">
        <v>38690000</v>
      </c>
      <c r="D32" s="3">
        <v>38190000</v>
      </c>
      <c r="F32" s="3">
        <v>37590000</v>
      </c>
      <c r="G32" s="4">
        <v>36990000</v>
      </c>
      <c r="H32" s="4">
        <v>37490000</v>
      </c>
      <c r="I32" s="4" t="s">
        <v>22</v>
      </c>
    </row>
  </sheetData>
  <pageMargins left="0.7" right="0.7" top="0.75" bottom="0.75" header="0.3" footer="0.3"/>
  <legacy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0"/>
  <dimension ref="A1:I32"/>
  <sheetViews>
    <sheetView workbookViewId="0">
      <selection activeCell="B1" sqref="B1:I1"/>
    </sheetView>
  </sheetViews>
  <sheetFormatPr baseColWidth="10" defaultColWidth="11" defaultRowHeight="16" x14ac:dyDescent="0.2"/>
  <cols>
    <col min="1" max="1" width="25.33203125" bestFit="1" customWidth="1"/>
  </cols>
  <sheetData>
    <row r="1" spans="1:9" x14ac:dyDescent="0.2">
      <c r="B1" t="s">
        <v>1</v>
      </c>
      <c r="C1" t="s">
        <v>0</v>
      </c>
      <c r="D1" t="s">
        <v>2</v>
      </c>
      <c r="E1" t="s">
        <v>3</v>
      </c>
      <c r="F1" t="s">
        <v>4</v>
      </c>
      <c r="G1" t="s">
        <v>155</v>
      </c>
      <c r="H1" t="s">
        <v>5</v>
      </c>
      <c r="I1" t="s">
        <v>156</v>
      </c>
    </row>
    <row r="2" spans="1:9" x14ac:dyDescent="0.2">
      <c r="A2" t="s">
        <v>25</v>
      </c>
      <c r="B2" s="3">
        <v>19190000</v>
      </c>
      <c r="C2" s="3">
        <v>19190000</v>
      </c>
      <c r="D2" s="3">
        <v>19190000</v>
      </c>
      <c r="E2" s="4">
        <v>18490000</v>
      </c>
      <c r="F2" s="3">
        <v>18690000</v>
      </c>
      <c r="G2" s="4">
        <v>18690000</v>
      </c>
      <c r="H2" s="4">
        <v>18740000</v>
      </c>
      <c r="I2" s="3">
        <v>17931000</v>
      </c>
    </row>
    <row r="3" spans="1:9" x14ac:dyDescent="0.2">
      <c r="A3" t="s">
        <v>26</v>
      </c>
      <c r="B3" s="3">
        <v>22390000</v>
      </c>
      <c r="C3" s="3">
        <v>22390000</v>
      </c>
      <c r="D3" s="3">
        <v>22090000</v>
      </c>
      <c r="E3" s="3">
        <v>21990000</v>
      </c>
      <c r="F3" s="3">
        <v>21590000</v>
      </c>
      <c r="G3" s="4">
        <v>21790000</v>
      </c>
      <c r="H3" s="4">
        <v>21940000</v>
      </c>
      <c r="I3" s="4" t="s">
        <v>22</v>
      </c>
    </row>
    <row r="4" spans="1:9" x14ac:dyDescent="0.2">
      <c r="A4" t="s">
        <v>157</v>
      </c>
      <c r="B4" s="3">
        <v>24990000</v>
      </c>
      <c r="C4" s="3">
        <v>25190000</v>
      </c>
      <c r="D4" s="3">
        <v>24890000</v>
      </c>
      <c r="E4" s="4">
        <v>23990000</v>
      </c>
      <c r="F4" s="3">
        <v>24490000</v>
      </c>
      <c r="G4" s="4">
        <v>24090000</v>
      </c>
      <c r="H4" s="4">
        <v>24290000</v>
      </c>
      <c r="I4" s="3">
        <v>23267000</v>
      </c>
    </row>
    <row r="5" spans="1:9" x14ac:dyDescent="0.2">
      <c r="A5" t="s">
        <v>158</v>
      </c>
      <c r="B5" s="3">
        <v>29390000</v>
      </c>
      <c r="C5" s="3">
        <v>29390000</v>
      </c>
      <c r="D5" s="3">
        <v>29290000</v>
      </c>
      <c r="E5" s="3">
        <v>28990000</v>
      </c>
      <c r="F5" s="3">
        <v>28890000</v>
      </c>
      <c r="G5" s="3">
        <v>28790000</v>
      </c>
      <c r="H5" s="4">
        <v>28890000</v>
      </c>
      <c r="I5" s="3">
        <v>28143000</v>
      </c>
    </row>
    <row r="6" spans="1:9" x14ac:dyDescent="0.2">
      <c r="A6" t="s">
        <v>92</v>
      </c>
      <c r="B6" s="4">
        <v>19890000</v>
      </c>
      <c r="C6" s="25">
        <v>19690000</v>
      </c>
      <c r="D6" s="5">
        <v>19390000</v>
      </c>
      <c r="E6" s="4">
        <v>19490000</v>
      </c>
      <c r="F6" s="3">
        <v>19190000</v>
      </c>
      <c r="G6" s="4">
        <v>18990000</v>
      </c>
      <c r="H6" s="4">
        <v>18990000</v>
      </c>
      <c r="I6" s="4">
        <v>22531000</v>
      </c>
    </row>
    <row r="7" spans="1:9" x14ac:dyDescent="0.2">
      <c r="A7" t="s">
        <v>27</v>
      </c>
      <c r="B7" s="4">
        <v>17790000</v>
      </c>
      <c r="C7" s="25">
        <v>17790000</v>
      </c>
      <c r="D7" s="5">
        <v>17490000</v>
      </c>
      <c r="E7" s="3">
        <v>17590000</v>
      </c>
      <c r="F7" s="3">
        <v>16990000</v>
      </c>
      <c r="G7" s="4">
        <v>16290000</v>
      </c>
      <c r="H7" s="4">
        <v>16290000</v>
      </c>
      <c r="I7" s="4">
        <v>15723000</v>
      </c>
    </row>
    <row r="8" spans="1:9" x14ac:dyDescent="0.2">
      <c r="A8" t="s">
        <v>28</v>
      </c>
      <c r="B8" s="3">
        <v>13890000</v>
      </c>
      <c r="C8" s="3">
        <v>13890000</v>
      </c>
      <c r="D8" s="3">
        <v>13590000</v>
      </c>
      <c r="E8" s="3">
        <v>13490000</v>
      </c>
      <c r="F8" s="3">
        <v>13590000</v>
      </c>
      <c r="G8" s="4">
        <v>13690000</v>
      </c>
      <c r="H8" s="4">
        <v>13690000</v>
      </c>
      <c r="I8" s="3">
        <v>12687000</v>
      </c>
    </row>
    <row r="9" spans="1:9" x14ac:dyDescent="0.2">
      <c r="A9" t="s">
        <v>98</v>
      </c>
      <c r="B9" s="4">
        <v>11990000</v>
      </c>
      <c r="C9" s="25">
        <v>11990000</v>
      </c>
      <c r="D9" s="5">
        <v>11890000</v>
      </c>
      <c r="E9" s="4">
        <v>11490000</v>
      </c>
      <c r="F9" s="4" t="s">
        <v>22</v>
      </c>
      <c r="G9" s="4">
        <v>11790000</v>
      </c>
      <c r="H9" s="4">
        <v>12290000</v>
      </c>
      <c r="I9" s="4" t="s">
        <v>22</v>
      </c>
    </row>
    <row r="10" spans="1:9" x14ac:dyDescent="0.2">
      <c r="A10" t="s">
        <v>102</v>
      </c>
      <c r="B10" s="4">
        <v>8590000</v>
      </c>
      <c r="C10" s="25">
        <v>8590000</v>
      </c>
      <c r="D10" s="5">
        <v>8540000</v>
      </c>
      <c r="E10" s="4">
        <v>8590000</v>
      </c>
      <c r="F10" s="3">
        <v>8490000</v>
      </c>
      <c r="G10" s="4">
        <v>8390000</v>
      </c>
      <c r="H10" s="4">
        <v>8490000</v>
      </c>
      <c r="I10" s="4" t="s">
        <v>22</v>
      </c>
    </row>
    <row r="11" spans="1:9" x14ac:dyDescent="0.2">
      <c r="A11" t="s">
        <v>159</v>
      </c>
      <c r="B11" s="4" t="s">
        <v>22</v>
      </c>
      <c r="C11" s="25" t="s">
        <v>22</v>
      </c>
      <c r="D11" s="5">
        <v>20990000</v>
      </c>
      <c r="E11" s="4" t="s">
        <v>91</v>
      </c>
      <c r="F11" s="4" t="s">
        <v>22</v>
      </c>
      <c r="G11" s="4">
        <v>19990000</v>
      </c>
      <c r="H11" s="4">
        <v>20790000</v>
      </c>
      <c r="I11" s="4" t="s">
        <v>22</v>
      </c>
    </row>
    <row r="12" spans="1:9" x14ac:dyDescent="0.2">
      <c r="A12" t="s">
        <v>160</v>
      </c>
      <c r="B12" s="4">
        <v>14090000</v>
      </c>
      <c r="C12" s="25">
        <v>14090000</v>
      </c>
      <c r="D12" s="5">
        <v>13990000</v>
      </c>
      <c r="E12" s="4">
        <v>14290000</v>
      </c>
      <c r="F12" s="3">
        <v>14590000</v>
      </c>
      <c r="G12" s="4">
        <v>13990000</v>
      </c>
      <c r="H12" s="4">
        <v>14290000</v>
      </c>
      <c r="I12" s="4" t="s">
        <v>22</v>
      </c>
    </row>
    <row r="13" spans="1:9" x14ac:dyDescent="0.2">
      <c r="A13" t="s">
        <v>161</v>
      </c>
      <c r="B13" s="4" t="s">
        <v>22</v>
      </c>
      <c r="C13" s="25">
        <v>12390000</v>
      </c>
      <c r="D13" s="5">
        <v>12690000</v>
      </c>
      <c r="E13" s="4" t="s">
        <v>111</v>
      </c>
      <c r="F13" s="3">
        <v>12490000</v>
      </c>
      <c r="G13" s="4">
        <v>11690000</v>
      </c>
      <c r="H13" s="4">
        <v>12190000</v>
      </c>
      <c r="I13" s="4" t="s">
        <v>22</v>
      </c>
    </row>
    <row r="14" spans="1:9" x14ac:dyDescent="0.2">
      <c r="A14" t="s">
        <v>162</v>
      </c>
      <c r="B14" s="4">
        <v>10290000</v>
      </c>
      <c r="C14" s="25">
        <v>10290000</v>
      </c>
      <c r="D14" s="5">
        <v>9940000</v>
      </c>
      <c r="E14" s="4">
        <v>9490000</v>
      </c>
      <c r="F14" s="3">
        <v>9590000</v>
      </c>
      <c r="G14" s="4">
        <v>9490000</v>
      </c>
      <c r="H14" s="4">
        <v>9690000</v>
      </c>
      <c r="I14" s="3">
        <v>9467000</v>
      </c>
    </row>
    <row r="15" spans="1:9" x14ac:dyDescent="0.2">
      <c r="A15" t="s">
        <v>163</v>
      </c>
      <c r="B15" s="3">
        <v>7090000</v>
      </c>
      <c r="C15" s="3">
        <v>7090000</v>
      </c>
      <c r="D15" s="3">
        <v>7140000</v>
      </c>
      <c r="E15" s="4">
        <v>6790000</v>
      </c>
      <c r="F15" s="3">
        <v>6790000</v>
      </c>
      <c r="G15" s="3">
        <v>6850000</v>
      </c>
      <c r="H15" s="4">
        <v>6890000</v>
      </c>
      <c r="I15" s="3">
        <v>6707000</v>
      </c>
    </row>
    <row r="16" spans="1:9" x14ac:dyDescent="0.2">
      <c r="A16" t="s">
        <v>164</v>
      </c>
      <c r="B16" s="4">
        <v>6190000</v>
      </c>
      <c r="C16" s="25">
        <v>5990000</v>
      </c>
      <c r="D16" s="5">
        <v>5740000</v>
      </c>
      <c r="E16" s="4">
        <v>5890000</v>
      </c>
      <c r="F16" s="3">
        <v>5790000</v>
      </c>
      <c r="G16" s="4">
        <v>5790000</v>
      </c>
      <c r="H16" s="4">
        <v>5790000</v>
      </c>
      <c r="I16" s="4">
        <v>5083000</v>
      </c>
    </row>
    <row r="17" spans="1:9" x14ac:dyDescent="0.2">
      <c r="A17" t="s">
        <v>165</v>
      </c>
      <c r="B17" s="3">
        <v>7290000</v>
      </c>
      <c r="C17" s="25">
        <v>7490000</v>
      </c>
      <c r="D17" s="5">
        <v>7240000</v>
      </c>
      <c r="E17" s="4">
        <v>7390000</v>
      </c>
      <c r="F17" s="3">
        <v>7190000</v>
      </c>
      <c r="G17" s="4">
        <v>7190000</v>
      </c>
      <c r="H17" s="4">
        <v>7190000</v>
      </c>
      <c r="I17" s="4" t="s">
        <v>22</v>
      </c>
    </row>
    <row r="18" spans="1:9" x14ac:dyDescent="0.2">
      <c r="A18" t="s">
        <v>166</v>
      </c>
      <c r="B18" s="4">
        <v>7090000</v>
      </c>
      <c r="C18" s="25">
        <v>6890000</v>
      </c>
      <c r="D18" s="5">
        <v>6740000</v>
      </c>
      <c r="E18" s="4">
        <v>6690000</v>
      </c>
      <c r="F18" s="3">
        <v>6690000</v>
      </c>
      <c r="G18" s="4">
        <v>6590000</v>
      </c>
      <c r="H18" s="4">
        <v>6590000</v>
      </c>
      <c r="I18" s="3">
        <v>6431000</v>
      </c>
    </row>
    <row r="19" spans="1:9" x14ac:dyDescent="0.2">
      <c r="A19" t="s">
        <v>167</v>
      </c>
      <c r="B19" s="3" t="s">
        <v>22</v>
      </c>
      <c r="C19" s="3">
        <v>7990000</v>
      </c>
      <c r="D19" s="3">
        <v>7940000</v>
      </c>
      <c r="E19" s="4">
        <v>8090000</v>
      </c>
      <c r="F19" s="3">
        <v>8090000</v>
      </c>
      <c r="G19" s="4">
        <v>7890000</v>
      </c>
      <c r="H19" s="4">
        <v>7890000</v>
      </c>
      <c r="I19" s="4" t="s">
        <v>22</v>
      </c>
    </row>
    <row r="20" spans="1:9" x14ac:dyDescent="0.2">
      <c r="A20" t="s">
        <v>168</v>
      </c>
      <c r="B20" s="3">
        <v>9890000</v>
      </c>
      <c r="C20" s="25">
        <v>9890000</v>
      </c>
      <c r="D20" s="5">
        <v>9440000</v>
      </c>
      <c r="E20" s="4">
        <v>9690000</v>
      </c>
      <c r="F20" s="3">
        <v>8690000</v>
      </c>
      <c r="G20" s="4">
        <v>8690000</v>
      </c>
      <c r="H20" s="4">
        <v>9040000</v>
      </c>
      <c r="I20" s="3">
        <v>8547000</v>
      </c>
    </row>
    <row r="21" spans="1:9" x14ac:dyDescent="0.2">
      <c r="A21" t="s">
        <v>169</v>
      </c>
      <c r="B21" s="4">
        <v>12290000</v>
      </c>
      <c r="C21" s="25">
        <v>12290000</v>
      </c>
      <c r="D21" s="5">
        <v>11990000</v>
      </c>
      <c r="E21" s="4">
        <v>12390000</v>
      </c>
      <c r="F21" s="3">
        <v>11890000</v>
      </c>
      <c r="G21" s="3">
        <v>10290000</v>
      </c>
      <c r="H21" s="4">
        <v>11540000</v>
      </c>
      <c r="I21" s="4" t="s">
        <v>22</v>
      </c>
    </row>
    <row r="22" spans="1:9" x14ac:dyDescent="0.2">
      <c r="A22" t="s">
        <v>170</v>
      </c>
      <c r="B22" s="4">
        <v>10890000</v>
      </c>
      <c r="C22" s="25">
        <v>10690000</v>
      </c>
      <c r="D22" s="5">
        <v>10490000</v>
      </c>
      <c r="E22" s="4">
        <v>10490000</v>
      </c>
      <c r="F22" s="3">
        <v>9990000</v>
      </c>
      <c r="G22" s="4">
        <v>9990000</v>
      </c>
      <c r="H22" s="4">
        <v>9940000</v>
      </c>
      <c r="I22" s="4" t="s">
        <v>22</v>
      </c>
    </row>
    <row r="23" spans="1:9" x14ac:dyDescent="0.2">
      <c r="A23" t="s">
        <v>171</v>
      </c>
      <c r="B23" s="4">
        <v>13690000</v>
      </c>
      <c r="C23" s="25">
        <v>13690000</v>
      </c>
      <c r="D23" s="5">
        <v>13390000</v>
      </c>
      <c r="E23" s="4">
        <v>13090000</v>
      </c>
      <c r="F23" s="3" t="s">
        <v>22</v>
      </c>
      <c r="G23" s="4">
        <v>12890000</v>
      </c>
      <c r="H23" s="4">
        <v>12640000</v>
      </c>
      <c r="I23" s="4" t="s">
        <v>22</v>
      </c>
    </row>
    <row r="24" spans="1:9" x14ac:dyDescent="0.2">
      <c r="A24" t="s">
        <v>172</v>
      </c>
      <c r="B24" s="4" t="s">
        <v>22</v>
      </c>
      <c r="C24" s="3">
        <v>21190000</v>
      </c>
      <c r="D24" s="5">
        <v>20890000</v>
      </c>
      <c r="E24" s="4">
        <v>19990000</v>
      </c>
      <c r="F24" s="3" t="s">
        <v>22</v>
      </c>
      <c r="G24" s="4">
        <v>20890000</v>
      </c>
      <c r="H24" s="4">
        <v>20890000</v>
      </c>
      <c r="I24" s="4" t="s">
        <v>22</v>
      </c>
    </row>
    <row r="25" spans="1:9" x14ac:dyDescent="0.2">
      <c r="A25" t="s">
        <v>53</v>
      </c>
      <c r="B25" s="4">
        <v>5490000</v>
      </c>
      <c r="C25" s="25">
        <v>5690000</v>
      </c>
      <c r="D25" s="5">
        <v>5640000</v>
      </c>
      <c r="E25" s="4">
        <v>5690000</v>
      </c>
      <c r="F25" s="3">
        <v>5450000</v>
      </c>
      <c r="G25" s="4">
        <v>5590000</v>
      </c>
      <c r="H25" s="4">
        <v>5450000</v>
      </c>
      <c r="I25" s="4">
        <v>5051000</v>
      </c>
    </row>
    <row r="26" spans="1:9" x14ac:dyDescent="0.2">
      <c r="A26" t="s">
        <v>173</v>
      </c>
      <c r="B26" s="4">
        <v>4090000</v>
      </c>
      <c r="C26" s="25">
        <v>4090000</v>
      </c>
      <c r="D26" s="5">
        <v>4090000</v>
      </c>
      <c r="E26" s="4">
        <v>4090000</v>
      </c>
      <c r="F26" s="3">
        <v>3890000</v>
      </c>
      <c r="G26" s="4">
        <v>3890000</v>
      </c>
      <c r="H26" s="4">
        <v>3950000</v>
      </c>
      <c r="I26" s="4" t="s">
        <v>22</v>
      </c>
    </row>
    <row r="27" spans="1:9" x14ac:dyDescent="0.2">
      <c r="A27" t="s">
        <v>174</v>
      </c>
      <c r="B27" s="4">
        <v>2790000</v>
      </c>
      <c r="C27" s="25">
        <v>2790000</v>
      </c>
      <c r="D27" s="5">
        <v>2790000</v>
      </c>
      <c r="E27" s="4" t="s">
        <v>180</v>
      </c>
      <c r="F27" s="3">
        <v>2690000</v>
      </c>
      <c r="G27" s="4">
        <v>2590000</v>
      </c>
      <c r="H27" s="4">
        <v>2690000</v>
      </c>
      <c r="I27" s="3">
        <v>2511000</v>
      </c>
    </row>
    <row r="28" spans="1:9" x14ac:dyDescent="0.2">
      <c r="A28" t="s">
        <v>175</v>
      </c>
      <c r="B28" s="4">
        <v>19090000</v>
      </c>
      <c r="C28" s="25">
        <v>19090000</v>
      </c>
      <c r="D28" s="5">
        <v>18890000</v>
      </c>
      <c r="F28" s="3">
        <v>18590000</v>
      </c>
      <c r="G28" s="4">
        <v>18390000</v>
      </c>
      <c r="H28" s="4">
        <v>18390000</v>
      </c>
      <c r="I28" s="3">
        <v>26671000</v>
      </c>
    </row>
    <row r="29" spans="1:9" x14ac:dyDescent="0.2">
      <c r="A29" t="s">
        <v>176</v>
      </c>
      <c r="B29" s="4">
        <v>24390000</v>
      </c>
      <c r="C29" s="25">
        <v>24390000</v>
      </c>
      <c r="D29" s="5">
        <v>24290000</v>
      </c>
      <c r="F29" s="3">
        <v>23990000</v>
      </c>
      <c r="G29" s="4">
        <v>23990000</v>
      </c>
      <c r="H29" s="4">
        <v>23990000</v>
      </c>
      <c r="I29" s="3">
        <v>22990000</v>
      </c>
    </row>
    <row r="30" spans="1:9" x14ac:dyDescent="0.2">
      <c r="A30" t="s">
        <v>177</v>
      </c>
      <c r="B30" s="4">
        <v>27690000</v>
      </c>
      <c r="C30" s="25">
        <v>27690000</v>
      </c>
      <c r="D30" s="5">
        <v>27390000</v>
      </c>
      <c r="F30" s="3">
        <v>26390000</v>
      </c>
      <c r="G30" s="4">
        <v>26890000</v>
      </c>
      <c r="H30" s="4">
        <v>26840000</v>
      </c>
      <c r="I30" s="4">
        <v>25651000</v>
      </c>
    </row>
    <row r="31" spans="1:9" x14ac:dyDescent="0.2">
      <c r="A31" t="s">
        <v>178</v>
      </c>
      <c r="B31" s="4">
        <v>31690000</v>
      </c>
      <c r="C31" s="25">
        <v>31690000</v>
      </c>
      <c r="D31" s="5">
        <v>31190000</v>
      </c>
      <c r="F31" s="3">
        <v>31290000</v>
      </c>
      <c r="G31" s="4">
        <v>31990000</v>
      </c>
      <c r="H31" s="4">
        <v>31490000</v>
      </c>
      <c r="I31" s="4" t="s">
        <v>22</v>
      </c>
    </row>
    <row r="32" spans="1:9" x14ac:dyDescent="0.2">
      <c r="A32" t="s">
        <v>179</v>
      </c>
      <c r="B32" s="4">
        <v>38690000</v>
      </c>
      <c r="C32" s="25">
        <v>38690000</v>
      </c>
      <c r="D32" s="5">
        <v>38190000</v>
      </c>
      <c r="F32" s="3">
        <v>37590000</v>
      </c>
      <c r="G32" s="4">
        <v>36990000</v>
      </c>
      <c r="H32" s="4">
        <v>37490000</v>
      </c>
      <c r="I32" s="4" t="s">
        <v>22</v>
      </c>
    </row>
  </sheetData>
  <pageMargins left="0.7" right="0.7" top="0.75" bottom="0.75" header="0.3" footer="0.3"/>
  <legacy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1"/>
  <dimension ref="A1:I36"/>
  <sheetViews>
    <sheetView zoomScale="99" workbookViewId="0">
      <selection activeCell="Q5" sqref="Q5"/>
    </sheetView>
  </sheetViews>
  <sheetFormatPr baseColWidth="10" defaultColWidth="11" defaultRowHeight="16" x14ac:dyDescent="0.2"/>
  <cols>
    <col min="1" max="1" width="25.33203125" bestFit="1" customWidth="1"/>
    <col min="2" max="9" width="13.83203125" customWidth="1"/>
  </cols>
  <sheetData>
    <row r="1" spans="1:9" x14ac:dyDescent="0.2">
      <c r="B1" t="s">
        <v>1</v>
      </c>
      <c r="C1" t="s">
        <v>0</v>
      </c>
      <c r="D1" t="s">
        <v>2</v>
      </c>
      <c r="E1" t="s">
        <v>3</v>
      </c>
      <c r="F1" t="s">
        <v>4</v>
      </c>
      <c r="G1" t="s">
        <v>155</v>
      </c>
      <c r="H1" t="s">
        <v>5</v>
      </c>
      <c r="I1" t="s">
        <v>156</v>
      </c>
    </row>
    <row r="2" spans="1:9" x14ac:dyDescent="0.2">
      <c r="A2" t="s">
        <v>25</v>
      </c>
      <c r="B2" s="3">
        <v>19590000</v>
      </c>
      <c r="C2" s="3">
        <v>19590000</v>
      </c>
      <c r="D2" s="3">
        <v>19590000</v>
      </c>
      <c r="E2" s="3">
        <v>18990000</v>
      </c>
      <c r="F2" s="3">
        <v>19290000</v>
      </c>
      <c r="G2" s="3">
        <v>18990000</v>
      </c>
      <c r="H2" s="3">
        <v>18890000</v>
      </c>
      <c r="I2" s="3">
        <v>18979000</v>
      </c>
    </row>
    <row r="3" spans="1:9" x14ac:dyDescent="0.2">
      <c r="A3" t="s">
        <v>26</v>
      </c>
      <c r="B3" s="3">
        <v>22590000</v>
      </c>
      <c r="C3" s="3">
        <v>22590000</v>
      </c>
      <c r="D3" s="3">
        <v>22290000</v>
      </c>
      <c r="E3" s="4">
        <v>21990000</v>
      </c>
      <c r="F3" s="3">
        <v>22190000</v>
      </c>
      <c r="G3" s="3">
        <v>21690000</v>
      </c>
      <c r="H3" s="3">
        <v>22190000</v>
      </c>
      <c r="I3" s="4" t="s">
        <v>22</v>
      </c>
    </row>
    <row r="4" spans="1:9" x14ac:dyDescent="0.2">
      <c r="A4" t="s">
        <v>157</v>
      </c>
      <c r="B4" s="3">
        <v>25190000</v>
      </c>
      <c r="C4" s="3">
        <v>25290000</v>
      </c>
      <c r="D4" s="3">
        <v>24990000</v>
      </c>
      <c r="E4" s="4">
        <v>23990000</v>
      </c>
      <c r="F4" s="3">
        <v>25090000</v>
      </c>
      <c r="G4" s="3">
        <v>23990000</v>
      </c>
      <c r="H4" s="3">
        <v>24790000</v>
      </c>
      <c r="I4" s="3">
        <v>24525000</v>
      </c>
    </row>
    <row r="5" spans="1:9" x14ac:dyDescent="0.2">
      <c r="A5" t="s">
        <v>158</v>
      </c>
      <c r="B5" s="3">
        <v>29490000</v>
      </c>
      <c r="C5" s="3">
        <v>29490000</v>
      </c>
      <c r="D5" s="31">
        <v>29290000</v>
      </c>
      <c r="E5" s="4">
        <v>28890000</v>
      </c>
      <c r="F5" s="3">
        <v>29190000</v>
      </c>
      <c r="G5" s="3">
        <v>28690000</v>
      </c>
      <c r="H5" s="3">
        <v>28990000</v>
      </c>
      <c r="I5" s="3">
        <v>28943000</v>
      </c>
    </row>
    <row r="6" spans="1:9" x14ac:dyDescent="0.2">
      <c r="A6" t="s">
        <v>92</v>
      </c>
      <c r="B6" s="4">
        <v>19890000</v>
      </c>
      <c r="C6" s="3">
        <v>19990000</v>
      </c>
      <c r="D6" s="3">
        <v>19890000</v>
      </c>
      <c r="E6" s="3">
        <v>19690000</v>
      </c>
      <c r="F6" s="3">
        <v>19590000</v>
      </c>
      <c r="G6" s="3">
        <v>19190000</v>
      </c>
      <c r="H6" s="4">
        <v>18990000</v>
      </c>
      <c r="I6" s="3">
        <v>23021000</v>
      </c>
    </row>
    <row r="7" spans="1:9" x14ac:dyDescent="0.2">
      <c r="A7" t="s">
        <v>27</v>
      </c>
      <c r="B7" s="4">
        <v>17790000</v>
      </c>
      <c r="C7" s="25">
        <v>17790000</v>
      </c>
      <c r="D7" s="5">
        <v>17490000</v>
      </c>
      <c r="E7" s="3">
        <v>17690000</v>
      </c>
      <c r="F7" s="3">
        <v>17290000</v>
      </c>
      <c r="G7" s="3">
        <v>17190000</v>
      </c>
      <c r="H7" s="3">
        <v>17290000</v>
      </c>
      <c r="I7" s="4">
        <v>16406000</v>
      </c>
    </row>
    <row r="8" spans="1:9" x14ac:dyDescent="0.2">
      <c r="A8" t="s">
        <v>28</v>
      </c>
      <c r="B8" s="3">
        <v>14090000</v>
      </c>
      <c r="C8" s="3">
        <v>14090000</v>
      </c>
      <c r="D8" s="3">
        <v>13990000</v>
      </c>
      <c r="E8" s="4">
        <v>13490000</v>
      </c>
      <c r="F8" s="3">
        <v>13790000</v>
      </c>
      <c r="G8" s="3">
        <v>13490000</v>
      </c>
      <c r="H8" s="4">
        <v>13690000</v>
      </c>
      <c r="I8" s="3">
        <v>13621000</v>
      </c>
    </row>
    <row r="9" spans="1:9" x14ac:dyDescent="0.2">
      <c r="A9" t="s">
        <v>98</v>
      </c>
      <c r="B9" s="4">
        <v>11990000</v>
      </c>
      <c r="C9" s="25">
        <v>11990000</v>
      </c>
      <c r="D9" s="3">
        <v>11990000</v>
      </c>
      <c r="E9" s="4">
        <v>11490000</v>
      </c>
      <c r="F9" s="3">
        <v>11550000</v>
      </c>
      <c r="G9" s="3">
        <v>11590000</v>
      </c>
      <c r="H9" s="4">
        <v>12290000</v>
      </c>
      <c r="I9" s="4" t="s">
        <v>22</v>
      </c>
    </row>
    <row r="10" spans="1:9" x14ac:dyDescent="0.2">
      <c r="A10" t="s">
        <v>102</v>
      </c>
      <c r="B10" s="3">
        <v>8790000</v>
      </c>
      <c r="C10" s="3">
        <v>8790000</v>
      </c>
      <c r="D10" s="3">
        <v>8790000</v>
      </c>
      <c r="E10" s="3">
        <v>8490000</v>
      </c>
      <c r="F10" s="3">
        <v>8550000</v>
      </c>
      <c r="G10" s="3">
        <v>8190000</v>
      </c>
      <c r="H10" s="4">
        <v>8490000</v>
      </c>
      <c r="I10" s="4" t="s">
        <v>22</v>
      </c>
    </row>
    <row r="11" spans="1:9" x14ac:dyDescent="0.2">
      <c r="A11" t="s">
        <v>159</v>
      </c>
      <c r="B11" s="4" t="s">
        <v>22</v>
      </c>
      <c r="C11" s="25" t="s">
        <v>22</v>
      </c>
      <c r="D11" s="5" t="s">
        <v>22</v>
      </c>
      <c r="E11" s="4" t="s">
        <v>91</v>
      </c>
      <c r="F11" s="4" t="s">
        <v>22</v>
      </c>
      <c r="G11" s="3">
        <v>19790000</v>
      </c>
      <c r="H11" s="4">
        <v>20790000</v>
      </c>
      <c r="I11" s="4" t="s">
        <v>22</v>
      </c>
    </row>
    <row r="12" spans="1:9" x14ac:dyDescent="0.2">
      <c r="A12" t="s">
        <v>160</v>
      </c>
      <c r="B12" s="4">
        <v>14090000</v>
      </c>
      <c r="C12" s="25">
        <v>14090000</v>
      </c>
      <c r="D12" s="5">
        <v>13990000</v>
      </c>
      <c r="E12" s="3">
        <v>14170000</v>
      </c>
      <c r="F12" s="3" t="s">
        <v>22</v>
      </c>
      <c r="G12" s="3">
        <v>13790000</v>
      </c>
      <c r="H12" s="4">
        <v>14290000</v>
      </c>
      <c r="I12" s="4" t="s">
        <v>22</v>
      </c>
    </row>
    <row r="13" spans="1:9" x14ac:dyDescent="0.2">
      <c r="A13" t="s">
        <v>161</v>
      </c>
      <c r="B13" s="4" t="s">
        <v>22</v>
      </c>
      <c r="C13" s="25">
        <v>12390000</v>
      </c>
      <c r="D13" s="3">
        <v>12790000</v>
      </c>
      <c r="E13" s="3">
        <v>12070000</v>
      </c>
      <c r="F13" s="3">
        <v>12690000</v>
      </c>
      <c r="G13" s="3">
        <v>11490000</v>
      </c>
      <c r="H13" s="4">
        <v>12190000</v>
      </c>
      <c r="I13" s="4" t="s">
        <v>22</v>
      </c>
    </row>
    <row r="14" spans="1:9" x14ac:dyDescent="0.2">
      <c r="A14" t="s">
        <v>162</v>
      </c>
      <c r="B14" s="4">
        <v>10290000</v>
      </c>
      <c r="C14" s="25">
        <v>10290000</v>
      </c>
      <c r="D14" s="3">
        <v>9990000</v>
      </c>
      <c r="E14" s="3">
        <v>9593100</v>
      </c>
      <c r="F14" s="3">
        <v>9690000</v>
      </c>
      <c r="G14" s="3">
        <v>9290000</v>
      </c>
      <c r="H14" s="4">
        <v>9690000</v>
      </c>
      <c r="I14" s="3">
        <v>9485000</v>
      </c>
    </row>
    <row r="15" spans="1:9" x14ac:dyDescent="0.2">
      <c r="A15" t="s">
        <v>163</v>
      </c>
      <c r="B15" s="3">
        <v>7490000</v>
      </c>
      <c r="C15" s="3">
        <v>7490000</v>
      </c>
      <c r="D15" s="3">
        <v>7290000</v>
      </c>
      <c r="E15" s="3">
        <v>6920100</v>
      </c>
      <c r="F15" s="3">
        <v>7090000</v>
      </c>
      <c r="G15" s="3">
        <v>6790000</v>
      </c>
      <c r="H15" s="3">
        <v>6990000</v>
      </c>
      <c r="I15" s="3">
        <v>6853000</v>
      </c>
    </row>
    <row r="16" spans="1:9" x14ac:dyDescent="0.2">
      <c r="A16" t="s">
        <v>189</v>
      </c>
      <c r="B16" s="4" t="s">
        <v>22</v>
      </c>
      <c r="C16" s="4">
        <v>16990000</v>
      </c>
      <c r="D16" s="4">
        <v>16990000</v>
      </c>
      <c r="E16" s="4">
        <v>16090000</v>
      </c>
      <c r="F16" s="4" t="s">
        <v>22</v>
      </c>
      <c r="G16" s="4">
        <v>16190000</v>
      </c>
      <c r="H16" s="4">
        <v>16990000</v>
      </c>
      <c r="I16" s="4" t="s">
        <v>22</v>
      </c>
    </row>
    <row r="17" spans="1:9" x14ac:dyDescent="0.2">
      <c r="A17" t="s">
        <v>190</v>
      </c>
      <c r="B17" s="4">
        <v>22490000</v>
      </c>
      <c r="C17" s="4">
        <v>22490000</v>
      </c>
      <c r="D17" s="4">
        <v>22490000</v>
      </c>
      <c r="E17" s="4">
        <v>21190000</v>
      </c>
      <c r="F17" s="4">
        <v>21690000</v>
      </c>
      <c r="G17" s="4">
        <v>21290000</v>
      </c>
      <c r="H17" s="4">
        <v>21990000</v>
      </c>
      <c r="I17" s="4">
        <v>21047000</v>
      </c>
    </row>
    <row r="18" spans="1:9" x14ac:dyDescent="0.2">
      <c r="A18" t="s">
        <v>184</v>
      </c>
      <c r="B18" s="4">
        <v>28990000</v>
      </c>
      <c r="C18" s="4">
        <v>28990000</v>
      </c>
      <c r="D18" s="4">
        <v>28990000</v>
      </c>
      <c r="E18" s="4">
        <v>27690000</v>
      </c>
      <c r="F18" s="4">
        <v>37390000</v>
      </c>
      <c r="G18" s="4">
        <v>27490000</v>
      </c>
      <c r="H18" s="4">
        <v>28990000</v>
      </c>
      <c r="I18" s="4">
        <v>27251000</v>
      </c>
    </row>
    <row r="19" spans="1:9" x14ac:dyDescent="0.2">
      <c r="A19" t="s">
        <v>185</v>
      </c>
      <c r="B19" s="4">
        <v>37990000</v>
      </c>
      <c r="C19" s="4">
        <v>37990000</v>
      </c>
      <c r="D19" s="4">
        <v>37990000</v>
      </c>
      <c r="E19" s="4">
        <v>36490000</v>
      </c>
      <c r="F19" s="4">
        <v>27990000</v>
      </c>
      <c r="G19" s="4">
        <v>36190000</v>
      </c>
      <c r="H19" s="4">
        <v>37990000</v>
      </c>
      <c r="I19" s="4" t="s">
        <v>22</v>
      </c>
    </row>
    <row r="20" spans="1:9" x14ac:dyDescent="0.2">
      <c r="A20" t="s">
        <v>164</v>
      </c>
      <c r="B20" s="4">
        <v>6190000</v>
      </c>
      <c r="C20" s="3">
        <v>6190000</v>
      </c>
      <c r="D20" s="3">
        <v>5690000</v>
      </c>
      <c r="E20" s="3">
        <v>5930100</v>
      </c>
      <c r="F20" s="3">
        <v>5890000</v>
      </c>
      <c r="G20" s="3">
        <v>5590000</v>
      </c>
      <c r="H20" s="3">
        <v>5890000</v>
      </c>
      <c r="I20" s="4" t="s">
        <v>22</v>
      </c>
    </row>
    <row r="21" spans="1:9" x14ac:dyDescent="0.2">
      <c r="A21" t="s">
        <v>165</v>
      </c>
      <c r="B21" s="3" t="s">
        <v>22</v>
      </c>
      <c r="C21" s="3" t="s">
        <v>22</v>
      </c>
      <c r="D21" s="5" t="s">
        <v>22</v>
      </c>
      <c r="E21" s="3">
        <v>7217000</v>
      </c>
      <c r="F21" s="3">
        <v>7290000</v>
      </c>
      <c r="G21" s="3">
        <v>6990000</v>
      </c>
      <c r="H21" s="3">
        <v>7390000</v>
      </c>
      <c r="I21" s="4" t="s">
        <v>22</v>
      </c>
    </row>
    <row r="22" spans="1:9" x14ac:dyDescent="0.2">
      <c r="A22" t="s">
        <v>166</v>
      </c>
      <c r="B22" s="4">
        <v>7090000</v>
      </c>
      <c r="C22" s="25">
        <v>6890000</v>
      </c>
      <c r="D22" s="3">
        <v>6290000</v>
      </c>
      <c r="E22" s="3">
        <v>6623100</v>
      </c>
      <c r="F22" s="3">
        <v>6990000</v>
      </c>
      <c r="G22" s="3">
        <v>6390000</v>
      </c>
      <c r="H22" s="3">
        <v>6790000</v>
      </c>
      <c r="I22" s="3">
        <v>6665000</v>
      </c>
    </row>
    <row r="23" spans="1:9" x14ac:dyDescent="0.2">
      <c r="A23" t="s">
        <v>167</v>
      </c>
      <c r="B23" s="3">
        <v>8290000</v>
      </c>
      <c r="C23" s="3">
        <v>8290000</v>
      </c>
      <c r="D23" s="3">
        <v>7590000</v>
      </c>
      <c r="E23" s="3">
        <v>8009100</v>
      </c>
      <c r="F23" s="3">
        <v>8190000</v>
      </c>
      <c r="G23" s="3">
        <v>7690000</v>
      </c>
      <c r="H23" s="3">
        <v>7890000</v>
      </c>
      <c r="I23" s="4" t="s">
        <v>22</v>
      </c>
    </row>
    <row r="24" spans="1:9" x14ac:dyDescent="0.2">
      <c r="A24" t="s">
        <v>168</v>
      </c>
      <c r="B24" s="3">
        <v>9790000</v>
      </c>
      <c r="C24" s="25">
        <v>9890000</v>
      </c>
      <c r="D24" s="3">
        <v>9590000</v>
      </c>
      <c r="E24" s="3">
        <v>9692100</v>
      </c>
      <c r="F24" s="3">
        <v>9190000</v>
      </c>
      <c r="G24" s="4">
        <v>8690000</v>
      </c>
      <c r="H24" s="3">
        <v>9040000</v>
      </c>
      <c r="I24" s="3">
        <v>9297000</v>
      </c>
    </row>
    <row r="25" spans="1:9" x14ac:dyDescent="0.2">
      <c r="A25" t="s">
        <v>169</v>
      </c>
      <c r="B25" s="4">
        <v>12390000</v>
      </c>
      <c r="C25" s="3" t="s">
        <v>22</v>
      </c>
      <c r="D25" s="3">
        <v>12390000</v>
      </c>
      <c r="E25" s="3">
        <v>12270000</v>
      </c>
      <c r="F25" s="3">
        <v>12590000</v>
      </c>
      <c r="G25" s="3">
        <v>11490000</v>
      </c>
      <c r="H25" s="3">
        <v>11790000</v>
      </c>
      <c r="I25" s="4" t="s">
        <v>22</v>
      </c>
    </row>
    <row r="26" spans="1:9" x14ac:dyDescent="0.2">
      <c r="A26" t="s">
        <v>170</v>
      </c>
      <c r="B26" s="4">
        <v>10890000</v>
      </c>
      <c r="C26" s="3">
        <v>10890000</v>
      </c>
      <c r="D26" s="3">
        <v>10590000</v>
      </c>
      <c r="E26" s="3">
        <v>10385100</v>
      </c>
      <c r="F26" s="3">
        <v>10390000</v>
      </c>
      <c r="G26" s="3">
        <v>9790000</v>
      </c>
      <c r="H26" s="3">
        <v>10190000</v>
      </c>
      <c r="I26" s="4" t="s">
        <v>22</v>
      </c>
    </row>
    <row r="27" spans="1:9" x14ac:dyDescent="0.2">
      <c r="A27" t="s">
        <v>171</v>
      </c>
      <c r="B27" s="3">
        <v>13790000</v>
      </c>
      <c r="C27" s="3">
        <v>13790000</v>
      </c>
      <c r="D27" s="3">
        <v>13490000</v>
      </c>
      <c r="E27" s="3">
        <v>13070000</v>
      </c>
      <c r="F27" s="3" t="s">
        <v>22</v>
      </c>
      <c r="G27" s="3">
        <v>12690000</v>
      </c>
      <c r="H27" s="3">
        <v>12890000</v>
      </c>
      <c r="I27" s="4" t="s">
        <v>22</v>
      </c>
    </row>
    <row r="28" spans="1:9" x14ac:dyDescent="0.2">
      <c r="A28" t="s">
        <v>172</v>
      </c>
      <c r="B28" s="4" t="s">
        <v>22</v>
      </c>
      <c r="C28" s="3" t="s">
        <v>22</v>
      </c>
      <c r="D28" s="3">
        <v>20990000</v>
      </c>
      <c r="E28" s="3">
        <v>19690000</v>
      </c>
      <c r="F28" s="3">
        <v>21290000</v>
      </c>
      <c r="G28" s="3">
        <v>20690000</v>
      </c>
      <c r="H28" s="4">
        <v>20890000</v>
      </c>
      <c r="I28" s="4" t="s">
        <v>22</v>
      </c>
    </row>
    <row r="29" spans="1:9" x14ac:dyDescent="0.2">
      <c r="A29" t="s">
        <v>53</v>
      </c>
      <c r="B29" s="4">
        <v>5790000</v>
      </c>
      <c r="C29" s="3">
        <v>5790000</v>
      </c>
      <c r="D29" s="3">
        <v>5690000</v>
      </c>
      <c r="E29" s="3">
        <v>5663100</v>
      </c>
      <c r="F29" s="3">
        <v>5550000</v>
      </c>
      <c r="G29" s="3">
        <v>5390000</v>
      </c>
      <c r="H29" s="3">
        <v>5750000</v>
      </c>
      <c r="I29" s="3" t="s">
        <v>191</v>
      </c>
    </row>
    <row r="30" spans="1:9" x14ac:dyDescent="0.2">
      <c r="A30" t="s">
        <v>173</v>
      </c>
      <c r="B30" s="3">
        <v>3990000</v>
      </c>
      <c r="C30" s="3">
        <v>3990000</v>
      </c>
      <c r="D30" s="3">
        <v>3990000</v>
      </c>
      <c r="E30" s="3">
        <v>4148100</v>
      </c>
      <c r="F30" s="3">
        <v>3950000</v>
      </c>
      <c r="G30" s="3">
        <v>3690000</v>
      </c>
      <c r="H30" s="4">
        <v>3950000</v>
      </c>
      <c r="I30" s="4" t="s">
        <v>22</v>
      </c>
    </row>
    <row r="31" spans="1:9" x14ac:dyDescent="0.2">
      <c r="A31" t="s">
        <v>174</v>
      </c>
      <c r="B31" s="4">
        <v>2790000</v>
      </c>
      <c r="C31" s="25">
        <v>2790000</v>
      </c>
      <c r="D31" s="5">
        <v>2790000</v>
      </c>
      <c r="E31" s="3">
        <v>2890000</v>
      </c>
      <c r="F31" s="3">
        <v>2730000</v>
      </c>
      <c r="G31" s="3">
        <v>2490000</v>
      </c>
      <c r="H31" s="3">
        <v>2790000</v>
      </c>
      <c r="I31" s="4">
        <v>2790000</v>
      </c>
    </row>
    <row r="32" spans="1:9" x14ac:dyDescent="0.2">
      <c r="A32" t="s">
        <v>175</v>
      </c>
      <c r="B32" s="4">
        <v>19090000</v>
      </c>
      <c r="C32" s="3">
        <v>18790000</v>
      </c>
      <c r="D32" s="5">
        <v>18890000</v>
      </c>
      <c r="F32" s="3">
        <v>18590000</v>
      </c>
      <c r="G32" s="3">
        <v>18190000</v>
      </c>
      <c r="H32" s="4">
        <v>18390000</v>
      </c>
      <c r="I32" s="4" t="s">
        <v>22</v>
      </c>
    </row>
    <row r="33" spans="1:9" x14ac:dyDescent="0.2">
      <c r="A33" t="s">
        <v>176</v>
      </c>
      <c r="B33" s="3">
        <v>24490000</v>
      </c>
      <c r="C33" s="3">
        <v>24290000</v>
      </c>
      <c r="D33" s="3">
        <v>23990000</v>
      </c>
      <c r="F33" s="3">
        <v>23990000</v>
      </c>
      <c r="G33" s="3">
        <v>23790000</v>
      </c>
      <c r="H33" s="4">
        <v>23990000</v>
      </c>
      <c r="I33" s="3">
        <v>24190000</v>
      </c>
    </row>
    <row r="34" spans="1:9" x14ac:dyDescent="0.2">
      <c r="A34" t="s">
        <v>177</v>
      </c>
      <c r="B34" s="4">
        <v>27690000</v>
      </c>
      <c r="C34" s="25">
        <v>27690000</v>
      </c>
      <c r="D34" s="3">
        <v>27490000</v>
      </c>
      <c r="F34" s="3">
        <v>27190000</v>
      </c>
      <c r="G34" s="3">
        <v>26690000</v>
      </c>
      <c r="H34" s="3">
        <v>27340000</v>
      </c>
      <c r="I34" s="4" t="s">
        <v>22</v>
      </c>
    </row>
    <row r="35" spans="1:9" x14ac:dyDescent="0.2">
      <c r="A35" t="s">
        <v>178</v>
      </c>
      <c r="B35" s="4">
        <v>31690000</v>
      </c>
      <c r="C35" s="3">
        <v>31490000</v>
      </c>
      <c r="D35" s="3">
        <v>31490000</v>
      </c>
      <c r="F35" s="3">
        <v>32290000</v>
      </c>
      <c r="G35" s="3">
        <v>31790000</v>
      </c>
      <c r="H35" s="3">
        <v>31990000</v>
      </c>
      <c r="I35" s="4" t="s">
        <v>22</v>
      </c>
    </row>
    <row r="36" spans="1:9" x14ac:dyDescent="0.2">
      <c r="A36" t="s">
        <v>179</v>
      </c>
      <c r="B36" s="4">
        <v>38690000</v>
      </c>
      <c r="C36" s="3">
        <v>38490000</v>
      </c>
      <c r="D36" s="3">
        <v>38490000</v>
      </c>
      <c r="F36" s="3">
        <v>38590000</v>
      </c>
      <c r="G36" s="3">
        <v>36790000</v>
      </c>
      <c r="H36" s="3">
        <v>37990000</v>
      </c>
      <c r="I36" s="4" t="s">
        <v>22</v>
      </c>
    </row>
  </sheetData>
  <pageMargins left="0.7" right="0.7" top="0.75" bottom="0.75" header="0.3" footer="0.3"/>
  <legacyDrawing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2"/>
  <dimension ref="A1:I36"/>
  <sheetViews>
    <sheetView workbookViewId="0">
      <selection activeCell="H18" sqref="H18"/>
    </sheetView>
  </sheetViews>
  <sheetFormatPr baseColWidth="10" defaultColWidth="11" defaultRowHeight="16" x14ac:dyDescent="0.2"/>
  <cols>
    <col min="1" max="1" width="25.33203125" bestFit="1" customWidth="1"/>
    <col min="3" max="3" width="10.83203125" customWidth="1"/>
  </cols>
  <sheetData>
    <row r="1" spans="1:9" x14ac:dyDescent="0.2">
      <c r="B1" t="s">
        <v>1</v>
      </c>
      <c r="C1" t="s">
        <v>0</v>
      </c>
      <c r="D1" t="s">
        <v>2</v>
      </c>
      <c r="E1" t="s">
        <v>3</v>
      </c>
      <c r="F1" t="s">
        <v>4</v>
      </c>
      <c r="G1" t="s">
        <v>155</v>
      </c>
      <c r="H1" t="s">
        <v>5</v>
      </c>
      <c r="I1" t="s">
        <v>156</v>
      </c>
    </row>
    <row r="2" spans="1:9" x14ac:dyDescent="0.2">
      <c r="A2" t="s">
        <v>25</v>
      </c>
      <c r="B2" s="4">
        <v>19590000</v>
      </c>
      <c r="C2" s="25">
        <v>19590000</v>
      </c>
      <c r="D2" s="3">
        <v>19790000</v>
      </c>
      <c r="E2" s="4">
        <v>18990000</v>
      </c>
      <c r="F2" s="3">
        <v>19050000</v>
      </c>
      <c r="G2" s="4">
        <v>18990000</v>
      </c>
      <c r="H2" s="3">
        <v>19590000</v>
      </c>
      <c r="I2" s="3">
        <v>18575000</v>
      </c>
    </row>
    <row r="3" spans="1:9" x14ac:dyDescent="0.2">
      <c r="A3" t="s">
        <v>26</v>
      </c>
      <c r="B3" s="3">
        <v>22790000</v>
      </c>
      <c r="C3" s="3">
        <v>22790000</v>
      </c>
      <c r="D3" s="3">
        <v>22590000</v>
      </c>
      <c r="E3" s="4">
        <v>21990000</v>
      </c>
      <c r="F3" s="3">
        <v>21890000</v>
      </c>
      <c r="G3" s="4">
        <v>21690000</v>
      </c>
      <c r="H3" s="3">
        <v>22590000</v>
      </c>
      <c r="I3" s="3">
        <v>22071000</v>
      </c>
    </row>
    <row r="4" spans="1:9" x14ac:dyDescent="0.2">
      <c r="A4" t="s">
        <v>157</v>
      </c>
      <c r="B4" s="3">
        <v>24990000</v>
      </c>
      <c r="C4" s="3">
        <v>24990000</v>
      </c>
      <c r="D4" s="5">
        <v>24990000</v>
      </c>
      <c r="E4" s="4">
        <v>23990000</v>
      </c>
      <c r="F4" s="3">
        <v>24490000</v>
      </c>
      <c r="G4" s="4">
        <v>23990000</v>
      </c>
      <c r="H4" s="4">
        <v>24790000</v>
      </c>
      <c r="I4" s="4" t="s">
        <v>22</v>
      </c>
    </row>
    <row r="5" spans="1:9" x14ac:dyDescent="0.2">
      <c r="A5" t="s">
        <v>158</v>
      </c>
      <c r="B5" s="3">
        <v>29190000</v>
      </c>
      <c r="C5" s="3">
        <v>29190000</v>
      </c>
      <c r="D5" s="3">
        <v>29390000</v>
      </c>
      <c r="E5" s="4">
        <v>28890000</v>
      </c>
      <c r="F5" s="3">
        <v>28890000</v>
      </c>
      <c r="G5" s="4">
        <v>28690000</v>
      </c>
      <c r="H5" s="4">
        <v>28990000</v>
      </c>
      <c r="I5" s="3">
        <v>28235000</v>
      </c>
    </row>
    <row r="6" spans="1:9" x14ac:dyDescent="0.2">
      <c r="A6" t="s">
        <v>92</v>
      </c>
      <c r="B6" s="3">
        <v>19790000</v>
      </c>
      <c r="C6" s="3">
        <v>19790000</v>
      </c>
      <c r="D6" s="5">
        <v>19890000</v>
      </c>
      <c r="E6" s="4">
        <v>19690000</v>
      </c>
      <c r="F6" s="3">
        <v>19690000</v>
      </c>
      <c r="G6" s="4">
        <v>19190000</v>
      </c>
      <c r="H6" s="4">
        <v>18990000</v>
      </c>
      <c r="I6" s="3">
        <v>23021000</v>
      </c>
    </row>
    <row r="7" spans="1:9" x14ac:dyDescent="0.2">
      <c r="A7" t="s">
        <v>27</v>
      </c>
      <c r="B7" s="3">
        <v>17490000</v>
      </c>
      <c r="C7" s="3">
        <v>17590000</v>
      </c>
      <c r="D7" s="3">
        <v>17590000</v>
      </c>
      <c r="E7" s="4">
        <v>17690000</v>
      </c>
      <c r="F7" s="3">
        <v>17190000</v>
      </c>
      <c r="G7" s="4">
        <v>17190000</v>
      </c>
      <c r="H7" s="4">
        <v>17290000</v>
      </c>
      <c r="I7" s="3">
        <v>15723000</v>
      </c>
    </row>
    <row r="8" spans="1:9" x14ac:dyDescent="0.2">
      <c r="A8" t="s">
        <v>28</v>
      </c>
      <c r="B8" s="4">
        <v>14090000</v>
      </c>
      <c r="C8" s="3">
        <v>14090000</v>
      </c>
      <c r="D8" s="5">
        <v>13990000</v>
      </c>
      <c r="E8" s="4">
        <v>13490000</v>
      </c>
      <c r="F8" s="3">
        <v>13890000</v>
      </c>
      <c r="G8" s="3">
        <v>13590000</v>
      </c>
      <c r="H8" s="4">
        <v>13690000</v>
      </c>
      <c r="I8" s="3">
        <v>13331000</v>
      </c>
    </row>
    <row r="9" spans="1:9" x14ac:dyDescent="0.2">
      <c r="A9" t="s">
        <v>98</v>
      </c>
      <c r="B9" s="3">
        <v>11890000</v>
      </c>
      <c r="C9" s="25">
        <v>11890000</v>
      </c>
      <c r="D9" s="5">
        <v>11990000</v>
      </c>
      <c r="E9" s="4">
        <v>11490000</v>
      </c>
      <c r="F9" s="3">
        <v>11490000</v>
      </c>
      <c r="G9" s="4">
        <v>11590000</v>
      </c>
      <c r="H9" s="4">
        <v>12290000</v>
      </c>
      <c r="I9" s="4" t="s">
        <v>22</v>
      </c>
    </row>
    <row r="10" spans="1:9" x14ac:dyDescent="0.2">
      <c r="A10" t="s">
        <v>102</v>
      </c>
      <c r="B10" s="3">
        <v>8740000</v>
      </c>
      <c r="C10" s="3">
        <v>8740000</v>
      </c>
      <c r="D10" s="5">
        <v>8790000</v>
      </c>
      <c r="E10" s="4">
        <v>8490000</v>
      </c>
      <c r="F10" s="3">
        <v>8390000</v>
      </c>
      <c r="G10" s="4">
        <v>8190000</v>
      </c>
      <c r="H10" s="4">
        <v>8490000</v>
      </c>
      <c r="I10" s="4" t="s">
        <v>22</v>
      </c>
    </row>
    <row r="11" spans="1:9" x14ac:dyDescent="0.2">
      <c r="A11" t="s">
        <v>159</v>
      </c>
      <c r="B11" s="4" t="s">
        <v>22</v>
      </c>
      <c r="C11" s="25" t="s">
        <v>22</v>
      </c>
      <c r="D11" s="5" t="s">
        <v>22</v>
      </c>
      <c r="E11" s="4" t="s">
        <v>91</v>
      </c>
      <c r="F11" s="4" t="s">
        <v>22</v>
      </c>
      <c r="G11" s="4" t="s">
        <v>91</v>
      </c>
      <c r="H11" s="3">
        <v>18490000</v>
      </c>
      <c r="I11" s="4" t="s">
        <v>22</v>
      </c>
    </row>
    <row r="12" spans="1:9" x14ac:dyDescent="0.2">
      <c r="A12" t="s">
        <v>160</v>
      </c>
      <c r="B12" s="3">
        <v>13990000</v>
      </c>
      <c r="C12" s="3">
        <v>13990000</v>
      </c>
      <c r="D12" s="5">
        <v>13990000</v>
      </c>
      <c r="E12" s="4">
        <v>14170000</v>
      </c>
      <c r="F12" s="3">
        <v>14690000</v>
      </c>
      <c r="G12" s="4">
        <v>13790000</v>
      </c>
      <c r="H12" s="4">
        <v>14290000</v>
      </c>
      <c r="I12" s="4" t="s">
        <v>22</v>
      </c>
    </row>
    <row r="13" spans="1:9" x14ac:dyDescent="0.2">
      <c r="A13" t="s">
        <v>161</v>
      </c>
      <c r="B13" s="4" t="s">
        <v>22</v>
      </c>
      <c r="C13" s="3" t="s">
        <v>22</v>
      </c>
      <c r="D13" s="5">
        <v>12790000</v>
      </c>
      <c r="E13" s="4">
        <v>12070000</v>
      </c>
      <c r="F13" s="3" t="s">
        <v>22</v>
      </c>
      <c r="G13" s="4">
        <v>11490000</v>
      </c>
      <c r="H13" s="3">
        <v>12650000</v>
      </c>
      <c r="I13" s="4" t="s">
        <v>22</v>
      </c>
    </row>
    <row r="14" spans="1:9" x14ac:dyDescent="0.2">
      <c r="A14" t="s">
        <v>162</v>
      </c>
      <c r="B14" s="3">
        <v>10190000</v>
      </c>
      <c r="C14" s="3">
        <v>10190000</v>
      </c>
      <c r="D14" s="5">
        <v>9990000</v>
      </c>
      <c r="E14" s="4">
        <v>9593100</v>
      </c>
      <c r="F14" s="3">
        <v>9750000</v>
      </c>
      <c r="G14" s="4">
        <v>9290000</v>
      </c>
      <c r="H14" s="4">
        <v>9690000</v>
      </c>
      <c r="I14" s="3">
        <v>9283000</v>
      </c>
    </row>
    <row r="15" spans="1:9" x14ac:dyDescent="0.2">
      <c r="A15" t="s">
        <v>163</v>
      </c>
      <c r="B15" s="3">
        <v>7390000</v>
      </c>
      <c r="C15" s="3">
        <v>7440000</v>
      </c>
      <c r="D15" s="3">
        <v>7390000</v>
      </c>
      <c r="E15" s="4">
        <v>6920100</v>
      </c>
      <c r="F15" s="3">
        <v>7150000</v>
      </c>
      <c r="G15" s="4">
        <v>6790000</v>
      </c>
      <c r="H15" s="3">
        <v>7090000</v>
      </c>
      <c r="I15" s="3">
        <v>6707000</v>
      </c>
    </row>
    <row r="16" spans="1:9" x14ac:dyDescent="0.2">
      <c r="A16" t="s">
        <v>189</v>
      </c>
      <c r="B16" s="3">
        <v>16890000</v>
      </c>
      <c r="C16" s="3">
        <v>16890000</v>
      </c>
      <c r="D16" s="4">
        <v>16990000</v>
      </c>
      <c r="E16" s="4">
        <v>16090000</v>
      </c>
      <c r="F16" s="4">
        <v>21690000</v>
      </c>
      <c r="G16" s="4">
        <v>16190000</v>
      </c>
      <c r="H16" s="4">
        <v>16990000</v>
      </c>
      <c r="I16" s="4" t="s">
        <v>22</v>
      </c>
    </row>
    <row r="17" spans="1:9" x14ac:dyDescent="0.2">
      <c r="A17" t="s">
        <v>190</v>
      </c>
      <c r="B17" s="3">
        <v>22290000</v>
      </c>
      <c r="C17" s="3">
        <v>22290000</v>
      </c>
      <c r="D17" s="4">
        <v>22490000</v>
      </c>
      <c r="E17" s="4">
        <v>21190000</v>
      </c>
      <c r="F17" s="3">
        <v>16990000</v>
      </c>
      <c r="G17" s="4">
        <v>21290000</v>
      </c>
      <c r="H17" s="4">
        <v>21990000</v>
      </c>
      <c r="I17" s="3">
        <v>20599000</v>
      </c>
    </row>
    <row r="18" spans="1:9" x14ac:dyDescent="0.2">
      <c r="A18" t="s">
        <v>184</v>
      </c>
      <c r="B18" s="3">
        <v>28790000</v>
      </c>
      <c r="C18" s="3">
        <v>28790000</v>
      </c>
      <c r="D18" s="3">
        <v>28490000</v>
      </c>
      <c r="E18" s="4">
        <v>27690000</v>
      </c>
      <c r="F18" s="4">
        <v>27390000</v>
      </c>
      <c r="G18" s="4">
        <v>27490000</v>
      </c>
      <c r="H18" s="3">
        <v>27690000</v>
      </c>
      <c r="I18" s="3">
        <v>26671000</v>
      </c>
    </row>
    <row r="19" spans="1:9" x14ac:dyDescent="0.2">
      <c r="A19" t="s">
        <v>185</v>
      </c>
      <c r="B19" s="3">
        <v>37790000</v>
      </c>
      <c r="C19" s="3">
        <v>37790000</v>
      </c>
      <c r="D19" s="4">
        <v>37990000</v>
      </c>
      <c r="E19" s="4">
        <v>36490000</v>
      </c>
      <c r="F19" s="3">
        <v>27790000</v>
      </c>
      <c r="G19" s="4">
        <v>36190000</v>
      </c>
      <c r="H19" s="4">
        <v>37990000</v>
      </c>
      <c r="I19" s="4" t="s">
        <v>22</v>
      </c>
    </row>
    <row r="20" spans="1:9" x14ac:dyDescent="0.2">
      <c r="A20" t="s">
        <v>164</v>
      </c>
      <c r="B20" s="3">
        <v>5940000</v>
      </c>
      <c r="C20" s="3">
        <v>6140000</v>
      </c>
      <c r="D20" s="5">
        <v>5690000</v>
      </c>
      <c r="E20" s="3">
        <v>5831100</v>
      </c>
      <c r="F20" s="3">
        <v>5990000</v>
      </c>
      <c r="G20" s="4">
        <v>5590000</v>
      </c>
      <c r="H20" s="4">
        <v>5890000</v>
      </c>
      <c r="I20" s="3">
        <v>5455000</v>
      </c>
    </row>
    <row r="21" spans="1:9" x14ac:dyDescent="0.2">
      <c r="A21" t="s">
        <v>165</v>
      </c>
      <c r="B21" s="3">
        <v>7440000</v>
      </c>
      <c r="C21" s="3">
        <v>7440000</v>
      </c>
      <c r="D21" s="5" t="s">
        <v>22</v>
      </c>
      <c r="E21" s="3">
        <v>7118100</v>
      </c>
      <c r="F21" s="3">
        <v>7390000</v>
      </c>
      <c r="G21" s="4">
        <v>6990000</v>
      </c>
      <c r="H21" s="4">
        <v>7390000</v>
      </c>
      <c r="I21" s="4" t="s">
        <v>22</v>
      </c>
    </row>
    <row r="22" spans="1:9" x14ac:dyDescent="0.2">
      <c r="A22" t="s">
        <v>166</v>
      </c>
      <c r="B22" s="3">
        <v>7040000</v>
      </c>
      <c r="C22" s="3">
        <v>7040000</v>
      </c>
      <c r="D22" s="5">
        <v>6290000</v>
      </c>
      <c r="E22" s="3">
        <v>6524100</v>
      </c>
      <c r="F22" s="4">
        <v>6990000</v>
      </c>
      <c r="G22" s="3">
        <v>6290000</v>
      </c>
      <c r="H22" s="4">
        <v>6790000</v>
      </c>
      <c r="I22" s="4" t="s">
        <v>22</v>
      </c>
    </row>
    <row r="23" spans="1:9" x14ac:dyDescent="0.2">
      <c r="A23" t="s">
        <v>167</v>
      </c>
      <c r="B23" s="3">
        <v>8240000</v>
      </c>
      <c r="C23" s="3" t="s">
        <v>22</v>
      </c>
      <c r="D23" s="3">
        <v>7990000</v>
      </c>
      <c r="E23" s="3">
        <v>7910100</v>
      </c>
      <c r="F23" s="4">
        <v>8190000</v>
      </c>
      <c r="G23" s="4">
        <v>7690000</v>
      </c>
      <c r="H23" s="3">
        <v>8090000</v>
      </c>
      <c r="I23" s="4" t="s">
        <v>22</v>
      </c>
    </row>
    <row r="24" spans="1:9" x14ac:dyDescent="0.2">
      <c r="A24" t="s">
        <v>168</v>
      </c>
      <c r="B24" s="4">
        <v>9790000</v>
      </c>
      <c r="C24" s="3">
        <v>9790000</v>
      </c>
      <c r="D24" s="3">
        <v>9490000</v>
      </c>
      <c r="E24" s="3">
        <v>8900100</v>
      </c>
      <c r="F24" s="3">
        <v>9290000</v>
      </c>
      <c r="G24" s="3">
        <v>9090000</v>
      </c>
      <c r="H24" s="3">
        <v>9290000</v>
      </c>
      <c r="I24" s="3">
        <v>8915000</v>
      </c>
    </row>
    <row r="25" spans="1:9" x14ac:dyDescent="0.2">
      <c r="A25" t="s">
        <v>169</v>
      </c>
      <c r="B25" s="3">
        <v>12190000</v>
      </c>
      <c r="C25" s="3">
        <v>12190000</v>
      </c>
      <c r="D25" s="3">
        <v>12190000</v>
      </c>
      <c r="E25" s="3">
        <v>11678310</v>
      </c>
      <c r="F25" s="3" t="s">
        <v>22</v>
      </c>
      <c r="G25" s="3">
        <v>11690000</v>
      </c>
      <c r="H25" s="4">
        <v>11790000</v>
      </c>
      <c r="I25" s="4" t="s">
        <v>22</v>
      </c>
    </row>
    <row r="26" spans="1:9" x14ac:dyDescent="0.2">
      <c r="A26" t="s">
        <v>170</v>
      </c>
      <c r="B26" s="3">
        <v>10790000</v>
      </c>
      <c r="C26" s="3">
        <v>10790000</v>
      </c>
      <c r="D26" s="5">
        <v>10590000</v>
      </c>
      <c r="E26" s="3">
        <v>9692100</v>
      </c>
      <c r="F26" s="4">
        <v>10390000</v>
      </c>
      <c r="G26" s="3">
        <v>10190000</v>
      </c>
      <c r="H26" s="3">
        <v>10390000</v>
      </c>
      <c r="I26" s="4" t="s">
        <v>22</v>
      </c>
    </row>
    <row r="27" spans="1:9" x14ac:dyDescent="0.2">
      <c r="A27" t="s">
        <v>171</v>
      </c>
      <c r="B27" s="3">
        <v>13690000</v>
      </c>
      <c r="C27" s="3">
        <v>13690000</v>
      </c>
      <c r="D27" s="5">
        <v>13490000</v>
      </c>
      <c r="E27" s="3">
        <v>12570000</v>
      </c>
      <c r="F27" s="4" t="s">
        <v>22</v>
      </c>
      <c r="G27" s="3">
        <v>12890000</v>
      </c>
      <c r="H27" s="4">
        <v>12890000</v>
      </c>
      <c r="I27" s="4" t="s">
        <v>22</v>
      </c>
    </row>
    <row r="28" spans="1:9" x14ac:dyDescent="0.2">
      <c r="A28" t="s">
        <v>172</v>
      </c>
      <c r="B28" s="3">
        <v>20990000</v>
      </c>
      <c r="C28" s="3">
        <v>20990000</v>
      </c>
      <c r="D28" s="5">
        <v>20990000</v>
      </c>
      <c r="E28" s="4">
        <v>19690000</v>
      </c>
      <c r="F28" s="4">
        <v>21290000</v>
      </c>
      <c r="G28" s="3">
        <v>19790000</v>
      </c>
      <c r="H28" s="4">
        <v>20890000</v>
      </c>
      <c r="I28" s="4" t="s">
        <v>22</v>
      </c>
    </row>
    <row r="29" spans="1:9" x14ac:dyDescent="0.2">
      <c r="A29" t="s">
        <v>53</v>
      </c>
      <c r="B29" s="4">
        <v>5790000</v>
      </c>
      <c r="C29" s="3">
        <v>5740000</v>
      </c>
      <c r="D29" s="5">
        <v>5690000</v>
      </c>
      <c r="E29" s="3">
        <v>5435100</v>
      </c>
      <c r="F29" s="4">
        <v>5550000</v>
      </c>
      <c r="G29" s="4">
        <v>5390000</v>
      </c>
      <c r="H29" s="4">
        <v>5750000</v>
      </c>
      <c r="I29" s="3">
        <v>5143000</v>
      </c>
    </row>
    <row r="30" spans="1:9" x14ac:dyDescent="0.2">
      <c r="A30" t="s">
        <v>173</v>
      </c>
      <c r="B30" s="4">
        <v>3990000</v>
      </c>
      <c r="C30" s="25">
        <v>3990000</v>
      </c>
      <c r="D30" s="5">
        <v>3990000</v>
      </c>
      <c r="E30" s="4">
        <v>4148100</v>
      </c>
      <c r="F30" s="4">
        <v>3950000</v>
      </c>
      <c r="G30" s="4">
        <v>3690000</v>
      </c>
      <c r="H30" s="4">
        <v>3950000</v>
      </c>
      <c r="I30" s="4" t="s">
        <v>22</v>
      </c>
    </row>
    <row r="31" spans="1:9" x14ac:dyDescent="0.2">
      <c r="A31" t="s">
        <v>174</v>
      </c>
      <c r="B31" s="4">
        <v>2790000</v>
      </c>
      <c r="C31" s="25">
        <v>2790000</v>
      </c>
      <c r="D31" s="5">
        <v>2790000</v>
      </c>
      <c r="E31" s="4">
        <v>2890000</v>
      </c>
      <c r="F31" s="4">
        <v>2730000</v>
      </c>
      <c r="G31" s="4">
        <v>2490000</v>
      </c>
      <c r="H31" s="4">
        <v>2790000</v>
      </c>
      <c r="I31" s="4">
        <v>2790000</v>
      </c>
    </row>
    <row r="32" spans="1:9" x14ac:dyDescent="0.2">
      <c r="A32" t="s">
        <v>175</v>
      </c>
      <c r="B32" s="3">
        <v>18790000</v>
      </c>
      <c r="C32" s="3">
        <v>18890000</v>
      </c>
      <c r="D32" s="3">
        <v>18590000</v>
      </c>
      <c r="F32" s="4">
        <v>18590000</v>
      </c>
      <c r="G32" s="3">
        <v>18390000</v>
      </c>
      <c r="H32" s="3">
        <v>18590000</v>
      </c>
      <c r="I32" s="4" t="s">
        <v>22</v>
      </c>
    </row>
    <row r="33" spans="1:9" x14ac:dyDescent="0.2">
      <c r="A33" t="s">
        <v>176</v>
      </c>
      <c r="B33" s="3">
        <v>23790000</v>
      </c>
      <c r="C33" s="3">
        <v>23990000</v>
      </c>
      <c r="D33" s="3">
        <v>23690000</v>
      </c>
      <c r="F33" s="4">
        <v>23990000</v>
      </c>
      <c r="G33" s="3">
        <v>23590000</v>
      </c>
      <c r="H33" s="4">
        <v>23990000</v>
      </c>
      <c r="I33" s="3">
        <v>23175000</v>
      </c>
    </row>
    <row r="34" spans="1:9" x14ac:dyDescent="0.2">
      <c r="A34" t="s">
        <v>177</v>
      </c>
      <c r="B34" s="3">
        <v>27290000</v>
      </c>
      <c r="C34" s="3">
        <v>27290000</v>
      </c>
      <c r="D34" s="3">
        <v>27090000</v>
      </c>
      <c r="F34" s="4">
        <v>27190000</v>
      </c>
      <c r="G34" s="3">
        <v>26890000</v>
      </c>
      <c r="H34" s="4">
        <v>27340000</v>
      </c>
      <c r="I34" s="4" t="s">
        <v>22</v>
      </c>
    </row>
    <row r="35" spans="1:9" x14ac:dyDescent="0.2">
      <c r="A35" t="s">
        <v>178</v>
      </c>
      <c r="B35" s="3">
        <v>31490000</v>
      </c>
      <c r="C35" s="3">
        <v>31490000</v>
      </c>
      <c r="D35" s="5">
        <v>31490000</v>
      </c>
      <c r="F35" s="4">
        <v>32290000</v>
      </c>
      <c r="G35" s="3">
        <v>31190000</v>
      </c>
      <c r="H35" s="4">
        <v>31990000</v>
      </c>
      <c r="I35" s="4" t="s">
        <v>22</v>
      </c>
    </row>
    <row r="36" spans="1:9" x14ac:dyDescent="0.2">
      <c r="A36" t="s">
        <v>179</v>
      </c>
      <c r="B36" s="3">
        <v>38490000</v>
      </c>
      <c r="C36" s="3">
        <v>38690000</v>
      </c>
      <c r="D36" s="5">
        <v>38490000</v>
      </c>
      <c r="F36" s="3">
        <v>38290000</v>
      </c>
      <c r="G36" s="4">
        <v>36790000</v>
      </c>
      <c r="H36" s="4">
        <v>37990000</v>
      </c>
      <c r="I36" s="4" t="s">
        <v>22</v>
      </c>
    </row>
  </sheetData>
  <pageMargins left="0.7" right="0.7" top="0.75" bottom="0.75" header="0.3" footer="0.3"/>
  <legacyDrawing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3"/>
  <dimension ref="A1:I36"/>
  <sheetViews>
    <sheetView workbookViewId="0">
      <selection activeCell="K12" sqref="K12"/>
    </sheetView>
  </sheetViews>
  <sheetFormatPr baseColWidth="10" defaultColWidth="11" defaultRowHeight="16" x14ac:dyDescent="0.2"/>
  <cols>
    <col min="1" max="1" width="25.33203125" bestFit="1" customWidth="1"/>
    <col min="3" max="3" width="10.83203125" customWidth="1"/>
  </cols>
  <sheetData>
    <row r="1" spans="1:9" x14ac:dyDescent="0.2">
      <c r="B1" t="s">
        <v>1</v>
      </c>
      <c r="C1" t="s">
        <v>0</v>
      </c>
      <c r="D1" t="s">
        <v>2</v>
      </c>
      <c r="E1" t="s">
        <v>3</v>
      </c>
      <c r="F1" t="s">
        <v>4</v>
      </c>
      <c r="G1" t="s">
        <v>155</v>
      </c>
      <c r="H1" t="s">
        <v>5</v>
      </c>
      <c r="I1" t="s">
        <v>156</v>
      </c>
    </row>
    <row r="2" spans="1:9" x14ac:dyDescent="0.2">
      <c r="A2" t="s">
        <v>25</v>
      </c>
      <c r="B2" s="3">
        <v>20090000</v>
      </c>
      <c r="C2" s="3">
        <v>20090000</v>
      </c>
      <c r="D2" s="3">
        <v>19890000</v>
      </c>
      <c r="E2" s="3">
        <v>19290000</v>
      </c>
      <c r="F2" s="3">
        <v>19190000</v>
      </c>
      <c r="G2" s="3">
        <v>19090000</v>
      </c>
      <c r="H2" s="4">
        <v>19590000</v>
      </c>
      <c r="I2" s="3">
        <v>18595000</v>
      </c>
    </row>
    <row r="3" spans="1:9" x14ac:dyDescent="0.2">
      <c r="A3" t="s">
        <v>26</v>
      </c>
      <c r="B3" s="3">
        <v>22690000</v>
      </c>
      <c r="C3" s="3">
        <v>22690000</v>
      </c>
      <c r="D3" s="3">
        <v>22690000</v>
      </c>
      <c r="E3" s="4">
        <v>21990000</v>
      </c>
      <c r="F3" s="3">
        <v>22090000</v>
      </c>
      <c r="G3" s="3">
        <v>22290000</v>
      </c>
      <c r="H3" s="4">
        <v>22590000</v>
      </c>
      <c r="I3" s="3">
        <v>22071000</v>
      </c>
    </row>
    <row r="4" spans="1:9" x14ac:dyDescent="0.2">
      <c r="A4" t="s">
        <v>157</v>
      </c>
      <c r="B4" s="4">
        <v>24990000</v>
      </c>
      <c r="C4" s="25">
        <v>24990000</v>
      </c>
      <c r="D4" s="5">
        <v>24890000</v>
      </c>
      <c r="E4" s="4">
        <v>23990000</v>
      </c>
      <c r="F4" s="3">
        <v>24390000</v>
      </c>
      <c r="G4" s="4">
        <v>23990000</v>
      </c>
      <c r="H4" s="4">
        <v>24790000</v>
      </c>
      <c r="I4" s="3">
        <v>24145000</v>
      </c>
    </row>
    <row r="5" spans="1:9" x14ac:dyDescent="0.2">
      <c r="A5" t="s">
        <v>158</v>
      </c>
      <c r="B5" s="4">
        <v>29190000</v>
      </c>
      <c r="C5" s="25">
        <v>29190000</v>
      </c>
      <c r="D5" s="3">
        <v>29290000</v>
      </c>
      <c r="E5" s="4">
        <v>28890000</v>
      </c>
      <c r="F5" s="3">
        <v>28850000</v>
      </c>
      <c r="G5" s="4">
        <v>28690000</v>
      </c>
      <c r="H5" s="4">
        <v>28990000</v>
      </c>
      <c r="I5" s="3">
        <v>28235000</v>
      </c>
    </row>
    <row r="6" spans="1:9" x14ac:dyDescent="0.2">
      <c r="A6" t="s">
        <v>92</v>
      </c>
      <c r="B6" s="4">
        <v>19790000</v>
      </c>
      <c r="C6" s="25">
        <v>19790000</v>
      </c>
      <c r="D6" s="5">
        <v>19890000</v>
      </c>
      <c r="E6" s="4">
        <v>19690000</v>
      </c>
      <c r="F6" s="3">
        <v>19750000</v>
      </c>
      <c r="G6" s="4">
        <v>19190000</v>
      </c>
      <c r="H6" s="3">
        <v>19390000</v>
      </c>
      <c r="I6" s="3">
        <v>23021000</v>
      </c>
    </row>
    <row r="7" spans="1:9" x14ac:dyDescent="0.2">
      <c r="A7" t="s">
        <v>27</v>
      </c>
      <c r="B7" s="4">
        <v>17690000</v>
      </c>
      <c r="C7" s="3">
        <v>17690000</v>
      </c>
      <c r="D7" s="3">
        <v>17490000</v>
      </c>
      <c r="E7" s="4">
        <v>17690000</v>
      </c>
      <c r="F7" s="4">
        <v>17190000</v>
      </c>
      <c r="G7" s="4">
        <v>17190000</v>
      </c>
      <c r="H7" s="4">
        <v>17290000</v>
      </c>
      <c r="I7" s="3">
        <v>15723000</v>
      </c>
    </row>
    <row r="8" spans="1:9" x14ac:dyDescent="0.2">
      <c r="A8" t="s">
        <v>28</v>
      </c>
      <c r="B8" s="3">
        <v>14390000</v>
      </c>
      <c r="C8" s="3">
        <v>14390000</v>
      </c>
      <c r="D8" s="3">
        <v>14090000</v>
      </c>
      <c r="E8" s="3">
        <v>13520000</v>
      </c>
      <c r="F8" s="4">
        <v>13890000</v>
      </c>
      <c r="G8" s="4">
        <v>13590000</v>
      </c>
      <c r="H8" s="4">
        <v>13690000</v>
      </c>
      <c r="I8" s="3">
        <v>13331000</v>
      </c>
    </row>
    <row r="9" spans="1:9" x14ac:dyDescent="0.2">
      <c r="A9" t="s">
        <v>98</v>
      </c>
      <c r="B9" s="4">
        <v>11890000</v>
      </c>
      <c r="C9" s="25">
        <v>11890000</v>
      </c>
      <c r="D9" s="3">
        <v>11890000</v>
      </c>
      <c r="E9" s="4">
        <v>11490000</v>
      </c>
      <c r="F9" s="4">
        <v>11490000</v>
      </c>
      <c r="G9" s="4">
        <v>11590000</v>
      </c>
      <c r="H9" s="4">
        <v>12290000</v>
      </c>
      <c r="I9" s="4" t="s">
        <v>22</v>
      </c>
    </row>
    <row r="10" spans="1:9" x14ac:dyDescent="0.2">
      <c r="A10" t="s">
        <v>102</v>
      </c>
      <c r="B10" s="4">
        <v>8740000</v>
      </c>
      <c r="C10" s="25">
        <v>8740000</v>
      </c>
      <c r="D10" s="5">
        <v>8790000</v>
      </c>
      <c r="E10" s="4">
        <v>8490000</v>
      </c>
      <c r="F10" s="3">
        <v>8690000</v>
      </c>
      <c r="G10" s="3">
        <v>8490000</v>
      </c>
      <c r="H10" s="4">
        <v>8490000</v>
      </c>
      <c r="I10" s="4" t="s">
        <v>22</v>
      </c>
    </row>
    <row r="11" spans="1:9" x14ac:dyDescent="0.2">
      <c r="A11" t="s">
        <v>159</v>
      </c>
      <c r="B11" s="4" t="s">
        <v>22</v>
      </c>
      <c r="C11" s="25" t="s">
        <v>22</v>
      </c>
      <c r="D11" s="5">
        <v>20990000</v>
      </c>
      <c r="E11" s="4" t="s">
        <v>91</v>
      </c>
      <c r="F11" s="4" t="s">
        <v>22</v>
      </c>
      <c r="G11" s="4" t="s">
        <v>91</v>
      </c>
      <c r="H11" s="4">
        <v>18490000</v>
      </c>
      <c r="I11" s="4" t="s">
        <v>22</v>
      </c>
    </row>
    <row r="12" spans="1:9" x14ac:dyDescent="0.2">
      <c r="A12" t="s">
        <v>160</v>
      </c>
      <c r="B12" s="4">
        <v>13990000</v>
      </c>
      <c r="C12" s="25">
        <v>13990000</v>
      </c>
      <c r="D12" s="3">
        <v>13890000</v>
      </c>
      <c r="E12" s="4">
        <v>14170000</v>
      </c>
      <c r="F12" s="4">
        <v>14690000</v>
      </c>
      <c r="G12" s="4">
        <v>13790000</v>
      </c>
      <c r="H12" s="4">
        <v>14290000</v>
      </c>
      <c r="I12" s="3">
        <v>15635000</v>
      </c>
    </row>
    <row r="13" spans="1:9" x14ac:dyDescent="0.2">
      <c r="A13" t="s">
        <v>161</v>
      </c>
      <c r="B13" s="4" t="s">
        <v>22</v>
      </c>
      <c r="C13" s="25" t="s">
        <v>22</v>
      </c>
      <c r="D13" s="3">
        <v>12690000</v>
      </c>
      <c r="E13" s="4">
        <v>12070000</v>
      </c>
      <c r="F13" s="3">
        <v>12790000</v>
      </c>
      <c r="G13" s="4">
        <v>11490000</v>
      </c>
      <c r="H13" s="4">
        <v>12650000</v>
      </c>
      <c r="I13" s="4" t="s">
        <v>22</v>
      </c>
    </row>
    <row r="14" spans="1:9" x14ac:dyDescent="0.2">
      <c r="A14" t="s">
        <v>162</v>
      </c>
      <c r="B14" s="4">
        <v>10190000</v>
      </c>
      <c r="C14" s="25">
        <v>10190000</v>
      </c>
      <c r="D14" s="3">
        <v>9940000</v>
      </c>
      <c r="E14" s="4">
        <v>9593100</v>
      </c>
      <c r="F14" s="3">
        <v>9650000</v>
      </c>
      <c r="G14" s="4">
        <v>9290000</v>
      </c>
      <c r="H14" s="4">
        <v>9690000</v>
      </c>
      <c r="I14" s="3">
        <v>9283000</v>
      </c>
    </row>
    <row r="15" spans="1:9" x14ac:dyDescent="0.2">
      <c r="A15" t="s">
        <v>163</v>
      </c>
      <c r="B15" s="4">
        <v>7390000</v>
      </c>
      <c r="C15" s="3">
        <v>7340000</v>
      </c>
      <c r="D15" s="3">
        <v>7340000</v>
      </c>
      <c r="E15" s="4">
        <v>6920100</v>
      </c>
      <c r="F15" s="3">
        <v>7090000</v>
      </c>
      <c r="G15" s="4">
        <v>6790000</v>
      </c>
      <c r="H15" s="4">
        <v>7090000</v>
      </c>
      <c r="I15" s="4" t="s">
        <v>22</v>
      </c>
    </row>
    <row r="16" spans="1:9" x14ac:dyDescent="0.2">
      <c r="A16" t="s">
        <v>189</v>
      </c>
      <c r="B16" s="4">
        <v>16890000</v>
      </c>
      <c r="C16" s="25">
        <v>16890000</v>
      </c>
      <c r="D16" s="3">
        <v>16890000</v>
      </c>
      <c r="E16" s="4">
        <v>16090000</v>
      </c>
      <c r="F16" s="4">
        <v>21690000</v>
      </c>
      <c r="G16" s="4">
        <v>16190000</v>
      </c>
      <c r="H16" s="4">
        <v>16990000</v>
      </c>
      <c r="I16" s="4" t="s">
        <v>22</v>
      </c>
    </row>
    <row r="17" spans="1:9" x14ac:dyDescent="0.2">
      <c r="A17" t="s">
        <v>190</v>
      </c>
      <c r="B17" s="4">
        <v>22290000</v>
      </c>
      <c r="C17" s="25">
        <v>22290000</v>
      </c>
      <c r="D17" s="3">
        <v>22390000</v>
      </c>
      <c r="E17" s="4">
        <v>21190000</v>
      </c>
      <c r="F17" s="3" t="s">
        <v>22</v>
      </c>
      <c r="G17" s="4">
        <v>21290000</v>
      </c>
      <c r="H17" s="4">
        <v>21990000</v>
      </c>
      <c r="I17" s="3">
        <v>20599000</v>
      </c>
    </row>
    <row r="18" spans="1:9" x14ac:dyDescent="0.2">
      <c r="A18" t="s">
        <v>184</v>
      </c>
      <c r="B18" s="4">
        <v>28790000</v>
      </c>
      <c r="C18" s="25">
        <v>28790000</v>
      </c>
      <c r="D18" s="3">
        <v>28390000</v>
      </c>
      <c r="E18" s="4">
        <v>27690000</v>
      </c>
      <c r="F18" s="4">
        <v>27790000</v>
      </c>
      <c r="G18" s="4">
        <v>27490000</v>
      </c>
      <c r="H18" s="4">
        <v>27690000</v>
      </c>
      <c r="I18" s="3">
        <v>26671000</v>
      </c>
    </row>
    <row r="19" spans="1:9" x14ac:dyDescent="0.2">
      <c r="A19" t="s">
        <v>185</v>
      </c>
      <c r="B19" s="4">
        <v>37790000</v>
      </c>
      <c r="C19" s="25">
        <v>37790000</v>
      </c>
      <c r="D19" s="3">
        <v>37890000</v>
      </c>
      <c r="E19" s="4">
        <v>36490000</v>
      </c>
      <c r="F19" s="4">
        <v>37390000</v>
      </c>
      <c r="G19" s="4">
        <v>36190000</v>
      </c>
      <c r="H19" s="3">
        <v>37390000</v>
      </c>
      <c r="I19" s="4" t="s">
        <v>22</v>
      </c>
    </row>
    <row r="20" spans="1:9" x14ac:dyDescent="0.2">
      <c r="A20" t="s">
        <v>164</v>
      </c>
      <c r="B20" s="3">
        <v>6140000</v>
      </c>
      <c r="C20" s="3">
        <v>5940000</v>
      </c>
      <c r="D20" s="5">
        <v>5690000</v>
      </c>
      <c r="E20" s="4">
        <v>5831100</v>
      </c>
      <c r="F20" s="3">
        <v>5950000</v>
      </c>
      <c r="G20" s="4">
        <v>5590000</v>
      </c>
      <c r="H20" s="4">
        <v>5890000</v>
      </c>
      <c r="I20" s="3">
        <v>5448000</v>
      </c>
    </row>
    <row r="21" spans="1:9" x14ac:dyDescent="0.2">
      <c r="A21" t="s">
        <v>165</v>
      </c>
      <c r="B21" s="4">
        <v>7440000</v>
      </c>
      <c r="C21" s="25">
        <v>7440000</v>
      </c>
      <c r="D21" s="5" t="s">
        <v>22</v>
      </c>
      <c r="E21" s="4">
        <v>7118100</v>
      </c>
      <c r="F21" s="4">
        <v>7390000</v>
      </c>
      <c r="G21" s="4">
        <v>6990000</v>
      </c>
      <c r="H21" s="4">
        <v>7390000</v>
      </c>
      <c r="I21" s="4" t="s">
        <v>22</v>
      </c>
    </row>
    <row r="22" spans="1:9" x14ac:dyDescent="0.2">
      <c r="A22" t="s">
        <v>166</v>
      </c>
      <c r="B22" s="4">
        <v>7040000</v>
      </c>
      <c r="C22" s="25">
        <v>7040000</v>
      </c>
      <c r="D22" s="3">
        <v>6240000</v>
      </c>
      <c r="E22" s="4">
        <v>6524100</v>
      </c>
      <c r="F22" s="4">
        <v>6990000</v>
      </c>
      <c r="G22" s="4">
        <v>6290000</v>
      </c>
      <c r="H22" s="4">
        <v>6790000</v>
      </c>
      <c r="I22" s="4" t="s">
        <v>22</v>
      </c>
    </row>
    <row r="23" spans="1:9" x14ac:dyDescent="0.2">
      <c r="A23" t="s">
        <v>167</v>
      </c>
      <c r="B23" s="4">
        <v>8240000</v>
      </c>
      <c r="C23" s="3">
        <v>7940000</v>
      </c>
      <c r="D23" s="3">
        <v>7540000</v>
      </c>
      <c r="E23" s="4">
        <v>7910100</v>
      </c>
      <c r="F23" s="4">
        <v>8190000</v>
      </c>
      <c r="G23" s="4">
        <v>7690000</v>
      </c>
      <c r="H23" s="4">
        <v>8090000</v>
      </c>
      <c r="I23" s="4" t="s">
        <v>22</v>
      </c>
    </row>
    <row r="24" spans="1:9" x14ac:dyDescent="0.2">
      <c r="A24" t="s">
        <v>168</v>
      </c>
      <c r="B24" s="3">
        <v>9690000</v>
      </c>
      <c r="C24" s="25">
        <v>9790000</v>
      </c>
      <c r="D24" s="3">
        <v>9540000</v>
      </c>
      <c r="E24" s="4">
        <v>8900100</v>
      </c>
      <c r="F24" s="3">
        <v>9490000</v>
      </c>
      <c r="G24" s="4">
        <v>9090000</v>
      </c>
      <c r="H24" s="4">
        <v>9290000</v>
      </c>
      <c r="I24" s="3">
        <v>8527000</v>
      </c>
    </row>
    <row r="25" spans="1:9" x14ac:dyDescent="0.2">
      <c r="A25" t="s">
        <v>169</v>
      </c>
      <c r="B25" s="4">
        <v>12190000</v>
      </c>
      <c r="C25" s="3">
        <v>12490000</v>
      </c>
      <c r="D25" s="32">
        <v>12090000</v>
      </c>
      <c r="E25" s="4">
        <v>11678310</v>
      </c>
      <c r="F25" s="3">
        <v>12590000</v>
      </c>
      <c r="G25" s="4">
        <v>11690000</v>
      </c>
      <c r="H25" s="4">
        <v>11790000</v>
      </c>
      <c r="I25" s="4" t="s">
        <v>22</v>
      </c>
    </row>
    <row r="26" spans="1:9" x14ac:dyDescent="0.2">
      <c r="A26" t="s">
        <v>170</v>
      </c>
      <c r="B26" s="4">
        <v>10790000</v>
      </c>
      <c r="C26" s="3">
        <v>10590000</v>
      </c>
      <c r="D26" s="32">
        <v>10490000</v>
      </c>
      <c r="E26" s="4">
        <v>9692100</v>
      </c>
      <c r="F26" s="4">
        <v>10390000</v>
      </c>
      <c r="G26" s="4">
        <v>10190000</v>
      </c>
      <c r="H26" s="4">
        <v>10390000</v>
      </c>
      <c r="I26" s="4" t="s">
        <v>22</v>
      </c>
    </row>
    <row r="27" spans="1:9" x14ac:dyDescent="0.2">
      <c r="A27" t="s">
        <v>171</v>
      </c>
      <c r="B27" s="4">
        <v>13690000</v>
      </c>
      <c r="C27" s="3">
        <v>13590000</v>
      </c>
      <c r="D27" s="32">
        <v>13390000</v>
      </c>
      <c r="E27" s="4">
        <v>12570000</v>
      </c>
      <c r="F27" s="4" t="s">
        <v>22</v>
      </c>
      <c r="G27" s="4">
        <v>12890000</v>
      </c>
      <c r="H27" s="4">
        <v>12890000</v>
      </c>
      <c r="I27" s="4" t="s">
        <v>22</v>
      </c>
    </row>
    <row r="28" spans="1:9" x14ac:dyDescent="0.2">
      <c r="A28" t="s">
        <v>172</v>
      </c>
      <c r="B28" s="4">
        <v>20990000</v>
      </c>
      <c r="C28" s="25">
        <v>20990000</v>
      </c>
      <c r="D28" s="5">
        <v>20890000</v>
      </c>
      <c r="E28" s="4">
        <v>19690000</v>
      </c>
      <c r="F28" s="4">
        <v>21290000</v>
      </c>
      <c r="G28" s="4">
        <v>19790000</v>
      </c>
      <c r="H28" s="4">
        <v>20890000</v>
      </c>
      <c r="I28" s="4" t="s">
        <v>22</v>
      </c>
    </row>
    <row r="29" spans="1:9" x14ac:dyDescent="0.2">
      <c r="A29" t="s">
        <v>53</v>
      </c>
      <c r="B29" s="4">
        <v>5790000</v>
      </c>
      <c r="C29" s="25">
        <v>5740000</v>
      </c>
      <c r="D29" s="5">
        <v>5640000</v>
      </c>
      <c r="E29" s="4">
        <v>5435100</v>
      </c>
      <c r="F29" s="4">
        <v>5550000</v>
      </c>
      <c r="G29" s="4">
        <v>5390000</v>
      </c>
      <c r="H29" s="4">
        <v>5750000</v>
      </c>
      <c r="I29" s="3">
        <v>5143000</v>
      </c>
    </row>
    <row r="30" spans="1:9" x14ac:dyDescent="0.2">
      <c r="A30" t="s">
        <v>173</v>
      </c>
      <c r="B30" s="4">
        <v>3990000</v>
      </c>
      <c r="C30" s="25">
        <v>3990000</v>
      </c>
      <c r="D30" s="5">
        <v>3990000</v>
      </c>
      <c r="E30" s="4">
        <v>4148100</v>
      </c>
      <c r="F30" s="4">
        <v>3950000</v>
      </c>
      <c r="G30" s="4">
        <v>3690000</v>
      </c>
      <c r="H30" s="4">
        <v>3950000</v>
      </c>
      <c r="I30" s="4" t="s">
        <v>22</v>
      </c>
    </row>
    <row r="31" spans="1:9" x14ac:dyDescent="0.2">
      <c r="A31" t="s">
        <v>174</v>
      </c>
      <c r="B31" s="4">
        <v>2790000</v>
      </c>
      <c r="C31" s="25">
        <v>2790000</v>
      </c>
      <c r="D31" s="5">
        <v>2790000</v>
      </c>
      <c r="E31" s="4">
        <v>2890000</v>
      </c>
      <c r="F31" s="3">
        <v>2790000</v>
      </c>
      <c r="G31" s="3">
        <v>2590000</v>
      </c>
      <c r="H31" s="4">
        <v>2790000</v>
      </c>
      <c r="I31" s="3">
        <v>2567000</v>
      </c>
    </row>
    <row r="32" spans="1:9" x14ac:dyDescent="0.2">
      <c r="A32" t="s">
        <v>175</v>
      </c>
      <c r="B32" s="3">
        <v>18590000</v>
      </c>
      <c r="C32" s="3">
        <v>18590000</v>
      </c>
      <c r="D32" s="3">
        <v>18590000</v>
      </c>
      <c r="F32" s="4">
        <v>18590000</v>
      </c>
      <c r="G32" s="4">
        <v>18390000</v>
      </c>
      <c r="H32" s="4">
        <v>18590000</v>
      </c>
      <c r="I32" s="4" t="s">
        <v>22</v>
      </c>
    </row>
    <row r="33" spans="1:9" x14ac:dyDescent="0.2">
      <c r="A33" t="s">
        <v>176</v>
      </c>
      <c r="B33" s="3">
        <v>23690000</v>
      </c>
      <c r="C33" s="3">
        <v>23690000</v>
      </c>
      <c r="D33" s="32">
        <v>23690000</v>
      </c>
      <c r="F33" s="3">
        <v>23850000</v>
      </c>
      <c r="G33" s="4">
        <v>23590000</v>
      </c>
      <c r="H33" s="3">
        <v>23690000</v>
      </c>
      <c r="I33" s="3">
        <v>23175000</v>
      </c>
    </row>
    <row r="34" spans="1:9" x14ac:dyDescent="0.2">
      <c r="A34" t="s">
        <v>177</v>
      </c>
      <c r="B34" s="4">
        <v>27290000</v>
      </c>
      <c r="C34" s="25">
        <v>27290000</v>
      </c>
      <c r="D34" s="32">
        <v>27090000</v>
      </c>
      <c r="F34" s="4">
        <v>27190000</v>
      </c>
      <c r="G34" s="4">
        <v>26890000</v>
      </c>
      <c r="H34" s="3">
        <v>26890000</v>
      </c>
      <c r="I34" s="4" t="s">
        <v>22</v>
      </c>
    </row>
    <row r="35" spans="1:9" x14ac:dyDescent="0.2">
      <c r="A35" t="s">
        <v>178</v>
      </c>
      <c r="B35" s="4">
        <v>31490000</v>
      </c>
      <c r="C35" s="25">
        <v>31490000</v>
      </c>
      <c r="D35" s="5">
        <v>31290000</v>
      </c>
      <c r="F35" s="4">
        <v>32290000</v>
      </c>
      <c r="G35" s="4">
        <v>31190000</v>
      </c>
      <c r="H35" s="4">
        <v>31390000</v>
      </c>
      <c r="I35" s="4" t="s">
        <v>22</v>
      </c>
    </row>
    <row r="36" spans="1:9" x14ac:dyDescent="0.2">
      <c r="A36" t="s">
        <v>179</v>
      </c>
      <c r="B36" s="3">
        <v>38690000</v>
      </c>
      <c r="C36" s="25">
        <v>38690000</v>
      </c>
      <c r="D36" s="5">
        <v>38290000</v>
      </c>
      <c r="F36" s="4">
        <v>38290000</v>
      </c>
      <c r="G36" s="4">
        <v>36790000</v>
      </c>
      <c r="H36" s="4">
        <v>37990000</v>
      </c>
      <c r="I36" s="4" t="s">
        <v>22</v>
      </c>
    </row>
  </sheetData>
  <pageMargins left="0.7" right="0.7" top="0.75" bottom="0.75" header="0.3" footer="0.3"/>
  <legacyDrawing r:id="rId1"/>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14"/>
  <dimension ref="A1:I36"/>
  <sheetViews>
    <sheetView zoomScale="95" workbookViewId="0">
      <selection activeCell="H2" sqref="H2:H36"/>
    </sheetView>
  </sheetViews>
  <sheetFormatPr baseColWidth="10" defaultColWidth="11" defaultRowHeight="16" x14ac:dyDescent="0.2"/>
  <cols>
    <col min="1" max="1" width="25.33203125" bestFit="1" customWidth="1"/>
    <col min="3" max="3" width="10.83203125" customWidth="1"/>
  </cols>
  <sheetData>
    <row r="1" spans="1:9" x14ac:dyDescent="0.2">
      <c r="B1" t="s">
        <v>1</v>
      </c>
      <c r="C1" t="s">
        <v>0</v>
      </c>
      <c r="D1" t="s">
        <v>2</v>
      </c>
      <c r="E1" t="s">
        <v>3</v>
      </c>
      <c r="F1" t="s">
        <v>4</v>
      </c>
      <c r="G1" t="s">
        <v>155</v>
      </c>
      <c r="H1" t="s">
        <v>5</v>
      </c>
      <c r="I1" t="s">
        <v>156</v>
      </c>
    </row>
    <row r="2" spans="1:9" x14ac:dyDescent="0.2">
      <c r="A2" t="s">
        <v>25</v>
      </c>
      <c r="B2" s="4">
        <v>20090000</v>
      </c>
      <c r="C2" s="25">
        <v>20090000</v>
      </c>
      <c r="D2" s="3">
        <v>19990000</v>
      </c>
      <c r="E2" s="3">
        <v>19390000</v>
      </c>
      <c r="F2" s="3">
        <v>19450000</v>
      </c>
      <c r="G2" s="4">
        <v>19090000</v>
      </c>
      <c r="H2" s="3">
        <v>19450000</v>
      </c>
      <c r="I2" s="3">
        <v>18483000</v>
      </c>
    </row>
    <row r="3" spans="1:9" x14ac:dyDescent="0.2">
      <c r="A3" t="s">
        <v>26</v>
      </c>
      <c r="B3" s="3">
        <v>22890000</v>
      </c>
      <c r="C3" s="25">
        <v>22690000</v>
      </c>
      <c r="D3" s="3">
        <v>22890000</v>
      </c>
      <c r="E3" s="3">
        <v>22290000</v>
      </c>
      <c r="F3" s="3">
        <v>22290000</v>
      </c>
      <c r="G3" s="4">
        <v>22290000</v>
      </c>
      <c r="H3" s="3">
        <v>22250000</v>
      </c>
      <c r="I3" s="3">
        <v>22071000</v>
      </c>
    </row>
    <row r="4" spans="1:9" x14ac:dyDescent="0.2">
      <c r="A4" t="s">
        <v>157</v>
      </c>
      <c r="B4" s="3">
        <v>25090000</v>
      </c>
      <c r="C4" s="25">
        <v>24990000</v>
      </c>
      <c r="D4" s="5">
        <v>24890000</v>
      </c>
      <c r="E4" s="4">
        <v>23990000</v>
      </c>
      <c r="F4" s="3">
        <v>24290000</v>
      </c>
      <c r="G4" s="4">
        <v>23990000</v>
      </c>
      <c r="H4" s="3">
        <v>24290000</v>
      </c>
      <c r="I4" s="3">
        <v>24003000</v>
      </c>
    </row>
    <row r="5" spans="1:9" x14ac:dyDescent="0.2">
      <c r="A5" t="s">
        <v>158</v>
      </c>
      <c r="B5" s="3">
        <v>29090000</v>
      </c>
      <c r="C5" s="3">
        <v>29090000</v>
      </c>
      <c r="D5" s="3">
        <v>29190000</v>
      </c>
      <c r="E5" s="4">
        <v>28890000</v>
      </c>
      <c r="F5" s="3">
        <v>28890000</v>
      </c>
      <c r="G5" s="4">
        <v>28690000</v>
      </c>
      <c r="H5" s="3">
        <v>28850000</v>
      </c>
      <c r="I5" s="3">
        <v>28043000</v>
      </c>
    </row>
    <row r="6" spans="1:9" x14ac:dyDescent="0.2">
      <c r="A6" t="s">
        <v>92</v>
      </c>
      <c r="B6" s="3">
        <v>19990000</v>
      </c>
      <c r="C6" s="3">
        <v>21190000</v>
      </c>
      <c r="D6" s="5">
        <v>19890000</v>
      </c>
      <c r="E6" s="4">
        <v>19690000</v>
      </c>
      <c r="F6" s="3">
        <v>19790000</v>
      </c>
      <c r="G6" s="4">
        <v>19190000</v>
      </c>
      <c r="H6" s="4">
        <v>19390000</v>
      </c>
      <c r="I6" s="3">
        <v>22531000</v>
      </c>
    </row>
    <row r="7" spans="1:9" x14ac:dyDescent="0.2">
      <c r="A7" t="s">
        <v>27</v>
      </c>
      <c r="B7" s="4">
        <v>17690000</v>
      </c>
      <c r="C7" s="25">
        <v>17690000</v>
      </c>
      <c r="D7" s="3">
        <v>17490000</v>
      </c>
      <c r="E7" s="4">
        <v>17690000</v>
      </c>
      <c r="F7" s="3">
        <v>17290000</v>
      </c>
      <c r="G7" s="4">
        <v>17190000</v>
      </c>
      <c r="H7" s="4">
        <v>17290000</v>
      </c>
      <c r="I7" s="3">
        <v>17103000</v>
      </c>
    </row>
    <row r="8" spans="1:9" x14ac:dyDescent="0.2">
      <c r="A8" t="s">
        <v>28</v>
      </c>
      <c r="B8" s="3">
        <v>14490000</v>
      </c>
      <c r="C8" s="3">
        <v>14490000</v>
      </c>
      <c r="D8" s="3">
        <v>14190000</v>
      </c>
      <c r="E8" s="3">
        <v>13690000</v>
      </c>
      <c r="F8" s="3">
        <v>13990000</v>
      </c>
      <c r="G8" s="4">
        <v>13590000</v>
      </c>
      <c r="H8" s="4">
        <v>13690000</v>
      </c>
      <c r="I8" s="4" t="s">
        <v>22</v>
      </c>
    </row>
    <row r="9" spans="1:9" x14ac:dyDescent="0.2">
      <c r="A9" t="s">
        <v>98</v>
      </c>
      <c r="B9" s="3">
        <v>11490000</v>
      </c>
      <c r="C9" s="3">
        <v>11490000</v>
      </c>
      <c r="D9" s="3">
        <v>11490000</v>
      </c>
      <c r="E9" s="4">
        <v>11490000</v>
      </c>
      <c r="F9" s="4">
        <v>11490000</v>
      </c>
      <c r="G9" s="4">
        <v>11590000</v>
      </c>
      <c r="H9" s="4">
        <v>12290000</v>
      </c>
      <c r="I9" s="4" t="s">
        <v>22</v>
      </c>
    </row>
    <row r="10" spans="1:9" x14ac:dyDescent="0.2">
      <c r="A10" t="s">
        <v>102</v>
      </c>
      <c r="B10" s="3">
        <v>8940000</v>
      </c>
      <c r="C10" s="3">
        <v>8940000</v>
      </c>
      <c r="D10" s="3">
        <v>8840000</v>
      </c>
      <c r="E10" s="3">
        <v>8590000</v>
      </c>
      <c r="F10" s="3">
        <v>8750000</v>
      </c>
      <c r="G10" s="4">
        <v>8490000</v>
      </c>
      <c r="H10" s="4">
        <v>8490000</v>
      </c>
      <c r="I10" s="4" t="s">
        <v>22</v>
      </c>
    </row>
    <row r="11" spans="1:9" x14ac:dyDescent="0.2">
      <c r="A11" t="s">
        <v>159</v>
      </c>
      <c r="B11" s="4" t="s">
        <v>22</v>
      </c>
      <c r="C11" s="25" t="s">
        <v>22</v>
      </c>
      <c r="D11" s="5">
        <v>20990000</v>
      </c>
      <c r="E11" s="4" t="s">
        <v>91</v>
      </c>
      <c r="F11" s="4" t="s">
        <v>22</v>
      </c>
      <c r="G11" s="4" t="s">
        <v>91</v>
      </c>
      <c r="H11" s="3">
        <v>17990000</v>
      </c>
      <c r="I11" s="4" t="s">
        <v>22</v>
      </c>
    </row>
    <row r="12" spans="1:9" x14ac:dyDescent="0.2">
      <c r="A12" t="s">
        <v>160</v>
      </c>
      <c r="B12" s="4">
        <v>13990000</v>
      </c>
      <c r="C12" s="25">
        <v>13990000</v>
      </c>
      <c r="D12" s="31">
        <v>13890000</v>
      </c>
      <c r="E12" s="4">
        <v>14170000</v>
      </c>
      <c r="F12" s="3" t="s">
        <v>22</v>
      </c>
      <c r="G12" s="4">
        <v>13790000</v>
      </c>
      <c r="H12" s="4">
        <v>14290000</v>
      </c>
      <c r="I12" s="4" t="s">
        <v>22</v>
      </c>
    </row>
    <row r="13" spans="1:9" x14ac:dyDescent="0.2">
      <c r="A13" t="s">
        <v>161</v>
      </c>
      <c r="B13" s="4" t="s">
        <v>22</v>
      </c>
      <c r="C13" s="3">
        <v>12290000</v>
      </c>
      <c r="D13" s="31">
        <v>12690000</v>
      </c>
      <c r="E13" s="4" t="s">
        <v>91</v>
      </c>
      <c r="F13" s="4">
        <v>12790000</v>
      </c>
      <c r="G13" s="4">
        <v>11490000</v>
      </c>
      <c r="H13" s="4">
        <v>12650000</v>
      </c>
      <c r="I13" s="4" t="s">
        <v>22</v>
      </c>
    </row>
    <row r="14" spans="1:9" x14ac:dyDescent="0.2">
      <c r="A14" t="s">
        <v>162</v>
      </c>
      <c r="B14" s="4">
        <v>10190000</v>
      </c>
      <c r="C14" s="25">
        <v>10190000</v>
      </c>
      <c r="D14" s="3">
        <v>9840000</v>
      </c>
      <c r="E14" s="4">
        <v>9593100</v>
      </c>
      <c r="F14" s="3">
        <v>9750000</v>
      </c>
      <c r="G14" s="4">
        <v>9290000</v>
      </c>
      <c r="H14" s="4">
        <v>9690000</v>
      </c>
      <c r="I14" s="3">
        <v>9467000</v>
      </c>
    </row>
    <row r="15" spans="1:9" x14ac:dyDescent="0.2">
      <c r="A15" t="s">
        <v>163</v>
      </c>
      <c r="B15" s="3">
        <v>7340000</v>
      </c>
      <c r="C15" s="25">
        <v>7340000</v>
      </c>
      <c r="D15" s="3">
        <v>7040000</v>
      </c>
      <c r="E15" s="4">
        <v>6920100</v>
      </c>
      <c r="F15" s="3">
        <v>7190000</v>
      </c>
      <c r="G15" s="4">
        <v>6790000</v>
      </c>
      <c r="H15" s="4">
        <v>7090000</v>
      </c>
      <c r="I15" s="3">
        <v>6707000</v>
      </c>
    </row>
    <row r="16" spans="1:9" x14ac:dyDescent="0.2">
      <c r="A16" t="s">
        <v>189</v>
      </c>
      <c r="B16" s="4">
        <v>16890000</v>
      </c>
      <c r="C16" s="25">
        <v>16890000</v>
      </c>
      <c r="D16" s="31">
        <v>16890000</v>
      </c>
      <c r="E16" s="4">
        <v>16090000</v>
      </c>
      <c r="F16" s="3">
        <v>16990000</v>
      </c>
      <c r="G16" s="4">
        <v>16190000</v>
      </c>
      <c r="H16" s="3">
        <v>16390000</v>
      </c>
      <c r="I16" s="4" t="s">
        <v>22</v>
      </c>
    </row>
    <row r="17" spans="1:9" x14ac:dyDescent="0.2">
      <c r="A17" t="s">
        <v>190</v>
      </c>
      <c r="B17" s="4">
        <v>22290000</v>
      </c>
      <c r="C17" s="25">
        <v>22290000</v>
      </c>
      <c r="D17" s="31">
        <v>22390000</v>
      </c>
      <c r="E17" s="3">
        <v>20990000</v>
      </c>
      <c r="F17" s="4">
        <v>21690000</v>
      </c>
      <c r="G17" s="4">
        <v>21290000</v>
      </c>
      <c r="H17" s="3">
        <v>21490000</v>
      </c>
      <c r="I17" s="4" t="s">
        <v>22</v>
      </c>
    </row>
    <row r="18" spans="1:9" x14ac:dyDescent="0.2">
      <c r="A18" t="s">
        <v>184</v>
      </c>
      <c r="B18" s="3">
        <v>28290000</v>
      </c>
      <c r="C18" s="3">
        <v>28290000</v>
      </c>
      <c r="D18" s="3">
        <v>27890000</v>
      </c>
      <c r="E18" s="3">
        <v>27390000</v>
      </c>
      <c r="F18" s="3">
        <v>27690000</v>
      </c>
      <c r="G18" s="4">
        <v>27490000</v>
      </c>
      <c r="H18" s="3">
        <v>27190000</v>
      </c>
      <c r="I18" s="3">
        <v>26671000</v>
      </c>
    </row>
    <row r="19" spans="1:9" x14ac:dyDescent="0.2">
      <c r="A19" t="s">
        <v>185</v>
      </c>
      <c r="B19" s="3">
        <v>37490000</v>
      </c>
      <c r="C19" s="3">
        <v>37490000</v>
      </c>
      <c r="D19" s="31">
        <v>37890000</v>
      </c>
      <c r="E19" s="4">
        <v>36190000</v>
      </c>
      <c r="F19" s="4">
        <v>37390000</v>
      </c>
      <c r="G19" s="4">
        <v>36190000</v>
      </c>
      <c r="H19" s="3">
        <v>36890000</v>
      </c>
      <c r="I19" s="4" t="s">
        <v>22</v>
      </c>
    </row>
    <row r="20" spans="1:9" x14ac:dyDescent="0.2">
      <c r="A20" t="s">
        <v>164</v>
      </c>
      <c r="B20" s="4">
        <v>6140000</v>
      </c>
      <c r="C20" s="25">
        <v>5940000</v>
      </c>
      <c r="D20" s="5">
        <v>5690000</v>
      </c>
      <c r="E20" s="3">
        <v>5731100</v>
      </c>
      <c r="F20" s="3">
        <v>6090000</v>
      </c>
      <c r="G20" s="4">
        <v>5590000</v>
      </c>
      <c r="H20" s="4">
        <v>5890000</v>
      </c>
      <c r="I20" s="4" t="s">
        <v>22</v>
      </c>
    </row>
    <row r="21" spans="1:9" x14ac:dyDescent="0.2">
      <c r="A21" t="s">
        <v>165</v>
      </c>
      <c r="B21" s="4">
        <v>7440000</v>
      </c>
      <c r="C21" s="3">
        <v>7240000</v>
      </c>
      <c r="D21" s="5">
        <v>6790000</v>
      </c>
      <c r="E21" s="3">
        <v>6870600</v>
      </c>
      <c r="F21" s="4">
        <v>7390000</v>
      </c>
      <c r="G21" s="4">
        <v>6990000</v>
      </c>
      <c r="H21" s="4">
        <v>7390000</v>
      </c>
      <c r="I21" s="4" t="s">
        <v>22</v>
      </c>
    </row>
    <row r="22" spans="1:9" x14ac:dyDescent="0.2">
      <c r="A22" t="s">
        <v>166</v>
      </c>
      <c r="B22" s="4">
        <v>7040000</v>
      </c>
      <c r="C22" s="3">
        <v>6840000</v>
      </c>
      <c r="D22" s="31">
        <v>6240000</v>
      </c>
      <c r="E22" s="3">
        <v>6425100</v>
      </c>
      <c r="F22" s="4">
        <v>6990000</v>
      </c>
      <c r="G22" s="4">
        <v>6290000</v>
      </c>
      <c r="H22" s="4">
        <v>6790000</v>
      </c>
      <c r="I22" s="4" t="s">
        <v>22</v>
      </c>
    </row>
    <row r="23" spans="1:9" x14ac:dyDescent="0.2">
      <c r="A23" t="s">
        <v>167</v>
      </c>
      <c r="B23" s="4">
        <v>8240000</v>
      </c>
      <c r="C23" s="25">
        <v>7940000</v>
      </c>
      <c r="D23" s="31">
        <v>7540000</v>
      </c>
      <c r="E23" s="3">
        <v>7662600</v>
      </c>
      <c r="F23" s="4">
        <v>8190000</v>
      </c>
      <c r="G23" s="4">
        <v>7690000</v>
      </c>
      <c r="H23" s="4">
        <v>8090000</v>
      </c>
      <c r="I23" s="4" t="s">
        <v>22</v>
      </c>
    </row>
    <row r="24" spans="1:9" x14ac:dyDescent="0.2">
      <c r="A24" t="s">
        <v>168</v>
      </c>
      <c r="B24" s="4">
        <v>9690000</v>
      </c>
      <c r="C24" s="25">
        <v>9790000</v>
      </c>
      <c r="D24" s="3">
        <v>9440000</v>
      </c>
      <c r="E24" s="4">
        <v>8900100</v>
      </c>
      <c r="F24" s="3">
        <v>9690000</v>
      </c>
      <c r="G24" s="4">
        <v>9090000</v>
      </c>
      <c r="H24" s="4">
        <v>9290000</v>
      </c>
      <c r="I24" s="3">
        <v>8527000</v>
      </c>
    </row>
    <row r="25" spans="1:9" x14ac:dyDescent="0.2">
      <c r="A25" t="s">
        <v>169</v>
      </c>
      <c r="B25" s="4">
        <v>12190000</v>
      </c>
      <c r="C25" s="25">
        <v>12490000</v>
      </c>
      <c r="D25" s="3">
        <v>12190000</v>
      </c>
      <c r="E25" s="4">
        <v>11678310</v>
      </c>
      <c r="F25" s="4">
        <v>12590000</v>
      </c>
      <c r="G25" s="4">
        <v>11690000</v>
      </c>
      <c r="H25" s="4">
        <v>11790000</v>
      </c>
      <c r="I25" s="4" t="s">
        <v>22</v>
      </c>
    </row>
    <row r="26" spans="1:9" x14ac:dyDescent="0.2">
      <c r="A26" t="s">
        <v>170</v>
      </c>
      <c r="B26" s="4">
        <v>10790000</v>
      </c>
      <c r="C26" s="25">
        <v>10590000</v>
      </c>
      <c r="D26" s="32">
        <v>10490000</v>
      </c>
      <c r="E26" s="4">
        <v>9692100</v>
      </c>
      <c r="F26" s="3">
        <v>10590000</v>
      </c>
      <c r="G26" s="4">
        <v>10190000</v>
      </c>
      <c r="H26" s="4">
        <v>10390000</v>
      </c>
      <c r="I26" s="4" t="s">
        <v>22</v>
      </c>
    </row>
    <row r="27" spans="1:9" x14ac:dyDescent="0.2">
      <c r="A27" t="s">
        <v>171</v>
      </c>
      <c r="B27" s="4">
        <v>13690000</v>
      </c>
      <c r="C27" s="25">
        <v>13590000</v>
      </c>
      <c r="D27" s="32">
        <v>13390000</v>
      </c>
      <c r="E27" s="4">
        <v>12570000</v>
      </c>
      <c r="F27" s="4" t="s">
        <v>22</v>
      </c>
      <c r="G27" s="4">
        <v>12890000</v>
      </c>
      <c r="H27" s="4">
        <v>12890000</v>
      </c>
      <c r="I27" s="4" t="s">
        <v>22</v>
      </c>
    </row>
    <row r="28" spans="1:9" x14ac:dyDescent="0.2">
      <c r="A28" t="s">
        <v>172</v>
      </c>
      <c r="B28" s="4">
        <v>20990000</v>
      </c>
      <c r="C28" s="25">
        <v>20990000</v>
      </c>
      <c r="D28" s="3">
        <v>20590000</v>
      </c>
      <c r="E28" s="4">
        <v>19690000</v>
      </c>
      <c r="F28" s="4">
        <v>21290000</v>
      </c>
      <c r="G28" s="4">
        <v>19790000</v>
      </c>
      <c r="H28" s="4">
        <v>20890000</v>
      </c>
      <c r="I28" s="4" t="s">
        <v>22</v>
      </c>
    </row>
    <row r="29" spans="1:9" x14ac:dyDescent="0.2">
      <c r="A29" t="s">
        <v>53</v>
      </c>
      <c r="B29" s="4">
        <v>5790000</v>
      </c>
      <c r="C29" s="3">
        <v>5790000</v>
      </c>
      <c r="D29" s="3">
        <v>5740000</v>
      </c>
      <c r="E29" s="3">
        <v>5336100</v>
      </c>
      <c r="F29" s="4">
        <v>5550000</v>
      </c>
      <c r="G29" s="3">
        <v>5250000</v>
      </c>
      <c r="H29" s="4">
        <v>5750000</v>
      </c>
      <c r="I29" s="3">
        <v>5031000</v>
      </c>
    </row>
    <row r="30" spans="1:9" x14ac:dyDescent="0.2">
      <c r="A30" t="s">
        <v>173</v>
      </c>
      <c r="B30" s="4">
        <v>3990000</v>
      </c>
      <c r="C30" s="25">
        <v>3990000</v>
      </c>
      <c r="D30" s="5">
        <v>3990000</v>
      </c>
      <c r="E30" s="3">
        <v>4049100</v>
      </c>
      <c r="F30" s="4">
        <v>3950000</v>
      </c>
      <c r="G30" s="4">
        <v>3690000</v>
      </c>
      <c r="H30" s="3">
        <v>4190000</v>
      </c>
      <c r="I30" s="4" t="s">
        <v>22</v>
      </c>
    </row>
    <row r="31" spans="1:9" x14ac:dyDescent="0.2">
      <c r="A31" t="s">
        <v>174</v>
      </c>
      <c r="B31" s="4">
        <v>2790000</v>
      </c>
      <c r="C31" s="25">
        <v>2790000</v>
      </c>
      <c r="D31" s="5">
        <v>2790000</v>
      </c>
      <c r="E31" s="3">
        <v>2861100</v>
      </c>
      <c r="F31" s="4">
        <v>2790000</v>
      </c>
      <c r="G31" s="3">
        <v>2550000</v>
      </c>
      <c r="H31" s="3">
        <v>2900000</v>
      </c>
      <c r="I31" s="3">
        <v>2623000</v>
      </c>
    </row>
    <row r="32" spans="1:9" x14ac:dyDescent="0.2">
      <c r="A32" t="s">
        <v>175</v>
      </c>
      <c r="B32" s="4">
        <v>18590000</v>
      </c>
      <c r="C32" s="3">
        <v>18590000</v>
      </c>
      <c r="D32" s="3">
        <v>18490000</v>
      </c>
      <c r="F32" s="4">
        <v>18590000</v>
      </c>
      <c r="G32" s="3">
        <v>18190000</v>
      </c>
      <c r="H32" s="3">
        <v>18090000</v>
      </c>
      <c r="I32" s="4" t="s">
        <v>22</v>
      </c>
    </row>
    <row r="33" spans="1:9" x14ac:dyDescent="0.2">
      <c r="A33" t="s">
        <v>176</v>
      </c>
      <c r="B33" s="3">
        <v>23390000</v>
      </c>
      <c r="C33" s="3">
        <v>23290000</v>
      </c>
      <c r="D33" s="3">
        <v>23090000</v>
      </c>
      <c r="F33" s="3">
        <v>23690000</v>
      </c>
      <c r="G33" s="4">
        <v>23590000</v>
      </c>
      <c r="H33" s="3">
        <v>23190000</v>
      </c>
      <c r="I33" s="3">
        <v>22991000</v>
      </c>
    </row>
    <row r="34" spans="1:9" x14ac:dyDescent="0.2">
      <c r="A34" t="s">
        <v>177</v>
      </c>
      <c r="B34" s="3">
        <v>27090000</v>
      </c>
      <c r="C34" s="3">
        <v>27090000</v>
      </c>
      <c r="D34" s="3">
        <v>26790000</v>
      </c>
      <c r="F34" s="3">
        <v>26990000</v>
      </c>
      <c r="G34" s="4">
        <v>26890000</v>
      </c>
      <c r="H34" s="3">
        <v>26690000</v>
      </c>
      <c r="I34" s="3">
        <v>25751000</v>
      </c>
    </row>
    <row r="35" spans="1:9" x14ac:dyDescent="0.2">
      <c r="A35" t="s">
        <v>178</v>
      </c>
      <c r="B35" s="3">
        <v>31290000</v>
      </c>
      <c r="C35" s="3">
        <v>31290000</v>
      </c>
      <c r="D35" s="3">
        <v>31090000</v>
      </c>
      <c r="F35" s="4">
        <v>32290000</v>
      </c>
      <c r="G35" s="4">
        <v>31190000</v>
      </c>
      <c r="H35" s="3">
        <v>30990000</v>
      </c>
      <c r="I35" s="4" t="s">
        <v>22</v>
      </c>
    </row>
    <row r="36" spans="1:9" x14ac:dyDescent="0.2">
      <c r="A36" t="s">
        <v>179</v>
      </c>
      <c r="B36" s="3">
        <v>38590000</v>
      </c>
      <c r="C36" s="3">
        <v>38590000</v>
      </c>
      <c r="D36" s="5">
        <v>38290000</v>
      </c>
      <c r="F36" s="4">
        <v>38290000</v>
      </c>
      <c r="G36" s="4">
        <v>36790000</v>
      </c>
      <c r="H36" s="3">
        <v>37790000</v>
      </c>
      <c r="I36" s="4" t="s">
        <v>22</v>
      </c>
    </row>
  </sheetData>
  <pageMargins left="0.7" right="0.7" top="0.75" bottom="0.75" header="0.3" footer="0.3"/>
  <legacyDrawing r:id="rId1"/>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5"/>
  <dimension ref="A1:L35"/>
  <sheetViews>
    <sheetView showRuler="0" showWhiteSpace="0" zoomScale="125" zoomScaleNormal="170" workbookViewId="0">
      <pane xSplit="1" topLeftCell="B1" activePane="topRight" state="frozen"/>
      <selection pane="topRight" activeCell="L10" sqref="L10"/>
    </sheetView>
  </sheetViews>
  <sheetFormatPr baseColWidth="10" defaultColWidth="11" defaultRowHeight="16" x14ac:dyDescent="0.2"/>
  <cols>
    <col min="1" max="1" width="25.33203125" bestFit="1" customWidth="1"/>
    <col min="3" max="3" width="10.83203125" customWidth="1"/>
  </cols>
  <sheetData>
    <row r="1" spans="1:12" x14ac:dyDescent="0.2">
      <c r="B1" t="s">
        <v>1</v>
      </c>
      <c r="C1" t="s">
        <v>0</v>
      </c>
      <c r="D1" t="s">
        <v>2</v>
      </c>
      <c r="E1" t="s">
        <v>3</v>
      </c>
      <c r="F1" t="s">
        <v>4</v>
      </c>
      <c r="G1" t="s">
        <v>5</v>
      </c>
    </row>
    <row r="2" spans="1:12" x14ac:dyDescent="0.2">
      <c r="A2" t="s">
        <v>25</v>
      </c>
      <c r="B2" s="3">
        <v>19890000</v>
      </c>
      <c r="C2" s="3">
        <v>19890000</v>
      </c>
      <c r="D2" s="3">
        <v>19890000</v>
      </c>
      <c r="E2" s="3">
        <v>19490000</v>
      </c>
      <c r="F2" s="3">
        <v>19450000</v>
      </c>
      <c r="G2" s="3">
        <v>19450000</v>
      </c>
    </row>
    <row r="3" spans="1:12" x14ac:dyDescent="0.2">
      <c r="A3" t="s">
        <v>26</v>
      </c>
      <c r="B3" s="3">
        <v>22990000</v>
      </c>
      <c r="C3" s="3">
        <v>22990000</v>
      </c>
      <c r="D3" s="3">
        <v>22890000</v>
      </c>
      <c r="E3" s="3">
        <v>22490000</v>
      </c>
      <c r="F3" s="3">
        <v>22290000</v>
      </c>
      <c r="G3" s="3">
        <v>22250000</v>
      </c>
      <c r="J3" t="s">
        <v>31</v>
      </c>
      <c r="K3" t="s">
        <v>192</v>
      </c>
      <c r="L3" t="b">
        <v>1</v>
      </c>
    </row>
    <row r="4" spans="1:12" x14ac:dyDescent="0.2">
      <c r="A4" t="s">
        <v>157</v>
      </c>
      <c r="B4" s="3">
        <v>24990000</v>
      </c>
      <c r="C4" s="25">
        <v>24990000</v>
      </c>
      <c r="D4" s="5">
        <v>24890000</v>
      </c>
      <c r="E4" s="4">
        <v>23990000</v>
      </c>
      <c r="F4" s="3">
        <v>24290000</v>
      </c>
      <c r="G4" s="3">
        <v>24290000</v>
      </c>
      <c r="J4" t="s">
        <v>0</v>
      </c>
      <c r="K4" t="s">
        <v>193</v>
      </c>
      <c r="L4" t="b">
        <v>1</v>
      </c>
    </row>
    <row r="5" spans="1:12" x14ac:dyDescent="0.2">
      <c r="A5" t="s">
        <v>158</v>
      </c>
      <c r="B5" s="3">
        <v>29390000</v>
      </c>
      <c r="C5" s="3">
        <v>29390000</v>
      </c>
      <c r="D5" s="3">
        <v>29390000</v>
      </c>
      <c r="E5" s="4">
        <v>28890000</v>
      </c>
      <c r="F5" s="3">
        <v>28890000</v>
      </c>
      <c r="G5" s="3">
        <v>28850000</v>
      </c>
      <c r="J5" t="s">
        <v>2</v>
      </c>
      <c r="K5" t="s">
        <v>194</v>
      </c>
      <c r="L5" t="b">
        <v>1</v>
      </c>
    </row>
    <row r="6" spans="1:12" x14ac:dyDescent="0.2">
      <c r="A6" t="s">
        <v>92</v>
      </c>
      <c r="B6" s="4">
        <v>19990000</v>
      </c>
      <c r="C6" s="3">
        <v>19990000</v>
      </c>
      <c r="D6" s="5">
        <v>19890000</v>
      </c>
      <c r="E6" s="4">
        <v>19690000</v>
      </c>
      <c r="F6" s="3">
        <v>19790000</v>
      </c>
      <c r="G6" s="4">
        <v>19390000</v>
      </c>
      <c r="J6" t="s">
        <v>3</v>
      </c>
      <c r="K6" t="s">
        <v>195</v>
      </c>
      <c r="L6" t="b">
        <v>1</v>
      </c>
    </row>
    <row r="7" spans="1:12" x14ac:dyDescent="0.2">
      <c r="A7" t="s">
        <v>27</v>
      </c>
      <c r="B7" s="4">
        <v>17290000</v>
      </c>
      <c r="C7" s="3">
        <v>17490000</v>
      </c>
      <c r="D7" s="35">
        <v>17490000</v>
      </c>
      <c r="E7" s="4">
        <v>17690000</v>
      </c>
      <c r="F7" s="3">
        <v>17290000</v>
      </c>
      <c r="G7" s="4">
        <v>17290000</v>
      </c>
      <c r="J7" t="s">
        <v>4</v>
      </c>
      <c r="K7" t="s">
        <v>196</v>
      </c>
      <c r="L7" t="b">
        <v>1</v>
      </c>
    </row>
    <row r="8" spans="1:12" x14ac:dyDescent="0.2">
      <c r="A8" t="s">
        <v>28</v>
      </c>
      <c r="B8" s="3">
        <v>14290000</v>
      </c>
      <c r="C8" s="3">
        <v>14390000</v>
      </c>
      <c r="D8" s="3">
        <v>14090000</v>
      </c>
      <c r="E8" s="33">
        <v>13690000</v>
      </c>
      <c r="F8" s="3">
        <v>13990000</v>
      </c>
      <c r="G8" s="4">
        <v>13690000</v>
      </c>
      <c r="J8" t="s">
        <v>41</v>
      </c>
      <c r="K8" t="s">
        <v>42</v>
      </c>
      <c r="L8" t="b">
        <v>1</v>
      </c>
    </row>
    <row r="9" spans="1:12" x14ac:dyDescent="0.2">
      <c r="A9" t="s">
        <v>98</v>
      </c>
      <c r="B9" s="3">
        <v>11390000</v>
      </c>
      <c r="C9" s="25">
        <v>11490000</v>
      </c>
      <c r="D9" s="35">
        <v>11490000</v>
      </c>
      <c r="E9" s="34">
        <v>11390000</v>
      </c>
      <c r="F9" s="4">
        <v>11490000</v>
      </c>
      <c r="G9" s="4">
        <v>12290000</v>
      </c>
    </row>
    <row r="10" spans="1:12" x14ac:dyDescent="0.2">
      <c r="A10" t="s">
        <v>102</v>
      </c>
      <c r="B10" s="4">
        <v>8940000</v>
      </c>
      <c r="C10" s="25">
        <v>8940000</v>
      </c>
      <c r="D10" s="3">
        <v>8840000</v>
      </c>
      <c r="E10" s="3">
        <v>8490000</v>
      </c>
      <c r="F10" s="3">
        <v>8750000</v>
      </c>
      <c r="G10" s="4">
        <v>8490000</v>
      </c>
    </row>
    <row r="11" spans="1:12" x14ac:dyDescent="0.2">
      <c r="A11" t="s">
        <v>160</v>
      </c>
      <c r="B11" s="4" t="s">
        <v>22</v>
      </c>
      <c r="C11" s="25">
        <v>13990000</v>
      </c>
      <c r="D11" s="31">
        <v>13890000</v>
      </c>
      <c r="E11" s="4" t="s">
        <v>91</v>
      </c>
      <c r="F11" s="3" t="s">
        <v>22</v>
      </c>
      <c r="G11" s="4">
        <v>14290000</v>
      </c>
    </row>
    <row r="12" spans="1:12" x14ac:dyDescent="0.2">
      <c r="A12" t="s">
        <v>161</v>
      </c>
      <c r="B12" s="4" t="s">
        <v>22</v>
      </c>
      <c r="C12" s="3">
        <v>12790000</v>
      </c>
      <c r="D12" s="31">
        <v>12690000</v>
      </c>
      <c r="E12" s="4" t="s">
        <v>91</v>
      </c>
      <c r="F12" s="4">
        <v>12790000</v>
      </c>
      <c r="G12" s="4">
        <v>12650000</v>
      </c>
    </row>
    <row r="13" spans="1:12" x14ac:dyDescent="0.2">
      <c r="A13" t="s">
        <v>162</v>
      </c>
      <c r="B13" s="3">
        <v>10090000</v>
      </c>
      <c r="C13" s="25">
        <v>10190000</v>
      </c>
      <c r="D13" s="3">
        <v>9840000</v>
      </c>
      <c r="E13" s="4">
        <v>9593100</v>
      </c>
      <c r="F13" s="3">
        <v>9750000</v>
      </c>
      <c r="G13" s="4">
        <v>9690000</v>
      </c>
    </row>
    <row r="14" spans="1:12" x14ac:dyDescent="0.2">
      <c r="A14" t="s">
        <v>163</v>
      </c>
      <c r="B14" s="3">
        <v>7140000</v>
      </c>
      <c r="C14" s="3">
        <v>7140000</v>
      </c>
      <c r="D14" s="3">
        <v>7140000</v>
      </c>
      <c r="E14" s="4">
        <v>6920100</v>
      </c>
      <c r="F14" s="3">
        <v>7190000</v>
      </c>
      <c r="G14" s="4">
        <v>7090000</v>
      </c>
    </row>
    <row r="15" spans="1:12" x14ac:dyDescent="0.2">
      <c r="A15" t="s">
        <v>189</v>
      </c>
      <c r="B15" s="4" t="s">
        <v>22</v>
      </c>
      <c r="C15" s="25">
        <v>16890000</v>
      </c>
      <c r="D15" s="31">
        <v>16890000</v>
      </c>
      <c r="E15" s="4">
        <v>16090000</v>
      </c>
      <c r="F15" s="3">
        <v>16990000</v>
      </c>
      <c r="G15" s="3">
        <v>16390000</v>
      </c>
    </row>
    <row r="16" spans="1:12" x14ac:dyDescent="0.2">
      <c r="A16" t="s">
        <v>190</v>
      </c>
      <c r="B16" s="4">
        <v>22290000</v>
      </c>
      <c r="C16" s="25">
        <v>22290000</v>
      </c>
      <c r="D16" s="31">
        <v>22390000</v>
      </c>
      <c r="E16" s="3">
        <v>21490000</v>
      </c>
      <c r="F16" s="4">
        <v>21690000</v>
      </c>
      <c r="G16" s="3">
        <v>21490000</v>
      </c>
    </row>
    <row r="17" spans="1:7" x14ac:dyDescent="0.2">
      <c r="A17" t="s">
        <v>184</v>
      </c>
      <c r="B17" s="3">
        <v>27990000</v>
      </c>
      <c r="C17" s="3">
        <v>27990000</v>
      </c>
      <c r="D17" s="35">
        <v>27890000</v>
      </c>
      <c r="E17" s="3">
        <v>27690000</v>
      </c>
      <c r="F17" s="3">
        <v>27690000</v>
      </c>
      <c r="G17" s="3">
        <v>27190000</v>
      </c>
    </row>
    <row r="18" spans="1:7" x14ac:dyDescent="0.2">
      <c r="A18" t="s">
        <v>185</v>
      </c>
      <c r="B18" s="25">
        <v>37490000</v>
      </c>
      <c r="C18" s="25">
        <v>37490000</v>
      </c>
      <c r="D18" s="31">
        <v>37890000</v>
      </c>
      <c r="E18" s="34">
        <v>36490000</v>
      </c>
      <c r="F18" s="4">
        <v>37390000</v>
      </c>
      <c r="G18" s="3">
        <v>36890000</v>
      </c>
    </row>
    <row r="19" spans="1:7" x14ac:dyDescent="0.2">
      <c r="A19" t="s">
        <v>164</v>
      </c>
      <c r="B19" s="3">
        <v>6040000</v>
      </c>
      <c r="C19" s="3">
        <v>6040000</v>
      </c>
      <c r="D19" s="3">
        <v>5940000</v>
      </c>
      <c r="E19" s="3">
        <v>5890000</v>
      </c>
      <c r="F19" s="3">
        <v>6090000</v>
      </c>
      <c r="G19" s="4">
        <v>5890000</v>
      </c>
    </row>
    <row r="20" spans="1:7" x14ac:dyDescent="0.2">
      <c r="A20" t="s">
        <v>165</v>
      </c>
      <c r="B20" s="3">
        <v>7340000</v>
      </c>
      <c r="C20" s="3">
        <v>7440000</v>
      </c>
      <c r="D20" s="3">
        <v>7340000</v>
      </c>
      <c r="E20" s="3">
        <v>7190000</v>
      </c>
      <c r="F20" s="4">
        <v>7390000</v>
      </c>
      <c r="G20" s="4">
        <v>7390000</v>
      </c>
    </row>
    <row r="21" spans="1:7" x14ac:dyDescent="0.2">
      <c r="A21" t="s">
        <v>166</v>
      </c>
      <c r="B21" s="3">
        <v>6940000</v>
      </c>
      <c r="C21" s="25">
        <v>6840000</v>
      </c>
      <c r="D21" s="3">
        <v>6940000</v>
      </c>
      <c r="E21" s="3">
        <v>6590000</v>
      </c>
      <c r="F21" s="4">
        <v>6990000</v>
      </c>
      <c r="G21" s="4">
        <v>6790000</v>
      </c>
    </row>
    <row r="22" spans="1:7" x14ac:dyDescent="0.2">
      <c r="A22" t="s">
        <v>167</v>
      </c>
      <c r="B22" s="4">
        <v>8240000</v>
      </c>
      <c r="C22" s="3">
        <v>8140000</v>
      </c>
      <c r="D22" s="3">
        <v>8140000</v>
      </c>
      <c r="E22" s="3">
        <v>7790000</v>
      </c>
      <c r="F22" s="4">
        <v>8190000</v>
      </c>
      <c r="G22" s="4">
        <v>8090000</v>
      </c>
    </row>
    <row r="23" spans="1:7" x14ac:dyDescent="0.2">
      <c r="A23" t="s">
        <v>168</v>
      </c>
      <c r="B23" s="3">
        <v>9840000</v>
      </c>
      <c r="C23" s="25">
        <v>9790000</v>
      </c>
      <c r="D23" s="35">
        <v>9440000</v>
      </c>
      <c r="E23" s="34">
        <v>8990000</v>
      </c>
      <c r="F23" s="3">
        <v>9690000</v>
      </c>
      <c r="G23" s="4">
        <v>9290000</v>
      </c>
    </row>
    <row r="24" spans="1:7" x14ac:dyDescent="0.2">
      <c r="A24" t="s">
        <v>169</v>
      </c>
      <c r="B24" s="4" t="s">
        <v>22</v>
      </c>
      <c r="C24" s="25">
        <v>12490000</v>
      </c>
      <c r="D24" s="3">
        <v>12190000</v>
      </c>
      <c r="E24" s="3">
        <v>11690000</v>
      </c>
      <c r="F24" s="4">
        <v>12590000</v>
      </c>
      <c r="G24" s="4">
        <v>11790000</v>
      </c>
    </row>
    <row r="25" spans="1:7" x14ac:dyDescent="0.2">
      <c r="A25" t="s">
        <v>170</v>
      </c>
      <c r="B25" s="3">
        <v>10840000</v>
      </c>
      <c r="C25" s="3">
        <v>10790000</v>
      </c>
      <c r="D25" s="32">
        <v>10490000</v>
      </c>
      <c r="E25" s="34">
        <v>9790000</v>
      </c>
      <c r="F25" s="3">
        <v>10590000</v>
      </c>
      <c r="G25" s="4">
        <v>10390000</v>
      </c>
    </row>
    <row r="26" spans="1:7" x14ac:dyDescent="0.2">
      <c r="A26" t="s">
        <v>171</v>
      </c>
      <c r="B26" s="4" t="s">
        <v>22</v>
      </c>
      <c r="C26" s="25">
        <v>13590000</v>
      </c>
      <c r="D26" s="34">
        <v>13390000</v>
      </c>
      <c r="E26" s="34">
        <v>12690000</v>
      </c>
      <c r="F26" s="4" t="s">
        <v>22</v>
      </c>
      <c r="G26" s="4">
        <v>12890000</v>
      </c>
    </row>
    <row r="27" spans="1:7" x14ac:dyDescent="0.2">
      <c r="A27" t="s">
        <v>172</v>
      </c>
      <c r="B27" s="3">
        <v>21190000</v>
      </c>
      <c r="C27" s="25">
        <v>20990000</v>
      </c>
      <c r="D27" s="35">
        <v>20590000</v>
      </c>
      <c r="E27" s="34">
        <v>19990000</v>
      </c>
      <c r="F27" s="4">
        <v>21290000</v>
      </c>
      <c r="G27" s="4">
        <v>20890000</v>
      </c>
    </row>
    <row r="28" spans="1:7" x14ac:dyDescent="0.2">
      <c r="A28" t="s">
        <v>53</v>
      </c>
      <c r="B28" s="3">
        <v>5690000</v>
      </c>
      <c r="C28" s="3">
        <v>5690000</v>
      </c>
      <c r="D28" s="3">
        <v>5638000</v>
      </c>
      <c r="E28" s="3">
        <v>5336100</v>
      </c>
      <c r="F28" s="4">
        <v>5550000</v>
      </c>
      <c r="G28" s="4">
        <v>5750000</v>
      </c>
    </row>
    <row r="29" spans="1:7" x14ac:dyDescent="0.2">
      <c r="A29" t="s">
        <v>173</v>
      </c>
      <c r="B29" s="3">
        <v>4090000</v>
      </c>
      <c r="C29" s="3">
        <v>4090000</v>
      </c>
      <c r="D29" s="3">
        <v>4040000</v>
      </c>
      <c r="E29" s="3">
        <v>4049100</v>
      </c>
      <c r="F29" s="4">
        <v>3950000</v>
      </c>
      <c r="G29" s="3">
        <v>4190000</v>
      </c>
    </row>
    <row r="30" spans="1:7" x14ac:dyDescent="0.2">
      <c r="A30" t="s">
        <v>174</v>
      </c>
      <c r="B30" s="3">
        <v>2690000</v>
      </c>
      <c r="C30" s="3">
        <v>2690000</v>
      </c>
      <c r="D30" s="3">
        <v>2738000</v>
      </c>
      <c r="E30" s="3">
        <v>2861100</v>
      </c>
      <c r="F30" s="4">
        <v>2790000</v>
      </c>
      <c r="G30" s="3">
        <v>2900000</v>
      </c>
    </row>
    <row r="31" spans="1:7" x14ac:dyDescent="0.2">
      <c r="A31" t="s">
        <v>175</v>
      </c>
      <c r="B31" s="4">
        <v>18590000</v>
      </c>
      <c r="C31" s="25">
        <v>18590000</v>
      </c>
      <c r="D31" s="3">
        <v>18590000</v>
      </c>
      <c r="F31" s="4">
        <v>18590000</v>
      </c>
      <c r="G31" s="3">
        <v>17990000</v>
      </c>
    </row>
    <row r="32" spans="1:7" x14ac:dyDescent="0.2">
      <c r="A32" t="s">
        <v>176</v>
      </c>
      <c r="B32" s="3">
        <v>23790000</v>
      </c>
      <c r="C32" s="3">
        <v>23790000</v>
      </c>
      <c r="D32" s="3">
        <v>23590000</v>
      </c>
      <c r="F32" s="3">
        <v>23690000</v>
      </c>
      <c r="G32" s="3">
        <v>23190000</v>
      </c>
    </row>
    <row r="33" spans="1:7" x14ac:dyDescent="0.2">
      <c r="A33" t="s">
        <v>177</v>
      </c>
      <c r="B33" s="3">
        <v>27290000</v>
      </c>
      <c r="C33" s="3">
        <v>27290000</v>
      </c>
      <c r="D33" s="3">
        <v>27290000</v>
      </c>
      <c r="F33" s="3">
        <v>26990000</v>
      </c>
      <c r="G33" s="3">
        <v>26690000</v>
      </c>
    </row>
    <row r="34" spans="1:7" x14ac:dyDescent="0.2">
      <c r="A34" t="s">
        <v>178</v>
      </c>
      <c r="B34" s="35">
        <v>31290000</v>
      </c>
      <c r="C34" s="3">
        <v>31290000</v>
      </c>
      <c r="D34" s="35">
        <v>31090000</v>
      </c>
      <c r="F34" s="4">
        <v>32290000</v>
      </c>
      <c r="G34" s="3">
        <v>30990000</v>
      </c>
    </row>
    <row r="35" spans="1:7" x14ac:dyDescent="0.2">
      <c r="A35" t="s">
        <v>179</v>
      </c>
      <c r="B35" s="3">
        <v>38490000</v>
      </c>
      <c r="C35" s="3">
        <v>38490000</v>
      </c>
      <c r="D35" s="5">
        <v>38290000</v>
      </c>
      <c r="F35" s="4">
        <v>38290000</v>
      </c>
      <c r="G35" s="3">
        <v>37790000</v>
      </c>
    </row>
  </sheetData>
  <pageMargins left="0.7" right="0.7" top="0.75" bottom="0.75" header="0.3" footer="0.3"/>
  <pageSetup orientation="portrait" horizontalDpi="0" verticalDpi="0"/>
  <drawing r:id="rId1"/>
  <legacyDrawing r:id="rId2"/>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16"/>
  <dimension ref="A1:L35"/>
  <sheetViews>
    <sheetView showRuler="0" showWhiteSpace="0" zoomScale="85" zoomScaleNormal="130" workbookViewId="0">
      <pane xSplit="1" topLeftCell="B1" activePane="topRight" state="frozen"/>
      <selection pane="topRight" activeCell="G15" sqref="G15"/>
    </sheetView>
  </sheetViews>
  <sheetFormatPr baseColWidth="10" defaultColWidth="11" defaultRowHeight="16" x14ac:dyDescent="0.2"/>
  <cols>
    <col min="1" max="1" width="25.33203125" bestFit="1" customWidth="1"/>
    <col min="2" max="2" width="10.83203125" customWidth="1"/>
  </cols>
  <sheetData>
    <row r="1" spans="1:12" x14ac:dyDescent="0.2">
      <c r="B1" t="s">
        <v>0</v>
      </c>
      <c r="C1" t="s">
        <v>1</v>
      </c>
      <c r="D1" t="s">
        <v>2</v>
      </c>
      <c r="E1" t="s">
        <v>3</v>
      </c>
      <c r="F1" t="s">
        <v>4</v>
      </c>
      <c r="G1" t="s">
        <v>5</v>
      </c>
    </row>
    <row r="2" spans="1:12" x14ac:dyDescent="0.2">
      <c r="A2" t="s">
        <v>25</v>
      </c>
      <c r="B2" s="3">
        <v>19790000</v>
      </c>
      <c r="C2" s="3">
        <v>19790000</v>
      </c>
      <c r="D2" s="36">
        <v>19890000</v>
      </c>
      <c r="E2" s="36">
        <v>19490000</v>
      </c>
      <c r="F2" s="37">
        <v>19250000</v>
      </c>
      <c r="G2" s="4">
        <v>19450000</v>
      </c>
    </row>
    <row r="3" spans="1:12" x14ac:dyDescent="0.2">
      <c r="A3" t="s">
        <v>26</v>
      </c>
      <c r="B3" s="3">
        <v>22790000</v>
      </c>
      <c r="C3" s="3">
        <v>22790000</v>
      </c>
      <c r="D3" s="36">
        <v>22890000</v>
      </c>
      <c r="E3" s="36">
        <v>22490000</v>
      </c>
      <c r="F3" s="36">
        <v>22290000</v>
      </c>
      <c r="G3" s="4">
        <v>22250000</v>
      </c>
      <c r="J3" t="s">
        <v>31</v>
      </c>
      <c r="K3" t="s">
        <v>192</v>
      </c>
      <c r="L3" t="b">
        <v>1</v>
      </c>
    </row>
    <row r="4" spans="1:12" x14ac:dyDescent="0.2">
      <c r="A4" t="s">
        <v>157</v>
      </c>
      <c r="B4" s="3">
        <v>24790000</v>
      </c>
      <c r="C4" s="3">
        <v>24790000</v>
      </c>
      <c r="D4" s="36">
        <v>24890000</v>
      </c>
      <c r="E4" s="4">
        <v>23990000</v>
      </c>
      <c r="F4" s="37">
        <v>24390000</v>
      </c>
      <c r="G4" s="3">
        <v>24390000</v>
      </c>
      <c r="J4" t="s">
        <v>0</v>
      </c>
      <c r="K4" t="s">
        <v>193</v>
      </c>
      <c r="L4" t="b">
        <v>1</v>
      </c>
    </row>
    <row r="5" spans="1:12" x14ac:dyDescent="0.2">
      <c r="A5" t="s">
        <v>158</v>
      </c>
      <c r="B5" s="4">
        <v>29390000</v>
      </c>
      <c r="C5" s="4">
        <v>29390000</v>
      </c>
      <c r="D5" s="4">
        <v>29390000</v>
      </c>
      <c r="E5" s="4">
        <v>28890000</v>
      </c>
      <c r="F5" s="37">
        <v>28990000</v>
      </c>
      <c r="G5" s="4">
        <v>28850000</v>
      </c>
      <c r="J5" t="s">
        <v>2</v>
      </c>
      <c r="K5" t="s">
        <v>194</v>
      </c>
      <c r="L5" t="b">
        <v>1</v>
      </c>
    </row>
    <row r="6" spans="1:12" x14ac:dyDescent="0.2">
      <c r="A6" t="s">
        <v>92</v>
      </c>
      <c r="B6" s="3">
        <v>19790000</v>
      </c>
      <c r="C6" s="3">
        <v>19790000</v>
      </c>
      <c r="D6" s="4">
        <v>19890000</v>
      </c>
      <c r="E6" s="4">
        <v>19690000</v>
      </c>
      <c r="F6" s="34">
        <v>19890000</v>
      </c>
      <c r="G6" s="4">
        <v>19390000</v>
      </c>
      <c r="J6" t="s">
        <v>3</v>
      </c>
      <c r="K6" t="s">
        <v>195</v>
      </c>
      <c r="L6" t="b">
        <v>1</v>
      </c>
    </row>
    <row r="7" spans="1:12" x14ac:dyDescent="0.2">
      <c r="A7" t="s">
        <v>27</v>
      </c>
      <c r="B7" s="3">
        <v>17290000</v>
      </c>
      <c r="C7" s="4">
        <v>17290000</v>
      </c>
      <c r="D7" s="34">
        <v>17390000</v>
      </c>
      <c r="E7" s="4">
        <v>17690000</v>
      </c>
      <c r="F7" s="34">
        <v>17190000</v>
      </c>
      <c r="G7" s="4">
        <v>17290000</v>
      </c>
      <c r="J7" t="s">
        <v>4</v>
      </c>
      <c r="K7" t="s">
        <v>196</v>
      </c>
      <c r="L7" t="b">
        <v>1</v>
      </c>
    </row>
    <row r="8" spans="1:12" x14ac:dyDescent="0.2">
      <c r="A8" t="s">
        <v>28</v>
      </c>
      <c r="B8" s="3">
        <v>13890000</v>
      </c>
      <c r="C8" s="3">
        <v>13890000</v>
      </c>
      <c r="D8" s="34">
        <v>13890000</v>
      </c>
      <c r="E8" s="4">
        <v>13690000</v>
      </c>
      <c r="F8" s="34">
        <v>13890000</v>
      </c>
      <c r="G8" s="4">
        <v>13690000</v>
      </c>
      <c r="J8" t="s">
        <v>41</v>
      </c>
      <c r="K8" t="s">
        <v>42</v>
      </c>
      <c r="L8" t="b">
        <v>1</v>
      </c>
    </row>
    <row r="9" spans="1:12" x14ac:dyDescent="0.2">
      <c r="A9" t="s">
        <v>98</v>
      </c>
      <c r="B9" s="4">
        <v>11490000</v>
      </c>
      <c r="C9" s="4">
        <v>11490000</v>
      </c>
      <c r="D9" s="4">
        <v>11490000</v>
      </c>
      <c r="E9" s="4">
        <v>11390000</v>
      </c>
      <c r="F9" s="38">
        <v>11490000</v>
      </c>
      <c r="G9" s="4">
        <v>12290000</v>
      </c>
    </row>
    <row r="10" spans="1:12" x14ac:dyDescent="0.2">
      <c r="A10" t="s">
        <v>102</v>
      </c>
      <c r="B10" s="4">
        <v>8940000</v>
      </c>
      <c r="C10" s="4">
        <v>8940000</v>
      </c>
      <c r="D10" s="4">
        <v>8840000</v>
      </c>
      <c r="E10" s="4">
        <v>8490000</v>
      </c>
      <c r="F10" s="34">
        <v>8790000</v>
      </c>
      <c r="G10" s="4">
        <v>8490000</v>
      </c>
    </row>
    <row r="11" spans="1:12" x14ac:dyDescent="0.2">
      <c r="A11" t="s">
        <v>160</v>
      </c>
      <c r="B11" s="4">
        <v>13990000</v>
      </c>
      <c r="C11" s="4" t="s">
        <v>22</v>
      </c>
      <c r="D11" s="4">
        <v>13890000</v>
      </c>
      <c r="E11" s="4" t="s">
        <v>91</v>
      </c>
      <c r="F11" s="38">
        <v>14590000</v>
      </c>
      <c r="G11" s="4">
        <v>14290000</v>
      </c>
    </row>
    <row r="12" spans="1:12" x14ac:dyDescent="0.2">
      <c r="A12" t="s">
        <v>161</v>
      </c>
      <c r="B12" s="4">
        <v>12790000</v>
      </c>
      <c r="C12" s="4" t="s">
        <v>22</v>
      </c>
      <c r="D12" s="4">
        <v>12690000</v>
      </c>
      <c r="E12" s="4" t="s">
        <v>91</v>
      </c>
      <c r="F12" s="38">
        <v>12790000</v>
      </c>
      <c r="G12" s="4">
        <v>12650000</v>
      </c>
    </row>
    <row r="13" spans="1:12" x14ac:dyDescent="0.2">
      <c r="A13" t="s">
        <v>162</v>
      </c>
      <c r="B13" s="4">
        <v>10190000</v>
      </c>
      <c r="C13" s="4">
        <v>10190000</v>
      </c>
      <c r="D13" s="4">
        <v>9840000</v>
      </c>
      <c r="E13" s="34">
        <v>9490000</v>
      </c>
      <c r="F13" s="34">
        <v>9790000</v>
      </c>
      <c r="G13" s="4">
        <v>9690000</v>
      </c>
    </row>
    <row r="14" spans="1:12" x14ac:dyDescent="0.2">
      <c r="A14" t="s">
        <v>163</v>
      </c>
      <c r="B14" s="4">
        <v>7140000</v>
      </c>
      <c r="C14" s="4">
        <v>7140000</v>
      </c>
      <c r="D14" s="4">
        <v>7140000</v>
      </c>
      <c r="E14" s="34">
        <v>6990000</v>
      </c>
      <c r="F14" s="34">
        <v>7090000</v>
      </c>
      <c r="G14" s="4">
        <v>7090000</v>
      </c>
    </row>
    <row r="15" spans="1:12" x14ac:dyDescent="0.2">
      <c r="A15" t="s">
        <v>189</v>
      </c>
      <c r="B15" s="3" t="s">
        <v>22</v>
      </c>
      <c r="C15" s="4" t="s">
        <v>22</v>
      </c>
      <c r="D15" s="4">
        <v>16890000</v>
      </c>
      <c r="E15" s="34">
        <v>16790000</v>
      </c>
      <c r="F15" s="38">
        <v>16990000</v>
      </c>
      <c r="G15" s="4">
        <v>16390000</v>
      </c>
    </row>
    <row r="16" spans="1:12" x14ac:dyDescent="0.2">
      <c r="A16" t="s">
        <v>190</v>
      </c>
      <c r="B16" s="4">
        <v>22290000</v>
      </c>
      <c r="C16" s="4">
        <v>22290000</v>
      </c>
      <c r="D16" s="4">
        <v>22390000</v>
      </c>
      <c r="E16" s="4">
        <v>21490000</v>
      </c>
      <c r="F16" s="34">
        <v>21990000</v>
      </c>
      <c r="G16" s="4">
        <v>21490000</v>
      </c>
    </row>
    <row r="17" spans="1:7" x14ac:dyDescent="0.2">
      <c r="A17" t="s">
        <v>184</v>
      </c>
      <c r="B17" s="4">
        <v>27990000</v>
      </c>
      <c r="C17" s="4">
        <v>27990000</v>
      </c>
      <c r="D17" s="4">
        <v>27890000</v>
      </c>
      <c r="E17" s="4">
        <v>27690000</v>
      </c>
      <c r="F17" s="34">
        <v>27490000</v>
      </c>
      <c r="G17" s="4">
        <v>27190000</v>
      </c>
    </row>
    <row r="18" spans="1:7" x14ac:dyDescent="0.2">
      <c r="A18" t="s">
        <v>185</v>
      </c>
      <c r="B18" s="4">
        <v>37490000</v>
      </c>
      <c r="C18" s="4">
        <v>37490000</v>
      </c>
      <c r="D18" s="4">
        <v>37690000</v>
      </c>
      <c r="E18" s="4">
        <v>36490000</v>
      </c>
      <c r="F18" s="34">
        <v>37490000</v>
      </c>
      <c r="G18" s="4">
        <v>36890000</v>
      </c>
    </row>
    <row r="19" spans="1:7" x14ac:dyDescent="0.2">
      <c r="A19" t="s">
        <v>164</v>
      </c>
      <c r="B19" s="4">
        <v>6040000</v>
      </c>
      <c r="C19" s="4">
        <v>6040000</v>
      </c>
      <c r="D19" s="4">
        <v>5940000</v>
      </c>
      <c r="E19" s="4">
        <v>5890000</v>
      </c>
      <c r="F19" s="34">
        <v>5990000</v>
      </c>
      <c r="G19" s="4">
        <v>5890000</v>
      </c>
    </row>
    <row r="20" spans="1:7" x14ac:dyDescent="0.2">
      <c r="A20" t="s">
        <v>165</v>
      </c>
      <c r="B20" s="4">
        <v>7440000</v>
      </c>
      <c r="C20" s="4">
        <v>7440000</v>
      </c>
      <c r="D20" s="4">
        <v>7340000</v>
      </c>
      <c r="E20" s="4">
        <v>7190000</v>
      </c>
      <c r="F20" s="38">
        <v>7390000</v>
      </c>
      <c r="G20" s="4">
        <v>7390000</v>
      </c>
    </row>
    <row r="21" spans="1:7" x14ac:dyDescent="0.2">
      <c r="A21" t="s">
        <v>166</v>
      </c>
      <c r="B21" s="3">
        <v>6940000</v>
      </c>
      <c r="C21" s="4">
        <v>6940000</v>
      </c>
      <c r="D21" s="4">
        <v>6940000</v>
      </c>
      <c r="E21" s="34">
        <v>6590000</v>
      </c>
      <c r="F21" s="38">
        <v>6990000</v>
      </c>
      <c r="G21" s="3">
        <v>6390000</v>
      </c>
    </row>
    <row r="22" spans="1:7" x14ac:dyDescent="0.2">
      <c r="A22" t="s">
        <v>167</v>
      </c>
      <c r="B22" s="3">
        <v>8240000</v>
      </c>
      <c r="C22" s="4" t="s">
        <v>22</v>
      </c>
      <c r="D22" s="4">
        <v>8140000</v>
      </c>
      <c r="E22" s="4">
        <v>7790000</v>
      </c>
      <c r="F22" s="38">
        <v>8190000</v>
      </c>
      <c r="G22" s="4">
        <v>8090000</v>
      </c>
    </row>
    <row r="23" spans="1:7" x14ac:dyDescent="0.2">
      <c r="A23" t="s">
        <v>168</v>
      </c>
      <c r="B23" s="4">
        <v>9790000</v>
      </c>
      <c r="C23" s="4">
        <v>9790000</v>
      </c>
      <c r="D23" s="4">
        <v>9440000</v>
      </c>
      <c r="E23" s="4">
        <v>8990000</v>
      </c>
      <c r="F23" s="34">
        <v>9490000</v>
      </c>
      <c r="G23" s="3">
        <v>9190000</v>
      </c>
    </row>
    <row r="24" spans="1:7" x14ac:dyDescent="0.2">
      <c r="A24" t="s">
        <v>169</v>
      </c>
      <c r="B24" s="4">
        <v>12490000</v>
      </c>
      <c r="C24" s="4" t="s">
        <v>22</v>
      </c>
      <c r="D24" s="4">
        <v>12190000</v>
      </c>
      <c r="E24" s="4">
        <v>11690000</v>
      </c>
      <c r="F24" s="34">
        <v>12390000</v>
      </c>
      <c r="G24" s="3">
        <v>11690000</v>
      </c>
    </row>
    <row r="25" spans="1:7" x14ac:dyDescent="0.2">
      <c r="A25" t="s">
        <v>170</v>
      </c>
      <c r="B25" s="4">
        <v>10790000</v>
      </c>
      <c r="C25" s="4">
        <v>10790000</v>
      </c>
      <c r="D25" s="4">
        <v>10490000</v>
      </c>
      <c r="E25" s="4">
        <v>9790000</v>
      </c>
      <c r="F25" s="38">
        <v>10590000</v>
      </c>
      <c r="G25" s="3">
        <v>10190000</v>
      </c>
    </row>
    <row r="26" spans="1:7" x14ac:dyDescent="0.2">
      <c r="A26" t="s">
        <v>171</v>
      </c>
      <c r="B26" s="4">
        <v>13590000</v>
      </c>
      <c r="C26" s="4" t="s">
        <v>22</v>
      </c>
      <c r="D26" s="4">
        <v>13390000</v>
      </c>
      <c r="E26" s="4">
        <v>12690000</v>
      </c>
      <c r="F26" s="34" t="s">
        <v>22</v>
      </c>
      <c r="G26" s="3">
        <v>12690000</v>
      </c>
    </row>
    <row r="27" spans="1:7" x14ac:dyDescent="0.2">
      <c r="A27" t="s">
        <v>172</v>
      </c>
      <c r="B27" s="4">
        <v>20990000</v>
      </c>
      <c r="C27" s="4">
        <v>20990000</v>
      </c>
      <c r="D27" s="4">
        <v>20590000</v>
      </c>
      <c r="E27" s="4">
        <v>19990000</v>
      </c>
      <c r="F27" s="38">
        <v>21390000</v>
      </c>
      <c r="G27" s="4">
        <v>20890000</v>
      </c>
    </row>
    <row r="28" spans="1:7" x14ac:dyDescent="0.2">
      <c r="A28" t="s">
        <v>53</v>
      </c>
      <c r="B28" s="4">
        <v>5690000</v>
      </c>
      <c r="C28" s="4">
        <v>5690000</v>
      </c>
      <c r="D28" s="34">
        <v>5640000</v>
      </c>
      <c r="E28" s="4">
        <v>5336100</v>
      </c>
      <c r="F28" s="38">
        <v>5550000</v>
      </c>
      <c r="G28" s="3">
        <v>5450000</v>
      </c>
    </row>
    <row r="29" spans="1:7" x14ac:dyDescent="0.2">
      <c r="A29" t="s">
        <v>173</v>
      </c>
      <c r="B29" s="4">
        <v>4090000</v>
      </c>
      <c r="C29" s="4">
        <v>4090000</v>
      </c>
      <c r="D29" s="4">
        <v>4040000</v>
      </c>
      <c r="E29" s="4">
        <v>4049100</v>
      </c>
      <c r="F29" s="34">
        <v>4090000</v>
      </c>
      <c r="G29" s="3" t="s">
        <v>197</v>
      </c>
    </row>
    <row r="30" spans="1:7" x14ac:dyDescent="0.2">
      <c r="A30" t="s">
        <v>174</v>
      </c>
      <c r="B30" s="4">
        <v>2690000</v>
      </c>
      <c r="C30" s="4">
        <v>2690000</v>
      </c>
      <c r="D30" s="34">
        <v>2640000</v>
      </c>
      <c r="E30" s="4">
        <v>2861100</v>
      </c>
      <c r="F30" s="34">
        <v>2690000</v>
      </c>
      <c r="G30" s="3">
        <v>2750000</v>
      </c>
    </row>
    <row r="31" spans="1:7" x14ac:dyDescent="0.2">
      <c r="A31" t="s">
        <v>175</v>
      </c>
      <c r="B31" s="3">
        <v>18490000</v>
      </c>
      <c r="C31" s="34">
        <v>18490000</v>
      </c>
      <c r="D31" s="34">
        <v>18490000</v>
      </c>
      <c r="E31" s="4"/>
      <c r="F31" s="38">
        <v>18590000</v>
      </c>
      <c r="G31" s="3">
        <v>17750000</v>
      </c>
    </row>
    <row r="32" spans="1:7" x14ac:dyDescent="0.2">
      <c r="A32" t="s">
        <v>176</v>
      </c>
      <c r="B32" s="3">
        <v>23690000</v>
      </c>
      <c r="C32" s="34">
        <v>23690000</v>
      </c>
      <c r="D32" s="4">
        <v>23590000</v>
      </c>
      <c r="E32" s="4"/>
      <c r="F32" s="34">
        <v>23490000</v>
      </c>
      <c r="G32" s="4">
        <v>23190000</v>
      </c>
    </row>
    <row r="33" spans="1:7" x14ac:dyDescent="0.2">
      <c r="A33" t="s">
        <v>177</v>
      </c>
      <c r="B33" s="3">
        <v>26890000</v>
      </c>
      <c r="C33" s="34">
        <v>26890000</v>
      </c>
      <c r="D33" s="34">
        <v>27090000</v>
      </c>
      <c r="E33" s="4"/>
      <c r="F33" s="34">
        <v>26890000</v>
      </c>
      <c r="G33" s="4">
        <v>26690000</v>
      </c>
    </row>
    <row r="34" spans="1:7" x14ac:dyDescent="0.2">
      <c r="A34" t="s">
        <v>178</v>
      </c>
      <c r="B34" s="4">
        <v>31290000</v>
      </c>
      <c r="C34" s="4">
        <v>31290000</v>
      </c>
      <c r="D34" s="4">
        <v>31090000</v>
      </c>
      <c r="E34" s="4"/>
      <c r="F34" s="34">
        <v>31290000</v>
      </c>
      <c r="G34" s="4">
        <v>30990000</v>
      </c>
    </row>
    <row r="35" spans="1:7" x14ac:dyDescent="0.2">
      <c r="A35" t="s">
        <v>179</v>
      </c>
      <c r="B35" s="3">
        <v>38290000</v>
      </c>
      <c r="C35" s="34">
        <v>38290000</v>
      </c>
      <c r="D35" s="4">
        <v>38290000</v>
      </c>
      <c r="E35" s="4"/>
      <c r="F35" s="34">
        <v>38390000</v>
      </c>
      <c r="G35" s="4">
        <v>37790000</v>
      </c>
    </row>
  </sheetData>
  <pageMargins left="0.7" right="0.7" top="0.75" bottom="0.75" header="0.3" footer="0.3"/>
  <pageSetup orientation="portrait" horizontalDpi="0" verticalDpi="0"/>
  <legacyDrawing r:id="rId1"/>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17"/>
  <dimension ref="A1:P35"/>
  <sheetViews>
    <sheetView showRuler="0" showWhiteSpace="0" topLeftCell="A8" zoomScale="113" zoomScaleNormal="130" workbookViewId="0">
      <pane xSplit="1" topLeftCell="AH1" activePane="topRight" state="frozen"/>
      <selection activeCell="A8" sqref="A8"/>
      <selection pane="topRight" activeCell="A8" sqref="A8"/>
    </sheetView>
  </sheetViews>
  <sheetFormatPr baseColWidth="10" defaultColWidth="11" defaultRowHeight="16" x14ac:dyDescent="0.2"/>
  <cols>
    <col min="1" max="1" width="25.33203125" bestFit="1" customWidth="1"/>
    <col min="2" max="2" width="10.83203125" customWidth="1"/>
    <col min="11" max="11" width="23.1640625" customWidth="1"/>
  </cols>
  <sheetData>
    <row r="1" spans="1:16" x14ac:dyDescent="0.2">
      <c r="B1" t="s">
        <v>0</v>
      </c>
      <c r="C1" t="s">
        <v>1</v>
      </c>
      <c r="D1" t="s">
        <v>2</v>
      </c>
      <c r="E1" t="s">
        <v>3</v>
      </c>
      <c r="F1" t="s">
        <v>4</v>
      </c>
      <c r="G1" t="s">
        <v>5</v>
      </c>
    </row>
    <row r="2" spans="1:16" x14ac:dyDescent="0.2">
      <c r="A2" t="s">
        <v>25</v>
      </c>
      <c r="B2" s="3">
        <v>19690000</v>
      </c>
      <c r="C2" s="41">
        <v>19690000</v>
      </c>
      <c r="D2" s="36">
        <v>19890000</v>
      </c>
      <c r="E2" s="36">
        <v>19490000</v>
      </c>
      <c r="F2" s="37">
        <v>19190000</v>
      </c>
      <c r="G2" s="3">
        <v>19390000</v>
      </c>
    </row>
    <row r="3" spans="1:16" x14ac:dyDescent="0.2">
      <c r="A3" t="s">
        <v>26</v>
      </c>
      <c r="B3" s="3">
        <v>22690000</v>
      </c>
      <c r="C3" s="41">
        <v>22690000</v>
      </c>
      <c r="D3" s="36">
        <v>22890000</v>
      </c>
      <c r="E3" s="36">
        <v>22490000</v>
      </c>
      <c r="F3" s="37">
        <v>22290000</v>
      </c>
      <c r="G3" s="4">
        <v>22250000</v>
      </c>
      <c r="J3" t="s">
        <v>31</v>
      </c>
      <c r="K3" t="s">
        <v>192</v>
      </c>
      <c r="L3" t="b">
        <v>1</v>
      </c>
    </row>
    <row r="4" spans="1:16" x14ac:dyDescent="0.2">
      <c r="A4" t="s">
        <v>157</v>
      </c>
      <c r="B4" s="3">
        <v>24690000</v>
      </c>
      <c r="C4" s="41">
        <v>24690000</v>
      </c>
      <c r="D4" s="36">
        <v>24890000</v>
      </c>
      <c r="E4" s="36">
        <v>23990000</v>
      </c>
      <c r="F4" s="37">
        <v>24290000</v>
      </c>
      <c r="G4" s="4">
        <v>24390000</v>
      </c>
      <c r="J4" t="s">
        <v>0</v>
      </c>
      <c r="K4" t="s">
        <v>193</v>
      </c>
      <c r="L4" t="b">
        <v>1</v>
      </c>
    </row>
    <row r="5" spans="1:16" x14ac:dyDescent="0.2">
      <c r="A5" t="s">
        <v>158</v>
      </c>
      <c r="B5" s="36">
        <v>29390000</v>
      </c>
      <c r="C5" s="36">
        <v>29390000</v>
      </c>
      <c r="D5" s="4">
        <v>29390000</v>
      </c>
      <c r="E5" s="37">
        <v>28700000</v>
      </c>
      <c r="F5" s="39">
        <v>28790000</v>
      </c>
      <c r="G5" s="4">
        <v>28850000</v>
      </c>
      <c r="J5" t="s">
        <v>2</v>
      </c>
      <c r="K5" t="s">
        <v>194</v>
      </c>
      <c r="L5" t="b">
        <v>1</v>
      </c>
    </row>
    <row r="6" spans="1:16" x14ac:dyDescent="0.2">
      <c r="A6" t="s">
        <v>92</v>
      </c>
      <c r="B6" s="36">
        <v>19790000</v>
      </c>
      <c r="C6" s="36">
        <v>19790000</v>
      </c>
      <c r="D6" s="4">
        <v>19890000</v>
      </c>
      <c r="E6" s="36">
        <v>19690000</v>
      </c>
      <c r="F6" s="38">
        <v>19890000</v>
      </c>
      <c r="G6" s="4">
        <v>19390000</v>
      </c>
      <c r="J6" t="s">
        <v>3</v>
      </c>
      <c r="K6" t="s">
        <v>195</v>
      </c>
      <c r="L6" t="b">
        <v>1</v>
      </c>
    </row>
    <row r="7" spans="1:16" x14ac:dyDescent="0.2">
      <c r="A7" t="s">
        <v>27</v>
      </c>
      <c r="B7" s="3">
        <v>16890000</v>
      </c>
      <c r="C7" s="41">
        <v>16890000</v>
      </c>
      <c r="D7" s="38">
        <v>17390000</v>
      </c>
      <c r="E7" s="36">
        <v>17690000</v>
      </c>
      <c r="F7" s="38">
        <v>17190000</v>
      </c>
      <c r="G7" s="4">
        <v>17290000</v>
      </c>
      <c r="J7" t="s">
        <v>4</v>
      </c>
      <c r="K7" t="s">
        <v>196</v>
      </c>
      <c r="L7" t="b">
        <v>1</v>
      </c>
    </row>
    <row r="8" spans="1:16" x14ac:dyDescent="0.2">
      <c r="A8" t="s">
        <v>28</v>
      </c>
      <c r="B8" s="36">
        <v>13890000</v>
      </c>
      <c r="C8" s="36">
        <v>13890000</v>
      </c>
      <c r="D8" s="38">
        <v>13890000</v>
      </c>
      <c r="E8" s="36">
        <v>13690000</v>
      </c>
      <c r="F8" s="34">
        <v>13790000</v>
      </c>
      <c r="G8" s="4">
        <v>13690000</v>
      </c>
      <c r="J8" t="s">
        <v>41</v>
      </c>
      <c r="K8" t="s">
        <v>42</v>
      </c>
      <c r="L8" t="b">
        <v>1</v>
      </c>
    </row>
    <row r="9" spans="1:16" x14ac:dyDescent="0.2">
      <c r="A9" t="s">
        <v>98</v>
      </c>
      <c r="B9" s="36">
        <v>11490000</v>
      </c>
      <c r="C9" s="36">
        <v>11490000</v>
      </c>
      <c r="D9" s="4">
        <v>11490000</v>
      </c>
      <c r="E9" s="36">
        <v>11390000</v>
      </c>
      <c r="F9" s="34">
        <v>11290000</v>
      </c>
      <c r="G9" s="4">
        <v>12290000</v>
      </c>
    </row>
    <row r="10" spans="1:16" x14ac:dyDescent="0.2">
      <c r="A10" t="s">
        <v>102</v>
      </c>
      <c r="B10" s="36">
        <v>8940000</v>
      </c>
      <c r="C10" s="36">
        <v>8940000</v>
      </c>
      <c r="D10" s="4">
        <v>8840000</v>
      </c>
      <c r="E10" s="36">
        <v>8490000</v>
      </c>
      <c r="F10" s="34">
        <v>8650000</v>
      </c>
      <c r="G10" s="3">
        <v>8590000</v>
      </c>
    </row>
    <row r="11" spans="1:16" x14ac:dyDescent="0.2">
      <c r="A11" t="s">
        <v>160</v>
      </c>
      <c r="B11" s="36">
        <v>13990000</v>
      </c>
      <c r="C11" s="36" t="s">
        <v>22</v>
      </c>
      <c r="D11" s="4">
        <v>13890000</v>
      </c>
      <c r="E11" s="37">
        <v>13990000</v>
      </c>
      <c r="F11" s="34">
        <v>14890000</v>
      </c>
      <c r="G11" s="4">
        <v>14290000</v>
      </c>
    </row>
    <row r="12" spans="1:16" x14ac:dyDescent="0.2">
      <c r="A12" t="s">
        <v>161</v>
      </c>
      <c r="B12" s="36">
        <v>12790000</v>
      </c>
      <c r="C12" s="36" t="s">
        <v>22</v>
      </c>
      <c r="D12" s="4">
        <v>12690000</v>
      </c>
      <c r="E12" s="36" t="s">
        <v>91</v>
      </c>
      <c r="F12" s="38">
        <v>12790000</v>
      </c>
      <c r="G12" s="4">
        <v>12650000</v>
      </c>
    </row>
    <row r="13" spans="1:16" x14ac:dyDescent="0.2">
      <c r="A13" t="s">
        <v>162</v>
      </c>
      <c r="B13" s="36">
        <v>10190000</v>
      </c>
      <c r="C13" s="36">
        <v>10190000</v>
      </c>
      <c r="D13" s="4">
        <v>9840000</v>
      </c>
      <c r="E13" s="36">
        <v>9490000</v>
      </c>
      <c r="F13" s="34">
        <v>9790000</v>
      </c>
      <c r="G13" s="3">
        <v>9490000</v>
      </c>
    </row>
    <row r="14" spans="1:16" x14ac:dyDescent="0.2">
      <c r="A14" t="s">
        <v>163</v>
      </c>
      <c r="B14" s="36">
        <v>7140000</v>
      </c>
      <c r="C14" s="36">
        <v>7140000</v>
      </c>
      <c r="D14" s="4">
        <v>7140000</v>
      </c>
      <c r="E14" s="36">
        <v>6990000</v>
      </c>
      <c r="F14" s="38">
        <v>7090000</v>
      </c>
      <c r="G14" s="4">
        <v>7090000</v>
      </c>
      <c r="L14" t="s">
        <v>1</v>
      </c>
      <c r="M14" t="s">
        <v>2</v>
      </c>
      <c r="N14" t="s">
        <v>3</v>
      </c>
      <c r="O14" t="s">
        <v>4</v>
      </c>
      <c r="P14" t="s">
        <v>5</v>
      </c>
    </row>
    <row r="15" spans="1:16" x14ac:dyDescent="0.2">
      <c r="A15" t="s">
        <v>189</v>
      </c>
      <c r="B15" s="3">
        <v>16890000</v>
      </c>
      <c r="C15" s="36" t="s">
        <v>22</v>
      </c>
      <c r="D15" s="4">
        <v>16890000</v>
      </c>
      <c r="E15" s="37">
        <v>16325000</v>
      </c>
      <c r="F15" s="38">
        <v>16990000</v>
      </c>
      <c r="G15" s="3">
        <v>16490000</v>
      </c>
      <c r="K15" t="s">
        <v>158</v>
      </c>
      <c r="L15">
        <v>350</v>
      </c>
      <c r="M15">
        <v>316</v>
      </c>
      <c r="N15">
        <v>68</v>
      </c>
      <c r="O15">
        <v>388</v>
      </c>
      <c r="P15">
        <v>89</v>
      </c>
    </row>
    <row r="16" spans="1:16" x14ac:dyDescent="0.2">
      <c r="A16" t="s">
        <v>190</v>
      </c>
      <c r="B16" s="36">
        <v>22290000</v>
      </c>
      <c r="C16" s="36">
        <v>22290000</v>
      </c>
      <c r="D16" s="4">
        <v>22390000</v>
      </c>
      <c r="E16" s="36">
        <v>21490000</v>
      </c>
      <c r="F16" s="38">
        <v>21690000</v>
      </c>
      <c r="G16" s="4">
        <v>21490000</v>
      </c>
      <c r="K16" t="s">
        <v>158</v>
      </c>
      <c r="L16" s="36">
        <v>29390000</v>
      </c>
      <c r="M16" s="4">
        <v>29390000</v>
      </c>
      <c r="N16" s="37">
        <v>28700000</v>
      </c>
      <c r="O16" s="39">
        <v>28790000</v>
      </c>
      <c r="P16" s="4">
        <v>28850000</v>
      </c>
    </row>
    <row r="17" spans="1:8" x14ac:dyDescent="0.2">
      <c r="A17" t="s">
        <v>184</v>
      </c>
      <c r="B17" s="3">
        <v>27790000</v>
      </c>
      <c r="C17" s="41">
        <v>27790000</v>
      </c>
      <c r="D17" s="4">
        <v>27890000</v>
      </c>
      <c r="E17" s="37">
        <v>27215000</v>
      </c>
      <c r="F17" s="34">
        <v>27590000</v>
      </c>
      <c r="G17" s="4">
        <v>27190000</v>
      </c>
    </row>
    <row r="18" spans="1:8" x14ac:dyDescent="0.2">
      <c r="A18" t="s">
        <v>185</v>
      </c>
      <c r="B18" s="36">
        <v>37490000</v>
      </c>
      <c r="C18" s="36">
        <v>37490000</v>
      </c>
      <c r="D18" s="4">
        <v>37690000</v>
      </c>
      <c r="E18" s="36">
        <v>36490000</v>
      </c>
      <c r="F18" s="34">
        <v>36990000</v>
      </c>
      <c r="G18" s="4">
        <v>36890000</v>
      </c>
    </row>
    <row r="19" spans="1:8" x14ac:dyDescent="0.2">
      <c r="A19" t="s">
        <v>164</v>
      </c>
      <c r="B19" s="36">
        <v>6040000</v>
      </c>
      <c r="C19" s="36">
        <v>6040000</v>
      </c>
      <c r="D19" s="4">
        <v>5940000</v>
      </c>
      <c r="E19" s="37">
        <v>5690000</v>
      </c>
      <c r="F19" s="38">
        <v>5990000</v>
      </c>
      <c r="G19" s="4">
        <v>5890000</v>
      </c>
    </row>
    <row r="20" spans="1:8" x14ac:dyDescent="0.2">
      <c r="A20" t="s">
        <v>165</v>
      </c>
      <c r="B20" s="36">
        <v>7440000</v>
      </c>
      <c r="C20" s="36">
        <v>7440000</v>
      </c>
      <c r="D20" s="4">
        <v>7340000</v>
      </c>
      <c r="E20" s="36">
        <v>7190000</v>
      </c>
      <c r="F20" s="38">
        <v>7390000</v>
      </c>
      <c r="G20" s="4">
        <v>7390000</v>
      </c>
    </row>
    <row r="21" spans="1:8" x14ac:dyDescent="0.2">
      <c r="A21" t="s">
        <v>166</v>
      </c>
      <c r="B21" s="36">
        <v>6940000</v>
      </c>
      <c r="C21" s="36">
        <v>6940000</v>
      </c>
      <c r="D21" s="4">
        <v>6940000</v>
      </c>
      <c r="E21" s="36">
        <v>6590000</v>
      </c>
      <c r="F21" s="34">
        <v>7190000</v>
      </c>
      <c r="G21" s="3">
        <v>6790000</v>
      </c>
    </row>
    <row r="22" spans="1:8" x14ac:dyDescent="0.2">
      <c r="A22" t="s">
        <v>167</v>
      </c>
      <c r="B22" s="36">
        <v>8240000</v>
      </c>
      <c r="C22" s="36" t="s">
        <v>22</v>
      </c>
      <c r="D22" s="4">
        <v>8140000</v>
      </c>
      <c r="E22" s="37">
        <v>7990000</v>
      </c>
      <c r="F22" s="38">
        <v>8190000</v>
      </c>
      <c r="G22" s="4">
        <v>8090000</v>
      </c>
    </row>
    <row r="23" spans="1:8" x14ac:dyDescent="0.2">
      <c r="A23" t="s">
        <v>168</v>
      </c>
      <c r="B23" s="36">
        <v>9790000</v>
      </c>
      <c r="C23" s="36">
        <v>9790000</v>
      </c>
      <c r="D23" s="4">
        <v>9440000</v>
      </c>
      <c r="E23" s="37">
        <v>8870000</v>
      </c>
      <c r="F23" s="34">
        <v>9490000</v>
      </c>
      <c r="G23" s="3">
        <v>9390000</v>
      </c>
    </row>
    <row r="24" spans="1:8" x14ac:dyDescent="0.2">
      <c r="A24" t="s">
        <v>169</v>
      </c>
      <c r="B24" s="3">
        <v>12390000</v>
      </c>
      <c r="C24" s="36" t="s">
        <v>22</v>
      </c>
      <c r="D24" s="4">
        <v>12190000</v>
      </c>
      <c r="E24" s="37">
        <v>11570000</v>
      </c>
      <c r="F24" s="34">
        <v>12590000</v>
      </c>
      <c r="G24" s="3">
        <v>11890000</v>
      </c>
    </row>
    <row r="25" spans="1:8" x14ac:dyDescent="0.2">
      <c r="A25" t="s">
        <v>170</v>
      </c>
      <c r="B25" s="36">
        <v>10790000</v>
      </c>
      <c r="C25" s="36">
        <v>10790000</v>
      </c>
      <c r="D25" s="4">
        <v>10490000</v>
      </c>
      <c r="E25" s="37">
        <v>9670000</v>
      </c>
      <c r="F25" s="34">
        <v>10890000</v>
      </c>
      <c r="G25" s="3">
        <v>10390000</v>
      </c>
    </row>
    <row r="26" spans="1:8" x14ac:dyDescent="0.2">
      <c r="A26" t="s">
        <v>171</v>
      </c>
      <c r="B26" s="36">
        <v>13590000</v>
      </c>
      <c r="C26" s="36" t="s">
        <v>22</v>
      </c>
      <c r="D26" s="4">
        <v>13390000</v>
      </c>
      <c r="E26" s="37">
        <v>12590000</v>
      </c>
      <c r="F26" s="34" t="s">
        <v>22</v>
      </c>
      <c r="G26" s="3">
        <v>12890000</v>
      </c>
    </row>
    <row r="27" spans="1:8" x14ac:dyDescent="0.2">
      <c r="A27" t="s">
        <v>172</v>
      </c>
      <c r="B27" s="36">
        <v>20990000</v>
      </c>
      <c r="C27" s="36">
        <v>20990000</v>
      </c>
      <c r="D27" s="4">
        <v>20590000</v>
      </c>
      <c r="E27" s="37">
        <v>19690000</v>
      </c>
      <c r="F27" s="34">
        <v>21290000</v>
      </c>
      <c r="G27" s="4">
        <v>20890000</v>
      </c>
    </row>
    <row r="28" spans="1:8" x14ac:dyDescent="0.2">
      <c r="A28" t="s">
        <v>53</v>
      </c>
      <c r="B28" s="36">
        <v>5690000</v>
      </c>
      <c r="C28" s="36">
        <v>5690000</v>
      </c>
      <c r="D28" s="38">
        <v>5640000</v>
      </c>
      <c r="E28" s="37">
        <v>5270000</v>
      </c>
      <c r="F28" s="38">
        <v>5550000</v>
      </c>
      <c r="G28" s="4">
        <v>5450000</v>
      </c>
      <c r="H28" s="40"/>
    </row>
    <row r="29" spans="1:8" x14ac:dyDescent="0.2">
      <c r="A29" t="s">
        <v>173</v>
      </c>
      <c r="B29" s="3">
        <v>3990000</v>
      </c>
      <c r="C29" s="41">
        <v>3990000</v>
      </c>
      <c r="D29" s="3">
        <v>3790000</v>
      </c>
      <c r="E29" s="37">
        <v>3890000</v>
      </c>
      <c r="F29" s="34">
        <v>3850000</v>
      </c>
      <c r="G29" s="4" t="s">
        <v>197</v>
      </c>
    </row>
    <row r="30" spans="1:8" x14ac:dyDescent="0.2">
      <c r="A30" t="s">
        <v>174</v>
      </c>
      <c r="B30" s="36">
        <v>2690000</v>
      </c>
      <c r="C30" s="36">
        <v>2690000</v>
      </c>
      <c r="D30" s="38">
        <v>2690000</v>
      </c>
      <c r="E30" s="37">
        <v>2570000</v>
      </c>
      <c r="F30" s="38">
        <v>2690000</v>
      </c>
      <c r="G30" s="4">
        <v>2750000</v>
      </c>
    </row>
    <row r="31" spans="1:8" x14ac:dyDescent="0.2">
      <c r="A31" t="s">
        <v>175</v>
      </c>
      <c r="B31" s="3">
        <v>18190000</v>
      </c>
      <c r="C31" s="41">
        <v>18190000</v>
      </c>
      <c r="D31" s="34">
        <v>18290000</v>
      </c>
      <c r="E31" s="36"/>
      <c r="F31" s="34">
        <v>18490000</v>
      </c>
      <c r="G31" s="4">
        <v>17750000</v>
      </c>
    </row>
    <row r="32" spans="1:8" x14ac:dyDescent="0.2">
      <c r="A32" t="s">
        <v>176</v>
      </c>
      <c r="B32" s="3">
        <v>23190000</v>
      </c>
      <c r="C32" s="37">
        <v>23190000</v>
      </c>
      <c r="D32" s="3">
        <v>23190000</v>
      </c>
      <c r="E32" s="36"/>
      <c r="F32" s="34">
        <v>23290000</v>
      </c>
      <c r="G32" s="3">
        <v>22990000</v>
      </c>
    </row>
    <row r="33" spans="1:7" x14ac:dyDescent="0.2">
      <c r="A33" t="s">
        <v>177</v>
      </c>
      <c r="B33" s="3">
        <v>26890000</v>
      </c>
      <c r="C33" s="36">
        <v>26890000</v>
      </c>
      <c r="D33" s="34">
        <v>26590000</v>
      </c>
      <c r="E33" s="36"/>
      <c r="F33" s="34">
        <v>26990000</v>
      </c>
      <c r="G33" s="4">
        <v>26190000</v>
      </c>
    </row>
    <row r="34" spans="1:7" x14ac:dyDescent="0.2">
      <c r="A34" t="s">
        <v>178</v>
      </c>
      <c r="B34" s="3">
        <v>31190000</v>
      </c>
      <c r="C34" s="37">
        <v>31190000</v>
      </c>
      <c r="D34" s="4">
        <v>31090000</v>
      </c>
      <c r="E34" s="36"/>
      <c r="F34" s="34">
        <v>31590000</v>
      </c>
      <c r="G34" s="3">
        <v>30790000</v>
      </c>
    </row>
    <row r="35" spans="1:7" x14ac:dyDescent="0.2">
      <c r="A35" t="s">
        <v>179</v>
      </c>
      <c r="B35" s="36">
        <v>38290000</v>
      </c>
      <c r="C35" s="36">
        <v>38290000</v>
      </c>
      <c r="D35" s="4">
        <v>38290000</v>
      </c>
      <c r="E35" s="36"/>
      <c r="F35" s="34">
        <v>38490000</v>
      </c>
      <c r="G35" s="4">
        <v>37790000</v>
      </c>
    </row>
  </sheetData>
  <pageMargins left="0.7" right="0.7" top="0.75" bottom="0.75" header="0.3" footer="0.3"/>
  <pageSetup orientation="portrait" horizontalDpi="0" verticalDpi="0"/>
  <drawing r:id="rId1"/>
  <legacyDrawing r:id="rId2"/>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18"/>
  <dimension ref="A1:L35"/>
  <sheetViews>
    <sheetView showRuler="0" showWhiteSpace="0" zoomScale="113" zoomScaleNormal="130" workbookViewId="0">
      <pane xSplit="1" topLeftCell="B1" activePane="topRight" state="frozen"/>
      <selection pane="topRight" activeCell="F29" sqref="F29"/>
    </sheetView>
  </sheetViews>
  <sheetFormatPr baseColWidth="10" defaultColWidth="11" defaultRowHeight="16" x14ac:dyDescent="0.2"/>
  <cols>
    <col min="1" max="1" width="25.33203125" bestFit="1" customWidth="1"/>
    <col min="2" max="2" width="10.83203125" customWidth="1"/>
    <col min="11" max="11" width="23.1640625" customWidth="1"/>
  </cols>
  <sheetData>
    <row r="1" spans="1:12" x14ac:dyDescent="0.2">
      <c r="B1" t="s">
        <v>0</v>
      </c>
      <c r="C1" t="s">
        <v>1</v>
      </c>
      <c r="D1" t="s">
        <v>2</v>
      </c>
      <c r="E1" t="s">
        <v>3</v>
      </c>
      <c r="F1" t="s">
        <v>4</v>
      </c>
      <c r="G1" t="s">
        <v>5</v>
      </c>
    </row>
    <row r="2" spans="1:12" x14ac:dyDescent="0.2">
      <c r="A2" t="s">
        <v>25</v>
      </c>
      <c r="B2" s="36">
        <v>19690000</v>
      </c>
      <c r="C2" s="36">
        <v>19690000</v>
      </c>
      <c r="D2" s="41">
        <v>19690000</v>
      </c>
      <c r="E2" s="36">
        <v>19490000</v>
      </c>
      <c r="F2" s="39">
        <v>19190000</v>
      </c>
      <c r="G2" s="4">
        <v>19390000</v>
      </c>
    </row>
    <row r="3" spans="1:12" x14ac:dyDescent="0.2">
      <c r="A3" t="s">
        <v>26</v>
      </c>
      <c r="B3" s="36">
        <v>22690000</v>
      </c>
      <c r="C3" s="36">
        <v>22690000</v>
      </c>
      <c r="D3" s="41">
        <v>22590000</v>
      </c>
      <c r="E3" s="36">
        <v>22490000</v>
      </c>
      <c r="F3" s="37">
        <v>22090000</v>
      </c>
      <c r="G3" s="4">
        <v>22250000</v>
      </c>
      <c r="J3" t="s">
        <v>31</v>
      </c>
      <c r="K3" t="s">
        <v>38</v>
      </c>
      <c r="L3" t="b">
        <v>1</v>
      </c>
    </row>
    <row r="4" spans="1:12" x14ac:dyDescent="0.2">
      <c r="A4" t="s">
        <v>157</v>
      </c>
      <c r="B4" s="3">
        <v>24890000</v>
      </c>
      <c r="C4" s="41">
        <v>24890000</v>
      </c>
      <c r="D4" s="41">
        <v>24790000</v>
      </c>
      <c r="E4" s="36">
        <v>23990000</v>
      </c>
      <c r="F4" s="39">
        <v>24290000</v>
      </c>
      <c r="G4" s="3">
        <v>24290000</v>
      </c>
      <c r="J4" t="s">
        <v>0</v>
      </c>
      <c r="K4" t="s">
        <v>36</v>
      </c>
      <c r="L4" t="b">
        <v>1</v>
      </c>
    </row>
    <row r="5" spans="1:12" x14ac:dyDescent="0.2">
      <c r="A5" t="s">
        <v>158</v>
      </c>
      <c r="B5" s="3">
        <v>29490000</v>
      </c>
      <c r="C5" s="41">
        <v>29490000</v>
      </c>
      <c r="D5" s="3">
        <v>29290000</v>
      </c>
      <c r="E5" s="39">
        <v>28700000</v>
      </c>
      <c r="F5" s="39">
        <v>28890000</v>
      </c>
      <c r="G5" s="4">
        <v>28850000</v>
      </c>
      <c r="J5" t="s">
        <v>2</v>
      </c>
      <c r="K5" t="s">
        <v>198</v>
      </c>
      <c r="L5" t="b">
        <v>1</v>
      </c>
    </row>
    <row r="6" spans="1:12" x14ac:dyDescent="0.2">
      <c r="A6" t="s">
        <v>92</v>
      </c>
      <c r="B6" s="3">
        <v>19890000</v>
      </c>
      <c r="C6" s="41">
        <v>19890000</v>
      </c>
      <c r="D6" s="4">
        <v>19890000</v>
      </c>
      <c r="E6" s="36">
        <v>19690000</v>
      </c>
      <c r="F6" s="38">
        <v>19890000</v>
      </c>
      <c r="G6" s="4">
        <v>19390000</v>
      </c>
      <c r="J6" t="s">
        <v>3</v>
      </c>
      <c r="K6" t="s">
        <v>199</v>
      </c>
      <c r="L6" t="b">
        <v>1</v>
      </c>
    </row>
    <row r="7" spans="1:12" x14ac:dyDescent="0.2">
      <c r="A7" t="s">
        <v>27</v>
      </c>
      <c r="B7" s="3">
        <v>17090000</v>
      </c>
      <c r="C7" s="41">
        <v>17090000</v>
      </c>
      <c r="D7" s="34">
        <v>16890000</v>
      </c>
      <c r="E7" s="36">
        <v>17690000</v>
      </c>
      <c r="F7" s="38">
        <v>17190000</v>
      </c>
      <c r="G7" s="4">
        <v>17290000</v>
      </c>
      <c r="J7" t="s">
        <v>4</v>
      </c>
      <c r="K7" t="s">
        <v>34</v>
      </c>
      <c r="L7" t="b">
        <v>1</v>
      </c>
    </row>
    <row r="8" spans="1:12" x14ac:dyDescent="0.2">
      <c r="A8" t="s">
        <v>28</v>
      </c>
      <c r="B8" s="36">
        <v>13890000</v>
      </c>
      <c r="C8" s="36">
        <v>13890000</v>
      </c>
      <c r="D8" s="38">
        <v>13890000</v>
      </c>
      <c r="E8" s="36">
        <v>13690000</v>
      </c>
      <c r="F8" s="34">
        <v>13850000</v>
      </c>
      <c r="G8" s="4">
        <v>13690000</v>
      </c>
      <c r="J8" t="s">
        <v>41</v>
      </c>
      <c r="K8" t="s">
        <v>42</v>
      </c>
      <c r="L8" t="b">
        <v>1</v>
      </c>
    </row>
    <row r="9" spans="1:12" x14ac:dyDescent="0.2">
      <c r="A9" t="s">
        <v>98</v>
      </c>
      <c r="B9" s="3">
        <v>11590000</v>
      </c>
      <c r="C9" s="41">
        <v>11590000</v>
      </c>
      <c r="D9" s="3">
        <v>10890000</v>
      </c>
      <c r="E9" s="36">
        <v>11390000</v>
      </c>
      <c r="F9" s="34">
        <v>10990000</v>
      </c>
      <c r="G9" s="4">
        <v>12290000</v>
      </c>
    </row>
    <row r="10" spans="1:12" x14ac:dyDescent="0.2">
      <c r="A10" t="s">
        <v>102</v>
      </c>
      <c r="B10" s="3">
        <v>8990000</v>
      </c>
      <c r="C10" s="41">
        <v>8990000</v>
      </c>
      <c r="D10" s="4">
        <v>8840000</v>
      </c>
      <c r="E10" s="36">
        <v>8490000</v>
      </c>
      <c r="F10" s="38">
        <v>8650000</v>
      </c>
      <c r="G10" s="3">
        <v>8690000</v>
      </c>
    </row>
    <row r="11" spans="1:12" x14ac:dyDescent="0.2">
      <c r="A11" t="s">
        <v>160</v>
      </c>
      <c r="B11" s="3" t="s">
        <v>22</v>
      </c>
      <c r="C11" s="36" t="s">
        <v>22</v>
      </c>
      <c r="D11" s="4">
        <v>13890000</v>
      </c>
      <c r="E11" s="39">
        <v>13990000</v>
      </c>
      <c r="F11" s="38">
        <v>14890000</v>
      </c>
      <c r="G11" s="4">
        <v>14290000</v>
      </c>
    </row>
    <row r="12" spans="1:12" x14ac:dyDescent="0.2">
      <c r="A12" t="s">
        <v>161</v>
      </c>
      <c r="B12" s="3">
        <v>12890000</v>
      </c>
      <c r="C12" s="36" t="s">
        <v>22</v>
      </c>
      <c r="D12" s="4">
        <v>12690000</v>
      </c>
      <c r="E12" s="36" t="s">
        <v>91</v>
      </c>
      <c r="F12" s="34">
        <v>12690000</v>
      </c>
      <c r="G12" s="4">
        <v>12650000</v>
      </c>
    </row>
    <row r="13" spans="1:12" x14ac:dyDescent="0.2">
      <c r="A13" t="s">
        <v>162</v>
      </c>
      <c r="B13" s="3">
        <v>9990000</v>
      </c>
      <c r="C13" s="41">
        <v>9990000</v>
      </c>
      <c r="D13" s="3">
        <v>9740000</v>
      </c>
      <c r="E13" s="36">
        <v>9490000</v>
      </c>
      <c r="F13" s="34">
        <v>9690000</v>
      </c>
      <c r="G13" s="4">
        <v>9490000</v>
      </c>
    </row>
    <row r="14" spans="1:12" x14ac:dyDescent="0.2">
      <c r="A14" t="s">
        <v>163</v>
      </c>
      <c r="B14" s="3">
        <v>7190000</v>
      </c>
      <c r="C14" s="41">
        <v>7190000</v>
      </c>
      <c r="D14" s="4">
        <v>7140000</v>
      </c>
      <c r="E14" s="36">
        <v>6990000</v>
      </c>
      <c r="F14" s="38">
        <v>7090000</v>
      </c>
      <c r="G14" s="4">
        <v>7090000</v>
      </c>
    </row>
    <row r="15" spans="1:12" x14ac:dyDescent="0.2">
      <c r="A15" t="s">
        <v>189</v>
      </c>
      <c r="B15" s="3">
        <v>16990000</v>
      </c>
      <c r="C15" s="36" t="s">
        <v>22</v>
      </c>
      <c r="D15" s="4">
        <v>16890000</v>
      </c>
      <c r="E15" s="39">
        <v>16325000</v>
      </c>
      <c r="F15" s="38">
        <v>16790000</v>
      </c>
      <c r="G15" s="3">
        <v>16390000</v>
      </c>
    </row>
    <row r="16" spans="1:12" x14ac:dyDescent="0.2">
      <c r="A16" t="s">
        <v>190</v>
      </c>
      <c r="B16" s="3">
        <v>22490000</v>
      </c>
      <c r="C16" s="41">
        <v>22290000</v>
      </c>
      <c r="D16" s="4">
        <v>22390000</v>
      </c>
      <c r="E16" s="37">
        <v>21275000</v>
      </c>
      <c r="F16" s="38">
        <v>21690000</v>
      </c>
      <c r="G16" s="4">
        <v>21490000</v>
      </c>
    </row>
    <row r="17" spans="1:8" x14ac:dyDescent="0.2">
      <c r="A17" t="s">
        <v>184</v>
      </c>
      <c r="B17" s="36">
        <v>27790000</v>
      </c>
      <c r="C17" s="36">
        <v>27790000</v>
      </c>
      <c r="D17" s="3">
        <v>27590000</v>
      </c>
      <c r="E17" s="39">
        <v>27215000</v>
      </c>
      <c r="F17" s="38">
        <v>27590000</v>
      </c>
      <c r="G17" s="4">
        <v>27190000</v>
      </c>
    </row>
    <row r="18" spans="1:8" x14ac:dyDescent="0.2">
      <c r="A18" t="s">
        <v>185</v>
      </c>
      <c r="B18" s="3">
        <v>37290000</v>
      </c>
      <c r="C18" s="3">
        <v>37290000</v>
      </c>
      <c r="D18" s="4">
        <v>37690000</v>
      </c>
      <c r="E18" s="36">
        <v>36490000</v>
      </c>
      <c r="F18" s="38">
        <v>36990000</v>
      </c>
      <c r="G18" s="4">
        <v>36890000</v>
      </c>
    </row>
    <row r="19" spans="1:8" x14ac:dyDescent="0.2">
      <c r="A19" t="s">
        <v>164</v>
      </c>
      <c r="B19" s="3">
        <v>6090000</v>
      </c>
      <c r="C19" s="3">
        <v>6090000</v>
      </c>
      <c r="D19" s="4">
        <v>5940000</v>
      </c>
      <c r="E19" s="39">
        <v>5690000</v>
      </c>
      <c r="F19" s="38">
        <v>5990000</v>
      </c>
      <c r="G19" s="4">
        <v>5890000</v>
      </c>
    </row>
    <row r="20" spans="1:8" x14ac:dyDescent="0.2">
      <c r="A20" t="s">
        <v>165</v>
      </c>
      <c r="B20" s="3">
        <v>7490000</v>
      </c>
      <c r="C20" s="3">
        <v>7490000</v>
      </c>
      <c r="D20" s="4">
        <v>7340000</v>
      </c>
      <c r="E20" s="36">
        <v>7190000</v>
      </c>
      <c r="F20" s="38">
        <v>7390000</v>
      </c>
      <c r="G20" s="4">
        <v>7390000</v>
      </c>
    </row>
    <row r="21" spans="1:8" x14ac:dyDescent="0.2">
      <c r="A21" t="s">
        <v>166</v>
      </c>
      <c r="B21" s="3">
        <v>6990000</v>
      </c>
      <c r="C21" s="3">
        <v>6990000</v>
      </c>
      <c r="D21" s="4">
        <v>6940000</v>
      </c>
      <c r="E21" s="36">
        <v>6590000</v>
      </c>
      <c r="F21" s="34">
        <v>6990000</v>
      </c>
      <c r="G21" s="4">
        <v>6790000</v>
      </c>
    </row>
    <row r="22" spans="1:8" x14ac:dyDescent="0.2">
      <c r="A22" t="s">
        <v>167</v>
      </c>
      <c r="B22" s="3">
        <v>8290000</v>
      </c>
      <c r="C22" s="36" t="s">
        <v>22</v>
      </c>
      <c r="D22" s="4">
        <v>8140000</v>
      </c>
      <c r="E22" s="39">
        <v>7990000</v>
      </c>
      <c r="F22" s="38">
        <v>8190000</v>
      </c>
      <c r="G22" s="4">
        <v>8090000</v>
      </c>
    </row>
    <row r="23" spans="1:8" x14ac:dyDescent="0.2">
      <c r="A23" t="s">
        <v>168</v>
      </c>
      <c r="B23" s="3">
        <v>9890000</v>
      </c>
      <c r="C23" s="3">
        <v>9890000</v>
      </c>
      <c r="D23" s="4">
        <v>9440000</v>
      </c>
      <c r="E23" s="39">
        <v>8990000</v>
      </c>
      <c r="F23" s="34">
        <v>9590000</v>
      </c>
      <c r="G23" s="4">
        <v>9390000</v>
      </c>
    </row>
    <row r="24" spans="1:8" x14ac:dyDescent="0.2">
      <c r="A24" t="s">
        <v>169</v>
      </c>
      <c r="B24" s="3">
        <v>12490000</v>
      </c>
      <c r="C24" s="36" t="s">
        <v>22</v>
      </c>
      <c r="D24" s="4">
        <v>12190000</v>
      </c>
      <c r="E24" s="39">
        <v>11690000</v>
      </c>
      <c r="F24" s="38">
        <v>12590000</v>
      </c>
      <c r="G24" s="4">
        <v>11890000</v>
      </c>
    </row>
    <row r="25" spans="1:8" x14ac:dyDescent="0.2">
      <c r="A25" t="s">
        <v>170</v>
      </c>
      <c r="B25" s="3">
        <v>10890000</v>
      </c>
      <c r="C25" s="3">
        <v>10890000</v>
      </c>
      <c r="D25" s="4">
        <v>10490000</v>
      </c>
      <c r="E25" s="39">
        <v>9790000</v>
      </c>
      <c r="F25" s="34">
        <v>10690000</v>
      </c>
      <c r="G25" s="4">
        <v>10390000</v>
      </c>
    </row>
    <row r="26" spans="1:8" x14ac:dyDescent="0.2">
      <c r="A26" t="s">
        <v>171</v>
      </c>
      <c r="B26" s="3">
        <v>13690000</v>
      </c>
      <c r="C26" s="36" t="s">
        <v>22</v>
      </c>
      <c r="D26" s="4">
        <v>13390000</v>
      </c>
      <c r="E26" s="39">
        <v>12690000</v>
      </c>
      <c r="F26" s="38" t="s">
        <v>22</v>
      </c>
      <c r="G26" s="4">
        <v>12890000</v>
      </c>
    </row>
    <row r="27" spans="1:8" x14ac:dyDescent="0.2">
      <c r="A27" t="s">
        <v>172</v>
      </c>
      <c r="B27" s="3">
        <v>21190000</v>
      </c>
      <c r="C27" s="3">
        <v>21190000</v>
      </c>
      <c r="D27" s="4">
        <v>20590000</v>
      </c>
      <c r="E27" s="39">
        <v>19990000</v>
      </c>
      <c r="F27" s="38">
        <v>21290000</v>
      </c>
      <c r="G27" s="4">
        <v>20890000</v>
      </c>
    </row>
    <row r="28" spans="1:8" x14ac:dyDescent="0.2">
      <c r="A28" t="s">
        <v>53</v>
      </c>
      <c r="B28" s="36">
        <v>5690000</v>
      </c>
      <c r="C28" s="36">
        <v>5690000</v>
      </c>
      <c r="D28" s="38">
        <v>5640000</v>
      </c>
      <c r="E28" s="37">
        <v>5290000</v>
      </c>
      <c r="F28" s="38">
        <v>5550000</v>
      </c>
      <c r="G28" s="4">
        <v>5450000</v>
      </c>
      <c r="H28" s="40"/>
    </row>
    <row r="29" spans="1:8" x14ac:dyDescent="0.2">
      <c r="A29" t="s">
        <v>173</v>
      </c>
      <c r="B29" s="36">
        <v>3990000</v>
      </c>
      <c r="C29" s="36">
        <v>3990000</v>
      </c>
      <c r="D29" s="25">
        <v>3790000</v>
      </c>
      <c r="E29" s="39">
        <v>3890000</v>
      </c>
      <c r="F29" s="38">
        <v>3850000</v>
      </c>
      <c r="G29" s="4" t="s">
        <v>197</v>
      </c>
    </row>
    <row r="30" spans="1:8" x14ac:dyDescent="0.2">
      <c r="A30" t="s">
        <v>174</v>
      </c>
      <c r="B30" s="36">
        <v>2690000</v>
      </c>
      <c r="C30" s="36">
        <v>2690000</v>
      </c>
      <c r="D30" s="38">
        <v>2690000</v>
      </c>
      <c r="E30" s="37">
        <v>2690000</v>
      </c>
      <c r="F30" s="38">
        <v>2690000</v>
      </c>
      <c r="G30" s="4">
        <v>2750000</v>
      </c>
    </row>
    <row r="31" spans="1:8" x14ac:dyDescent="0.2">
      <c r="A31" t="s">
        <v>175</v>
      </c>
      <c r="B31" s="3">
        <v>18490000</v>
      </c>
      <c r="C31" s="41">
        <v>18490000</v>
      </c>
      <c r="D31" s="38">
        <v>18290000</v>
      </c>
      <c r="E31" s="36"/>
      <c r="F31" s="38">
        <v>18490000</v>
      </c>
      <c r="G31" s="4">
        <v>17750000</v>
      </c>
    </row>
    <row r="32" spans="1:8" x14ac:dyDescent="0.2">
      <c r="A32" t="s">
        <v>176</v>
      </c>
      <c r="B32" s="3">
        <v>23090000</v>
      </c>
      <c r="C32" s="37">
        <v>23090000</v>
      </c>
      <c r="D32" s="3">
        <v>22790000</v>
      </c>
      <c r="E32" s="36"/>
      <c r="F32" s="38">
        <v>23290000</v>
      </c>
      <c r="G32" s="4">
        <v>22990000</v>
      </c>
    </row>
    <row r="33" spans="1:7" x14ac:dyDescent="0.2">
      <c r="A33" t="s">
        <v>177</v>
      </c>
      <c r="B33" s="3">
        <v>26490000</v>
      </c>
      <c r="C33" s="41">
        <v>26490000</v>
      </c>
      <c r="D33" s="34">
        <v>26190000</v>
      </c>
      <c r="E33" s="36"/>
      <c r="F33" s="34">
        <v>26690000</v>
      </c>
      <c r="G33" s="4">
        <v>26190000</v>
      </c>
    </row>
    <row r="34" spans="1:7" x14ac:dyDescent="0.2">
      <c r="A34" t="s">
        <v>178</v>
      </c>
      <c r="B34" s="3">
        <v>31390000</v>
      </c>
      <c r="C34" s="37">
        <v>31390000</v>
      </c>
      <c r="D34" s="4">
        <v>31090000</v>
      </c>
      <c r="E34" s="36"/>
      <c r="F34" s="38">
        <v>31590000</v>
      </c>
      <c r="G34" s="4">
        <v>30790000</v>
      </c>
    </row>
    <row r="35" spans="1:7" x14ac:dyDescent="0.2">
      <c r="A35" t="s">
        <v>179</v>
      </c>
      <c r="B35" s="36">
        <v>38290000</v>
      </c>
      <c r="C35" s="36">
        <v>38290000</v>
      </c>
      <c r="D35" s="4">
        <v>38290000</v>
      </c>
      <c r="E35" s="36"/>
      <c r="F35" s="38">
        <v>38490000</v>
      </c>
      <c r="G35" s="4">
        <v>37790000</v>
      </c>
    </row>
  </sheetData>
  <pageMargins left="0.7" right="0.7" top="0.75" bottom="0.75" header="0.3" footer="0.3"/>
  <pageSetup orientation="portrait" horizontalDpi="0" verticalDpi="0"/>
  <drawing r:id="rId1"/>
  <legacyDrawing r:id="rId2"/>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19"/>
  <dimension ref="A1:L35"/>
  <sheetViews>
    <sheetView topLeftCell="A5" workbookViewId="0">
      <selection activeCell="L3" sqref="L3:L8"/>
    </sheetView>
  </sheetViews>
  <sheetFormatPr baseColWidth="10" defaultColWidth="8.83203125" defaultRowHeight="16" x14ac:dyDescent="0.2"/>
  <cols>
    <col min="1" max="1" width="25.1640625" bestFit="1" customWidth="1"/>
    <col min="2" max="2" width="13" customWidth="1"/>
    <col min="3" max="7" width="10.1640625" bestFit="1" customWidth="1"/>
  </cols>
  <sheetData>
    <row r="1" spans="1:12" x14ac:dyDescent="0.2">
      <c r="B1" t="s">
        <v>0</v>
      </c>
      <c r="C1" t="s">
        <v>1</v>
      </c>
      <c r="D1" t="s">
        <v>2</v>
      </c>
      <c r="E1" t="s">
        <v>3</v>
      </c>
      <c r="F1" t="s">
        <v>4</v>
      </c>
      <c r="G1" t="s">
        <v>5</v>
      </c>
    </row>
    <row r="2" spans="1:12" x14ac:dyDescent="0.2">
      <c r="A2" t="s">
        <v>25</v>
      </c>
      <c r="B2" s="3">
        <v>19590000</v>
      </c>
      <c r="C2" s="41">
        <v>19590000</v>
      </c>
      <c r="D2" s="41">
        <v>19490000</v>
      </c>
      <c r="E2" s="36">
        <v>19490000</v>
      </c>
      <c r="F2" s="39">
        <v>19190000</v>
      </c>
      <c r="G2" s="34" t="s">
        <v>200</v>
      </c>
    </row>
    <row r="3" spans="1:12" x14ac:dyDescent="0.2">
      <c r="A3" t="s">
        <v>26</v>
      </c>
      <c r="B3" s="3">
        <v>22590000</v>
      </c>
      <c r="C3" s="41">
        <v>22590000</v>
      </c>
      <c r="D3" s="41">
        <v>22490000</v>
      </c>
      <c r="E3" s="36">
        <v>22490000</v>
      </c>
      <c r="F3" s="39">
        <v>22090000</v>
      </c>
      <c r="G3" s="4">
        <v>22250000</v>
      </c>
      <c r="J3" t="s">
        <v>31</v>
      </c>
      <c r="K3" t="s">
        <v>38</v>
      </c>
      <c r="L3" t="b">
        <v>1</v>
      </c>
    </row>
    <row r="4" spans="1:12" x14ac:dyDescent="0.2">
      <c r="A4" t="s">
        <v>157</v>
      </c>
      <c r="B4" s="36">
        <v>24890000</v>
      </c>
      <c r="C4" s="36">
        <v>24890000</v>
      </c>
      <c r="D4" s="42">
        <v>24790000</v>
      </c>
      <c r="E4" s="36">
        <v>24490000</v>
      </c>
      <c r="F4" s="39">
        <v>24290000</v>
      </c>
      <c r="G4" s="4">
        <v>24290000</v>
      </c>
      <c r="J4" t="s">
        <v>0</v>
      </c>
      <c r="K4" t="s">
        <v>36</v>
      </c>
      <c r="L4" t="b">
        <v>1</v>
      </c>
    </row>
    <row r="5" spans="1:12" x14ac:dyDescent="0.2">
      <c r="A5" t="s">
        <v>158</v>
      </c>
      <c r="B5" s="3">
        <v>29390000</v>
      </c>
      <c r="C5" s="41">
        <v>29390000</v>
      </c>
      <c r="D5" s="25">
        <v>29290000</v>
      </c>
      <c r="E5" s="39">
        <v>28700000</v>
      </c>
      <c r="F5" s="39">
        <v>28890000</v>
      </c>
      <c r="G5" s="4">
        <v>28850000</v>
      </c>
      <c r="J5" t="s">
        <v>2</v>
      </c>
      <c r="K5" t="s">
        <v>198</v>
      </c>
      <c r="L5" t="b">
        <v>1</v>
      </c>
    </row>
    <row r="6" spans="1:12" x14ac:dyDescent="0.2">
      <c r="A6" t="s">
        <v>92</v>
      </c>
      <c r="B6" s="36">
        <v>19890000</v>
      </c>
      <c r="C6" s="36">
        <v>19890000</v>
      </c>
      <c r="D6" s="3">
        <v>19690000</v>
      </c>
      <c r="E6" s="36">
        <v>19690000</v>
      </c>
      <c r="F6" s="38">
        <v>19890000</v>
      </c>
      <c r="G6" s="4">
        <v>19390000</v>
      </c>
      <c r="J6" t="s">
        <v>3</v>
      </c>
      <c r="K6" t="s">
        <v>199</v>
      </c>
      <c r="L6" t="b">
        <v>1</v>
      </c>
    </row>
    <row r="7" spans="1:12" x14ac:dyDescent="0.2">
      <c r="A7" t="s">
        <v>27</v>
      </c>
      <c r="B7" s="36">
        <v>17090000</v>
      </c>
      <c r="C7" s="36">
        <v>17090000</v>
      </c>
      <c r="D7" s="38">
        <v>16890000</v>
      </c>
      <c r="E7" s="36">
        <v>17690000</v>
      </c>
      <c r="F7" s="38">
        <v>17190000</v>
      </c>
      <c r="G7" s="4">
        <v>17290000</v>
      </c>
      <c r="J7" t="s">
        <v>4</v>
      </c>
      <c r="K7" t="s">
        <v>34</v>
      </c>
      <c r="L7" t="b">
        <v>1</v>
      </c>
    </row>
    <row r="8" spans="1:12" x14ac:dyDescent="0.2">
      <c r="A8" t="s">
        <v>28</v>
      </c>
      <c r="B8" s="36">
        <v>13890000</v>
      </c>
      <c r="C8" s="36">
        <v>13890000</v>
      </c>
      <c r="D8" s="34">
        <v>13790000</v>
      </c>
      <c r="E8" s="36">
        <v>13690000</v>
      </c>
      <c r="F8" s="38">
        <v>13850000</v>
      </c>
      <c r="G8" s="4">
        <v>13690000</v>
      </c>
      <c r="J8" t="s">
        <v>41</v>
      </c>
      <c r="K8" t="s">
        <v>42</v>
      </c>
      <c r="L8" t="b">
        <v>1</v>
      </c>
    </row>
    <row r="9" spans="1:12" x14ac:dyDescent="0.2">
      <c r="A9" t="s">
        <v>98</v>
      </c>
      <c r="B9" s="36">
        <v>11590000</v>
      </c>
      <c r="C9" s="36">
        <v>11590000</v>
      </c>
      <c r="D9" s="3">
        <v>10990000</v>
      </c>
      <c r="E9" s="36">
        <v>11390000</v>
      </c>
      <c r="F9" s="38">
        <v>10990000</v>
      </c>
      <c r="G9" s="4">
        <v>12290000</v>
      </c>
    </row>
    <row r="10" spans="1:12" x14ac:dyDescent="0.2">
      <c r="A10" t="s">
        <v>102</v>
      </c>
      <c r="B10" s="36">
        <v>8990000</v>
      </c>
      <c r="C10" s="36">
        <v>8990000</v>
      </c>
      <c r="D10" s="4">
        <v>8840000</v>
      </c>
      <c r="E10" s="36">
        <v>8490000</v>
      </c>
      <c r="F10" s="38">
        <v>8650000</v>
      </c>
      <c r="G10" s="3">
        <v>8790000</v>
      </c>
    </row>
    <row r="11" spans="1:12" x14ac:dyDescent="0.2">
      <c r="A11" t="s">
        <v>160</v>
      </c>
      <c r="B11" s="36" t="s">
        <v>22</v>
      </c>
      <c r="C11" s="36" t="s">
        <v>22</v>
      </c>
      <c r="D11" s="4" t="s">
        <v>22</v>
      </c>
      <c r="E11" s="39">
        <v>13990000</v>
      </c>
      <c r="F11" s="38">
        <v>14890000</v>
      </c>
      <c r="G11" s="4">
        <v>14290000</v>
      </c>
    </row>
    <row r="12" spans="1:12" x14ac:dyDescent="0.2">
      <c r="A12" t="s">
        <v>161</v>
      </c>
      <c r="B12" s="36">
        <v>12890000</v>
      </c>
      <c r="C12" s="36" t="s">
        <v>22</v>
      </c>
      <c r="D12" s="4">
        <v>12690000</v>
      </c>
      <c r="E12" s="36" t="s">
        <v>91</v>
      </c>
      <c r="F12" s="38">
        <v>12690000</v>
      </c>
      <c r="G12" s="4">
        <v>12650000</v>
      </c>
    </row>
    <row r="13" spans="1:12" x14ac:dyDescent="0.2">
      <c r="A13" t="s">
        <v>162</v>
      </c>
      <c r="B13" s="36">
        <v>9990000</v>
      </c>
      <c r="C13" s="36">
        <v>9990000</v>
      </c>
      <c r="D13" s="25">
        <v>9740000</v>
      </c>
      <c r="E13" s="36">
        <v>9490000</v>
      </c>
      <c r="F13" s="38">
        <v>9690000</v>
      </c>
      <c r="G13" s="4">
        <v>9490000</v>
      </c>
    </row>
    <row r="14" spans="1:12" x14ac:dyDescent="0.2">
      <c r="A14" t="s">
        <v>163</v>
      </c>
      <c r="B14" s="36">
        <v>7190000</v>
      </c>
      <c r="C14" s="36">
        <v>7190000</v>
      </c>
      <c r="D14" s="4">
        <v>7140000</v>
      </c>
      <c r="E14" s="36">
        <v>6990000</v>
      </c>
      <c r="F14" s="38">
        <v>7090000</v>
      </c>
      <c r="G14" s="4">
        <v>7090000</v>
      </c>
    </row>
    <row r="15" spans="1:12" x14ac:dyDescent="0.2">
      <c r="A15" t="s">
        <v>189</v>
      </c>
      <c r="B15" s="36">
        <v>16990000</v>
      </c>
      <c r="C15" s="36" t="s">
        <v>22</v>
      </c>
      <c r="D15" s="4">
        <v>16890000</v>
      </c>
      <c r="E15" s="39">
        <v>16325000</v>
      </c>
      <c r="F15" s="34">
        <v>16790000</v>
      </c>
      <c r="G15" s="4">
        <v>16390000</v>
      </c>
    </row>
    <row r="16" spans="1:12" x14ac:dyDescent="0.2">
      <c r="A16" t="s">
        <v>190</v>
      </c>
      <c r="B16" s="36">
        <v>22490000</v>
      </c>
      <c r="C16" s="36">
        <v>22490000</v>
      </c>
      <c r="D16" s="3">
        <v>21890000</v>
      </c>
      <c r="E16" s="39">
        <v>21275000</v>
      </c>
      <c r="F16" s="38">
        <v>21690000</v>
      </c>
      <c r="G16" s="3">
        <v>21990000</v>
      </c>
    </row>
    <row r="17" spans="1:7" x14ac:dyDescent="0.2">
      <c r="A17" t="s">
        <v>184</v>
      </c>
      <c r="B17" s="36">
        <v>27790000</v>
      </c>
      <c r="C17" s="36">
        <v>27790000</v>
      </c>
      <c r="D17" s="25">
        <v>27590000</v>
      </c>
      <c r="E17" s="39">
        <v>27215000</v>
      </c>
      <c r="F17" s="38">
        <v>27590000</v>
      </c>
      <c r="G17" s="4">
        <v>27190000</v>
      </c>
    </row>
    <row r="18" spans="1:7" x14ac:dyDescent="0.2">
      <c r="A18" t="s">
        <v>185</v>
      </c>
      <c r="B18" s="36">
        <v>37290000</v>
      </c>
      <c r="C18" s="36">
        <v>37290000</v>
      </c>
      <c r="D18" s="3">
        <v>36790000</v>
      </c>
      <c r="E18" s="36">
        <v>36490000</v>
      </c>
      <c r="F18" s="38">
        <v>36990000</v>
      </c>
      <c r="G18" s="4">
        <v>36890000</v>
      </c>
    </row>
    <row r="19" spans="1:7" x14ac:dyDescent="0.2">
      <c r="A19" t="s">
        <v>164</v>
      </c>
      <c r="B19" s="36">
        <v>6090000</v>
      </c>
      <c r="C19" s="36">
        <v>6090000</v>
      </c>
      <c r="D19" s="4">
        <v>5940000</v>
      </c>
      <c r="E19" s="39">
        <v>5690000</v>
      </c>
      <c r="F19" s="34">
        <v>6190000</v>
      </c>
      <c r="G19" s="4">
        <v>5890000</v>
      </c>
    </row>
    <row r="20" spans="1:7" x14ac:dyDescent="0.2">
      <c r="A20" t="s">
        <v>165</v>
      </c>
      <c r="B20" s="36">
        <v>7490000</v>
      </c>
      <c r="C20" s="36">
        <v>7490000</v>
      </c>
      <c r="D20" s="4">
        <v>7340000</v>
      </c>
      <c r="E20" s="36">
        <v>7190000</v>
      </c>
      <c r="F20" s="38">
        <v>7390000</v>
      </c>
      <c r="G20" s="4">
        <v>7390000</v>
      </c>
    </row>
    <row r="21" spans="1:7" x14ac:dyDescent="0.2">
      <c r="A21" t="s">
        <v>166</v>
      </c>
      <c r="B21" s="36">
        <v>6990000</v>
      </c>
      <c r="C21" s="36">
        <v>6990000</v>
      </c>
      <c r="D21" s="4">
        <v>6940000</v>
      </c>
      <c r="E21" s="36">
        <v>6590000</v>
      </c>
      <c r="F21" s="38">
        <v>6990000</v>
      </c>
      <c r="G21" s="34">
        <v>6390000</v>
      </c>
    </row>
    <row r="22" spans="1:7" x14ac:dyDescent="0.2">
      <c r="A22" t="s">
        <v>167</v>
      </c>
      <c r="B22" s="36">
        <v>8290000</v>
      </c>
      <c r="C22" s="36" t="s">
        <v>22</v>
      </c>
      <c r="D22" s="4">
        <v>8140000</v>
      </c>
      <c r="E22" s="39">
        <v>7990000</v>
      </c>
      <c r="F22" s="38">
        <v>8190000</v>
      </c>
      <c r="G22" s="4">
        <v>8090000</v>
      </c>
    </row>
    <row r="23" spans="1:7" x14ac:dyDescent="0.2">
      <c r="A23" t="s">
        <v>168</v>
      </c>
      <c r="B23" s="36">
        <v>9890000</v>
      </c>
      <c r="C23" s="36">
        <v>9890000</v>
      </c>
      <c r="D23" s="4">
        <v>9440000</v>
      </c>
      <c r="E23" s="39">
        <v>8990000</v>
      </c>
      <c r="F23" s="38">
        <v>9590000</v>
      </c>
      <c r="G23" s="4">
        <v>9390000</v>
      </c>
    </row>
    <row r="24" spans="1:7" x14ac:dyDescent="0.2">
      <c r="A24" t="s">
        <v>169</v>
      </c>
      <c r="B24" s="36">
        <v>12490000</v>
      </c>
      <c r="C24" s="36" t="s">
        <v>22</v>
      </c>
      <c r="D24" s="4">
        <v>12190000</v>
      </c>
      <c r="E24" s="39">
        <v>11690000</v>
      </c>
      <c r="F24" s="38">
        <v>12590000</v>
      </c>
      <c r="G24" s="4">
        <v>11890000</v>
      </c>
    </row>
    <row r="25" spans="1:7" x14ac:dyDescent="0.2">
      <c r="A25" t="s">
        <v>170</v>
      </c>
      <c r="B25" s="36">
        <v>10890000</v>
      </c>
      <c r="C25" s="36">
        <v>10890000</v>
      </c>
      <c r="D25" s="4">
        <v>10490000</v>
      </c>
      <c r="E25" s="39">
        <v>9790000</v>
      </c>
      <c r="F25" s="38">
        <v>10690000</v>
      </c>
      <c r="G25" s="4">
        <v>10390000</v>
      </c>
    </row>
    <row r="26" spans="1:7" x14ac:dyDescent="0.2">
      <c r="A26" t="s">
        <v>171</v>
      </c>
      <c r="B26" s="36">
        <v>13690000</v>
      </c>
      <c r="C26" s="36" t="s">
        <v>22</v>
      </c>
      <c r="D26" s="4">
        <v>13390000</v>
      </c>
      <c r="E26" s="39">
        <v>12690000</v>
      </c>
      <c r="F26" s="38" t="s">
        <v>22</v>
      </c>
      <c r="G26" s="4">
        <v>12890000</v>
      </c>
    </row>
    <row r="27" spans="1:7" x14ac:dyDescent="0.2">
      <c r="A27" t="s">
        <v>172</v>
      </c>
      <c r="B27" s="36">
        <v>21190000</v>
      </c>
      <c r="C27" s="36">
        <v>21190000</v>
      </c>
      <c r="D27" s="4">
        <v>20590000</v>
      </c>
      <c r="E27" s="39">
        <v>19990000</v>
      </c>
      <c r="F27" s="38">
        <v>21290000</v>
      </c>
      <c r="G27" s="4">
        <v>20890000</v>
      </c>
    </row>
    <row r="28" spans="1:7" x14ac:dyDescent="0.2">
      <c r="A28" t="s">
        <v>53</v>
      </c>
      <c r="B28" s="36">
        <v>5690000</v>
      </c>
      <c r="C28" s="36">
        <v>5690000</v>
      </c>
      <c r="D28" s="38">
        <v>5640000</v>
      </c>
      <c r="E28" s="37">
        <v>5390000</v>
      </c>
      <c r="F28" s="38">
        <v>5550000</v>
      </c>
      <c r="G28" s="4">
        <v>5450000</v>
      </c>
    </row>
    <row r="29" spans="1:7" x14ac:dyDescent="0.2">
      <c r="A29" t="s">
        <v>173</v>
      </c>
      <c r="B29" s="3">
        <v>3790000</v>
      </c>
      <c r="C29" s="41">
        <v>3790000</v>
      </c>
      <c r="D29" s="25">
        <v>3790000</v>
      </c>
      <c r="E29" s="39">
        <v>3890000</v>
      </c>
      <c r="F29" s="38">
        <v>3850000</v>
      </c>
      <c r="G29" s="4" t="s">
        <v>197</v>
      </c>
    </row>
    <row r="30" spans="1:7" x14ac:dyDescent="0.2">
      <c r="A30" t="s">
        <v>174</v>
      </c>
      <c r="B30" s="36">
        <v>2690000</v>
      </c>
      <c r="C30" s="36">
        <v>2690000</v>
      </c>
      <c r="D30" s="38">
        <v>2690000</v>
      </c>
      <c r="E30" s="39">
        <v>2690000</v>
      </c>
      <c r="F30" s="38">
        <v>2690000</v>
      </c>
      <c r="G30" s="4">
        <v>2750000</v>
      </c>
    </row>
    <row r="31" spans="1:7" x14ac:dyDescent="0.2">
      <c r="A31" t="s">
        <v>175</v>
      </c>
      <c r="B31" s="36">
        <v>18490000</v>
      </c>
      <c r="C31" s="36">
        <v>18490000</v>
      </c>
      <c r="D31" s="38">
        <v>18290000</v>
      </c>
      <c r="E31" s="36"/>
      <c r="F31" s="38">
        <v>18490000</v>
      </c>
      <c r="G31" s="4">
        <v>17750000</v>
      </c>
    </row>
    <row r="32" spans="1:7" x14ac:dyDescent="0.2">
      <c r="A32" t="s">
        <v>176</v>
      </c>
      <c r="B32" s="36">
        <v>23090000</v>
      </c>
      <c r="C32" s="36">
        <v>23090000</v>
      </c>
      <c r="D32" s="25">
        <v>22790000</v>
      </c>
      <c r="E32" s="36"/>
      <c r="F32" s="38">
        <v>23290000</v>
      </c>
      <c r="G32" s="4">
        <v>22990000</v>
      </c>
    </row>
    <row r="33" spans="1:7" x14ac:dyDescent="0.2">
      <c r="A33" t="s">
        <v>177</v>
      </c>
      <c r="B33" s="36">
        <v>26490000</v>
      </c>
      <c r="C33" s="36">
        <v>26490000</v>
      </c>
      <c r="D33" s="38">
        <v>26190000</v>
      </c>
      <c r="E33" s="36"/>
      <c r="F33" s="38">
        <v>26690000</v>
      </c>
      <c r="G33" s="34">
        <v>26290000</v>
      </c>
    </row>
    <row r="34" spans="1:7" x14ac:dyDescent="0.2">
      <c r="A34" t="s">
        <v>178</v>
      </c>
      <c r="B34" s="36">
        <v>31390000</v>
      </c>
      <c r="C34" s="36">
        <v>31390000</v>
      </c>
      <c r="D34" s="4">
        <v>31090000</v>
      </c>
      <c r="E34" s="36"/>
      <c r="F34" s="38">
        <v>31590000</v>
      </c>
      <c r="G34" s="4">
        <v>30790000</v>
      </c>
    </row>
    <row r="35" spans="1:7" x14ac:dyDescent="0.2">
      <c r="A35" t="s">
        <v>179</v>
      </c>
      <c r="B35" s="36">
        <v>38290000</v>
      </c>
      <c r="C35" s="36">
        <v>38290000</v>
      </c>
      <c r="D35" s="3">
        <v>37890000</v>
      </c>
      <c r="E35" s="36"/>
      <c r="F35" s="38">
        <v>38490000</v>
      </c>
      <c r="G35" s="4">
        <v>37790000</v>
      </c>
    </row>
  </sheetData>
  <pageMargins left="0.7" right="0.7" top="0.75" bottom="0.75" header="0.3" footer="0.3"/>
  <legacyDrawing r:id="rId1"/>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20"/>
  <dimension ref="A1:L41"/>
  <sheetViews>
    <sheetView workbookViewId="0">
      <selection activeCell="F12" sqref="F12"/>
    </sheetView>
  </sheetViews>
  <sheetFormatPr baseColWidth="10" defaultColWidth="8.83203125" defaultRowHeight="15.75" customHeight="1" x14ac:dyDescent="0.2"/>
  <cols>
    <col min="1" max="1" width="25.1640625" bestFit="1" customWidth="1"/>
    <col min="2" max="2" width="13" customWidth="1"/>
    <col min="3" max="7" width="10.1640625" bestFit="1" customWidth="1"/>
  </cols>
  <sheetData>
    <row r="1" spans="1:12" ht="16" customHeight="1" x14ac:dyDescent="0.2">
      <c r="B1" t="s">
        <v>0</v>
      </c>
      <c r="C1" t="s">
        <v>1</v>
      </c>
      <c r="D1" t="s">
        <v>2</v>
      </c>
      <c r="E1" t="s">
        <v>3</v>
      </c>
      <c r="F1" t="s">
        <v>4</v>
      </c>
      <c r="G1" t="s">
        <v>5</v>
      </c>
    </row>
    <row r="2" spans="1:12" ht="16" customHeight="1" x14ac:dyDescent="0.2">
      <c r="A2" t="s">
        <v>25</v>
      </c>
      <c r="B2" s="36">
        <v>19590000</v>
      </c>
      <c r="C2" s="36">
        <v>19590000</v>
      </c>
      <c r="D2" s="42">
        <v>19490000</v>
      </c>
      <c r="E2" s="36">
        <v>19490000</v>
      </c>
      <c r="F2" s="37">
        <v>19090000</v>
      </c>
      <c r="G2" s="34" t="s">
        <v>201</v>
      </c>
    </row>
    <row r="3" spans="1:12" ht="16" customHeight="1" x14ac:dyDescent="0.2">
      <c r="A3" t="s">
        <v>26</v>
      </c>
      <c r="B3" s="36">
        <v>22590000</v>
      </c>
      <c r="C3" s="36">
        <v>22590000</v>
      </c>
      <c r="D3" s="42">
        <v>22490000</v>
      </c>
      <c r="E3" s="36">
        <v>22490000</v>
      </c>
      <c r="F3" s="39">
        <v>22090000</v>
      </c>
      <c r="G3" s="4">
        <v>22250000</v>
      </c>
      <c r="J3" t="s">
        <v>31</v>
      </c>
      <c r="K3" t="s">
        <v>38</v>
      </c>
      <c r="L3" t="b">
        <v>1</v>
      </c>
    </row>
    <row r="4" spans="1:12" ht="16" customHeight="1" x14ac:dyDescent="0.2">
      <c r="A4" t="s">
        <v>157</v>
      </c>
      <c r="B4" s="36">
        <v>24890000</v>
      </c>
      <c r="C4" s="36">
        <v>24890000</v>
      </c>
      <c r="D4" s="42">
        <v>24790000</v>
      </c>
      <c r="E4" s="41">
        <v>23990000</v>
      </c>
      <c r="F4" s="37">
        <v>24390000</v>
      </c>
      <c r="G4" s="3">
        <v>24390000</v>
      </c>
      <c r="J4" t="s">
        <v>0</v>
      </c>
      <c r="K4" t="s">
        <v>36</v>
      </c>
      <c r="L4" t="b">
        <v>1</v>
      </c>
    </row>
    <row r="5" spans="1:12" ht="16" customHeight="1" x14ac:dyDescent="0.2">
      <c r="A5" t="s">
        <v>158</v>
      </c>
      <c r="B5" s="36">
        <v>29390000</v>
      </c>
      <c r="C5" s="36">
        <v>29390000</v>
      </c>
      <c r="D5" s="25">
        <v>29290000</v>
      </c>
      <c r="E5" s="37">
        <v>28690000</v>
      </c>
      <c r="F5" s="37">
        <v>28790000</v>
      </c>
      <c r="G5" s="4">
        <v>28850000</v>
      </c>
      <c r="J5" t="s">
        <v>2</v>
      </c>
      <c r="K5" t="s">
        <v>198</v>
      </c>
      <c r="L5" t="b">
        <v>1</v>
      </c>
    </row>
    <row r="6" spans="1:12" ht="16" customHeight="1" x14ac:dyDescent="0.2">
      <c r="A6" t="s">
        <v>92</v>
      </c>
      <c r="B6" s="36">
        <v>19890000</v>
      </c>
      <c r="C6" s="36">
        <v>19890000</v>
      </c>
      <c r="D6" s="25">
        <v>19690000</v>
      </c>
      <c r="E6" s="36">
        <v>19690000</v>
      </c>
      <c r="F6" s="34">
        <v>19790000</v>
      </c>
      <c r="G6" s="4">
        <v>19390000</v>
      </c>
      <c r="J6" t="s">
        <v>3</v>
      </c>
      <c r="K6" t="s">
        <v>199</v>
      </c>
      <c r="L6" t="b">
        <v>1</v>
      </c>
    </row>
    <row r="7" spans="1:12" ht="16" customHeight="1" x14ac:dyDescent="0.2">
      <c r="A7" t="s">
        <v>27</v>
      </c>
      <c r="B7" s="36">
        <v>17090000</v>
      </c>
      <c r="C7" s="36">
        <v>17090000</v>
      </c>
      <c r="D7" s="38">
        <v>16890000</v>
      </c>
      <c r="E7" s="36">
        <v>17690000</v>
      </c>
      <c r="F7" s="38">
        <v>17190000</v>
      </c>
      <c r="G7" s="4">
        <v>17290000</v>
      </c>
      <c r="J7" t="s">
        <v>4</v>
      </c>
      <c r="K7" t="s">
        <v>34</v>
      </c>
      <c r="L7" t="b">
        <v>1</v>
      </c>
    </row>
    <row r="8" spans="1:12" ht="16" customHeight="1" x14ac:dyDescent="0.2">
      <c r="A8" t="s">
        <v>28</v>
      </c>
      <c r="B8" s="36">
        <v>13890000</v>
      </c>
      <c r="C8" s="36">
        <v>13890000</v>
      </c>
      <c r="D8" s="38">
        <v>13790000</v>
      </c>
      <c r="E8" s="36">
        <v>13690000</v>
      </c>
      <c r="F8" s="38">
        <v>13850000</v>
      </c>
      <c r="G8" s="4">
        <v>13690000</v>
      </c>
      <c r="J8" t="s">
        <v>41</v>
      </c>
      <c r="K8" t="s">
        <v>42</v>
      </c>
      <c r="L8" t="b">
        <v>1</v>
      </c>
    </row>
    <row r="9" spans="1:12" ht="16" customHeight="1" x14ac:dyDescent="0.2">
      <c r="A9" t="s">
        <v>98</v>
      </c>
      <c r="B9" s="36">
        <v>11590000</v>
      </c>
      <c r="C9" s="36">
        <v>11590000</v>
      </c>
      <c r="D9" s="3">
        <v>10890000</v>
      </c>
      <c r="E9" s="36">
        <v>11390000</v>
      </c>
      <c r="F9" s="38">
        <v>10990000</v>
      </c>
      <c r="G9" s="4">
        <v>12290000</v>
      </c>
    </row>
    <row r="10" spans="1:12" ht="16" customHeight="1" x14ac:dyDescent="0.2">
      <c r="A10" t="s">
        <v>102</v>
      </c>
      <c r="B10" s="36">
        <v>8990000</v>
      </c>
      <c r="C10" s="36">
        <v>8990000</v>
      </c>
      <c r="D10" s="4">
        <v>8840000</v>
      </c>
      <c r="E10" s="36">
        <v>8490000</v>
      </c>
      <c r="F10" s="38">
        <v>8690000</v>
      </c>
      <c r="G10" s="4">
        <v>8790000</v>
      </c>
    </row>
    <row r="11" spans="1:12" ht="16" customHeight="1" x14ac:dyDescent="0.2">
      <c r="A11" t="s">
        <v>160</v>
      </c>
      <c r="B11" s="36" t="s">
        <v>22</v>
      </c>
      <c r="C11" s="36" t="s">
        <v>22</v>
      </c>
      <c r="D11" s="4" t="s">
        <v>22</v>
      </c>
      <c r="E11" s="39">
        <v>13990000</v>
      </c>
      <c r="F11" s="38">
        <v>14890000</v>
      </c>
      <c r="G11" s="4">
        <v>14290000</v>
      </c>
    </row>
    <row r="12" spans="1:12" ht="16" customHeight="1" x14ac:dyDescent="0.2">
      <c r="A12" t="s">
        <v>161</v>
      </c>
      <c r="B12" s="36">
        <v>12890000</v>
      </c>
      <c r="C12" s="36" t="s">
        <v>22</v>
      </c>
      <c r="D12" s="4">
        <v>12690000</v>
      </c>
      <c r="E12" s="36" t="s">
        <v>22</v>
      </c>
      <c r="F12" s="38">
        <v>12650000</v>
      </c>
      <c r="G12" s="4">
        <v>12650000</v>
      </c>
    </row>
    <row r="13" spans="1:12" ht="16" customHeight="1" x14ac:dyDescent="0.2">
      <c r="A13" t="s">
        <v>162</v>
      </c>
      <c r="B13" s="36">
        <v>9990000</v>
      </c>
      <c r="C13" s="36">
        <v>9990000</v>
      </c>
      <c r="D13" s="25">
        <v>9740000</v>
      </c>
      <c r="E13" s="36">
        <v>9490000</v>
      </c>
      <c r="F13" s="38">
        <v>9690000</v>
      </c>
      <c r="G13" s="4">
        <v>9490000</v>
      </c>
    </row>
    <row r="14" spans="1:12" ht="16" customHeight="1" x14ac:dyDescent="0.2">
      <c r="A14" t="s">
        <v>163</v>
      </c>
      <c r="B14" s="36">
        <v>7190000</v>
      </c>
      <c r="C14" s="36">
        <v>7190000</v>
      </c>
      <c r="D14" s="4">
        <v>7140000</v>
      </c>
      <c r="E14" s="36">
        <v>6990000</v>
      </c>
      <c r="F14" s="38">
        <v>7090000</v>
      </c>
      <c r="G14" s="4">
        <v>7090000</v>
      </c>
    </row>
    <row r="15" spans="1:12" ht="16" customHeight="1" x14ac:dyDescent="0.2">
      <c r="A15" t="s">
        <v>189</v>
      </c>
      <c r="B15" s="36">
        <v>16990000</v>
      </c>
      <c r="C15" s="36" t="s">
        <v>22</v>
      </c>
      <c r="D15" s="4">
        <v>16890000</v>
      </c>
      <c r="E15" s="39">
        <v>16325000</v>
      </c>
      <c r="F15" s="34">
        <v>16690000</v>
      </c>
      <c r="G15" s="4">
        <v>16390000</v>
      </c>
    </row>
    <row r="16" spans="1:12" ht="16" customHeight="1" x14ac:dyDescent="0.2">
      <c r="A16" t="s">
        <v>190</v>
      </c>
      <c r="B16" s="36">
        <v>22490000</v>
      </c>
      <c r="C16" s="36">
        <v>22490000</v>
      </c>
      <c r="D16" s="25">
        <v>21890000</v>
      </c>
      <c r="E16" s="39">
        <v>21275000</v>
      </c>
      <c r="F16" s="38">
        <v>21490000</v>
      </c>
      <c r="G16" s="4">
        <v>21990000</v>
      </c>
    </row>
    <row r="17" spans="1:7" ht="16" customHeight="1" x14ac:dyDescent="0.2">
      <c r="A17" t="s">
        <v>184</v>
      </c>
      <c r="B17" s="36">
        <v>27790000</v>
      </c>
      <c r="C17" s="36">
        <v>27790000</v>
      </c>
      <c r="D17" s="25">
        <v>27590000</v>
      </c>
      <c r="E17" s="39">
        <v>27215000</v>
      </c>
      <c r="F17" s="38">
        <v>27590000</v>
      </c>
      <c r="G17" s="4">
        <v>27190000</v>
      </c>
    </row>
    <row r="18" spans="1:7" ht="16" customHeight="1" x14ac:dyDescent="0.2">
      <c r="A18" t="s">
        <v>185</v>
      </c>
      <c r="B18" s="36">
        <v>37290000</v>
      </c>
      <c r="C18" s="36">
        <v>37290000</v>
      </c>
      <c r="D18" s="3">
        <v>36490000</v>
      </c>
      <c r="E18" s="36">
        <v>36490000</v>
      </c>
      <c r="F18" s="38">
        <v>36990000</v>
      </c>
      <c r="G18" s="4">
        <v>36890000</v>
      </c>
    </row>
    <row r="19" spans="1:7" ht="16" customHeight="1" x14ac:dyDescent="0.2">
      <c r="A19" t="s">
        <v>164</v>
      </c>
      <c r="B19" s="36">
        <v>6090000</v>
      </c>
      <c r="C19" s="36">
        <v>6090000</v>
      </c>
      <c r="D19" s="4">
        <v>5940000</v>
      </c>
      <c r="E19" s="37">
        <v>5870000</v>
      </c>
      <c r="F19" s="38">
        <v>6190000</v>
      </c>
      <c r="G19" s="4">
        <v>5890000</v>
      </c>
    </row>
    <row r="20" spans="1:7" ht="16" customHeight="1" x14ac:dyDescent="0.2">
      <c r="A20" t="s">
        <v>165</v>
      </c>
      <c r="B20" s="36">
        <v>7490000</v>
      </c>
      <c r="C20" s="36">
        <v>7490000</v>
      </c>
      <c r="D20" s="4">
        <v>7340000</v>
      </c>
      <c r="E20" s="41">
        <v>7170000</v>
      </c>
      <c r="F20" s="38">
        <v>7390000</v>
      </c>
      <c r="G20" s="4">
        <v>7390000</v>
      </c>
    </row>
    <row r="21" spans="1:7" ht="16" customHeight="1" x14ac:dyDescent="0.2">
      <c r="A21" t="s">
        <v>166</v>
      </c>
      <c r="B21" s="36">
        <v>6990000</v>
      </c>
      <c r="C21" s="36">
        <v>6990000</v>
      </c>
      <c r="D21" s="4">
        <v>6940000</v>
      </c>
      <c r="E21" s="41">
        <v>6470000</v>
      </c>
      <c r="F21" s="38">
        <v>6990000</v>
      </c>
      <c r="G21" s="34">
        <v>6790000</v>
      </c>
    </row>
    <row r="22" spans="1:7" ht="16" customHeight="1" x14ac:dyDescent="0.2">
      <c r="A22" t="s">
        <v>167</v>
      </c>
      <c r="B22" s="36">
        <v>8290000</v>
      </c>
      <c r="C22" s="36" t="s">
        <v>22</v>
      </c>
      <c r="D22" s="4">
        <v>8140000</v>
      </c>
      <c r="E22" s="37">
        <v>7870000</v>
      </c>
      <c r="F22" s="38">
        <v>8190000</v>
      </c>
      <c r="G22" s="4">
        <v>8090000</v>
      </c>
    </row>
    <row r="23" spans="1:7" ht="16" customHeight="1" x14ac:dyDescent="0.2">
      <c r="A23" t="s">
        <v>168</v>
      </c>
      <c r="B23" s="36">
        <v>9890000</v>
      </c>
      <c r="C23" s="36">
        <v>9890000</v>
      </c>
      <c r="D23" s="4">
        <v>9440000</v>
      </c>
      <c r="E23" s="37">
        <v>9670000</v>
      </c>
      <c r="F23" s="34">
        <v>9490000</v>
      </c>
      <c r="G23" s="3">
        <v>9190000</v>
      </c>
    </row>
    <row r="24" spans="1:7" ht="16" customHeight="1" x14ac:dyDescent="0.2">
      <c r="A24" t="s">
        <v>169</v>
      </c>
      <c r="B24" s="3">
        <v>12590000</v>
      </c>
      <c r="C24" s="36" t="s">
        <v>22</v>
      </c>
      <c r="D24" s="4">
        <v>12190000</v>
      </c>
      <c r="E24" s="37">
        <v>12070000</v>
      </c>
      <c r="F24" s="38">
        <v>12590000</v>
      </c>
      <c r="G24" s="3">
        <v>11690000</v>
      </c>
    </row>
    <row r="25" spans="1:7" ht="16" customHeight="1" x14ac:dyDescent="0.2">
      <c r="A25" t="s">
        <v>170</v>
      </c>
      <c r="B25" s="36">
        <v>10890000</v>
      </c>
      <c r="C25" s="36">
        <v>10890000</v>
      </c>
      <c r="D25" s="4">
        <v>10490000</v>
      </c>
      <c r="E25" s="37">
        <v>10370000</v>
      </c>
      <c r="F25" s="34">
        <v>10590000</v>
      </c>
      <c r="G25" s="3">
        <v>10190000</v>
      </c>
    </row>
    <row r="26" spans="1:7" ht="16" customHeight="1" x14ac:dyDescent="0.2">
      <c r="A26" t="s">
        <v>171</v>
      </c>
      <c r="B26" s="36">
        <v>13690000</v>
      </c>
      <c r="C26" s="36" t="s">
        <v>22</v>
      </c>
      <c r="D26" s="4">
        <v>13390000</v>
      </c>
      <c r="E26" s="37">
        <v>12870000</v>
      </c>
      <c r="F26" s="38" t="s">
        <v>22</v>
      </c>
      <c r="G26" s="3">
        <v>12690000</v>
      </c>
    </row>
    <row r="27" spans="1:7" ht="16" customHeight="1" x14ac:dyDescent="0.2">
      <c r="A27" t="s">
        <v>172</v>
      </c>
      <c r="B27" s="36">
        <v>21190000</v>
      </c>
      <c r="C27" s="36">
        <v>21190000</v>
      </c>
      <c r="D27" s="3">
        <v>20890000</v>
      </c>
      <c r="E27" s="36" t="s">
        <v>22</v>
      </c>
      <c r="F27" s="38">
        <v>21290000</v>
      </c>
      <c r="G27" s="4">
        <v>20890000</v>
      </c>
    </row>
    <row r="28" spans="1:7" ht="16" customHeight="1" x14ac:dyDescent="0.2">
      <c r="A28" t="s">
        <v>53</v>
      </c>
      <c r="B28" s="36">
        <v>5690000</v>
      </c>
      <c r="C28" s="36">
        <v>5690000</v>
      </c>
      <c r="D28" s="34">
        <v>5740000</v>
      </c>
      <c r="E28" s="37">
        <v>5370000</v>
      </c>
      <c r="F28" s="38">
        <v>5550000</v>
      </c>
      <c r="G28" s="4">
        <v>5450000</v>
      </c>
    </row>
    <row r="29" spans="1:7" ht="16" customHeight="1" x14ac:dyDescent="0.2">
      <c r="A29" t="s">
        <v>173</v>
      </c>
      <c r="B29" s="3">
        <v>3790000</v>
      </c>
      <c r="C29" s="41">
        <v>3790000</v>
      </c>
      <c r="D29" s="3">
        <v>4090000</v>
      </c>
      <c r="E29" s="37">
        <v>3770000</v>
      </c>
      <c r="F29" s="34">
        <v>3950000</v>
      </c>
      <c r="G29" s="4" t="s">
        <v>197</v>
      </c>
    </row>
    <row r="30" spans="1:7" ht="16" customHeight="1" x14ac:dyDescent="0.2">
      <c r="A30" t="s">
        <v>174</v>
      </c>
      <c r="B30" s="36">
        <v>2690000</v>
      </c>
      <c r="C30" s="36">
        <v>2690000</v>
      </c>
      <c r="D30" s="34">
        <v>2790000</v>
      </c>
      <c r="E30" s="39">
        <v>2690000</v>
      </c>
      <c r="F30" s="34">
        <v>2790000</v>
      </c>
      <c r="G30" s="4">
        <v>2750000</v>
      </c>
    </row>
    <row r="31" spans="1:7" ht="16" customHeight="1" x14ac:dyDescent="0.2">
      <c r="A31" t="s">
        <v>175</v>
      </c>
      <c r="B31" s="36">
        <v>18490000</v>
      </c>
      <c r="C31" s="36">
        <v>18490000</v>
      </c>
      <c r="D31" s="34">
        <v>18390000</v>
      </c>
      <c r="E31" s="36"/>
      <c r="F31" s="34">
        <v>18390000</v>
      </c>
      <c r="G31" s="4">
        <v>17750000</v>
      </c>
    </row>
    <row r="32" spans="1:7" ht="16" customHeight="1" x14ac:dyDescent="0.2">
      <c r="A32" t="s">
        <v>176</v>
      </c>
      <c r="B32" s="3">
        <v>23890000</v>
      </c>
      <c r="C32" s="41">
        <v>23890000</v>
      </c>
      <c r="D32" s="3">
        <v>23590000</v>
      </c>
      <c r="E32" s="36"/>
      <c r="F32" s="34">
        <v>23490000</v>
      </c>
      <c r="G32" s="4">
        <v>22990000</v>
      </c>
    </row>
    <row r="33" spans="1:7" ht="16" customHeight="1" x14ac:dyDescent="0.2">
      <c r="A33" t="s">
        <v>177</v>
      </c>
      <c r="B33" s="3">
        <v>27090000</v>
      </c>
      <c r="C33" s="41">
        <v>27090000</v>
      </c>
      <c r="D33" s="34">
        <v>26790000</v>
      </c>
      <c r="E33" s="36"/>
      <c r="F33" s="34">
        <v>26890000</v>
      </c>
      <c r="G33" s="4">
        <v>26290000</v>
      </c>
    </row>
    <row r="34" spans="1:7" ht="16" customHeight="1" x14ac:dyDescent="0.2">
      <c r="A34" t="s">
        <v>178</v>
      </c>
      <c r="B34" s="36">
        <v>31390000</v>
      </c>
      <c r="C34" s="36">
        <v>31390000</v>
      </c>
      <c r="D34" s="4">
        <v>31090000</v>
      </c>
      <c r="E34" s="36"/>
      <c r="F34" s="34">
        <v>31190000</v>
      </c>
      <c r="G34" s="4">
        <v>30790000</v>
      </c>
    </row>
    <row r="35" spans="1:7" ht="16" customHeight="1" x14ac:dyDescent="0.2">
      <c r="A35" t="s">
        <v>179</v>
      </c>
      <c r="B35" s="36">
        <v>38290000</v>
      </c>
      <c r="C35" s="36">
        <v>38290000</v>
      </c>
      <c r="D35" s="3">
        <v>37990000</v>
      </c>
      <c r="E35" s="36"/>
      <c r="F35" s="34">
        <v>38190000</v>
      </c>
      <c r="G35" s="4">
        <v>37790000</v>
      </c>
    </row>
    <row r="41" spans="1:7" ht="16" customHeight="1" x14ac:dyDescent="0.2">
      <c r="G41" s="43"/>
    </row>
  </sheetData>
  <pageMargins left="0.7" right="0.7" top="0.75" bottom="0.75" header="0.3" footer="0.3"/>
  <legacyDrawing r:id="rId1"/>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Sheet21"/>
  <dimension ref="A1:K35"/>
  <sheetViews>
    <sheetView topLeftCell="A5" workbookViewId="0">
      <selection activeCell="K21" sqref="K21"/>
    </sheetView>
  </sheetViews>
  <sheetFormatPr baseColWidth="10" defaultColWidth="11" defaultRowHeight="16" x14ac:dyDescent="0.2"/>
  <cols>
    <col min="1" max="1" width="25.33203125" bestFit="1" customWidth="1"/>
  </cols>
  <sheetData>
    <row r="1" spans="1:11" x14ac:dyDescent="0.2">
      <c r="B1" t="s">
        <v>0</v>
      </c>
      <c r="C1" t="s">
        <v>1</v>
      </c>
      <c r="D1" t="s">
        <v>2</v>
      </c>
      <c r="E1" t="s">
        <v>3</v>
      </c>
      <c r="F1" t="s">
        <v>4</v>
      </c>
      <c r="G1" t="s">
        <v>5</v>
      </c>
    </row>
    <row r="2" spans="1:11" x14ac:dyDescent="0.2">
      <c r="A2" t="s">
        <v>25</v>
      </c>
      <c r="B2" s="3">
        <v>19690000</v>
      </c>
      <c r="C2" s="41">
        <v>19690000</v>
      </c>
      <c r="D2" s="41">
        <v>19590000</v>
      </c>
      <c r="E2" s="36">
        <v>19490000</v>
      </c>
      <c r="F2" s="39">
        <v>19090000</v>
      </c>
      <c r="G2" s="34" t="s">
        <v>201</v>
      </c>
    </row>
    <row r="3" spans="1:11" x14ac:dyDescent="0.2">
      <c r="A3" t="s">
        <v>26</v>
      </c>
      <c r="B3" s="3">
        <v>22690000</v>
      </c>
      <c r="C3" s="41">
        <v>22690000</v>
      </c>
      <c r="D3" s="41">
        <v>22590000</v>
      </c>
      <c r="E3" s="36">
        <v>22490000</v>
      </c>
      <c r="F3" s="39">
        <v>22090000</v>
      </c>
      <c r="G3" s="4">
        <v>22250000</v>
      </c>
      <c r="I3" t="s">
        <v>31</v>
      </c>
      <c r="J3" t="s">
        <v>38</v>
      </c>
      <c r="K3" t="b">
        <v>1</v>
      </c>
    </row>
    <row r="4" spans="1:11" x14ac:dyDescent="0.2">
      <c r="A4" t="s">
        <v>157</v>
      </c>
      <c r="B4" s="3">
        <v>24990000</v>
      </c>
      <c r="C4" s="41">
        <v>24990000</v>
      </c>
      <c r="D4" s="41">
        <v>24890000</v>
      </c>
      <c r="E4" s="39">
        <v>23990000</v>
      </c>
      <c r="F4" s="39">
        <v>24390000</v>
      </c>
      <c r="G4" s="3">
        <v>24390000</v>
      </c>
      <c r="I4" t="s">
        <v>0</v>
      </c>
      <c r="J4" t="s">
        <v>36</v>
      </c>
      <c r="K4" t="b">
        <v>1</v>
      </c>
    </row>
    <row r="5" spans="1:11" x14ac:dyDescent="0.2">
      <c r="A5" t="s">
        <v>158</v>
      </c>
      <c r="B5" s="3">
        <v>29490000</v>
      </c>
      <c r="C5" s="41">
        <v>29490000</v>
      </c>
      <c r="D5" s="25">
        <v>29290000</v>
      </c>
      <c r="E5" s="37">
        <v>28990000</v>
      </c>
      <c r="F5" s="39">
        <v>28790000</v>
      </c>
      <c r="G5" s="4">
        <v>28850000</v>
      </c>
      <c r="I5" t="s">
        <v>2</v>
      </c>
      <c r="J5" t="s">
        <v>198</v>
      </c>
      <c r="K5" t="b">
        <v>1</v>
      </c>
    </row>
    <row r="6" spans="1:11" x14ac:dyDescent="0.2">
      <c r="A6" t="s">
        <v>92</v>
      </c>
      <c r="B6" s="36">
        <v>19890000</v>
      </c>
      <c r="C6" s="36">
        <v>19890000</v>
      </c>
      <c r="D6" s="3">
        <v>19790000</v>
      </c>
      <c r="E6" s="36">
        <v>19690000</v>
      </c>
      <c r="F6" s="38">
        <v>19790000</v>
      </c>
      <c r="G6" s="4">
        <v>19390000</v>
      </c>
      <c r="I6" t="s">
        <v>3</v>
      </c>
      <c r="J6" t="s">
        <v>199</v>
      </c>
      <c r="K6" t="b">
        <v>1</v>
      </c>
    </row>
    <row r="7" spans="1:11" x14ac:dyDescent="0.2">
      <c r="A7" t="s">
        <v>27</v>
      </c>
      <c r="B7" s="3">
        <v>16990000</v>
      </c>
      <c r="C7" s="41">
        <v>16990000</v>
      </c>
      <c r="D7" s="38">
        <v>16890000</v>
      </c>
      <c r="E7" s="36">
        <v>17690000</v>
      </c>
      <c r="F7" s="38">
        <v>16990000</v>
      </c>
      <c r="G7" s="4">
        <v>17290000</v>
      </c>
      <c r="I7" t="s">
        <v>4</v>
      </c>
      <c r="J7" t="s">
        <v>34</v>
      </c>
      <c r="K7" t="b">
        <v>1</v>
      </c>
    </row>
    <row r="8" spans="1:11" x14ac:dyDescent="0.2">
      <c r="A8" t="s">
        <v>28</v>
      </c>
      <c r="B8" s="3">
        <v>13990000</v>
      </c>
      <c r="C8" s="41">
        <v>13990000</v>
      </c>
      <c r="D8" s="34">
        <v>13890000</v>
      </c>
      <c r="E8" s="36">
        <v>13690000</v>
      </c>
      <c r="F8" s="34">
        <v>13890000</v>
      </c>
      <c r="G8" s="4">
        <v>13690000</v>
      </c>
      <c r="I8" t="s">
        <v>41</v>
      </c>
      <c r="J8" t="s">
        <v>42</v>
      </c>
      <c r="K8" t="b">
        <v>0</v>
      </c>
    </row>
    <row r="9" spans="1:11" x14ac:dyDescent="0.2">
      <c r="A9" t="s">
        <v>98</v>
      </c>
      <c r="B9" s="36">
        <v>11590000</v>
      </c>
      <c r="C9" s="36">
        <v>11590000</v>
      </c>
      <c r="D9" s="25">
        <v>10890000</v>
      </c>
      <c r="E9" s="36">
        <v>10990000</v>
      </c>
      <c r="F9" s="38">
        <v>10990000</v>
      </c>
      <c r="G9" s="4">
        <v>12290000</v>
      </c>
    </row>
    <row r="10" spans="1:11" x14ac:dyDescent="0.2">
      <c r="A10" t="s">
        <v>102</v>
      </c>
      <c r="B10" s="3">
        <v>8890000</v>
      </c>
      <c r="C10" s="41">
        <v>8890000</v>
      </c>
      <c r="D10" s="4">
        <v>8840000</v>
      </c>
      <c r="E10" s="36">
        <v>8490000</v>
      </c>
      <c r="F10" s="34">
        <v>8890000</v>
      </c>
      <c r="G10" s="4">
        <v>8790000</v>
      </c>
    </row>
    <row r="11" spans="1:11" x14ac:dyDescent="0.2">
      <c r="A11" t="s">
        <v>160</v>
      </c>
      <c r="B11" s="36" t="s">
        <v>22</v>
      </c>
      <c r="C11" s="36" t="s">
        <v>22</v>
      </c>
      <c r="D11" s="4" t="s">
        <v>22</v>
      </c>
      <c r="E11" s="39">
        <v>13990000</v>
      </c>
      <c r="F11" s="38" t="s">
        <v>22</v>
      </c>
      <c r="G11" s="4">
        <v>14290000</v>
      </c>
    </row>
    <row r="12" spans="1:11" x14ac:dyDescent="0.2">
      <c r="A12" t="s">
        <v>161</v>
      </c>
      <c r="B12" s="36">
        <v>12890000</v>
      </c>
      <c r="C12" s="36" t="s">
        <v>22</v>
      </c>
      <c r="D12" s="4">
        <v>12690000</v>
      </c>
      <c r="E12" s="36" t="s">
        <v>22</v>
      </c>
      <c r="F12" s="34">
        <v>12790000</v>
      </c>
      <c r="G12" s="4">
        <v>12650000</v>
      </c>
    </row>
    <row r="13" spans="1:11" x14ac:dyDescent="0.2">
      <c r="A13" t="s">
        <v>162</v>
      </c>
      <c r="B13" s="36">
        <v>9990000</v>
      </c>
      <c r="C13" s="36">
        <v>9990000</v>
      </c>
      <c r="D13" s="3">
        <v>9940000</v>
      </c>
      <c r="E13" s="36">
        <v>9490000</v>
      </c>
      <c r="F13" s="34">
        <v>9790000</v>
      </c>
      <c r="G13" s="4">
        <v>9490000</v>
      </c>
    </row>
    <row r="14" spans="1:11" x14ac:dyDescent="0.2">
      <c r="A14" t="s">
        <v>163</v>
      </c>
      <c r="B14" s="36">
        <v>7190000</v>
      </c>
      <c r="C14" s="36">
        <v>7190000</v>
      </c>
      <c r="D14" s="4">
        <v>7140000</v>
      </c>
      <c r="E14" s="36">
        <v>6990000</v>
      </c>
      <c r="F14" s="38">
        <v>7150000</v>
      </c>
      <c r="G14" s="4">
        <v>7090000</v>
      </c>
    </row>
    <row r="15" spans="1:11" x14ac:dyDescent="0.2">
      <c r="A15" t="s">
        <v>189</v>
      </c>
      <c r="B15" s="36">
        <v>16990000</v>
      </c>
      <c r="C15" s="36" t="s">
        <v>22</v>
      </c>
      <c r="D15" s="4">
        <v>16890000</v>
      </c>
      <c r="E15" s="37">
        <v>16490000</v>
      </c>
      <c r="F15" s="34">
        <v>16990000</v>
      </c>
      <c r="G15" s="4">
        <v>16390000</v>
      </c>
    </row>
    <row r="16" spans="1:11" x14ac:dyDescent="0.2">
      <c r="A16" t="s">
        <v>190</v>
      </c>
      <c r="B16" s="36">
        <v>22490000</v>
      </c>
      <c r="C16" s="36">
        <v>22490000</v>
      </c>
      <c r="D16" s="25">
        <v>21890000</v>
      </c>
      <c r="E16" s="37">
        <v>21390000</v>
      </c>
      <c r="F16" s="34">
        <v>29990000</v>
      </c>
      <c r="G16" s="4">
        <v>21990000</v>
      </c>
    </row>
    <row r="17" spans="1:7" x14ac:dyDescent="0.2">
      <c r="A17" t="s">
        <v>184</v>
      </c>
      <c r="B17" s="36">
        <v>27790000</v>
      </c>
      <c r="C17" s="36">
        <v>27790000</v>
      </c>
      <c r="D17" s="25">
        <v>27590000</v>
      </c>
      <c r="E17" s="37">
        <v>27490000</v>
      </c>
      <c r="F17" s="34">
        <v>27490000</v>
      </c>
      <c r="G17" s="4">
        <v>27190000</v>
      </c>
    </row>
    <row r="18" spans="1:7" x14ac:dyDescent="0.2">
      <c r="A18" t="s">
        <v>185</v>
      </c>
      <c r="B18" s="36">
        <v>37290000</v>
      </c>
      <c r="C18" s="36">
        <v>37290000</v>
      </c>
      <c r="D18" s="25">
        <v>36490000</v>
      </c>
      <c r="E18" s="36">
        <v>36490000</v>
      </c>
      <c r="F18" s="34">
        <v>36790000</v>
      </c>
      <c r="G18" s="4">
        <v>36890000</v>
      </c>
    </row>
    <row r="19" spans="1:7" x14ac:dyDescent="0.2">
      <c r="A19" t="s">
        <v>164</v>
      </c>
      <c r="B19" s="36">
        <v>6090000</v>
      </c>
      <c r="C19" s="36">
        <v>6090000</v>
      </c>
      <c r="D19" s="4">
        <v>5940000</v>
      </c>
      <c r="E19" s="37">
        <v>5990000</v>
      </c>
      <c r="F19" s="34">
        <v>5990000</v>
      </c>
      <c r="G19" s="4">
        <v>5890000</v>
      </c>
    </row>
    <row r="20" spans="1:7" x14ac:dyDescent="0.2">
      <c r="A20" t="s">
        <v>165</v>
      </c>
      <c r="B20" s="36">
        <v>7490000</v>
      </c>
      <c r="C20" s="36">
        <v>7490000</v>
      </c>
      <c r="D20" s="4">
        <v>7340000</v>
      </c>
      <c r="E20" s="41" t="s">
        <v>22</v>
      </c>
      <c r="F20" s="38">
        <v>7390000</v>
      </c>
      <c r="G20" s="4">
        <v>7390000</v>
      </c>
    </row>
    <row r="21" spans="1:7" x14ac:dyDescent="0.2">
      <c r="A21" t="s">
        <v>166</v>
      </c>
      <c r="B21" s="3">
        <v>6890000</v>
      </c>
      <c r="C21" s="41">
        <v>6890000</v>
      </c>
      <c r="D21" s="4">
        <v>6940000</v>
      </c>
      <c r="E21" s="41">
        <v>6590000</v>
      </c>
      <c r="F21" s="38">
        <v>6990000</v>
      </c>
      <c r="G21" s="34">
        <v>6790000</v>
      </c>
    </row>
    <row r="22" spans="1:7" x14ac:dyDescent="0.2">
      <c r="A22" t="s">
        <v>167</v>
      </c>
      <c r="B22" s="36">
        <v>8290000</v>
      </c>
      <c r="C22" s="36" t="s">
        <v>22</v>
      </c>
      <c r="D22" s="4">
        <v>8140000</v>
      </c>
      <c r="E22" s="37">
        <v>7990000</v>
      </c>
      <c r="F22" s="38">
        <v>8190000</v>
      </c>
      <c r="G22" s="4">
        <v>8090000</v>
      </c>
    </row>
    <row r="23" spans="1:7" x14ac:dyDescent="0.2">
      <c r="A23" t="s">
        <v>168</v>
      </c>
      <c r="B23" s="36">
        <v>9890000</v>
      </c>
      <c r="C23" s="36">
        <v>9890000</v>
      </c>
      <c r="D23" s="4">
        <v>9440000</v>
      </c>
      <c r="E23" s="37">
        <v>9670000</v>
      </c>
      <c r="F23" s="34">
        <v>9790000</v>
      </c>
      <c r="G23" s="3">
        <v>9190000</v>
      </c>
    </row>
    <row r="24" spans="1:7" x14ac:dyDescent="0.2">
      <c r="A24" t="s">
        <v>169</v>
      </c>
      <c r="B24" s="3">
        <v>12490000</v>
      </c>
      <c r="C24" s="36" t="s">
        <v>22</v>
      </c>
      <c r="D24" s="4">
        <v>12190000</v>
      </c>
      <c r="E24" s="37">
        <v>12190000</v>
      </c>
      <c r="F24" s="38">
        <v>12590000</v>
      </c>
      <c r="G24" s="3">
        <v>11690000</v>
      </c>
    </row>
    <row r="25" spans="1:7" x14ac:dyDescent="0.2">
      <c r="A25" t="s">
        <v>170</v>
      </c>
      <c r="B25" s="36">
        <v>10890000</v>
      </c>
      <c r="C25" s="36">
        <v>10890000</v>
      </c>
      <c r="D25" s="4">
        <v>10490000</v>
      </c>
      <c r="E25" s="37">
        <v>10490000</v>
      </c>
      <c r="F25" s="34">
        <v>10790000</v>
      </c>
      <c r="G25" s="3">
        <v>10190000</v>
      </c>
    </row>
    <row r="26" spans="1:7" x14ac:dyDescent="0.2">
      <c r="A26" t="s">
        <v>171</v>
      </c>
      <c r="B26" s="36">
        <v>13690000</v>
      </c>
      <c r="C26" s="36" t="s">
        <v>22</v>
      </c>
      <c r="D26" s="4">
        <v>13390000</v>
      </c>
      <c r="E26" s="39">
        <v>12990000</v>
      </c>
      <c r="F26" s="38" t="s">
        <v>22</v>
      </c>
      <c r="G26" s="3">
        <v>12690000</v>
      </c>
    </row>
    <row r="27" spans="1:7" x14ac:dyDescent="0.2">
      <c r="A27" t="s">
        <v>172</v>
      </c>
      <c r="B27" s="36">
        <v>21190000</v>
      </c>
      <c r="C27" s="36">
        <v>21190000</v>
      </c>
      <c r="D27" s="25">
        <v>20890000</v>
      </c>
      <c r="E27" s="36" t="s">
        <v>22</v>
      </c>
      <c r="F27" s="34">
        <v>21190000</v>
      </c>
      <c r="G27" s="4">
        <v>20890000</v>
      </c>
    </row>
    <row r="28" spans="1:7" x14ac:dyDescent="0.2">
      <c r="A28" t="s">
        <v>53</v>
      </c>
      <c r="B28" s="3">
        <v>5790000</v>
      </c>
      <c r="C28" s="41">
        <v>5790000</v>
      </c>
      <c r="D28" s="38">
        <v>5740000</v>
      </c>
      <c r="E28" s="37">
        <v>5520000</v>
      </c>
      <c r="F28" s="34">
        <v>5790000</v>
      </c>
      <c r="G28" s="4">
        <v>5450000</v>
      </c>
    </row>
    <row r="29" spans="1:7" x14ac:dyDescent="0.2">
      <c r="A29" t="s">
        <v>173</v>
      </c>
      <c r="B29" s="3">
        <v>4090000</v>
      </c>
      <c r="C29" s="41">
        <v>4090000</v>
      </c>
      <c r="D29" s="25">
        <v>4090000</v>
      </c>
      <c r="E29" s="37">
        <v>4150000</v>
      </c>
      <c r="F29" s="34">
        <v>4090000</v>
      </c>
      <c r="G29" s="4" t="s">
        <v>197</v>
      </c>
    </row>
    <row r="30" spans="1:7" x14ac:dyDescent="0.2">
      <c r="A30" t="s">
        <v>174</v>
      </c>
      <c r="B30" s="3">
        <v>2790000</v>
      </c>
      <c r="C30" s="41">
        <v>2790000</v>
      </c>
      <c r="D30" s="38">
        <v>2790000</v>
      </c>
      <c r="E30" s="39">
        <v>2690000</v>
      </c>
      <c r="F30" s="38">
        <v>2790000</v>
      </c>
      <c r="G30" s="4">
        <v>2750000</v>
      </c>
    </row>
    <row r="31" spans="1:7" x14ac:dyDescent="0.2">
      <c r="A31" t="s">
        <v>175</v>
      </c>
      <c r="B31" s="3">
        <v>18490000</v>
      </c>
      <c r="C31" s="36">
        <v>18490000</v>
      </c>
      <c r="D31" s="34">
        <v>18290000</v>
      </c>
      <c r="E31" s="36"/>
      <c r="F31" s="34">
        <v>18290000</v>
      </c>
      <c r="G31" s="4">
        <v>17750000</v>
      </c>
    </row>
    <row r="32" spans="1:7" x14ac:dyDescent="0.2">
      <c r="A32" t="s">
        <v>176</v>
      </c>
      <c r="B32" s="36">
        <v>23890000</v>
      </c>
      <c r="C32" s="36">
        <v>23890000</v>
      </c>
      <c r="D32" s="3">
        <v>23690000</v>
      </c>
      <c r="E32" s="36"/>
      <c r="F32" s="34">
        <v>23790000</v>
      </c>
      <c r="G32" s="4">
        <v>22990000</v>
      </c>
    </row>
    <row r="33" spans="1:7" x14ac:dyDescent="0.2">
      <c r="A33" t="s">
        <v>177</v>
      </c>
      <c r="B33" s="36">
        <v>27090000</v>
      </c>
      <c r="C33" s="36">
        <v>27090000</v>
      </c>
      <c r="D33" s="38">
        <v>26790000</v>
      </c>
      <c r="E33" s="36"/>
      <c r="F33" s="38">
        <v>26990000</v>
      </c>
      <c r="G33" s="4">
        <v>26290000</v>
      </c>
    </row>
    <row r="34" spans="1:7" x14ac:dyDescent="0.2">
      <c r="A34" t="s">
        <v>178</v>
      </c>
      <c r="B34" s="3">
        <v>31290000</v>
      </c>
      <c r="C34" s="41">
        <v>31290000</v>
      </c>
      <c r="D34" s="4">
        <v>31090000</v>
      </c>
      <c r="E34" s="36"/>
      <c r="F34" s="38">
        <v>31190000</v>
      </c>
      <c r="G34" s="4">
        <v>30790000</v>
      </c>
    </row>
    <row r="35" spans="1:7" x14ac:dyDescent="0.2">
      <c r="A35" t="s">
        <v>179</v>
      </c>
      <c r="B35" s="36">
        <v>38290000</v>
      </c>
      <c r="C35" s="36">
        <v>38290000</v>
      </c>
      <c r="D35" s="25">
        <v>37990000</v>
      </c>
      <c r="E35" s="36"/>
      <c r="F35" s="38">
        <v>38190000</v>
      </c>
      <c r="G35" s="4">
        <v>37790000</v>
      </c>
    </row>
  </sheetData>
  <pageMargins left="0.7" right="0.7" top="0.75" bottom="0.75" header="0.3" footer="0.3"/>
  <legacyDrawing r:id="rId1"/>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Sheet22"/>
  <dimension ref="A1:K35"/>
  <sheetViews>
    <sheetView workbookViewId="0">
      <selection activeCell="L1" sqref="L1"/>
    </sheetView>
  </sheetViews>
  <sheetFormatPr baseColWidth="10" defaultColWidth="11" defaultRowHeight="16" x14ac:dyDescent="0.2"/>
  <cols>
    <col min="1" max="1" width="25.33203125" bestFit="1" customWidth="1"/>
  </cols>
  <sheetData>
    <row r="1" spans="1:11" x14ac:dyDescent="0.2">
      <c r="B1" t="s">
        <v>0</v>
      </c>
      <c r="C1" t="s">
        <v>1</v>
      </c>
      <c r="D1" t="s">
        <v>2</v>
      </c>
      <c r="E1" t="s">
        <v>3</v>
      </c>
      <c r="F1" t="s">
        <v>4</v>
      </c>
      <c r="G1" t="s">
        <v>5</v>
      </c>
    </row>
    <row r="2" spans="1:11" x14ac:dyDescent="0.2">
      <c r="A2" t="s">
        <v>25</v>
      </c>
      <c r="B2" s="36">
        <v>19690000</v>
      </c>
      <c r="C2" s="42">
        <v>19690000</v>
      </c>
      <c r="D2" s="42">
        <v>19590000</v>
      </c>
      <c r="E2" s="36">
        <v>19490000</v>
      </c>
      <c r="F2" s="39">
        <v>19090000</v>
      </c>
      <c r="G2" s="4" t="s">
        <v>201</v>
      </c>
    </row>
    <row r="3" spans="1:11" x14ac:dyDescent="0.2">
      <c r="A3" t="s">
        <v>26</v>
      </c>
      <c r="B3" s="36">
        <v>22690000</v>
      </c>
      <c r="C3" s="42">
        <v>22690000</v>
      </c>
      <c r="D3" s="42">
        <v>22590000</v>
      </c>
      <c r="E3" s="36">
        <v>22490000</v>
      </c>
      <c r="F3" s="39">
        <v>22090000</v>
      </c>
      <c r="G3" s="4">
        <v>22250000</v>
      </c>
      <c r="I3" t="s">
        <v>31</v>
      </c>
      <c r="J3" t="s">
        <v>38</v>
      </c>
      <c r="K3" t="b">
        <v>1</v>
      </c>
    </row>
    <row r="4" spans="1:11" x14ac:dyDescent="0.2">
      <c r="A4" t="s">
        <v>157</v>
      </c>
      <c r="B4" s="3">
        <v>25090000</v>
      </c>
      <c r="C4" s="36" t="s">
        <v>22</v>
      </c>
      <c r="D4" s="41">
        <v>24990000</v>
      </c>
      <c r="E4" s="39">
        <v>23990000</v>
      </c>
      <c r="F4" s="37">
        <v>24490000</v>
      </c>
      <c r="G4" s="4">
        <v>24390000</v>
      </c>
      <c r="I4" t="s">
        <v>0</v>
      </c>
      <c r="J4" t="s">
        <v>36</v>
      </c>
      <c r="K4" t="b">
        <v>1</v>
      </c>
    </row>
    <row r="5" spans="1:11" x14ac:dyDescent="0.2">
      <c r="A5" t="s">
        <v>158</v>
      </c>
      <c r="B5" s="3">
        <v>29590000</v>
      </c>
      <c r="C5" s="41">
        <v>29590000</v>
      </c>
      <c r="D5" s="25">
        <v>29290000</v>
      </c>
      <c r="E5" s="39">
        <v>28990000</v>
      </c>
      <c r="F5" s="39">
        <v>28790000</v>
      </c>
      <c r="G5" s="4">
        <v>28850000</v>
      </c>
      <c r="I5" t="s">
        <v>2</v>
      </c>
      <c r="J5" t="s">
        <v>198</v>
      </c>
      <c r="K5" t="b">
        <v>1</v>
      </c>
    </row>
    <row r="6" spans="1:11" x14ac:dyDescent="0.2">
      <c r="A6" t="s">
        <v>92</v>
      </c>
      <c r="B6" s="3">
        <v>20590000</v>
      </c>
      <c r="C6" s="37">
        <v>20590000</v>
      </c>
      <c r="D6" s="3">
        <v>20090000</v>
      </c>
      <c r="E6" s="36">
        <v>19690000</v>
      </c>
      <c r="F6" s="34">
        <v>19790000</v>
      </c>
      <c r="G6" s="4">
        <v>19390000</v>
      </c>
      <c r="I6" t="s">
        <v>3</v>
      </c>
      <c r="J6" t="s">
        <v>199</v>
      </c>
      <c r="K6" t="b">
        <v>1</v>
      </c>
    </row>
    <row r="7" spans="1:11" x14ac:dyDescent="0.2">
      <c r="A7" t="s">
        <v>27</v>
      </c>
      <c r="B7" s="3">
        <v>17090000</v>
      </c>
      <c r="C7" s="41">
        <v>17090000</v>
      </c>
      <c r="D7" s="38">
        <v>16990000</v>
      </c>
      <c r="E7" s="36">
        <v>17690000</v>
      </c>
      <c r="F7" s="38">
        <v>16990000</v>
      </c>
      <c r="G7" s="4">
        <v>17290000</v>
      </c>
      <c r="I7" t="s">
        <v>4</v>
      </c>
      <c r="J7" t="s">
        <v>34</v>
      </c>
      <c r="K7" t="b">
        <v>1</v>
      </c>
    </row>
    <row r="8" spans="1:11" x14ac:dyDescent="0.2">
      <c r="A8" t="s">
        <v>28</v>
      </c>
      <c r="B8" s="3">
        <v>14090000</v>
      </c>
      <c r="C8" s="41">
        <v>14090000</v>
      </c>
      <c r="D8" s="34">
        <v>13890000</v>
      </c>
      <c r="E8" s="36">
        <v>13690000</v>
      </c>
      <c r="F8" s="34">
        <v>13850000</v>
      </c>
      <c r="G8" s="3" t="s">
        <v>202</v>
      </c>
      <c r="I8" t="s">
        <v>41</v>
      </c>
      <c r="J8" t="s">
        <v>42</v>
      </c>
      <c r="K8" t="b">
        <v>1</v>
      </c>
    </row>
    <row r="9" spans="1:11" x14ac:dyDescent="0.2">
      <c r="A9" t="s">
        <v>98</v>
      </c>
      <c r="B9" s="36">
        <v>11590000</v>
      </c>
      <c r="C9" s="37">
        <v>10990000</v>
      </c>
      <c r="D9" s="25">
        <v>10890000</v>
      </c>
      <c r="E9" s="36">
        <v>10990000</v>
      </c>
      <c r="F9" s="38">
        <v>10990000</v>
      </c>
      <c r="G9" s="4">
        <v>12290000</v>
      </c>
    </row>
    <row r="10" spans="1:11" x14ac:dyDescent="0.2">
      <c r="A10" t="s">
        <v>102</v>
      </c>
      <c r="B10" s="3">
        <v>8990000</v>
      </c>
      <c r="C10" s="39">
        <v>8890000</v>
      </c>
      <c r="D10" s="3">
        <v>8940000</v>
      </c>
      <c r="E10" s="36">
        <v>8490000</v>
      </c>
      <c r="F10" s="34">
        <v>8890000</v>
      </c>
      <c r="G10" s="4">
        <v>8790000</v>
      </c>
    </row>
    <row r="11" spans="1:11" x14ac:dyDescent="0.2">
      <c r="A11" t="s">
        <v>160</v>
      </c>
      <c r="B11" s="36" t="s">
        <v>22</v>
      </c>
      <c r="C11" s="36" t="s">
        <v>22</v>
      </c>
      <c r="D11" s="4" t="s">
        <v>22</v>
      </c>
      <c r="E11" s="39">
        <v>13990000</v>
      </c>
      <c r="F11" s="38" t="s">
        <v>22</v>
      </c>
      <c r="G11" s="4">
        <v>14290000</v>
      </c>
    </row>
    <row r="12" spans="1:11" x14ac:dyDescent="0.2">
      <c r="A12" t="s">
        <v>161</v>
      </c>
      <c r="B12" s="36">
        <v>12890000</v>
      </c>
      <c r="C12" s="36" t="s">
        <v>22</v>
      </c>
      <c r="D12" s="4">
        <v>12690000</v>
      </c>
      <c r="E12" s="36" t="s">
        <v>22</v>
      </c>
      <c r="F12" s="34">
        <v>12650000</v>
      </c>
      <c r="G12" s="4">
        <v>12650000</v>
      </c>
    </row>
    <row r="13" spans="1:11" x14ac:dyDescent="0.2">
      <c r="A13" t="s">
        <v>162</v>
      </c>
      <c r="B13" s="36">
        <v>9990000</v>
      </c>
      <c r="C13" s="36">
        <v>9990000</v>
      </c>
      <c r="D13" s="25">
        <v>9940000</v>
      </c>
      <c r="E13" s="36">
        <v>9490000</v>
      </c>
      <c r="F13" s="34">
        <v>9490000</v>
      </c>
      <c r="G13" s="4">
        <v>9490000</v>
      </c>
    </row>
    <row r="14" spans="1:11" x14ac:dyDescent="0.2">
      <c r="A14" t="s">
        <v>163</v>
      </c>
      <c r="B14" s="3">
        <v>7690000</v>
      </c>
      <c r="C14" s="3">
        <v>7690000</v>
      </c>
      <c r="D14" s="4">
        <v>7140000</v>
      </c>
      <c r="E14" s="36">
        <v>6990000</v>
      </c>
      <c r="F14" s="34">
        <v>7090000</v>
      </c>
      <c r="G14" s="4">
        <v>7090000</v>
      </c>
    </row>
    <row r="15" spans="1:11" x14ac:dyDescent="0.2">
      <c r="A15" t="s">
        <v>189</v>
      </c>
      <c r="B15" s="36">
        <v>16990000</v>
      </c>
      <c r="C15" s="36" t="s">
        <v>22</v>
      </c>
      <c r="D15" s="4">
        <v>16890000</v>
      </c>
      <c r="E15" s="39">
        <v>16490000</v>
      </c>
      <c r="F15" s="34">
        <v>16450000</v>
      </c>
      <c r="G15" s="3" t="s">
        <v>203</v>
      </c>
    </row>
    <row r="16" spans="1:11" x14ac:dyDescent="0.2">
      <c r="A16" t="s">
        <v>190</v>
      </c>
      <c r="B16" s="36">
        <v>22490000</v>
      </c>
      <c r="C16" s="36">
        <v>22490000</v>
      </c>
      <c r="D16" s="25">
        <v>21890000</v>
      </c>
      <c r="E16" s="39">
        <v>21490000</v>
      </c>
      <c r="F16" s="34">
        <v>21490000</v>
      </c>
      <c r="G16" s="4">
        <v>21990000</v>
      </c>
    </row>
    <row r="17" spans="1:7" x14ac:dyDescent="0.2">
      <c r="A17" t="s">
        <v>184</v>
      </c>
      <c r="B17" s="36">
        <v>27790000</v>
      </c>
      <c r="C17" s="36">
        <v>27790000</v>
      </c>
      <c r="D17" s="25">
        <v>27590000</v>
      </c>
      <c r="E17" s="39">
        <v>27490000</v>
      </c>
      <c r="F17" s="34">
        <v>27590000</v>
      </c>
      <c r="G17" s="4">
        <v>27190000</v>
      </c>
    </row>
    <row r="18" spans="1:7" x14ac:dyDescent="0.2">
      <c r="A18" t="s">
        <v>185</v>
      </c>
      <c r="B18" s="36">
        <v>37290000</v>
      </c>
      <c r="C18" s="36">
        <v>37290000</v>
      </c>
      <c r="D18" s="25">
        <v>36490000</v>
      </c>
      <c r="E18" s="36">
        <v>36490000</v>
      </c>
      <c r="F18" s="34">
        <v>36990000</v>
      </c>
      <c r="G18" s="4">
        <v>36890000</v>
      </c>
    </row>
    <row r="19" spans="1:7" x14ac:dyDescent="0.2">
      <c r="A19" t="s">
        <v>164</v>
      </c>
      <c r="B19" s="36">
        <v>6090000</v>
      </c>
      <c r="C19" s="36">
        <v>6090000</v>
      </c>
      <c r="D19" s="4">
        <v>5940000</v>
      </c>
      <c r="E19" s="39">
        <v>5990000</v>
      </c>
      <c r="F19" s="34">
        <v>5990000</v>
      </c>
      <c r="G19" s="4">
        <v>5890000</v>
      </c>
    </row>
    <row r="20" spans="1:7" x14ac:dyDescent="0.2">
      <c r="A20" t="s">
        <v>165</v>
      </c>
      <c r="B20" s="36">
        <v>7490000</v>
      </c>
      <c r="C20" s="36" t="s">
        <v>22</v>
      </c>
      <c r="D20" s="4">
        <v>7340000</v>
      </c>
      <c r="E20" s="39">
        <v>7290000</v>
      </c>
      <c r="F20" s="38">
        <v>7390000</v>
      </c>
      <c r="G20" s="4">
        <v>7390000</v>
      </c>
    </row>
    <row r="21" spans="1:7" x14ac:dyDescent="0.2">
      <c r="A21" t="s">
        <v>166</v>
      </c>
      <c r="B21" s="3">
        <v>6990000</v>
      </c>
      <c r="C21" s="41">
        <v>6990000</v>
      </c>
      <c r="D21" s="4">
        <v>6940000</v>
      </c>
      <c r="E21" s="39">
        <v>6590000</v>
      </c>
      <c r="F21" s="38">
        <v>6990000</v>
      </c>
      <c r="G21" s="4">
        <v>6790000</v>
      </c>
    </row>
    <row r="22" spans="1:7" x14ac:dyDescent="0.2">
      <c r="A22" t="s">
        <v>167</v>
      </c>
      <c r="B22" s="3">
        <v>7990000</v>
      </c>
      <c r="C22" s="36" t="s">
        <v>22</v>
      </c>
      <c r="D22" s="4">
        <v>8140000</v>
      </c>
      <c r="E22" s="39">
        <v>7990000</v>
      </c>
      <c r="F22" s="38">
        <v>8190000</v>
      </c>
      <c r="G22" s="4">
        <v>8090000</v>
      </c>
    </row>
    <row r="23" spans="1:7" x14ac:dyDescent="0.2">
      <c r="A23" t="s">
        <v>168</v>
      </c>
      <c r="B23" s="3">
        <v>8990000</v>
      </c>
      <c r="C23" s="3">
        <v>8990000</v>
      </c>
      <c r="D23" s="4">
        <v>9440000</v>
      </c>
      <c r="E23" s="37">
        <v>9790000</v>
      </c>
      <c r="F23" s="34">
        <v>9090000</v>
      </c>
      <c r="G23" s="4">
        <v>9190000</v>
      </c>
    </row>
    <row r="24" spans="1:7" x14ac:dyDescent="0.2">
      <c r="A24" t="s">
        <v>169</v>
      </c>
      <c r="B24" s="3">
        <v>12790000</v>
      </c>
      <c r="C24" s="36" t="s">
        <v>22</v>
      </c>
      <c r="D24" s="4">
        <v>12190000</v>
      </c>
      <c r="E24" s="39">
        <v>12190000</v>
      </c>
      <c r="F24" s="38">
        <v>12590000</v>
      </c>
      <c r="G24" s="4">
        <v>11690000</v>
      </c>
    </row>
    <row r="25" spans="1:7" x14ac:dyDescent="0.2">
      <c r="A25" t="s">
        <v>170</v>
      </c>
      <c r="B25" s="3">
        <v>9790000</v>
      </c>
      <c r="C25" s="3">
        <v>9790000</v>
      </c>
      <c r="D25" s="4">
        <v>10490000</v>
      </c>
      <c r="E25" s="37">
        <v>10490000</v>
      </c>
      <c r="F25" s="34">
        <v>10390000</v>
      </c>
      <c r="G25" s="4">
        <v>10190000</v>
      </c>
    </row>
    <row r="26" spans="1:7" x14ac:dyDescent="0.2">
      <c r="A26" t="s">
        <v>171</v>
      </c>
      <c r="B26" s="3">
        <v>13590000</v>
      </c>
      <c r="C26" s="36" t="s">
        <v>22</v>
      </c>
      <c r="D26" s="4">
        <v>13390000</v>
      </c>
      <c r="E26" s="39">
        <v>12990000</v>
      </c>
      <c r="F26" s="38" t="s">
        <v>22</v>
      </c>
      <c r="G26" s="4">
        <v>12690000</v>
      </c>
    </row>
    <row r="27" spans="1:7" x14ac:dyDescent="0.2">
      <c r="A27" t="s">
        <v>172</v>
      </c>
      <c r="B27" s="3">
        <v>20990000</v>
      </c>
      <c r="C27" s="36">
        <v>21190000</v>
      </c>
      <c r="D27" s="25">
        <v>20890000</v>
      </c>
      <c r="E27" s="36" t="s">
        <v>22</v>
      </c>
      <c r="F27" s="34">
        <v>21290000</v>
      </c>
      <c r="G27" s="4">
        <v>20890000</v>
      </c>
    </row>
    <row r="28" spans="1:7" x14ac:dyDescent="0.2">
      <c r="A28" t="s">
        <v>53</v>
      </c>
      <c r="B28" s="36">
        <v>5790000</v>
      </c>
      <c r="C28" s="36">
        <v>5790000</v>
      </c>
      <c r="D28" s="38">
        <v>5740000</v>
      </c>
      <c r="E28" s="37">
        <v>5419000</v>
      </c>
      <c r="F28" s="34">
        <v>5550000</v>
      </c>
      <c r="G28" s="4">
        <v>5450000</v>
      </c>
    </row>
    <row r="29" spans="1:7" x14ac:dyDescent="0.2">
      <c r="A29" t="s">
        <v>173</v>
      </c>
      <c r="B29" s="36">
        <v>4090000</v>
      </c>
      <c r="C29" s="36">
        <v>4090000</v>
      </c>
      <c r="D29" s="25">
        <v>4090000</v>
      </c>
      <c r="E29" s="39">
        <v>4150000</v>
      </c>
      <c r="F29" s="34">
        <v>4090000</v>
      </c>
      <c r="G29" s="4" t="s">
        <v>197</v>
      </c>
    </row>
    <row r="30" spans="1:7" x14ac:dyDescent="0.2">
      <c r="A30" t="s">
        <v>174</v>
      </c>
      <c r="B30" s="3">
        <v>3090000</v>
      </c>
      <c r="C30" s="3">
        <v>3090000</v>
      </c>
      <c r="D30" s="38">
        <v>3090000</v>
      </c>
      <c r="E30" s="39">
        <v>2690000</v>
      </c>
      <c r="F30" s="34">
        <v>3090000</v>
      </c>
      <c r="G30" s="4">
        <v>2750000</v>
      </c>
    </row>
    <row r="31" spans="1:7" x14ac:dyDescent="0.2">
      <c r="A31" t="s">
        <v>175</v>
      </c>
      <c r="B31" s="3">
        <v>18390000</v>
      </c>
      <c r="C31" s="3">
        <v>18390000</v>
      </c>
      <c r="D31" s="34">
        <v>18490000</v>
      </c>
      <c r="E31" s="36"/>
      <c r="F31" s="34">
        <v>18390000</v>
      </c>
      <c r="G31" s="4">
        <v>17750000</v>
      </c>
    </row>
    <row r="32" spans="1:7" x14ac:dyDescent="0.2">
      <c r="A32" t="s">
        <v>176</v>
      </c>
      <c r="B32" s="3">
        <v>24790000</v>
      </c>
      <c r="C32" s="3">
        <v>24790000</v>
      </c>
      <c r="D32" s="25">
        <v>23690000</v>
      </c>
      <c r="E32" s="36"/>
      <c r="F32" s="34">
        <v>23390000</v>
      </c>
      <c r="G32" s="4">
        <v>22990000</v>
      </c>
    </row>
    <row r="33" spans="1:7" x14ac:dyDescent="0.2">
      <c r="A33" t="s">
        <v>177</v>
      </c>
      <c r="B33" s="36">
        <v>27090000</v>
      </c>
      <c r="C33" s="36">
        <v>27090000</v>
      </c>
      <c r="D33" s="38">
        <v>26790000</v>
      </c>
      <c r="E33" s="36"/>
      <c r="F33" s="38">
        <v>26790000</v>
      </c>
      <c r="G33" s="4">
        <v>26290000</v>
      </c>
    </row>
    <row r="34" spans="1:7" x14ac:dyDescent="0.2">
      <c r="A34" t="s">
        <v>178</v>
      </c>
      <c r="B34" s="3">
        <v>31290000</v>
      </c>
      <c r="C34" s="3">
        <v>31290000</v>
      </c>
      <c r="D34" s="4">
        <v>31090000</v>
      </c>
      <c r="E34" s="36"/>
      <c r="F34" s="38">
        <v>31190000</v>
      </c>
      <c r="G34" s="4">
        <v>30790000</v>
      </c>
    </row>
    <row r="35" spans="1:7" x14ac:dyDescent="0.2">
      <c r="A35" t="s">
        <v>179</v>
      </c>
      <c r="B35" s="3">
        <v>38190000</v>
      </c>
      <c r="C35" s="3">
        <v>38190000</v>
      </c>
      <c r="D35" s="25">
        <v>37990000</v>
      </c>
      <c r="E35" s="36"/>
      <c r="F35" s="38">
        <v>38190000</v>
      </c>
      <c r="G35" s="4">
        <v>37790000</v>
      </c>
    </row>
  </sheetData>
  <pageMargins left="0.7" right="0.7" top="0.75" bottom="0.75" header="0.3" footer="0.3"/>
  <legacyDrawing r:id="rId1"/>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Sheet23"/>
  <dimension ref="A1:K39"/>
  <sheetViews>
    <sheetView workbookViewId="0">
      <selection activeCell="E10" sqref="E10"/>
    </sheetView>
  </sheetViews>
  <sheetFormatPr baseColWidth="10" defaultColWidth="11" defaultRowHeight="16" x14ac:dyDescent="0.2"/>
  <cols>
    <col min="1" max="1" width="25.33203125" bestFit="1" customWidth="1"/>
  </cols>
  <sheetData>
    <row r="1" spans="1:11" x14ac:dyDescent="0.2">
      <c r="B1" t="s">
        <v>0</v>
      </c>
      <c r="C1" t="s">
        <v>1</v>
      </c>
      <c r="D1" t="s">
        <v>2</v>
      </c>
      <c r="E1" t="s">
        <v>3</v>
      </c>
      <c r="F1" t="s">
        <v>4</v>
      </c>
      <c r="G1" t="s">
        <v>5</v>
      </c>
    </row>
    <row r="2" spans="1:11" x14ac:dyDescent="0.2">
      <c r="A2" t="s">
        <v>181</v>
      </c>
      <c r="B2" s="36">
        <v>22990000</v>
      </c>
      <c r="C2" s="36">
        <v>22990000</v>
      </c>
      <c r="D2" s="36">
        <v>22990000</v>
      </c>
      <c r="E2" s="36">
        <v>22990000</v>
      </c>
      <c r="F2" s="36">
        <v>22990000</v>
      </c>
      <c r="G2" s="4">
        <v>21990000</v>
      </c>
    </row>
    <row r="3" spans="1:11" x14ac:dyDescent="0.2">
      <c r="A3" t="s">
        <v>24</v>
      </c>
      <c r="B3" s="36">
        <v>25990000</v>
      </c>
      <c r="C3" s="36">
        <v>25990000</v>
      </c>
      <c r="D3" s="36">
        <v>25990000</v>
      </c>
      <c r="E3" s="36">
        <v>25990000</v>
      </c>
      <c r="F3" s="36">
        <v>25990000</v>
      </c>
      <c r="G3" s="4">
        <v>24990000</v>
      </c>
    </row>
    <row r="4" spans="1:11" x14ac:dyDescent="0.2">
      <c r="A4" t="s">
        <v>182</v>
      </c>
      <c r="B4" s="36">
        <v>28990000</v>
      </c>
      <c r="C4" s="36">
        <v>28990000</v>
      </c>
      <c r="D4" s="36">
        <v>28990000</v>
      </c>
      <c r="E4" s="36">
        <v>28990000</v>
      </c>
      <c r="F4" s="36">
        <v>28990000</v>
      </c>
      <c r="G4" s="4">
        <v>28990000</v>
      </c>
    </row>
    <row r="5" spans="1:11" x14ac:dyDescent="0.2">
      <c r="A5" t="s">
        <v>183</v>
      </c>
      <c r="B5" s="36">
        <v>34990000</v>
      </c>
      <c r="C5" s="36">
        <v>34990000</v>
      </c>
      <c r="D5" s="36">
        <v>34990000</v>
      </c>
      <c r="E5" s="36">
        <v>34990000</v>
      </c>
      <c r="F5" s="36">
        <v>34990000</v>
      </c>
      <c r="G5" s="4">
        <v>34990000</v>
      </c>
    </row>
    <row r="6" spans="1:11" x14ac:dyDescent="0.2">
      <c r="A6" t="s">
        <v>25</v>
      </c>
      <c r="B6" s="3">
        <v>19590000</v>
      </c>
      <c r="C6" s="3">
        <v>19590000</v>
      </c>
      <c r="D6" s="42">
        <v>19590000</v>
      </c>
      <c r="E6" s="36">
        <v>19490000</v>
      </c>
      <c r="F6" s="39">
        <v>19090000</v>
      </c>
      <c r="G6" s="4" t="s">
        <v>201</v>
      </c>
    </row>
    <row r="7" spans="1:11" x14ac:dyDescent="0.2">
      <c r="A7" t="s">
        <v>26</v>
      </c>
      <c r="B7" s="3">
        <v>22590000</v>
      </c>
      <c r="C7" s="3">
        <v>22590000</v>
      </c>
      <c r="D7" s="42">
        <v>22590000</v>
      </c>
      <c r="E7" s="36">
        <v>22490000</v>
      </c>
      <c r="F7" s="39">
        <v>22190000</v>
      </c>
      <c r="G7" s="4">
        <v>22250000</v>
      </c>
      <c r="I7" t="s">
        <v>31</v>
      </c>
      <c r="J7" t="s">
        <v>38</v>
      </c>
      <c r="K7" t="b">
        <v>1</v>
      </c>
    </row>
    <row r="8" spans="1:11" x14ac:dyDescent="0.2">
      <c r="A8" t="s">
        <v>157</v>
      </c>
      <c r="B8" s="3">
        <v>25090000</v>
      </c>
      <c r="C8" s="36" t="s">
        <v>22</v>
      </c>
      <c r="D8" s="42">
        <v>24990000</v>
      </c>
      <c r="E8" s="37">
        <v>23690000</v>
      </c>
      <c r="F8" s="37">
        <v>24790000</v>
      </c>
      <c r="G8" s="4">
        <v>24390000</v>
      </c>
      <c r="I8" t="s">
        <v>0</v>
      </c>
      <c r="J8" t="s">
        <v>36</v>
      </c>
      <c r="K8" t="b">
        <v>1</v>
      </c>
    </row>
    <row r="9" spans="1:11" x14ac:dyDescent="0.2">
      <c r="A9" t="s">
        <v>158</v>
      </c>
      <c r="B9" s="3">
        <v>29490000</v>
      </c>
      <c r="C9" s="41">
        <v>29490000</v>
      </c>
      <c r="D9" s="25">
        <v>29290000</v>
      </c>
      <c r="E9" s="37">
        <v>28690000</v>
      </c>
      <c r="F9" s="37" t="s">
        <v>204</v>
      </c>
      <c r="G9" s="3">
        <v>28790000</v>
      </c>
      <c r="I9" t="s">
        <v>2</v>
      </c>
      <c r="J9" t="s">
        <v>198</v>
      </c>
      <c r="K9" t="b">
        <v>1</v>
      </c>
    </row>
    <row r="10" spans="1:11" x14ac:dyDescent="0.2">
      <c r="A10" t="s">
        <v>92</v>
      </c>
      <c r="B10" s="3">
        <v>19890000</v>
      </c>
      <c r="C10" s="3">
        <v>19890000</v>
      </c>
      <c r="D10" s="25">
        <v>20090000</v>
      </c>
      <c r="E10" s="36">
        <v>19690000</v>
      </c>
      <c r="F10" s="34">
        <v>19790000</v>
      </c>
      <c r="G10" s="4">
        <v>19390000</v>
      </c>
      <c r="I10" t="s">
        <v>3</v>
      </c>
      <c r="J10" t="s">
        <v>199</v>
      </c>
      <c r="K10" t="b">
        <v>1</v>
      </c>
    </row>
    <row r="11" spans="1:11" x14ac:dyDescent="0.2">
      <c r="A11" t="s">
        <v>27</v>
      </c>
      <c r="B11" s="3">
        <v>17090000</v>
      </c>
      <c r="C11" s="42">
        <v>17090000</v>
      </c>
      <c r="D11" s="38">
        <v>16990000</v>
      </c>
      <c r="E11" s="36">
        <v>17690000</v>
      </c>
      <c r="F11" s="38">
        <v>16990000</v>
      </c>
      <c r="G11" s="4">
        <v>17290000</v>
      </c>
      <c r="I11" t="s">
        <v>4</v>
      </c>
      <c r="J11" t="s">
        <v>34</v>
      </c>
      <c r="K11" t="b">
        <v>1</v>
      </c>
    </row>
    <row r="12" spans="1:11" x14ac:dyDescent="0.2">
      <c r="A12" t="s">
        <v>28</v>
      </c>
      <c r="B12" s="3">
        <v>14090000</v>
      </c>
      <c r="C12" s="42">
        <v>14090000</v>
      </c>
      <c r="D12" s="34">
        <v>13990000</v>
      </c>
      <c r="E12" s="36">
        <v>13690000</v>
      </c>
      <c r="F12" s="38">
        <v>13850000</v>
      </c>
      <c r="G12" s="4" t="s">
        <v>202</v>
      </c>
      <c r="I12" t="s">
        <v>41</v>
      </c>
      <c r="J12" t="s">
        <v>42</v>
      </c>
      <c r="K12" t="b">
        <v>1</v>
      </c>
    </row>
    <row r="13" spans="1:11" x14ac:dyDescent="0.2">
      <c r="A13" t="s">
        <v>98</v>
      </c>
      <c r="B13" s="3">
        <v>11490000</v>
      </c>
      <c r="C13" s="37">
        <v>11490000</v>
      </c>
      <c r="D13" s="25">
        <v>10890000</v>
      </c>
      <c r="E13" s="36">
        <v>10990000</v>
      </c>
      <c r="F13" s="38">
        <v>10990000</v>
      </c>
      <c r="G13" s="4">
        <v>12290000</v>
      </c>
    </row>
    <row r="14" spans="1:11" x14ac:dyDescent="0.2">
      <c r="A14" t="s">
        <v>102</v>
      </c>
      <c r="B14" s="3">
        <v>8940000</v>
      </c>
      <c r="C14" s="3">
        <v>8940000</v>
      </c>
      <c r="D14" s="25">
        <v>8940000</v>
      </c>
      <c r="E14" s="36">
        <v>8490000</v>
      </c>
      <c r="F14" s="38">
        <v>8890000</v>
      </c>
      <c r="G14" s="4">
        <v>8790000</v>
      </c>
    </row>
    <row r="15" spans="1:11" x14ac:dyDescent="0.2">
      <c r="A15" t="s">
        <v>160</v>
      </c>
      <c r="B15" s="36" t="s">
        <v>22</v>
      </c>
      <c r="C15" s="36" t="s">
        <v>22</v>
      </c>
      <c r="D15" s="4" t="s">
        <v>22</v>
      </c>
      <c r="E15" s="39">
        <v>13990000</v>
      </c>
      <c r="F15" s="38" t="s">
        <v>22</v>
      </c>
      <c r="G15" s="4">
        <v>14290000</v>
      </c>
    </row>
    <row r="16" spans="1:11" x14ac:dyDescent="0.2">
      <c r="A16" t="s">
        <v>161</v>
      </c>
      <c r="B16" s="3">
        <v>12890000</v>
      </c>
      <c r="C16" s="36" t="s">
        <v>22</v>
      </c>
      <c r="D16" s="4">
        <v>12690000</v>
      </c>
      <c r="E16" s="36" t="s">
        <v>22</v>
      </c>
      <c r="F16" s="34">
        <v>12650000</v>
      </c>
      <c r="G16" s="4">
        <v>12650000</v>
      </c>
    </row>
    <row r="17" spans="1:7" x14ac:dyDescent="0.2">
      <c r="A17" t="s">
        <v>162</v>
      </c>
      <c r="B17" s="3">
        <v>9890000</v>
      </c>
      <c r="C17" s="3">
        <v>9890000</v>
      </c>
      <c r="D17" s="25">
        <v>9940000</v>
      </c>
      <c r="E17" s="36">
        <v>9490000</v>
      </c>
      <c r="F17" s="34">
        <v>9490000</v>
      </c>
      <c r="G17" s="4">
        <v>9490000</v>
      </c>
    </row>
    <row r="18" spans="1:7" x14ac:dyDescent="0.2">
      <c r="A18" t="s">
        <v>163</v>
      </c>
      <c r="B18" s="3">
        <v>7640000</v>
      </c>
      <c r="C18" s="3">
        <v>7640000</v>
      </c>
      <c r="D18" s="4">
        <v>7140000</v>
      </c>
      <c r="E18" s="36">
        <v>6990000</v>
      </c>
      <c r="F18" s="34">
        <v>7150000</v>
      </c>
      <c r="G18" s="4">
        <v>7090000</v>
      </c>
    </row>
    <row r="19" spans="1:7" x14ac:dyDescent="0.2">
      <c r="A19" t="s">
        <v>189</v>
      </c>
      <c r="B19" s="3">
        <v>16890000</v>
      </c>
      <c r="C19" s="36" t="s">
        <v>22</v>
      </c>
      <c r="D19" s="4">
        <v>16890000</v>
      </c>
      <c r="E19" s="39">
        <v>16490000</v>
      </c>
      <c r="F19" s="34">
        <v>16490000</v>
      </c>
      <c r="G19" s="4" t="s">
        <v>203</v>
      </c>
    </row>
    <row r="20" spans="1:7" x14ac:dyDescent="0.2">
      <c r="A20" t="s">
        <v>190</v>
      </c>
      <c r="B20" s="3">
        <v>22390000</v>
      </c>
      <c r="C20" s="36">
        <v>22490000</v>
      </c>
      <c r="D20" s="25">
        <v>21890000</v>
      </c>
      <c r="E20" s="39">
        <v>21490000</v>
      </c>
      <c r="F20" s="38">
        <v>21490000</v>
      </c>
      <c r="G20" s="4">
        <v>21990000</v>
      </c>
    </row>
    <row r="21" spans="1:7" x14ac:dyDescent="0.2">
      <c r="A21" t="s">
        <v>184</v>
      </c>
      <c r="B21" s="3">
        <v>27690000</v>
      </c>
      <c r="C21" s="36">
        <v>27790000</v>
      </c>
      <c r="D21" s="25">
        <v>27590000</v>
      </c>
      <c r="E21" s="39">
        <v>27490000</v>
      </c>
      <c r="F21" s="34">
        <v>27690000</v>
      </c>
      <c r="G21" s="4">
        <v>27190000</v>
      </c>
    </row>
    <row r="22" spans="1:7" x14ac:dyDescent="0.2">
      <c r="A22" t="s">
        <v>185</v>
      </c>
      <c r="B22" s="3">
        <v>37190000</v>
      </c>
      <c r="C22" s="36">
        <v>37290000</v>
      </c>
      <c r="D22" s="25">
        <v>36490000</v>
      </c>
      <c r="E22" s="36">
        <v>36490000</v>
      </c>
      <c r="F22" s="38">
        <v>36990000</v>
      </c>
      <c r="G22" s="4">
        <v>36890000</v>
      </c>
    </row>
    <row r="23" spans="1:7" x14ac:dyDescent="0.2">
      <c r="A23" t="s">
        <v>164</v>
      </c>
      <c r="B23" s="3">
        <v>6040000</v>
      </c>
      <c r="C23" s="36">
        <v>6090000</v>
      </c>
      <c r="D23" s="4">
        <v>5940000</v>
      </c>
      <c r="E23" s="39">
        <v>5990000</v>
      </c>
      <c r="F23" s="38">
        <v>5990000</v>
      </c>
      <c r="G23" s="4">
        <v>5890000</v>
      </c>
    </row>
    <row r="24" spans="1:7" x14ac:dyDescent="0.2">
      <c r="A24" t="s">
        <v>165</v>
      </c>
      <c r="B24" s="3">
        <v>7450000</v>
      </c>
      <c r="C24" s="36" t="s">
        <v>22</v>
      </c>
      <c r="D24" s="3">
        <v>7240000</v>
      </c>
      <c r="E24" s="39">
        <v>7290000</v>
      </c>
      <c r="F24" s="38">
        <v>7390000</v>
      </c>
      <c r="G24" s="4">
        <v>7390000</v>
      </c>
    </row>
    <row r="25" spans="1:7" x14ac:dyDescent="0.2">
      <c r="A25" t="s">
        <v>166</v>
      </c>
      <c r="B25" s="3">
        <v>6940000</v>
      </c>
      <c r="C25" s="3">
        <v>6940000</v>
      </c>
      <c r="D25" s="3">
        <v>6740000</v>
      </c>
      <c r="E25" s="39">
        <v>6590000</v>
      </c>
      <c r="F25" s="38">
        <v>6990000</v>
      </c>
      <c r="G25" s="4">
        <v>6790000</v>
      </c>
    </row>
    <row r="26" spans="1:7" x14ac:dyDescent="0.2">
      <c r="A26" t="s">
        <v>167</v>
      </c>
      <c r="B26" s="3">
        <v>7940000</v>
      </c>
      <c r="C26" s="36" t="s">
        <v>22</v>
      </c>
      <c r="D26" s="3">
        <v>8040000</v>
      </c>
      <c r="E26" s="39">
        <v>7990000</v>
      </c>
      <c r="F26" s="38">
        <v>8190000</v>
      </c>
      <c r="G26" s="3">
        <v>7490000</v>
      </c>
    </row>
    <row r="27" spans="1:7" x14ac:dyDescent="0.2">
      <c r="A27" t="s">
        <v>168</v>
      </c>
      <c r="B27" s="3">
        <v>8940000</v>
      </c>
      <c r="C27" s="3">
        <v>8940000</v>
      </c>
      <c r="D27" s="3">
        <v>9540000</v>
      </c>
      <c r="E27" s="37">
        <v>9790000</v>
      </c>
      <c r="F27" s="38">
        <v>9090000</v>
      </c>
      <c r="G27" s="4">
        <v>9190000</v>
      </c>
    </row>
    <row r="28" spans="1:7" x14ac:dyDescent="0.2">
      <c r="A28" t="s">
        <v>169</v>
      </c>
      <c r="B28" s="3">
        <v>12690000</v>
      </c>
      <c r="C28" s="36" t="s">
        <v>22</v>
      </c>
      <c r="D28" s="4">
        <v>12190000</v>
      </c>
      <c r="E28" s="39">
        <v>12190000</v>
      </c>
      <c r="F28" s="38">
        <v>12590000</v>
      </c>
      <c r="G28" s="4">
        <v>11690000</v>
      </c>
    </row>
    <row r="29" spans="1:7" x14ac:dyDescent="0.2">
      <c r="A29" t="s">
        <v>170</v>
      </c>
      <c r="B29" s="3">
        <v>9690000</v>
      </c>
      <c r="C29" s="3">
        <v>9690000</v>
      </c>
      <c r="D29" s="4">
        <v>10490000</v>
      </c>
      <c r="E29" s="37">
        <v>10490000</v>
      </c>
      <c r="F29" s="38">
        <v>10390000</v>
      </c>
      <c r="G29" s="4">
        <v>10190000</v>
      </c>
    </row>
    <row r="30" spans="1:7" x14ac:dyDescent="0.2">
      <c r="A30" t="s">
        <v>171</v>
      </c>
      <c r="B30" s="3">
        <v>13490000</v>
      </c>
      <c r="C30" s="36" t="s">
        <v>22</v>
      </c>
      <c r="D30" s="4">
        <v>13390000</v>
      </c>
      <c r="E30" s="39">
        <v>12990000</v>
      </c>
      <c r="F30" s="38" t="s">
        <v>22</v>
      </c>
      <c r="G30" s="4">
        <v>12690000</v>
      </c>
    </row>
    <row r="31" spans="1:7" x14ac:dyDescent="0.2">
      <c r="A31" t="s">
        <v>172</v>
      </c>
      <c r="B31" s="3">
        <v>20990000</v>
      </c>
      <c r="C31" s="36">
        <v>21190000</v>
      </c>
      <c r="D31" s="25">
        <v>20890000</v>
      </c>
      <c r="E31" s="36" t="s">
        <v>22</v>
      </c>
      <c r="F31" s="34">
        <v>21290000</v>
      </c>
      <c r="G31" s="4">
        <v>20890000</v>
      </c>
    </row>
    <row r="32" spans="1:7" x14ac:dyDescent="0.2">
      <c r="A32" t="s">
        <v>53</v>
      </c>
      <c r="B32" s="3">
        <v>5740000</v>
      </c>
      <c r="C32" s="36">
        <v>5790000</v>
      </c>
      <c r="D32" s="38">
        <v>5740000</v>
      </c>
      <c r="E32" s="37">
        <v>5419000</v>
      </c>
      <c r="F32" s="38">
        <v>5550000</v>
      </c>
      <c r="G32" s="4">
        <v>5450000</v>
      </c>
    </row>
    <row r="33" spans="1:7" x14ac:dyDescent="0.2">
      <c r="A33" t="s">
        <v>173</v>
      </c>
      <c r="B33" s="3">
        <v>4040000</v>
      </c>
      <c r="C33" s="36">
        <v>4090000</v>
      </c>
      <c r="D33" s="25">
        <v>4090000</v>
      </c>
      <c r="E33" s="39">
        <v>4150000</v>
      </c>
      <c r="F33" s="38">
        <v>4090000</v>
      </c>
      <c r="G33" s="4" t="s">
        <v>197</v>
      </c>
    </row>
    <row r="34" spans="1:7" x14ac:dyDescent="0.2">
      <c r="A34" t="s">
        <v>174</v>
      </c>
      <c r="B34" s="36">
        <v>3090000</v>
      </c>
      <c r="C34" s="36">
        <v>3090000</v>
      </c>
      <c r="D34" s="38">
        <v>3090000</v>
      </c>
      <c r="E34" s="39">
        <v>2690000</v>
      </c>
      <c r="F34" s="38">
        <v>3090000</v>
      </c>
      <c r="G34" s="4">
        <v>2750000</v>
      </c>
    </row>
    <row r="35" spans="1:7" x14ac:dyDescent="0.2">
      <c r="A35" t="s">
        <v>175</v>
      </c>
      <c r="B35" s="36">
        <v>18390000</v>
      </c>
      <c r="C35" s="36">
        <v>18390000</v>
      </c>
      <c r="D35" s="38">
        <v>18490000</v>
      </c>
      <c r="E35" s="36"/>
      <c r="F35" s="34">
        <v>18290000</v>
      </c>
      <c r="G35" s="4">
        <v>17750000</v>
      </c>
    </row>
    <row r="36" spans="1:7" x14ac:dyDescent="0.2">
      <c r="A36" t="s">
        <v>176</v>
      </c>
      <c r="B36" s="3">
        <v>24690000</v>
      </c>
      <c r="C36" s="3">
        <v>24690000</v>
      </c>
      <c r="D36" s="25">
        <v>23690000</v>
      </c>
      <c r="E36" s="36"/>
      <c r="F36" s="34">
        <v>23490000</v>
      </c>
      <c r="G36" s="4">
        <v>22990000</v>
      </c>
    </row>
    <row r="37" spans="1:7" x14ac:dyDescent="0.2">
      <c r="A37" t="s">
        <v>177</v>
      </c>
      <c r="B37" s="3">
        <v>26990000</v>
      </c>
      <c r="C37" s="3">
        <v>26990000</v>
      </c>
      <c r="D37" s="38">
        <v>26790000</v>
      </c>
      <c r="E37" s="36"/>
      <c r="F37" s="34">
        <v>26990000</v>
      </c>
      <c r="G37" s="4">
        <v>26290000</v>
      </c>
    </row>
    <row r="38" spans="1:7" x14ac:dyDescent="0.2">
      <c r="A38" t="s">
        <v>178</v>
      </c>
      <c r="B38" s="3">
        <v>31190000</v>
      </c>
      <c r="C38" s="3">
        <v>31190000</v>
      </c>
      <c r="D38" s="4">
        <v>31090000</v>
      </c>
      <c r="E38" s="36"/>
      <c r="F38" s="38">
        <v>31390000</v>
      </c>
      <c r="G38" s="4">
        <v>30790000</v>
      </c>
    </row>
    <row r="39" spans="1:7" x14ac:dyDescent="0.2">
      <c r="A39" t="s">
        <v>179</v>
      </c>
      <c r="B39" s="3">
        <v>38090000</v>
      </c>
      <c r="C39" s="3">
        <v>38090000</v>
      </c>
      <c r="D39" s="25">
        <v>37990000</v>
      </c>
      <c r="E39" s="36"/>
      <c r="F39" s="38">
        <v>38190000</v>
      </c>
      <c r="G39" s="4">
        <v>37790000</v>
      </c>
    </row>
  </sheetData>
  <pageMargins left="0.7" right="0.7" top="0.75" bottom="0.75" header="0.3" footer="0.3"/>
  <legacyDrawing r:id="rId1"/>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codeName="Sheet24"/>
  <dimension ref="A1:K39"/>
  <sheetViews>
    <sheetView zoomScale="93" workbookViewId="0">
      <selection activeCell="J36" sqref="J36"/>
    </sheetView>
  </sheetViews>
  <sheetFormatPr baseColWidth="10" defaultColWidth="11" defaultRowHeight="16" x14ac:dyDescent="0.2"/>
  <cols>
    <col min="1" max="1" width="25.33203125" bestFit="1" customWidth="1"/>
  </cols>
  <sheetData>
    <row r="1" spans="1:11" x14ac:dyDescent="0.2">
      <c r="B1" t="s">
        <v>0</v>
      </c>
      <c r="C1" t="s">
        <v>1</v>
      </c>
      <c r="D1" t="s">
        <v>2</v>
      </c>
      <c r="E1" t="s">
        <v>3</v>
      </c>
      <c r="F1" t="s">
        <v>4</v>
      </c>
      <c r="G1" t="s">
        <v>5</v>
      </c>
    </row>
    <row r="2" spans="1:11" x14ac:dyDescent="0.2">
      <c r="A2" t="s">
        <v>181</v>
      </c>
      <c r="B2" s="3">
        <v>22890000</v>
      </c>
      <c r="C2" s="3">
        <v>22890000</v>
      </c>
      <c r="D2" s="36">
        <v>22990000</v>
      </c>
      <c r="E2" s="36">
        <v>22990000</v>
      </c>
      <c r="F2" s="37">
        <v>21990000</v>
      </c>
      <c r="G2" s="3">
        <v>21590000</v>
      </c>
    </row>
    <row r="3" spans="1:11" x14ac:dyDescent="0.2">
      <c r="A3" t="s">
        <v>24</v>
      </c>
      <c r="B3" s="3">
        <v>25890000</v>
      </c>
      <c r="C3" s="3">
        <v>25890000</v>
      </c>
      <c r="D3" s="36">
        <v>25990000</v>
      </c>
      <c r="E3" s="36">
        <v>25990000</v>
      </c>
      <c r="F3" s="37">
        <v>24990000</v>
      </c>
      <c r="G3" s="3">
        <v>24590000</v>
      </c>
    </row>
    <row r="4" spans="1:11" x14ac:dyDescent="0.2">
      <c r="A4" t="s">
        <v>182</v>
      </c>
      <c r="B4" s="3">
        <v>28890000</v>
      </c>
      <c r="C4" s="3">
        <v>28890000</v>
      </c>
      <c r="D4" s="36">
        <v>28990000</v>
      </c>
      <c r="E4" s="36">
        <v>28990000</v>
      </c>
      <c r="F4" s="37">
        <v>27990000</v>
      </c>
      <c r="G4" s="3">
        <v>28590000</v>
      </c>
    </row>
    <row r="5" spans="1:11" x14ac:dyDescent="0.2">
      <c r="A5" t="s">
        <v>183</v>
      </c>
      <c r="B5" s="3">
        <v>34890000</v>
      </c>
      <c r="C5" s="3">
        <v>34890000</v>
      </c>
      <c r="D5" s="36">
        <v>34990000</v>
      </c>
      <c r="E5" s="36">
        <v>34990000</v>
      </c>
      <c r="F5" s="37">
        <v>33990000</v>
      </c>
      <c r="G5" s="3">
        <v>34590000</v>
      </c>
    </row>
    <row r="6" spans="1:11" x14ac:dyDescent="0.2">
      <c r="A6" t="s">
        <v>25</v>
      </c>
      <c r="B6" s="36">
        <v>19590000</v>
      </c>
      <c r="C6" s="36">
        <v>19590000</v>
      </c>
      <c r="D6" s="41">
        <v>19690000</v>
      </c>
      <c r="E6" s="36">
        <v>19490000</v>
      </c>
      <c r="F6" s="37">
        <v>19590000</v>
      </c>
      <c r="G6" s="4" t="s">
        <v>201</v>
      </c>
    </row>
    <row r="7" spans="1:11" x14ac:dyDescent="0.2">
      <c r="A7" t="s">
        <v>26</v>
      </c>
      <c r="B7" s="36">
        <v>22590000</v>
      </c>
      <c r="C7" s="36">
        <v>22590000</v>
      </c>
      <c r="D7" s="41">
        <v>22790000</v>
      </c>
      <c r="E7" s="36">
        <v>22490000</v>
      </c>
      <c r="F7" s="37">
        <v>22690000</v>
      </c>
      <c r="G7" s="4">
        <v>22250000</v>
      </c>
      <c r="I7" t="s">
        <v>31</v>
      </c>
      <c r="J7" t="s">
        <v>38</v>
      </c>
      <c r="K7" t="b">
        <v>1</v>
      </c>
    </row>
    <row r="8" spans="1:11" x14ac:dyDescent="0.2">
      <c r="A8" t="s">
        <v>157</v>
      </c>
      <c r="B8" s="3">
        <v>25190000</v>
      </c>
      <c r="C8" s="36" t="s">
        <v>22</v>
      </c>
      <c r="D8" s="41">
        <v>25190000</v>
      </c>
      <c r="E8" s="37">
        <v>23990000</v>
      </c>
      <c r="F8" s="37">
        <v>25590000</v>
      </c>
      <c r="G8" s="4">
        <v>24390000</v>
      </c>
      <c r="I8" t="s">
        <v>0</v>
      </c>
      <c r="J8" t="s">
        <v>36</v>
      </c>
      <c r="K8" t="b">
        <v>1</v>
      </c>
    </row>
    <row r="9" spans="1:11" x14ac:dyDescent="0.2">
      <c r="A9" t="s">
        <v>158</v>
      </c>
      <c r="B9" s="36">
        <v>29490000</v>
      </c>
      <c r="C9" s="36">
        <v>29490000</v>
      </c>
      <c r="D9" s="3">
        <v>29390000</v>
      </c>
      <c r="E9" s="37">
        <v>28990000</v>
      </c>
      <c r="F9" s="37" t="s">
        <v>205</v>
      </c>
      <c r="G9" s="4">
        <v>28790000</v>
      </c>
      <c r="I9" t="s">
        <v>2</v>
      </c>
      <c r="J9" t="s">
        <v>198</v>
      </c>
      <c r="K9" t="b">
        <v>1</v>
      </c>
    </row>
    <row r="10" spans="1:11" x14ac:dyDescent="0.2">
      <c r="A10" t="s">
        <v>92</v>
      </c>
      <c r="B10" s="36">
        <v>19890000</v>
      </c>
      <c r="C10" s="36">
        <v>19890000</v>
      </c>
      <c r="D10" s="3">
        <v>20190000</v>
      </c>
      <c r="E10" s="36">
        <v>19690000</v>
      </c>
      <c r="F10" s="34">
        <v>19790000</v>
      </c>
      <c r="G10" s="4">
        <v>19390000</v>
      </c>
      <c r="I10" t="s">
        <v>3</v>
      </c>
      <c r="J10" t="s">
        <v>199</v>
      </c>
      <c r="K10" t="b">
        <v>1</v>
      </c>
    </row>
    <row r="11" spans="1:11" x14ac:dyDescent="0.2">
      <c r="A11" t="s">
        <v>27</v>
      </c>
      <c r="B11" s="36">
        <v>17090000</v>
      </c>
      <c r="C11" s="36">
        <v>17090000</v>
      </c>
      <c r="D11" s="34">
        <v>17190000</v>
      </c>
      <c r="E11" s="36" t="s">
        <v>22</v>
      </c>
      <c r="F11" s="38">
        <v>16990000</v>
      </c>
      <c r="G11" s="4">
        <v>17290000</v>
      </c>
      <c r="I11" t="s">
        <v>4</v>
      </c>
      <c r="J11" t="s">
        <v>34</v>
      </c>
      <c r="K11" t="b">
        <v>1</v>
      </c>
    </row>
    <row r="12" spans="1:11" x14ac:dyDescent="0.2">
      <c r="A12" t="s">
        <v>28</v>
      </c>
      <c r="B12" s="3">
        <v>14190000</v>
      </c>
      <c r="C12" s="3">
        <v>14190000</v>
      </c>
      <c r="D12" s="34">
        <v>14290000</v>
      </c>
      <c r="E12" s="36">
        <v>13690000</v>
      </c>
      <c r="F12" s="34">
        <v>13790000</v>
      </c>
      <c r="G12" s="4" t="s">
        <v>202</v>
      </c>
      <c r="I12" t="s">
        <v>41</v>
      </c>
      <c r="J12" t="s">
        <v>42</v>
      </c>
      <c r="K12" t="b">
        <v>1</v>
      </c>
    </row>
    <row r="13" spans="1:11" x14ac:dyDescent="0.2">
      <c r="A13" t="s">
        <v>98</v>
      </c>
      <c r="B13" s="36">
        <v>11490000</v>
      </c>
      <c r="C13" s="36">
        <v>11490000</v>
      </c>
      <c r="D13" s="3">
        <v>10990000</v>
      </c>
      <c r="E13" s="36">
        <v>10990000</v>
      </c>
      <c r="F13" s="38">
        <v>10990000</v>
      </c>
      <c r="G13" s="4">
        <v>12290000</v>
      </c>
    </row>
    <row r="14" spans="1:11" x14ac:dyDescent="0.2">
      <c r="A14" t="s">
        <v>102</v>
      </c>
      <c r="B14" s="36">
        <v>8940000</v>
      </c>
      <c r="C14" s="36">
        <v>8940000</v>
      </c>
      <c r="D14" s="3">
        <v>8990000</v>
      </c>
      <c r="E14" s="36">
        <v>8490000</v>
      </c>
      <c r="F14" s="38">
        <v>8890000</v>
      </c>
      <c r="G14" s="4">
        <v>8790000</v>
      </c>
    </row>
    <row r="15" spans="1:11" x14ac:dyDescent="0.2">
      <c r="A15" t="s">
        <v>160</v>
      </c>
      <c r="B15" s="36" t="s">
        <v>22</v>
      </c>
      <c r="C15" s="36" t="s">
        <v>22</v>
      </c>
      <c r="D15" s="4" t="s">
        <v>22</v>
      </c>
      <c r="E15" s="39">
        <v>13990000</v>
      </c>
      <c r="F15" s="38" t="s">
        <v>22</v>
      </c>
      <c r="G15" s="34" t="s">
        <v>22</v>
      </c>
    </row>
    <row r="16" spans="1:11" x14ac:dyDescent="0.2">
      <c r="A16" t="s">
        <v>161</v>
      </c>
      <c r="B16" s="3">
        <v>12790000</v>
      </c>
      <c r="C16" s="36" t="s">
        <v>22</v>
      </c>
      <c r="D16" s="3">
        <v>12790000</v>
      </c>
      <c r="E16" s="36" t="s">
        <v>22</v>
      </c>
      <c r="F16" s="38">
        <v>12650000</v>
      </c>
      <c r="G16" s="4">
        <v>12650000</v>
      </c>
    </row>
    <row r="17" spans="1:7" x14ac:dyDescent="0.2">
      <c r="A17" t="s">
        <v>162</v>
      </c>
      <c r="B17" s="36">
        <v>9890000</v>
      </c>
      <c r="C17" s="36">
        <v>9890000</v>
      </c>
      <c r="D17" s="3">
        <v>9990000</v>
      </c>
      <c r="E17" s="36">
        <v>9490000</v>
      </c>
      <c r="F17" s="34">
        <v>9390000</v>
      </c>
      <c r="G17" s="4">
        <v>9490000</v>
      </c>
    </row>
    <row r="18" spans="1:7" x14ac:dyDescent="0.2">
      <c r="A18" t="s">
        <v>163</v>
      </c>
      <c r="B18" s="36">
        <v>7640000</v>
      </c>
      <c r="C18" s="36">
        <v>7640000</v>
      </c>
      <c r="D18" s="3">
        <v>7190000</v>
      </c>
      <c r="E18" s="36">
        <v>6990000</v>
      </c>
      <c r="F18" s="38">
        <v>7150000</v>
      </c>
      <c r="G18" s="4">
        <v>7090000</v>
      </c>
    </row>
    <row r="19" spans="1:7" x14ac:dyDescent="0.2">
      <c r="A19" t="s">
        <v>189</v>
      </c>
      <c r="B19" s="36">
        <v>16890000</v>
      </c>
      <c r="C19" s="36">
        <v>16890000</v>
      </c>
      <c r="D19" s="3">
        <v>16990000</v>
      </c>
      <c r="E19" s="37">
        <v>16226000</v>
      </c>
      <c r="F19" s="38">
        <v>16490000</v>
      </c>
      <c r="G19" s="4" t="s">
        <v>203</v>
      </c>
    </row>
    <row r="20" spans="1:7" x14ac:dyDescent="0.2">
      <c r="A20" t="s">
        <v>190</v>
      </c>
      <c r="B20" s="36">
        <v>22390000</v>
      </c>
      <c r="C20" s="36">
        <v>22390000</v>
      </c>
      <c r="D20" s="3">
        <v>21990000</v>
      </c>
      <c r="E20" s="37">
        <v>21275000</v>
      </c>
      <c r="F20" s="38">
        <v>21490000</v>
      </c>
      <c r="G20" s="3">
        <v>21490000</v>
      </c>
    </row>
    <row r="21" spans="1:7" x14ac:dyDescent="0.2">
      <c r="A21" t="s">
        <v>184</v>
      </c>
      <c r="B21" s="36">
        <v>27690000</v>
      </c>
      <c r="C21" s="36">
        <v>27690000</v>
      </c>
      <c r="D21" s="3">
        <v>27690000</v>
      </c>
      <c r="E21" s="37">
        <v>27215000</v>
      </c>
      <c r="F21" s="38">
        <v>27690000</v>
      </c>
      <c r="G21" s="4">
        <v>27190000</v>
      </c>
    </row>
    <row r="22" spans="1:7" x14ac:dyDescent="0.2">
      <c r="A22" t="s">
        <v>185</v>
      </c>
      <c r="B22" s="36">
        <v>37190000</v>
      </c>
      <c r="C22" s="36">
        <v>37190000</v>
      </c>
      <c r="D22" s="3">
        <v>36790000</v>
      </c>
      <c r="E22" s="36">
        <v>36490000</v>
      </c>
      <c r="F22" s="38">
        <v>36990000</v>
      </c>
      <c r="G22" s="4">
        <v>36890000</v>
      </c>
    </row>
    <row r="23" spans="1:7" x14ac:dyDescent="0.2">
      <c r="A23" t="s">
        <v>164</v>
      </c>
      <c r="B23" s="36">
        <v>6040000</v>
      </c>
      <c r="C23" s="36">
        <v>6040000</v>
      </c>
      <c r="D23" s="3">
        <v>5990000</v>
      </c>
      <c r="E23" s="39">
        <v>5990000</v>
      </c>
      <c r="F23" s="34">
        <v>5890000</v>
      </c>
      <c r="G23" s="4">
        <v>5890000</v>
      </c>
    </row>
    <row r="24" spans="1:7" x14ac:dyDescent="0.2">
      <c r="A24" t="s">
        <v>165</v>
      </c>
      <c r="B24" s="36">
        <v>7440000</v>
      </c>
      <c r="C24" s="36" t="s">
        <v>22</v>
      </c>
      <c r="D24" s="3">
        <v>7390000</v>
      </c>
      <c r="E24" s="39">
        <v>7290000</v>
      </c>
      <c r="F24" s="34">
        <v>7290000</v>
      </c>
      <c r="G24" s="4">
        <v>7390000</v>
      </c>
    </row>
    <row r="25" spans="1:7" x14ac:dyDescent="0.2">
      <c r="A25" t="s">
        <v>166</v>
      </c>
      <c r="B25" s="36">
        <v>6940000</v>
      </c>
      <c r="C25" s="36">
        <v>6940000</v>
      </c>
      <c r="D25" s="3">
        <v>6990000</v>
      </c>
      <c r="E25" s="39">
        <v>6590000</v>
      </c>
      <c r="F25" s="34">
        <v>6790000</v>
      </c>
      <c r="G25" s="4">
        <v>6790000</v>
      </c>
    </row>
    <row r="26" spans="1:7" x14ac:dyDescent="0.2">
      <c r="A26" t="s">
        <v>167</v>
      </c>
      <c r="B26" s="36">
        <v>7940000</v>
      </c>
      <c r="C26" s="36" t="s">
        <v>22</v>
      </c>
      <c r="D26" s="3">
        <v>8190000</v>
      </c>
      <c r="E26" s="39">
        <v>7990000</v>
      </c>
      <c r="F26" s="34">
        <v>7790000</v>
      </c>
      <c r="G26" s="3" t="s">
        <v>206</v>
      </c>
    </row>
    <row r="27" spans="1:7" x14ac:dyDescent="0.2">
      <c r="A27" t="s">
        <v>168</v>
      </c>
      <c r="B27" s="36">
        <v>8940000</v>
      </c>
      <c r="C27" s="36">
        <v>8940000</v>
      </c>
      <c r="D27" s="3">
        <v>9490000</v>
      </c>
      <c r="E27" s="39">
        <v>9790000</v>
      </c>
      <c r="F27" s="38">
        <v>9090000</v>
      </c>
      <c r="G27" s="4">
        <v>9190000</v>
      </c>
    </row>
    <row r="28" spans="1:7" x14ac:dyDescent="0.2">
      <c r="A28" t="s">
        <v>169</v>
      </c>
      <c r="B28" s="36">
        <v>12690000</v>
      </c>
      <c r="C28" s="36" t="s">
        <v>22</v>
      </c>
      <c r="D28" s="3">
        <v>12290000</v>
      </c>
      <c r="E28" s="39">
        <v>12190000</v>
      </c>
      <c r="F28" s="38" t="s">
        <v>22</v>
      </c>
      <c r="G28" s="4">
        <v>11690000</v>
      </c>
    </row>
    <row r="29" spans="1:7" x14ac:dyDescent="0.2">
      <c r="A29" t="s">
        <v>170</v>
      </c>
      <c r="B29" s="36">
        <v>9690000</v>
      </c>
      <c r="C29" s="36">
        <v>9690000</v>
      </c>
      <c r="D29" s="3">
        <v>10590000</v>
      </c>
      <c r="E29" s="39">
        <v>10490000</v>
      </c>
      <c r="F29" s="34">
        <v>10190000</v>
      </c>
      <c r="G29" s="4">
        <v>10190000</v>
      </c>
    </row>
    <row r="30" spans="1:7" x14ac:dyDescent="0.2">
      <c r="A30" t="s">
        <v>171</v>
      </c>
      <c r="B30" s="36">
        <v>13490000</v>
      </c>
      <c r="C30" s="36" t="s">
        <v>22</v>
      </c>
      <c r="D30" s="3">
        <v>13490000</v>
      </c>
      <c r="E30" s="39">
        <v>12990000</v>
      </c>
      <c r="F30" s="38" t="s">
        <v>22</v>
      </c>
      <c r="G30" s="4">
        <v>12690000</v>
      </c>
    </row>
    <row r="31" spans="1:7" x14ac:dyDescent="0.2">
      <c r="A31" t="s">
        <v>172</v>
      </c>
      <c r="B31" s="3">
        <v>22890000</v>
      </c>
      <c r="C31" s="3">
        <v>22890000</v>
      </c>
      <c r="D31" s="3">
        <v>20990000</v>
      </c>
      <c r="E31" s="36" t="s">
        <v>22</v>
      </c>
      <c r="F31" s="36" t="s">
        <v>22</v>
      </c>
      <c r="G31" s="4">
        <v>20890000</v>
      </c>
    </row>
    <row r="32" spans="1:7" x14ac:dyDescent="0.2">
      <c r="A32" t="s">
        <v>53</v>
      </c>
      <c r="B32" s="36">
        <v>5740000</v>
      </c>
      <c r="C32" s="36">
        <v>5790000</v>
      </c>
      <c r="D32" s="34">
        <v>5790000</v>
      </c>
      <c r="E32" s="37">
        <v>5490000</v>
      </c>
      <c r="F32" s="38">
        <v>5550000</v>
      </c>
      <c r="G32" s="4">
        <v>5450000</v>
      </c>
    </row>
    <row r="33" spans="1:7" x14ac:dyDescent="0.2">
      <c r="A33" t="s">
        <v>173</v>
      </c>
      <c r="B33" s="36">
        <v>4040000</v>
      </c>
      <c r="C33" s="36">
        <v>4090000</v>
      </c>
      <c r="D33" s="25">
        <v>4090000</v>
      </c>
      <c r="E33" s="39">
        <v>4150000</v>
      </c>
      <c r="F33" s="38">
        <v>4090000</v>
      </c>
      <c r="G33" s="4" t="s">
        <v>197</v>
      </c>
    </row>
    <row r="34" spans="1:7" x14ac:dyDescent="0.2">
      <c r="A34" t="s">
        <v>174</v>
      </c>
      <c r="B34" s="36">
        <v>3090000</v>
      </c>
      <c r="C34" s="36">
        <v>3090000</v>
      </c>
      <c r="D34" s="38">
        <v>3090000</v>
      </c>
      <c r="E34" s="37">
        <v>2790000</v>
      </c>
      <c r="F34" s="38">
        <v>3090000</v>
      </c>
      <c r="G34" s="4">
        <v>2750000</v>
      </c>
    </row>
    <row r="35" spans="1:7" x14ac:dyDescent="0.2">
      <c r="A35" t="s">
        <v>175</v>
      </c>
      <c r="B35" s="3">
        <v>18490000</v>
      </c>
      <c r="C35" s="3">
        <v>18490000</v>
      </c>
      <c r="D35" s="38">
        <v>18490000</v>
      </c>
      <c r="E35" s="36"/>
      <c r="F35" s="34">
        <v>18490000</v>
      </c>
      <c r="G35" s="4">
        <v>17750000</v>
      </c>
    </row>
    <row r="36" spans="1:7" x14ac:dyDescent="0.2">
      <c r="A36" t="s">
        <v>176</v>
      </c>
      <c r="B36" s="3">
        <v>23890000</v>
      </c>
      <c r="C36" s="3">
        <v>23890000</v>
      </c>
      <c r="D36" s="3">
        <v>23790000</v>
      </c>
      <c r="E36" s="36"/>
      <c r="F36" s="34">
        <v>23390000</v>
      </c>
      <c r="G36" s="4">
        <v>22990000</v>
      </c>
    </row>
    <row r="37" spans="1:7" x14ac:dyDescent="0.2">
      <c r="A37" t="s">
        <v>177</v>
      </c>
      <c r="B37" s="36">
        <v>26990000</v>
      </c>
      <c r="C37" s="36">
        <v>26990000</v>
      </c>
      <c r="D37" s="38">
        <v>26790000</v>
      </c>
      <c r="E37" s="36"/>
      <c r="F37" s="34">
        <v>26990000</v>
      </c>
      <c r="G37" s="4">
        <v>26290000</v>
      </c>
    </row>
    <row r="38" spans="1:7" x14ac:dyDescent="0.2">
      <c r="A38" t="s">
        <v>178</v>
      </c>
      <c r="B38" s="36">
        <v>31190000</v>
      </c>
      <c r="C38" s="36">
        <v>31190000</v>
      </c>
      <c r="D38" s="4">
        <v>31090000</v>
      </c>
      <c r="E38" s="36"/>
      <c r="F38" s="38">
        <v>31190000</v>
      </c>
      <c r="G38" s="4">
        <v>30790000</v>
      </c>
    </row>
    <row r="39" spans="1:7" x14ac:dyDescent="0.2">
      <c r="A39" t="s">
        <v>179</v>
      </c>
      <c r="B39" s="36">
        <v>38090000</v>
      </c>
      <c r="C39" s="36">
        <v>38090000</v>
      </c>
      <c r="D39" s="25">
        <v>37990000</v>
      </c>
      <c r="E39" s="36"/>
      <c r="F39" s="38">
        <v>38190000</v>
      </c>
      <c r="G39" s="4">
        <v>37790000</v>
      </c>
    </row>
  </sheetData>
  <pageMargins left="0.7" right="0.7" top="0.75" bottom="0.75" header="0.3" footer="0.3"/>
  <legacyDrawing r:id="rId1"/>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codeName="Sheet25"/>
  <dimension ref="A1:K39"/>
  <sheetViews>
    <sheetView zoomScale="93" workbookViewId="0">
      <selection activeCell="F12" sqref="F12"/>
    </sheetView>
  </sheetViews>
  <sheetFormatPr baseColWidth="10" defaultColWidth="11" defaultRowHeight="16" x14ac:dyDescent="0.2"/>
  <cols>
    <col min="1" max="1" width="25.33203125" bestFit="1" customWidth="1"/>
  </cols>
  <sheetData>
    <row r="1" spans="1:11" x14ac:dyDescent="0.2">
      <c r="B1" t="s">
        <v>0</v>
      </c>
      <c r="C1" t="s">
        <v>1</v>
      </c>
      <c r="D1" t="s">
        <v>2</v>
      </c>
      <c r="E1" t="s">
        <v>3</v>
      </c>
      <c r="F1" t="s">
        <v>4</v>
      </c>
      <c r="G1" t="s">
        <v>5</v>
      </c>
    </row>
    <row r="2" spans="1:11" x14ac:dyDescent="0.2">
      <c r="A2" t="s">
        <v>181</v>
      </c>
      <c r="B2" s="36">
        <v>22890000</v>
      </c>
      <c r="C2" s="36">
        <v>22890000</v>
      </c>
      <c r="D2" s="41">
        <v>21990000</v>
      </c>
      <c r="E2" s="37">
        <v>22490000</v>
      </c>
      <c r="F2" s="37">
        <v>21490000</v>
      </c>
      <c r="G2" s="4">
        <v>21590000</v>
      </c>
    </row>
    <row r="3" spans="1:11" x14ac:dyDescent="0.2">
      <c r="A3" t="s">
        <v>24</v>
      </c>
      <c r="B3" s="36">
        <v>25890000</v>
      </c>
      <c r="C3" s="36">
        <v>25890000</v>
      </c>
      <c r="D3" s="41">
        <v>25490000</v>
      </c>
      <c r="E3" s="37">
        <v>25490000</v>
      </c>
      <c r="F3" s="39">
        <v>24990000</v>
      </c>
      <c r="G3" s="4">
        <v>24590000</v>
      </c>
    </row>
    <row r="4" spans="1:11" x14ac:dyDescent="0.2">
      <c r="A4" t="s">
        <v>182</v>
      </c>
      <c r="B4" s="36">
        <v>28890000</v>
      </c>
      <c r="C4" s="36">
        <v>28890000</v>
      </c>
      <c r="D4" s="41">
        <v>28490000</v>
      </c>
      <c r="E4" s="37">
        <v>28490000</v>
      </c>
      <c r="F4" s="39">
        <v>27990000</v>
      </c>
      <c r="G4" s="4">
        <v>28590000</v>
      </c>
    </row>
    <row r="5" spans="1:11" x14ac:dyDescent="0.2">
      <c r="A5" t="s">
        <v>183</v>
      </c>
      <c r="B5" s="36">
        <v>34890000</v>
      </c>
      <c r="C5" s="36">
        <v>34890000</v>
      </c>
      <c r="D5" s="41">
        <v>34990000</v>
      </c>
      <c r="E5" s="37">
        <v>34490000</v>
      </c>
      <c r="F5" s="39">
        <v>33990000</v>
      </c>
      <c r="G5" s="4">
        <v>34590000</v>
      </c>
    </row>
    <row r="6" spans="1:11" x14ac:dyDescent="0.2">
      <c r="A6" t="s">
        <v>25</v>
      </c>
      <c r="B6" s="3">
        <v>19690000</v>
      </c>
      <c r="C6" s="3">
        <v>19690000</v>
      </c>
      <c r="D6" s="42">
        <v>19690000</v>
      </c>
      <c r="E6" s="36">
        <v>19490000</v>
      </c>
      <c r="F6" s="39">
        <v>19590000</v>
      </c>
      <c r="G6" s="4" t="s">
        <v>201</v>
      </c>
    </row>
    <row r="7" spans="1:11" x14ac:dyDescent="0.2">
      <c r="A7" t="s">
        <v>26</v>
      </c>
      <c r="B7" s="3">
        <v>22690000</v>
      </c>
      <c r="C7" s="3">
        <v>22690000</v>
      </c>
      <c r="D7" s="41">
        <v>22690000</v>
      </c>
      <c r="E7" s="36">
        <v>22490000</v>
      </c>
      <c r="F7" s="37">
        <v>22590000</v>
      </c>
      <c r="G7" s="4">
        <v>22250000</v>
      </c>
      <c r="I7" t="s">
        <v>31</v>
      </c>
      <c r="J7" t="s">
        <v>38</v>
      </c>
      <c r="K7" t="b">
        <v>1</v>
      </c>
    </row>
    <row r="8" spans="1:11" x14ac:dyDescent="0.2">
      <c r="A8" t="s">
        <v>157</v>
      </c>
      <c r="B8" s="36" t="s">
        <v>22</v>
      </c>
      <c r="C8" s="36" t="s">
        <v>22</v>
      </c>
      <c r="D8" s="41">
        <v>25490000</v>
      </c>
      <c r="E8" s="36" t="s">
        <v>22</v>
      </c>
      <c r="F8" s="37">
        <v>25590000</v>
      </c>
      <c r="G8" s="4">
        <v>24390000</v>
      </c>
      <c r="I8" t="s">
        <v>0</v>
      </c>
      <c r="J8" t="s">
        <v>36</v>
      </c>
      <c r="K8" t="b">
        <v>1</v>
      </c>
    </row>
    <row r="9" spans="1:11" x14ac:dyDescent="0.2">
      <c r="A9" t="s">
        <v>158</v>
      </c>
      <c r="B9" s="36">
        <v>29490000</v>
      </c>
      <c r="C9" s="36">
        <v>29490000</v>
      </c>
      <c r="D9" s="25">
        <v>29390000</v>
      </c>
      <c r="E9" s="39">
        <v>28990000</v>
      </c>
      <c r="F9" s="37" t="s">
        <v>207</v>
      </c>
      <c r="G9" s="3">
        <v>28590000</v>
      </c>
      <c r="I9" t="s">
        <v>2</v>
      </c>
      <c r="J9" t="s">
        <v>198</v>
      </c>
      <c r="K9" t="b">
        <v>1</v>
      </c>
    </row>
    <row r="10" spans="1:11" x14ac:dyDescent="0.2">
      <c r="A10" t="s">
        <v>92</v>
      </c>
      <c r="B10" s="3">
        <v>20490000</v>
      </c>
      <c r="C10" s="3">
        <v>20490000</v>
      </c>
      <c r="D10" s="3">
        <v>19990000</v>
      </c>
      <c r="E10" s="36">
        <v>19690000</v>
      </c>
      <c r="F10" s="38">
        <v>19790000</v>
      </c>
      <c r="G10" s="4">
        <v>19390000</v>
      </c>
      <c r="I10" t="s">
        <v>3</v>
      </c>
      <c r="J10" t="s">
        <v>199</v>
      </c>
      <c r="K10" t="b">
        <v>1</v>
      </c>
    </row>
    <row r="11" spans="1:11" x14ac:dyDescent="0.2">
      <c r="A11" t="s">
        <v>27</v>
      </c>
      <c r="B11" s="36">
        <v>17090000</v>
      </c>
      <c r="C11" s="36">
        <v>17090000</v>
      </c>
      <c r="D11" s="38">
        <v>17190000</v>
      </c>
      <c r="E11" s="36" t="s">
        <v>22</v>
      </c>
      <c r="F11" s="38">
        <v>16990000</v>
      </c>
      <c r="G11" s="4">
        <v>17290000</v>
      </c>
      <c r="I11" t="s">
        <v>4</v>
      </c>
      <c r="J11" t="s">
        <v>34</v>
      </c>
      <c r="K11" t="b">
        <v>1</v>
      </c>
    </row>
    <row r="12" spans="1:11" x14ac:dyDescent="0.2">
      <c r="A12" t="s">
        <v>28</v>
      </c>
      <c r="B12" s="3">
        <v>14290000</v>
      </c>
      <c r="C12" s="3">
        <v>14290000</v>
      </c>
      <c r="D12" s="34">
        <v>13990000</v>
      </c>
      <c r="E12" s="36">
        <v>13690000</v>
      </c>
      <c r="F12" s="38">
        <v>13790000</v>
      </c>
      <c r="G12" s="3" t="s">
        <v>208</v>
      </c>
      <c r="I12" t="s">
        <v>41</v>
      </c>
      <c r="J12" t="s">
        <v>42</v>
      </c>
      <c r="K12" t="b">
        <v>1</v>
      </c>
    </row>
    <row r="13" spans="1:11" x14ac:dyDescent="0.2">
      <c r="A13" t="s">
        <v>98</v>
      </c>
      <c r="B13" s="36">
        <v>11490000</v>
      </c>
      <c r="C13" s="36">
        <v>11490000</v>
      </c>
      <c r="D13" s="25">
        <v>10990000</v>
      </c>
      <c r="E13" s="36">
        <v>10990000</v>
      </c>
      <c r="F13" s="38">
        <v>10990000</v>
      </c>
      <c r="G13" s="4">
        <v>12290000</v>
      </c>
    </row>
    <row r="14" spans="1:11" x14ac:dyDescent="0.2">
      <c r="A14" t="s">
        <v>102</v>
      </c>
      <c r="B14" s="36">
        <v>8940000</v>
      </c>
      <c r="C14" s="36">
        <v>8940000</v>
      </c>
      <c r="D14" s="25">
        <v>8990000</v>
      </c>
      <c r="E14" s="36">
        <v>8490000</v>
      </c>
      <c r="F14" s="38">
        <v>8890000</v>
      </c>
      <c r="G14" s="4">
        <v>8790000</v>
      </c>
    </row>
    <row r="15" spans="1:11" x14ac:dyDescent="0.2">
      <c r="A15" t="s">
        <v>160</v>
      </c>
      <c r="B15" s="36" t="s">
        <v>22</v>
      </c>
      <c r="C15" s="36" t="s">
        <v>22</v>
      </c>
      <c r="D15" s="4" t="s">
        <v>22</v>
      </c>
      <c r="E15" s="39">
        <v>13990000</v>
      </c>
      <c r="F15" s="38" t="s">
        <v>22</v>
      </c>
      <c r="G15" s="34" t="s">
        <v>22</v>
      </c>
    </row>
    <row r="16" spans="1:11" x14ac:dyDescent="0.2">
      <c r="A16" t="s">
        <v>161</v>
      </c>
      <c r="B16" s="36">
        <v>12790000</v>
      </c>
      <c r="C16" s="36" t="s">
        <v>22</v>
      </c>
      <c r="D16" s="25">
        <v>12790000</v>
      </c>
      <c r="E16" s="36" t="s">
        <v>22</v>
      </c>
      <c r="F16" s="38">
        <v>12650000</v>
      </c>
      <c r="G16" s="4">
        <v>12650000</v>
      </c>
    </row>
    <row r="17" spans="1:7" x14ac:dyDescent="0.2">
      <c r="A17" t="s">
        <v>162</v>
      </c>
      <c r="B17" s="36">
        <v>9890000</v>
      </c>
      <c r="C17" s="36">
        <v>9890000</v>
      </c>
      <c r="D17" s="3">
        <v>9890000</v>
      </c>
      <c r="E17" s="36">
        <v>9490000</v>
      </c>
      <c r="F17" s="34">
        <v>9490000</v>
      </c>
      <c r="G17" s="4">
        <v>9490000</v>
      </c>
    </row>
    <row r="18" spans="1:7" x14ac:dyDescent="0.2">
      <c r="A18" t="s">
        <v>163</v>
      </c>
      <c r="B18" s="36">
        <v>7640000</v>
      </c>
      <c r="C18" s="36">
        <v>7640000</v>
      </c>
      <c r="D18" s="25">
        <v>7190000</v>
      </c>
      <c r="E18" s="36">
        <v>6990000</v>
      </c>
      <c r="F18" s="38">
        <v>7150000</v>
      </c>
      <c r="G18" s="4">
        <v>7090000</v>
      </c>
    </row>
    <row r="19" spans="1:7" x14ac:dyDescent="0.2">
      <c r="A19" t="s">
        <v>189</v>
      </c>
      <c r="B19" s="36">
        <v>16890000</v>
      </c>
      <c r="C19" s="36">
        <v>16890000</v>
      </c>
      <c r="D19" s="25">
        <v>16990000</v>
      </c>
      <c r="E19" s="39">
        <v>16226000</v>
      </c>
      <c r="F19" s="38">
        <v>16490000</v>
      </c>
      <c r="G19" s="4" t="s">
        <v>203</v>
      </c>
    </row>
    <row r="20" spans="1:7" x14ac:dyDescent="0.2">
      <c r="A20" t="s">
        <v>190</v>
      </c>
      <c r="B20" s="36">
        <v>22390000</v>
      </c>
      <c r="C20" s="36">
        <v>22390000</v>
      </c>
      <c r="D20" s="25">
        <v>21990000</v>
      </c>
      <c r="E20" s="39">
        <v>21275000</v>
      </c>
      <c r="F20" s="38">
        <v>21490000</v>
      </c>
      <c r="G20" s="4">
        <v>21490000</v>
      </c>
    </row>
    <row r="21" spans="1:7" x14ac:dyDescent="0.2">
      <c r="A21" t="s">
        <v>184</v>
      </c>
      <c r="B21" s="36">
        <v>27690000</v>
      </c>
      <c r="C21" s="36">
        <v>27690000</v>
      </c>
      <c r="D21" s="25">
        <v>27690000</v>
      </c>
      <c r="E21" s="39">
        <v>27215000</v>
      </c>
      <c r="F21" s="38">
        <v>27690000</v>
      </c>
      <c r="G21" s="4">
        <v>27190000</v>
      </c>
    </row>
    <row r="22" spans="1:7" x14ac:dyDescent="0.2">
      <c r="A22" t="s">
        <v>185</v>
      </c>
      <c r="B22" s="36">
        <v>37190000</v>
      </c>
      <c r="C22" s="36">
        <v>37190000</v>
      </c>
      <c r="D22" s="25">
        <v>36790000</v>
      </c>
      <c r="E22" s="36">
        <v>36490000</v>
      </c>
      <c r="F22" s="38">
        <v>36990000</v>
      </c>
      <c r="G22" s="4">
        <v>36890000</v>
      </c>
    </row>
    <row r="23" spans="1:7" x14ac:dyDescent="0.2">
      <c r="A23" t="s">
        <v>209</v>
      </c>
      <c r="B23" s="3">
        <v>5940000</v>
      </c>
      <c r="C23" s="3">
        <v>5940000</v>
      </c>
      <c r="D23" s="25">
        <v>5990000</v>
      </c>
      <c r="E23" s="39">
        <v>5990000</v>
      </c>
      <c r="F23" s="38">
        <v>5990000</v>
      </c>
      <c r="G23" s="3">
        <v>5990000</v>
      </c>
    </row>
    <row r="24" spans="1:7" x14ac:dyDescent="0.2">
      <c r="A24" t="s">
        <v>210</v>
      </c>
      <c r="B24" s="3">
        <v>7240000</v>
      </c>
      <c r="C24" s="36" t="s">
        <v>22</v>
      </c>
      <c r="D24" s="25">
        <v>7390000</v>
      </c>
      <c r="E24" s="39">
        <v>7290000</v>
      </c>
      <c r="F24" s="38">
        <v>7290000</v>
      </c>
      <c r="G24" s="4">
        <v>7390000</v>
      </c>
    </row>
    <row r="25" spans="1:7" x14ac:dyDescent="0.2">
      <c r="A25" t="s">
        <v>211</v>
      </c>
      <c r="B25" s="3">
        <v>6740000</v>
      </c>
      <c r="C25" s="3">
        <v>6740000</v>
      </c>
      <c r="D25" s="25">
        <v>6990000</v>
      </c>
      <c r="E25" s="39">
        <v>6590000</v>
      </c>
      <c r="F25" s="38">
        <v>6790000</v>
      </c>
      <c r="G25" s="4">
        <v>6790000</v>
      </c>
    </row>
    <row r="26" spans="1:7" x14ac:dyDescent="0.2">
      <c r="A26" t="s">
        <v>212</v>
      </c>
      <c r="B26" s="36">
        <v>7940000</v>
      </c>
      <c r="C26" s="36" t="s">
        <v>22</v>
      </c>
      <c r="D26" s="25">
        <v>8190000</v>
      </c>
      <c r="E26" s="39">
        <v>7990000</v>
      </c>
      <c r="F26" s="38">
        <v>8090000</v>
      </c>
      <c r="G26" s="4" t="s">
        <v>206</v>
      </c>
    </row>
    <row r="27" spans="1:7" x14ac:dyDescent="0.2">
      <c r="A27" t="s">
        <v>168</v>
      </c>
      <c r="B27" s="36">
        <v>8940000</v>
      </c>
      <c r="C27" s="36">
        <v>8940000</v>
      </c>
      <c r="D27" s="3">
        <v>9290000</v>
      </c>
      <c r="E27" s="39">
        <v>9790000</v>
      </c>
      <c r="F27" s="38">
        <v>9090000</v>
      </c>
      <c r="G27" s="4">
        <v>9190000</v>
      </c>
    </row>
    <row r="28" spans="1:7" x14ac:dyDescent="0.2">
      <c r="A28" t="s">
        <v>169</v>
      </c>
      <c r="B28" s="36">
        <v>12690000</v>
      </c>
      <c r="C28" s="36" t="s">
        <v>22</v>
      </c>
      <c r="D28" s="25">
        <v>12290000</v>
      </c>
      <c r="E28" s="39">
        <v>12190000</v>
      </c>
      <c r="F28" s="38" t="s">
        <v>22</v>
      </c>
      <c r="G28" s="4">
        <v>11690000</v>
      </c>
    </row>
    <row r="29" spans="1:7" x14ac:dyDescent="0.2">
      <c r="A29" t="s">
        <v>170</v>
      </c>
      <c r="B29" s="36">
        <v>9690000</v>
      </c>
      <c r="C29" s="36">
        <v>9690000</v>
      </c>
      <c r="D29" s="3">
        <v>9990000</v>
      </c>
      <c r="E29" s="39">
        <v>10490000</v>
      </c>
      <c r="F29" s="38">
        <v>10190000</v>
      </c>
      <c r="G29" s="4">
        <v>10190000</v>
      </c>
    </row>
    <row r="30" spans="1:7" x14ac:dyDescent="0.2">
      <c r="A30" t="s">
        <v>171</v>
      </c>
      <c r="B30" s="36">
        <v>13490000</v>
      </c>
      <c r="C30" s="36" t="s">
        <v>22</v>
      </c>
      <c r="D30" s="25">
        <v>13490000</v>
      </c>
      <c r="E30" s="39">
        <v>12990000</v>
      </c>
      <c r="F30" s="38" t="s">
        <v>22</v>
      </c>
      <c r="G30" s="4">
        <v>12690000</v>
      </c>
    </row>
    <row r="31" spans="1:7" x14ac:dyDescent="0.2">
      <c r="A31" t="s">
        <v>172</v>
      </c>
      <c r="B31" s="36">
        <v>22890000</v>
      </c>
      <c r="C31" s="36">
        <v>22890000</v>
      </c>
      <c r="D31" s="25">
        <v>22990000</v>
      </c>
      <c r="E31" s="36" t="s">
        <v>22</v>
      </c>
      <c r="F31" s="36">
        <v>22990000</v>
      </c>
      <c r="G31" s="4">
        <v>20890000</v>
      </c>
    </row>
    <row r="32" spans="1:7" x14ac:dyDescent="0.2">
      <c r="A32" t="s">
        <v>53</v>
      </c>
      <c r="B32" s="36">
        <v>5740000</v>
      </c>
      <c r="C32" s="36">
        <v>5740000</v>
      </c>
      <c r="D32" s="38">
        <v>5790000</v>
      </c>
      <c r="E32" s="39">
        <v>5490000</v>
      </c>
      <c r="F32" s="34">
        <v>5650000</v>
      </c>
      <c r="G32" s="4">
        <v>5450000</v>
      </c>
    </row>
    <row r="33" spans="1:7" x14ac:dyDescent="0.2">
      <c r="A33" t="s">
        <v>173</v>
      </c>
      <c r="B33" s="36">
        <v>4040000</v>
      </c>
      <c r="C33" s="36">
        <v>4040000</v>
      </c>
      <c r="D33" s="25">
        <v>4090000</v>
      </c>
      <c r="E33" s="39">
        <v>4150000</v>
      </c>
      <c r="F33" s="38">
        <v>4090000</v>
      </c>
      <c r="G33" s="4" t="s">
        <v>197</v>
      </c>
    </row>
    <row r="34" spans="1:7" x14ac:dyDescent="0.2">
      <c r="A34" t="s">
        <v>174</v>
      </c>
      <c r="B34" s="36">
        <v>3090000</v>
      </c>
      <c r="C34" s="36">
        <v>3090000</v>
      </c>
      <c r="D34" s="38">
        <v>3090000</v>
      </c>
      <c r="E34" s="39">
        <v>2790000</v>
      </c>
      <c r="F34" s="38">
        <v>3090000</v>
      </c>
      <c r="G34" s="4">
        <v>2750000</v>
      </c>
    </row>
    <row r="35" spans="1:7" x14ac:dyDescent="0.2">
      <c r="A35" t="s">
        <v>175</v>
      </c>
      <c r="B35" s="36">
        <v>18490000</v>
      </c>
      <c r="C35" s="36">
        <v>18490000</v>
      </c>
      <c r="D35" s="34">
        <v>18390000</v>
      </c>
      <c r="E35" s="36"/>
      <c r="F35" s="38">
        <v>18490000</v>
      </c>
      <c r="G35" s="4">
        <v>17750000</v>
      </c>
    </row>
    <row r="36" spans="1:7" x14ac:dyDescent="0.2">
      <c r="A36" t="s">
        <v>176</v>
      </c>
      <c r="B36" s="3">
        <v>23990000</v>
      </c>
      <c r="C36" s="3">
        <v>23990000</v>
      </c>
      <c r="D36" s="25">
        <v>23790000</v>
      </c>
      <c r="E36" s="36"/>
      <c r="F36" s="38">
        <v>23390000</v>
      </c>
      <c r="G36" s="4">
        <v>22990000</v>
      </c>
    </row>
    <row r="37" spans="1:7" x14ac:dyDescent="0.2">
      <c r="A37" t="s">
        <v>177</v>
      </c>
      <c r="B37" s="36">
        <v>26990000</v>
      </c>
      <c r="C37" s="36">
        <v>26990000</v>
      </c>
      <c r="D37" s="38">
        <v>26790000</v>
      </c>
      <c r="E37" s="36"/>
      <c r="F37" s="38">
        <v>26990000</v>
      </c>
      <c r="G37" s="4">
        <v>26290000</v>
      </c>
    </row>
    <row r="38" spans="1:7" x14ac:dyDescent="0.2">
      <c r="A38" t="s">
        <v>178</v>
      </c>
      <c r="B38" s="36">
        <v>31190000</v>
      </c>
      <c r="C38" s="36">
        <v>31190000</v>
      </c>
      <c r="D38" s="4">
        <v>31090000</v>
      </c>
      <c r="E38" s="36"/>
      <c r="F38" s="38">
        <v>31190000</v>
      </c>
      <c r="G38" s="4">
        <v>30790000</v>
      </c>
    </row>
    <row r="39" spans="1:7" x14ac:dyDescent="0.2">
      <c r="A39" t="s">
        <v>179</v>
      </c>
      <c r="B39" s="36">
        <v>38090000</v>
      </c>
      <c r="C39" s="36">
        <v>38090000</v>
      </c>
      <c r="D39" s="25">
        <v>37990000</v>
      </c>
      <c r="E39" s="36"/>
      <c r="F39" s="38" t="s">
        <v>22</v>
      </c>
      <c r="G39" s="4">
        <v>37790000</v>
      </c>
    </row>
  </sheetData>
  <pageMargins left="0.7" right="0.7" top="0.75" bottom="0.75" header="0.3" footer="0.3"/>
  <legacyDrawing r:id="rId1"/>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codeName="Sheet26"/>
  <dimension ref="A1:K39"/>
  <sheetViews>
    <sheetView zoomScale="110" workbookViewId="0">
      <selection activeCell="I21" sqref="I21"/>
    </sheetView>
  </sheetViews>
  <sheetFormatPr baseColWidth="10" defaultColWidth="11" defaultRowHeight="16" x14ac:dyDescent="0.2"/>
  <cols>
    <col min="1" max="1" width="25.33203125" bestFit="1" customWidth="1"/>
  </cols>
  <sheetData>
    <row r="1" spans="1:11" x14ac:dyDescent="0.2">
      <c r="B1" t="s">
        <v>0</v>
      </c>
      <c r="C1" t="s">
        <v>1</v>
      </c>
      <c r="D1" t="s">
        <v>2</v>
      </c>
      <c r="E1" t="s">
        <v>3</v>
      </c>
      <c r="F1" t="s">
        <v>4</v>
      </c>
      <c r="G1" t="s">
        <v>5</v>
      </c>
    </row>
    <row r="2" spans="1:11" x14ac:dyDescent="0.2">
      <c r="A2" t="s">
        <v>181</v>
      </c>
      <c r="B2" s="36">
        <v>22890000</v>
      </c>
      <c r="C2" s="36">
        <v>22890000</v>
      </c>
      <c r="D2" s="42">
        <v>21990000</v>
      </c>
      <c r="E2" s="39">
        <v>22490000</v>
      </c>
      <c r="F2" s="37">
        <v>21390000</v>
      </c>
      <c r="G2" s="4">
        <v>21590000</v>
      </c>
    </row>
    <row r="3" spans="1:11" x14ac:dyDescent="0.2">
      <c r="A3" t="s">
        <v>24</v>
      </c>
      <c r="B3" s="36">
        <v>25890000</v>
      </c>
      <c r="C3" s="36">
        <v>25890000</v>
      </c>
      <c r="D3" s="42">
        <v>25490000</v>
      </c>
      <c r="E3" s="39">
        <v>25490000</v>
      </c>
      <c r="F3" s="37">
        <v>25190000</v>
      </c>
      <c r="G3" s="4">
        <v>24590000</v>
      </c>
    </row>
    <row r="4" spans="1:11" x14ac:dyDescent="0.2">
      <c r="A4" t="s">
        <v>182</v>
      </c>
      <c r="B4" s="36">
        <v>28890000</v>
      </c>
      <c r="C4" s="36">
        <v>28890000</v>
      </c>
      <c r="D4" s="42">
        <v>28490000</v>
      </c>
      <c r="E4" s="39">
        <v>28490000</v>
      </c>
      <c r="F4" s="39">
        <v>27990000</v>
      </c>
      <c r="G4" s="4">
        <v>28590000</v>
      </c>
    </row>
    <row r="5" spans="1:11" x14ac:dyDescent="0.2">
      <c r="A5" t="s">
        <v>183</v>
      </c>
      <c r="B5" s="3">
        <v>34990000</v>
      </c>
      <c r="C5" s="3">
        <v>34990000</v>
      </c>
      <c r="D5" s="42">
        <v>34490000</v>
      </c>
      <c r="E5" s="37">
        <v>34990000</v>
      </c>
      <c r="F5" s="39">
        <v>33990000</v>
      </c>
      <c r="G5" s="4">
        <v>34590000</v>
      </c>
    </row>
    <row r="6" spans="1:11" x14ac:dyDescent="0.2">
      <c r="A6" t="s">
        <v>25</v>
      </c>
      <c r="B6" s="36">
        <v>19690000</v>
      </c>
      <c r="C6" s="36">
        <v>19690000</v>
      </c>
      <c r="D6" s="42">
        <v>19690000</v>
      </c>
      <c r="E6" s="36">
        <v>19490000</v>
      </c>
      <c r="F6" s="39">
        <v>19590000</v>
      </c>
      <c r="G6" s="4" t="s">
        <v>201</v>
      </c>
    </row>
    <row r="7" spans="1:11" x14ac:dyDescent="0.2">
      <c r="A7" t="s">
        <v>26</v>
      </c>
      <c r="B7" s="36">
        <v>22690000</v>
      </c>
      <c r="C7" s="36">
        <v>22690000</v>
      </c>
      <c r="D7" s="42">
        <v>22690000</v>
      </c>
      <c r="E7" s="36">
        <v>22490000</v>
      </c>
      <c r="F7" s="37">
        <v>22590000</v>
      </c>
      <c r="G7" s="4">
        <v>22250000</v>
      </c>
      <c r="I7" t="s">
        <v>31</v>
      </c>
      <c r="J7" t="s">
        <v>38</v>
      </c>
      <c r="K7" t="b">
        <v>0</v>
      </c>
    </row>
    <row r="8" spans="1:11" x14ac:dyDescent="0.2">
      <c r="A8" t="s">
        <v>157</v>
      </c>
      <c r="B8" s="36" t="s">
        <v>22</v>
      </c>
      <c r="C8" s="36" t="s">
        <v>22</v>
      </c>
      <c r="D8" s="41">
        <v>25990000</v>
      </c>
      <c r="E8" s="36" t="s">
        <v>22</v>
      </c>
      <c r="F8" s="37">
        <v>25590000</v>
      </c>
      <c r="G8" s="4">
        <v>24390000</v>
      </c>
      <c r="I8" t="s">
        <v>0</v>
      </c>
      <c r="J8" t="s">
        <v>36</v>
      </c>
      <c r="K8" t="b">
        <v>0</v>
      </c>
    </row>
    <row r="9" spans="1:11" x14ac:dyDescent="0.2">
      <c r="A9" t="s">
        <v>158</v>
      </c>
      <c r="B9" s="36">
        <v>29490000</v>
      </c>
      <c r="C9" s="36">
        <v>29490000</v>
      </c>
      <c r="D9" s="25">
        <v>29390000</v>
      </c>
      <c r="E9" s="39">
        <v>28990000</v>
      </c>
      <c r="F9" s="37">
        <v>28990000</v>
      </c>
      <c r="G9" s="4">
        <v>28590000</v>
      </c>
      <c r="I9" t="s">
        <v>2</v>
      </c>
      <c r="J9" t="s">
        <v>198</v>
      </c>
      <c r="K9" t="b">
        <v>1</v>
      </c>
    </row>
    <row r="10" spans="1:11" x14ac:dyDescent="0.2">
      <c r="A10" t="s">
        <v>92</v>
      </c>
      <c r="B10" s="3">
        <v>19890000</v>
      </c>
      <c r="C10" s="3">
        <v>19890000</v>
      </c>
      <c r="D10" s="25">
        <v>19990000</v>
      </c>
      <c r="E10" s="36">
        <v>19690000</v>
      </c>
      <c r="F10" s="38">
        <v>19790000</v>
      </c>
      <c r="G10" s="4">
        <v>19390000</v>
      </c>
      <c r="I10" t="s">
        <v>3</v>
      </c>
      <c r="J10" t="s">
        <v>199</v>
      </c>
      <c r="K10" t="b">
        <v>0</v>
      </c>
    </row>
    <row r="11" spans="1:11" x14ac:dyDescent="0.2">
      <c r="A11" t="s">
        <v>27</v>
      </c>
      <c r="B11" s="36">
        <v>17090000</v>
      </c>
      <c r="C11" s="36">
        <v>17090000</v>
      </c>
      <c r="D11" s="38">
        <v>17090000</v>
      </c>
      <c r="E11" s="36" t="s">
        <v>22</v>
      </c>
      <c r="F11" s="34">
        <v>16850000</v>
      </c>
      <c r="G11" s="4">
        <v>17290000</v>
      </c>
      <c r="I11" t="s">
        <v>4</v>
      </c>
      <c r="J11" t="s">
        <v>34</v>
      </c>
      <c r="K11" t="b">
        <v>0</v>
      </c>
    </row>
    <row r="12" spans="1:11" x14ac:dyDescent="0.2">
      <c r="A12" t="s">
        <v>28</v>
      </c>
      <c r="B12" s="3">
        <v>13790000</v>
      </c>
      <c r="C12" s="3">
        <v>13790000</v>
      </c>
      <c r="D12" s="34">
        <v>13590000</v>
      </c>
      <c r="E12" s="36">
        <v>13690000</v>
      </c>
      <c r="F12" s="34">
        <v>13390000</v>
      </c>
      <c r="G12" s="4" t="s">
        <v>208</v>
      </c>
      <c r="I12" t="s">
        <v>41</v>
      </c>
      <c r="J12" t="s">
        <v>42</v>
      </c>
      <c r="K12" t="b">
        <v>0</v>
      </c>
    </row>
    <row r="13" spans="1:11" x14ac:dyDescent="0.2">
      <c r="A13" t="s">
        <v>98</v>
      </c>
      <c r="B13" s="36">
        <v>11490000</v>
      </c>
      <c r="C13" s="36">
        <v>11490000</v>
      </c>
      <c r="D13" s="25">
        <v>10990000</v>
      </c>
      <c r="E13" s="36">
        <v>10990000</v>
      </c>
      <c r="F13" s="38">
        <v>10990000</v>
      </c>
      <c r="G13" s="4">
        <v>12290000</v>
      </c>
    </row>
    <row r="14" spans="1:11" x14ac:dyDescent="0.2">
      <c r="A14" t="s">
        <v>102</v>
      </c>
      <c r="B14" s="36">
        <v>8940000</v>
      </c>
      <c r="C14" s="36">
        <v>8940000</v>
      </c>
      <c r="D14" s="25">
        <v>8990000</v>
      </c>
      <c r="E14" s="36">
        <v>8490000</v>
      </c>
      <c r="F14" s="38">
        <v>8890000</v>
      </c>
      <c r="G14" s="4">
        <v>8790000</v>
      </c>
    </row>
    <row r="15" spans="1:11" x14ac:dyDescent="0.2">
      <c r="A15" t="s">
        <v>160</v>
      </c>
      <c r="B15" s="36" t="s">
        <v>22</v>
      </c>
      <c r="C15" s="36" t="s">
        <v>22</v>
      </c>
      <c r="D15" s="4" t="s">
        <v>22</v>
      </c>
      <c r="E15" s="39">
        <v>13990000</v>
      </c>
      <c r="F15" s="38" t="s">
        <v>22</v>
      </c>
      <c r="G15" s="34" t="s">
        <v>22</v>
      </c>
    </row>
    <row r="16" spans="1:11" x14ac:dyDescent="0.2">
      <c r="A16" t="s">
        <v>161</v>
      </c>
      <c r="B16" s="36">
        <v>12790000</v>
      </c>
      <c r="C16" s="36" t="s">
        <v>22</v>
      </c>
      <c r="D16" s="25">
        <v>12490000</v>
      </c>
      <c r="E16" s="36" t="s">
        <v>22</v>
      </c>
      <c r="F16" s="38">
        <v>12650000</v>
      </c>
      <c r="G16" s="4">
        <v>12650000</v>
      </c>
    </row>
    <row r="17" spans="1:7" x14ac:dyDescent="0.2">
      <c r="A17" t="s">
        <v>162</v>
      </c>
      <c r="B17" s="36">
        <v>9890000</v>
      </c>
      <c r="C17" s="36">
        <v>9890000</v>
      </c>
      <c r="D17" s="25">
        <v>9790000</v>
      </c>
      <c r="E17" s="36">
        <v>9490000</v>
      </c>
      <c r="F17" s="38">
        <v>9490000</v>
      </c>
      <c r="G17" s="4">
        <v>9490000</v>
      </c>
    </row>
    <row r="18" spans="1:7" x14ac:dyDescent="0.2">
      <c r="A18" t="s">
        <v>163</v>
      </c>
      <c r="B18" s="3">
        <v>7340000</v>
      </c>
      <c r="C18" s="3">
        <v>7340000</v>
      </c>
      <c r="D18" s="25">
        <v>7190000</v>
      </c>
      <c r="E18" s="36">
        <v>6990000</v>
      </c>
      <c r="F18" s="38">
        <v>7150000</v>
      </c>
      <c r="G18" s="4">
        <v>7090000</v>
      </c>
    </row>
    <row r="19" spans="1:7" x14ac:dyDescent="0.2">
      <c r="A19" t="s">
        <v>189</v>
      </c>
      <c r="B19" s="36">
        <v>16890000</v>
      </c>
      <c r="C19" s="36">
        <v>16890000</v>
      </c>
      <c r="D19" s="25">
        <v>16990000</v>
      </c>
      <c r="E19" s="39">
        <v>16226000</v>
      </c>
      <c r="F19" s="38">
        <v>16490000</v>
      </c>
      <c r="G19" s="4" t="s">
        <v>203</v>
      </c>
    </row>
    <row r="20" spans="1:7" x14ac:dyDescent="0.2">
      <c r="A20" t="s">
        <v>190</v>
      </c>
      <c r="B20" s="36">
        <v>22390000</v>
      </c>
      <c r="C20" s="36">
        <v>22390000</v>
      </c>
      <c r="D20" s="25">
        <v>21990000</v>
      </c>
      <c r="E20" s="39">
        <v>21275000</v>
      </c>
      <c r="F20" s="38">
        <v>21490000</v>
      </c>
      <c r="G20" s="4">
        <v>21490000</v>
      </c>
    </row>
    <row r="21" spans="1:7" x14ac:dyDescent="0.2">
      <c r="A21" t="s">
        <v>184</v>
      </c>
      <c r="B21" s="36">
        <v>27690000</v>
      </c>
      <c r="C21" s="36">
        <v>27690000</v>
      </c>
      <c r="D21" s="25">
        <v>27690000</v>
      </c>
      <c r="E21" s="39">
        <v>27215000</v>
      </c>
      <c r="F21" s="38">
        <v>27690000</v>
      </c>
      <c r="G21" s="4">
        <v>27190000</v>
      </c>
    </row>
    <row r="22" spans="1:7" x14ac:dyDescent="0.2">
      <c r="A22" t="s">
        <v>185</v>
      </c>
      <c r="B22" s="36">
        <v>37190000</v>
      </c>
      <c r="C22" s="36">
        <v>37190000</v>
      </c>
      <c r="D22" s="25">
        <v>36790000</v>
      </c>
      <c r="E22" s="36">
        <v>36490000</v>
      </c>
      <c r="F22" s="38">
        <v>36990000</v>
      </c>
      <c r="G22" s="4">
        <v>36890000</v>
      </c>
    </row>
    <row r="23" spans="1:7" x14ac:dyDescent="0.2">
      <c r="A23" t="s">
        <v>209</v>
      </c>
      <c r="B23" s="3">
        <v>5790000</v>
      </c>
      <c r="C23" s="3">
        <v>5790000</v>
      </c>
      <c r="D23" s="25">
        <v>5790000</v>
      </c>
      <c r="E23" s="39">
        <v>5990000</v>
      </c>
      <c r="F23" s="38">
        <v>5990000</v>
      </c>
      <c r="G23" s="4">
        <v>5990000</v>
      </c>
    </row>
    <row r="24" spans="1:7" x14ac:dyDescent="0.2">
      <c r="A24" t="s">
        <v>210</v>
      </c>
      <c r="B24" s="3">
        <v>7190000</v>
      </c>
      <c r="C24" s="36" t="s">
        <v>22</v>
      </c>
      <c r="D24" s="25">
        <v>7090000</v>
      </c>
      <c r="E24" s="39">
        <v>7290000</v>
      </c>
      <c r="F24" s="38">
        <v>7290000</v>
      </c>
      <c r="G24" s="4">
        <v>7390000</v>
      </c>
    </row>
    <row r="25" spans="1:7" x14ac:dyDescent="0.2">
      <c r="A25" t="s">
        <v>211</v>
      </c>
      <c r="B25" s="3">
        <v>6790000</v>
      </c>
      <c r="C25" s="3">
        <v>6790000</v>
      </c>
      <c r="D25" s="25">
        <v>6590000</v>
      </c>
      <c r="E25" s="39">
        <v>6590000</v>
      </c>
      <c r="F25" s="38">
        <v>6790000</v>
      </c>
      <c r="G25" s="4">
        <v>6790000</v>
      </c>
    </row>
    <row r="26" spans="1:7" x14ac:dyDescent="0.2">
      <c r="A26" t="s">
        <v>212</v>
      </c>
      <c r="B26" s="3">
        <v>7790000</v>
      </c>
      <c r="C26" s="36" t="s">
        <v>22</v>
      </c>
      <c r="D26" s="25">
        <v>7890000</v>
      </c>
      <c r="E26" s="39">
        <v>7990000</v>
      </c>
      <c r="F26" s="38">
        <v>8090000</v>
      </c>
      <c r="G26" s="4" t="s">
        <v>206</v>
      </c>
    </row>
    <row r="27" spans="1:7" x14ac:dyDescent="0.2">
      <c r="A27" t="s">
        <v>213</v>
      </c>
      <c r="B27" s="36">
        <v>10890000</v>
      </c>
      <c r="C27" s="36">
        <v>8940000</v>
      </c>
      <c r="D27" s="25">
        <v>10990000</v>
      </c>
      <c r="E27" s="37">
        <v>10990000</v>
      </c>
      <c r="F27" s="38">
        <v>10990000</v>
      </c>
      <c r="G27" s="34">
        <v>10990000</v>
      </c>
    </row>
    <row r="28" spans="1:7" x14ac:dyDescent="0.2">
      <c r="A28" t="s">
        <v>214</v>
      </c>
      <c r="B28" s="36">
        <v>13490000</v>
      </c>
      <c r="C28" s="36" t="s">
        <v>22</v>
      </c>
      <c r="D28" s="25">
        <v>13390000</v>
      </c>
      <c r="E28" s="37">
        <v>13590000</v>
      </c>
      <c r="F28" s="38">
        <v>13590000</v>
      </c>
      <c r="G28" s="34">
        <v>13590000</v>
      </c>
    </row>
    <row r="29" spans="1:7" x14ac:dyDescent="0.2">
      <c r="A29" t="s">
        <v>215</v>
      </c>
      <c r="B29" s="36">
        <v>11690000</v>
      </c>
      <c r="C29" s="36">
        <v>9690000</v>
      </c>
      <c r="D29" s="25">
        <v>11790000</v>
      </c>
      <c r="E29" s="37">
        <v>11790000</v>
      </c>
      <c r="F29" s="38">
        <v>11790000</v>
      </c>
      <c r="G29" s="3" t="s">
        <v>216</v>
      </c>
    </row>
    <row r="30" spans="1:7" x14ac:dyDescent="0.2">
      <c r="A30" t="s">
        <v>217</v>
      </c>
      <c r="B30" s="36">
        <v>14390000</v>
      </c>
      <c r="C30" s="36" t="s">
        <v>22</v>
      </c>
      <c r="D30" s="25">
        <v>14190000</v>
      </c>
      <c r="E30" s="37">
        <v>14390000</v>
      </c>
      <c r="F30" s="38">
        <v>14390000</v>
      </c>
      <c r="G30" s="34">
        <v>14690000</v>
      </c>
    </row>
    <row r="31" spans="1:7" x14ac:dyDescent="0.2">
      <c r="A31" t="s">
        <v>172</v>
      </c>
      <c r="B31" s="36">
        <v>22890000</v>
      </c>
      <c r="C31" s="36">
        <v>22890000</v>
      </c>
      <c r="D31" s="25">
        <v>22990000</v>
      </c>
      <c r="E31" s="36" t="s">
        <v>22</v>
      </c>
      <c r="F31" s="36">
        <v>22990000</v>
      </c>
      <c r="G31" s="4">
        <v>20890000</v>
      </c>
    </row>
    <row r="32" spans="1:7" x14ac:dyDescent="0.2">
      <c r="A32" t="s">
        <v>53</v>
      </c>
      <c r="B32" s="36">
        <v>5740000</v>
      </c>
      <c r="C32" s="36">
        <v>5740000</v>
      </c>
      <c r="D32" s="38">
        <v>5590000</v>
      </c>
      <c r="E32" s="37">
        <v>5290000</v>
      </c>
      <c r="F32" s="34">
        <v>5650000</v>
      </c>
      <c r="G32" s="4">
        <v>5450000</v>
      </c>
    </row>
    <row r="33" spans="1:7" x14ac:dyDescent="0.2">
      <c r="A33" t="s">
        <v>173</v>
      </c>
      <c r="B33" s="36">
        <v>4040000</v>
      </c>
      <c r="C33" s="36">
        <v>4040000</v>
      </c>
      <c r="D33" s="25">
        <v>4090000</v>
      </c>
      <c r="E33" s="39">
        <v>4150000</v>
      </c>
      <c r="F33" s="38">
        <v>4090000</v>
      </c>
      <c r="G33" s="4" t="s">
        <v>197</v>
      </c>
    </row>
    <row r="34" spans="1:7" x14ac:dyDescent="0.2">
      <c r="A34" t="s">
        <v>174</v>
      </c>
      <c r="B34" s="36">
        <v>3090000</v>
      </c>
      <c r="C34" s="36">
        <v>3090000</v>
      </c>
      <c r="D34" s="38">
        <v>3090000</v>
      </c>
      <c r="E34" s="39">
        <v>2790000</v>
      </c>
      <c r="F34" s="38">
        <v>3090000</v>
      </c>
      <c r="G34" s="4">
        <v>2750000</v>
      </c>
    </row>
    <row r="35" spans="1:7" x14ac:dyDescent="0.2">
      <c r="A35" t="s">
        <v>175</v>
      </c>
      <c r="B35" s="36">
        <v>18490000</v>
      </c>
      <c r="C35" s="36">
        <v>18490000</v>
      </c>
      <c r="D35" s="34">
        <v>18290000</v>
      </c>
      <c r="E35" s="36"/>
      <c r="F35" s="38">
        <v>18490000</v>
      </c>
      <c r="G35" s="4">
        <v>17750000</v>
      </c>
    </row>
    <row r="36" spans="1:7" x14ac:dyDescent="0.2">
      <c r="A36" t="s">
        <v>176</v>
      </c>
      <c r="B36" s="36">
        <v>23990000</v>
      </c>
      <c r="C36" s="36">
        <v>23990000</v>
      </c>
      <c r="D36" s="25">
        <v>23790000</v>
      </c>
      <c r="E36" s="36"/>
      <c r="F36" s="34">
        <v>23590000</v>
      </c>
      <c r="G36" s="4">
        <v>22990000</v>
      </c>
    </row>
    <row r="37" spans="1:7" x14ac:dyDescent="0.2">
      <c r="A37" t="s">
        <v>177</v>
      </c>
      <c r="B37" s="3">
        <v>26890000</v>
      </c>
      <c r="C37" s="3">
        <v>26890000</v>
      </c>
      <c r="D37" s="38">
        <v>26790000</v>
      </c>
      <c r="E37" s="36"/>
      <c r="F37" s="38">
        <v>26990000</v>
      </c>
      <c r="G37" s="4">
        <v>26290000</v>
      </c>
    </row>
    <row r="38" spans="1:7" x14ac:dyDescent="0.2">
      <c r="A38" t="s">
        <v>178</v>
      </c>
      <c r="B38" s="36">
        <v>31190000</v>
      </c>
      <c r="C38" s="36">
        <v>31190000</v>
      </c>
      <c r="D38" s="4">
        <v>31090000</v>
      </c>
      <c r="E38" s="36"/>
      <c r="F38" s="38">
        <v>31190000</v>
      </c>
      <c r="G38" s="4">
        <v>30790000</v>
      </c>
    </row>
    <row r="39" spans="1:7" x14ac:dyDescent="0.2">
      <c r="A39" t="s">
        <v>179</v>
      </c>
      <c r="B39" s="3">
        <v>37790000</v>
      </c>
      <c r="C39" s="3">
        <v>37790000</v>
      </c>
      <c r="D39" s="25">
        <v>37990000</v>
      </c>
      <c r="E39" s="36"/>
      <c r="F39" s="38">
        <v>38190000</v>
      </c>
      <c r="G39" s="4">
        <v>37790000</v>
      </c>
    </row>
  </sheetData>
  <pageMargins left="0.7" right="0.7" top="0.75" bottom="0.75" header="0.3" footer="0.3"/>
  <legacyDrawing r:id="rId1"/>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codeName="Sheet27"/>
  <dimension ref="A1:K39"/>
  <sheetViews>
    <sheetView topLeftCell="K10" zoomScale="90" zoomScaleNormal="90" workbookViewId="0">
      <selection activeCell="K10" sqref="K10"/>
    </sheetView>
  </sheetViews>
  <sheetFormatPr baseColWidth="10" defaultColWidth="11" defaultRowHeight="16" x14ac:dyDescent="0.2"/>
  <cols>
    <col min="1" max="1" width="25.33203125" bestFit="1" customWidth="1"/>
  </cols>
  <sheetData>
    <row r="1" spans="1:11" x14ac:dyDescent="0.2">
      <c r="B1" t="s">
        <v>0</v>
      </c>
      <c r="C1" t="s">
        <v>1</v>
      </c>
      <c r="D1" t="s">
        <v>2</v>
      </c>
      <c r="E1" t="s">
        <v>3</v>
      </c>
      <c r="F1" t="s">
        <v>4</v>
      </c>
      <c r="G1" t="s">
        <v>5</v>
      </c>
    </row>
    <row r="2" spans="1:11" x14ac:dyDescent="0.2">
      <c r="A2" t="s">
        <v>181</v>
      </c>
      <c r="B2" s="36">
        <v>22890000</v>
      </c>
      <c r="C2" s="36">
        <v>22890000</v>
      </c>
      <c r="D2" s="42">
        <v>21990000</v>
      </c>
      <c r="E2" s="39">
        <v>22490000</v>
      </c>
      <c r="F2" s="37">
        <v>22290000</v>
      </c>
      <c r="G2" s="4">
        <v>21590000</v>
      </c>
    </row>
    <row r="3" spans="1:11" x14ac:dyDescent="0.2">
      <c r="A3" t="s">
        <v>24</v>
      </c>
      <c r="B3" s="36">
        <v>25890000</v>
      </c>
      <c r="C3" s="36">
        <v>25890000</v>
      </c>
      <c r="D3" s="42">
        <v>25490000</v>
      </c>
      <c r="E3" s="39">
        <v>25490000</v>
      </c>
      <c r="F3" s="37">
        <v>25490000</v>
      </c>
      <c r="G3" s="4">
        <v>24590000</v>
      </c>
    </row>
    <row r="4" spans="1:11" x14ac:dyDescent="0.2">
      <c r="A4" t="s">
        <v>182</v>
      </c>
      <c r="B4" s="3">
        <v>28990000</v>
      </c>
      <c r="C4" s="3">
        <v>28990000</v>
      </c>
      <c r="D4" s="42">
        <v>28490000</v>
      </c>
      <c r="E4" s="39">
        <v>28490000</v>
      </c>
      <c r="F4" s="39">
        <v>28990000</v>
      </c>
      <c r="G4" s="4">
        <v>28590000</v>
      </c>
    </row>
    <row r="5" spans="1:11" x14ac:dyDescent="0.2">
      <c r="A5" t="s">
        <v>183</v>
      </c>
      <c r="B5" s="3" t="s">
        <v>22</v>
      </c>
      <c r="C5" s="36" t="s">
        <v>22</v>
      </c>
      <c r="D5" s="42">
        <v>34490000</v>
      </c>
      <c r="E5" s="39">
        <v>34990000</v>
      </c>
      <c r="F5" s="39">
        <v>34990000</v>
      </c>
      <c r="G5" s="4">
        <v>34590000</v>
      </c>
    </row>
    <row r="6" spans="1:11" x14ac:dyDescent="0.2">
      <c r="A6" t="s">
        <v>25</v>
      </c>
      <c r="B6" s="3" t="s">
        <v>22</v>
      </c>
      <c r="C6" s="36" t="s">
        <v>22</v>
      </c>
      <c r="D6" s="42">
        <v>19690000</v>
      </c>
      <c r="E6" s="36">
        <v>19490000</v>
      </c>
      <c r="F6" s="39">
        <v>19590000</v>
      </c>
      <c r="G6" s="3" t="s">
        <v>218</v>
      </c>
    </row>
    <row r="7" spans="1:11" x14ac:dyDescent="0.2">
      <c r="A7" t="s">
        <v>26</v>
      </c>
      <c r="B7" s="36">
        <v>22690000</v>
      </c>
      <c r="C7" s="36">
        <v>22690000</v>
      </c>
      <c r="D7" s="42">
        <v>22690000</v>
      </c>
      <c r="E7" s="36">
        <v>22490000</v>
      </c>
      <c r="F7" s="39">
        <v>22590000</v>
      </c>
      <c r="G7" s="3">
        <v>22690000</v>
      </c>
      <c r="I7" t="s">
        <v>31</v>
      </c>
      <c r="J7" t="s">
        <v>38</v>
      </c>
      <c r="K7" t="b">
        <v>1</v>
      </c>
    </row>
    <row r="8" spans="1:11" x14ac:dyDescent="0.2">
      <c r="A8" t="s">
        <v>157</v>
      </c>
      <c r="B8" s="36" t="s">
        <v>22</v>
      </c>
      <c r="C8" s="36" t="s">
        <v>22</v>
      </c>
      <c r="D8" s="41">
        <v>25990000</v>
      </c>
      <c r="E8" s="36" t="s">
        <v>22</v>
      </c>
      <c r="F8" s="39">
        <v>25590000</v>
      </c>
      <c r="G8" s="4">
        <v>24390000</v>
      </c>
      <c r="I8" t="s">
        <v>0</v>
      </c>
      <c r="J8" t="s">
        <v>36</v>
      </c>
      <c r="K8" t="b">
        <v>1</v>
      </c>
    </row>
    <row r="9" spans="1:11" x14ac:dyDescent="0.2">
      <c r="A9" t="s">
        <v>158</v>
      </c>
      <c r="B9" s="3" t="s">
        <v>22</v>
      </c>
      <c r="C9" s="36">
        <v>29490000</v>
      </c>
      <c r="D9" s="25">
        <v>29390000</v>
      </c>
      <c r="E9" s="39">
        <v>28990000</v>
      </c>
      <c r="F9" s="39">
        <v>28990000</v>
      </c>
      <c r="G9" s="4">
        <v>28590000</v>
      </c>
      <c r="I9" t="s">
        <v>2</v>
      </c>
      <c r="J9" t="s">
        <v>198</v>
      </c>
      <c r="K9" t="b">
        <v>1</v>
      </c>
    </row>
    <row r="10" spans="1:11" x14ac:dyDescent="0.2">
      <c r="A10" t="s">
        <v>92</v>
      </c>
      <c r="B10" s="36">
        <v>20490000</v>
      </c>
      <c r="C10" s="36">
        <v>20490000</v>
      </c>
      <c r="D10" s="25">
        <v>19990000</v>
      </c>
      <c r="E10" s="36">
        <v>19690000</v>
      </c>
      <c r="F10" s="38">
        <v>19790000</v>
      </c>
      <c r="G10" s="3">
        <v>19090000</v>
      </c>
      <c r="I10" t="s">
        <v>3</v>
      </c>
      <c r="J10" t="s">
        <v>199</v>
      </c>
      <c r="K10" t="b">
        <v>1</v>
      </c>
    </row>
    <row r="11" spans="1:11" x14ac:dyDescent="0.2">
      <c r="A11" t="s">
        <v>27</v>
      </c>
      <c r="B11" s="3">
        <v>17490000</v>
      </c>
      <c r="C11" s="3">
        <v>17490000</v>
      </c>
      <c r="D11" s="38">
        <v>17090000</v>
      </c>
      <c r="E11" s="36" t="s">
        <v>22</v>
      </c>
      <c r="F11" s="34">
        <v>16850000</v>
      </c>
      <c r="G11" s="4">
        <v>17290000</v>
      </c>
      <c r="I11" t="s">
        <v>4</v>
      </c>
      <c r="J11" t="s">
        <v>34</v>
      </c>
      <c r="K11" t="b">
        <v>1</v>
      </c>
    </row>
    <row r="12" spans="1:11" x14ac:dyDescent="0.2">
      <c r="A12" t="s">
        <v>28</v>
      </c>
      <c r="B12" s="3">
        <v>13790000</v>
      </c>
      <c r="C12" s="3">
        <v>13690000</v>
      </c>
      <c r="D12" s="34">
        <v>13590000</v>
      </c>
      <c r="E12" s="37">
        <v>13490000</v>
      </c>
      <c r="F12" s="34">
        <v>13690000</v>
      </c>
      <c r="G12" s="3" t="s">
        <v>219</v>
      </c>
      <c r="I12" t="s">
        <v>41</v>
      </c>
      <c r="J12" t="s">
        <v>42</v>
      </c>
      <c r="K12" t="b">
        <v>1</v>
      </c>
    </row>
    <row r="13" spans="1:11" x14ac:dyDescent="0.2">
      <c r="A13" t="s">
        <v>98</v>
      </c>
      <c r="B13" s="3" t="s">
        <v>22</v>
      </c>
      <c r="C13" s="36">
        <v>11490000</v>
      </c>
      <c r="D13" s="25">
        <v>10990000</v>
      </c>
      <c r="E13" s="36">
        <v>10990000</v>
      </c>
      <c r="F13" s="38">
        <v>10990000</v>
      </c>
      <c r="G13" s="4">
        <v>12290000</v>
      </c>
    </row>
    <row r="14" spans="1:11" x14ac:dyDescent="0.2">
      <c r="A14" t="s">
        <v>102</v>
      </c>
      <c r="B14" s="36">
        <v>8940000</v>
      </c>
      <c r="C14" s="36">
        <v>8940000</v>
      </c>
      <c r="D14" s="25">
        <v>8990000</v>
      </c>
      <c r="E14" s="36">
        <v>8490000</v>
      </c>
      <c r="F14" s="38">
        <v>8890000</v>
      </c>
      <c r="G14" s="4">
        <v>8790000</v>
      </c>
    </row>
    <row r="15" spans="1:11" x14ac:dyDescent="0.2">
      <c r="A15" t="s">
        <v>160</v>
      </c>
      <c r="B15" s="36" t="s">
        <v>22</v>
      </c>
      <c r="C15" s="36" t="s">
        <v>22</v>
      </c>
      <c r="D15" s="4" t="s">
        <v>22</v>
      </c>
      <c r="E15" s="39">
        <v>13990000</v>
      </c>
      <c r="F15" s="38" t="s">
        <v>22</v>
      </c>
      <c r="G15" s="34" t="s">
        <v>22</v>
      </c>
    </row>
    <row r="16" spans="1:11" x14ac:dyDescent="0.2">
      <c r="A16" t="s">
        <v>161</v>
      </c>
      <c r="B16" s="36">
        <v>12790000</v>
      </c>
      <c r="C16" s="36" t="s">
        <v>22</v>
      </c>
      <c r="D16" s="25">
        <v>12490000</v>
      </c>
      <c r="E16" s="36" t="s">
        <v>22</v>
      </c>
      <c r="F16" s="38">
        <v>12650000</v>
      </c>
      <c r="G16" s="4">
        <v>12650000</v>
      </c>
    </row>
    <row r="17" spans="1:7" x14ac:dyDescent="0.2">
      <c r="A17" t="s">
        <v>162</v>
      </c>
      <c r="B17" s="36">
        <v>9890000</v>
      </c>
      <c r="C17" s="36">
        <v>9890000</v>
      </c>
      <c r="D17" s="25">
        <v>9790000</v>
      </c>
      <c r="E17" s="37">
        <v>8990000</v>
      </c>
      <c r="F17" s="38">
        <v>9490000</v>
      </c>
      <c r="G17" s="3">
        <v>9290000</v>
      </c>
    </row>
    <row r="18" spans="1:7" x14ac:dyDescent="0.2">
      <c r="A18" t="s">
        <v>163</v>
      </c>
      <c r="B18" s="3">
        <v>7340000</v>
      </c>
      <c r="C18" s="25">
        <v>7340000</v>
      </c>
      <c r="D18" s="25">
        <v>7190000</v>
      </c>
      <c r="E18" s="36">
        <v>6990000</v>
      </c>
      <c r="F18" s="34">
        <v>7090000</v>
      </c>
      <c r="G18" s="4">
        <v>7090000</v>
      </c>
    </row>
    <row r="19" spans="1:7" x14ac:dyDescent="0.2">
      <c r="A19" t="s">
        <v>189</v>
      </c>
      <c r="B19" s="36">
        <v>16890000</v>
      </c>
      <c r="C19" s="36">
        <v>16890000</v>
      </c>
      <c r="D19" s="25">
        <v>16990000</v>
      </c>
      <c r="E19" s="39">
        <v>16226000</v>
      </c>
      <c r="F19" s="38">
        <v>16490000</v>
      </c>
      <c r="G19" s="4" t="s">
        <v>203</v>
      </c>
    </row>
    <row r="20" spans="1:7" x14ac:dyDescent="0.2">
      <c r="A20" t="s">
        <v>190</v>
      </c>
      <c r="B20" s="36">
        <v>22390000</v>
      </c>
      <c r="C20" s="36">
        <v>22390000</v>
      </c>
      <c r="D20" s="25">
        <v>21990000</v>
      </c>
      <c r="E20" s="39">
        <v>21275000</v>
      </c>
      <c r="F20" s="38">
        <v>21490000</v>
      </c>
      <c r="G20" s="4">
        <v>21490000</v>
      </c>
    </row>
    <row r="21" spans="1:7" x14ac:dyDescent="0.2">
      <c r="A21" t="s">
        <v>184</v>
      </c>
      <c r="B21" s="36">
        <v>27690000</v>
      </c>
      <c r="C21" s="36">
        <v>27690000</v>
      </c>
      <c r="D21" s="25">
        <v>27690000</v>
      </c>
      <c r="E21" s="39">
        <v>27215000</v>
      </c>
      <c r="F21" s="38">
        <v>27690000</v>
      </c>
      <c r="G21" s="4">
        <v>27190000</v>
      </c>
    </row>
    <row r="22" spans="1:7" x14ac:dyDescent="0.2">
      <c r="A22" t="s">
        <v>185</v>
      </c>
      <c r="B22" s="3">
        <v>36890000</v>
      </c>
      <c r="C22" s="3">
        <v>36890000</v>
      </c>
      <c r="D22" s="25">
        <v>36790000</v>
      </c>
      <c r="E22" s="36">
        <v>36490000</v>
      </c>
      <c r="F22" s="38">
        <v>36990000</v>
      </c>
      <c r="G22" s="4">
        <v>36890000</v>
      </c>
    </row>
    <row r="23" spans="1:7" x14ac:dyDescent="0.2">
      <c r="A23" t="s">
        <v>209</v>
      </c>
      <c r="B23" s="36">
        <v>5790000</v>
      </c>
      <c r="C23" s="25">
        <v>5790000</v>
      </c>
      <c r="D23" s="25">
        <v>5790000</v>
      </c>
      <c r="E23" s="37">
        <v>5690000</v>
      </c>
      <c r="F23" s="38">
        <v>5990000</v>
      </c>
      <c r="G23" s="3">
        <v>5890000</v>
      </c>
    </row>
    <row r="24" spans="1:7" x14ac:dyDescent="0.2">
      <c r="A24" t="s">
        <v>210</v>
      </c>
      <c r="B24" s="3">
        <v>7290000</v>
      </c>
      <c r="C24" s="36" t="s">
        <v>22</v>
      </c>
      <c r="D24" s="25">
        <v>7090000</v>
      </c>
      <c r="E24" s="39" t="s">
        <v>22</v>
      </c>
      <c r="F24" s="38">
        <v>7290000</v>
      </c>
      <c r="G24" s="4">
        <v>7390000</v>
      </c>
    </row>
    <row r="25" spans="1:7" x14ac:dyDescent="0.2">
      <c r="A25" t="s">
        <v>211</v>
      </c>
      <c r="B25" s="3">
        <v>6590000</v>
      </c>
      <c r="C25" s="3">
        <v>6590000</v>
      </c>
      <c r="D25" s="25">
        <v>6590000</v>
      </c>
      <c r="E25" s="37">
        <v>6490000</v>
      </c>
      <c r="F25" s="38">
        <v>6790000</v>
      </c>
      <c r="G25" s="4">
        <v>6790000</v>
      </c>
    </row>
    <row r="26" spans="1:7" x14ac:dyDescent="0.2">
      <c r="A26" t="s">
        <v>212</v>
      </c>
      <c r="B26" s="36">
        <v>7790000</v>
      </c>
      <c r="C26" s="36" t="s">
        <v>22</v>
      </c>
      <c r="D26" s="25">
        <v>7890000</v>
      </c>
      <c r="E26" s="37">
        <v>7790000</v>
      </c>
      <c r="F26" s="38">
        <v>8090000</v>
      </c>
      <c r="G26" s="4" t="s">
        <v>206</v>
      </c>
    </row>
    <row r="27" spans="1:7" x14ac:dyDescent="0.2">
      <c r="A27" t="s">
        <v>213</v>
      </c>
      <c r="B27" s="36">
        <v>10890000</v>
      </c>
      <c r="C27" s="36">
        <v>8940000</v>
      </c>
      <c r="D27" s="25">
        <v>10990000</v>
      </c>
      <c r="E27" s="39">
        <v>10990000</v>
      </c>
      <c r="F27" s="38">
        <v>10990000</v>
      </c>
      <c r="G27" s="44">
        <v>10990000</v>
      </c>
    </row>
    <row r="28" spans="1:7" x14ac:dyDescent="0.2">
      <c r="A28" t="s">
        <v>214</v>
      </c>
      <c r="B28" s="36">
        <v>13490000</v>
      </c>
      <c r="C28" s="36" t="s">
        <v>22</v>
      </c>
      <c r="D28" s="25">
        <v>13390000</v>
      </c>
      <c r="E28" s="39">
        <v>13590000</v>
      </c>
      <c r="F28" s="38">
        <v>13590000</v>
      </c>
      <c r="G28" s="44">
        <v>13590000</v>
      </c>
    </row>
    <row r="29" spans="1:7" x14ac:dyDescent="0.2">
      <c r="A29" t="s">
        <v>215</v>
      </c>
      <c r="B29" s="36">
        <v>11690000</v>
      </c>
      <c r="C29" s="36">
        <v>9690000</v>
      </c>
      <c r="D29" s="25">
        <v>11790000</v>
      </c>
      <c r="E29" s="39">
        <v>11790000</v>
      </c>
      <c r="F29" s="38">
        <v>11790000</v>
      </c>
      <c r="G29" s="45" t="s">
        <v>216</v>
      </c>
    </row>
    <row r="30" spans="1:7" x14ac:dyDescent="0.2">
      <c r="A30" t="s">
        <v>217</v>
      </c>
      <c r="B30" s="36">
        <v>14390000</v>
      </c>
      <c r="C30" s="36" t="s">
        <v>22</v>
      </c>
      <c r="D30" s="25">
        <v>14190000</v>
      </c>
      <c r="E30" s="39">
        <v>14390000</v>
      </c>
      <c r="F30" s="38">
        <v>14390000</v>
      </c>
      <c r="G30" s="34">
        <v>14390000</v>
      </c>
    </row>
    <row r="31" spans="1:7" x14ac:dyDescent="0.2">
      <c r="A31" t="s">
        <v>172</v>
      </c>
      <c r="B31" s="36">
        <v>22890000</v>
      </c>
      <c r="C31" s="36">
        <v>22890000</v>
      </c>
      <c r="D31" s="25">
        <v>22990000</v>
      </c>
      <c r="E31" s="36" t="s">
        <v>22</v>
      </c>
      <c r="F31" s="36">
        <v>22990000</v>
      </c>
      <c r="G31" s="4">
        <v>20890000</v>
      </c>
    </row>
    <row r="32" spans="1:7" x14ac:dyDescent="0.2">
      <c r="A32" t="s">
        <v>53</v>
      </c>
      <c r="B32" s="36">
        <v>5740000</v>
      </c>
      <c r="C32" s="36">
        <v>5740000</v>
      </c>
      <c r="D32" s="38">
        <v>5590000</v>
      </c>
      <c r="E32" s="39">
        <v>5290000</v>
      </c>
      <c r="F32" s="36">
        <v>5650000</v>
      </c>
      <c r="G32" s="4">
        <v>5450000</v>
      </c>
    </row>
    <row r="33" spans="1:7" x14ac:dyDescent="0.2">
      <c r="A33" t="s">
        <v>173</v>
      </c>
      <c r="B33" s="36">
        <v>4040000</v>
      </c>
      <c r="C33" s="36">
        <v>4040000</v>
      </c>
      <c r="D33" s="25">
        <v>4090000</v>
      </c>
      <c r="E33" s="39">
        <v>4150000</v>
      </c>
      <c r="F33" s="38">
        <v>4090000</v>
      </c>
      <c r="G33" s="4" t="s">
        <v>197</v>
      </c>
    </row>
    <row r="34" spans="1:7" x14ac:dyDescent="0.2">
      <c r="A34" t="s">
        <v>174</v>
      </c>
      <c r="B34" s="36">
        <v>3090000</v>
      </c>
      <c r="C34" s="36">
        <v>3090000</v>
      </c>
      <c r="D34" s="38">
        <v>3090000</v>
      </c>
      <c r="E34" s="39">
        <v>2790000</v>
      </c>
      <c r="F34" s="38">
        <v>3090000</v>
      </c>
      <c r="G34" s="4">
        <v>2750000</v>
      </c>
    </row>
    <row r="35" spans="1:7" x14ac:dyDescent="0.2">
      <c r="A35" t="s">
        <v>175</v>
      </c>
      <c r="B35" s="36">
        <v>18490000</v>
      </c>
      <c r="C35" s="36">
        <v>18490000</v>
      </c>
      <c r="D35" s="38">
        <v>18290000</v>
      </c>
      <c r="E35" s="36"/>
      <c r="F35" s="38">
        <v>18490000</v>
      </c>
      <c r="G35" s="3">
        <v>17490000</v>
      </c>
    </row>
    <row r="36" spans="1:7" x14ac:dyDescent="0.2">
      <c r="A36" t="s">
        <v>176</v>
      </c>
      <c r="B36" s="3">
        <v>24390000</v>
      </c>
      <c r="C36" s="3">
        <v>24490000</v>
      </c>
      <c r="D36" s="25">
        <v>23790000</v>
      </c>
      <c r="E36" s="36"/>
      <c r="F36" s="34">
        <v>23490000</v>
      </c>
      <c r="G36" s="4">
        <v>22990000</v>
      </c>
    </row>
    <row r="37" spans="1:7" x14ac:dyDescent="0.2">
      <c r="A37" t="s">
        <v>177</v>
      </c>
      <c r="B37" s="3">
        <v>27390000</v>
      </c>
      <c r="C37" s="3">
        <v>27490000</v>
      </c>
      <c r="D37" s="38">
        <v>26790000</v>
      </c>
      <c r="E37" s="36"/>
      <c r="F37" s="38">
        <v>26490000</v>
      </c>
      <c r="G37" s="4">
        <v>26290000</v>
      </c>
    </row>
    <row r="38" spans="1:7" x14ac:dyDescent="0.2">
      <c r="A38" t="s">
        <v>178</v>
      </c>
      <c r="B38" s="3">
        <v>32090000</v>
      </c>
      <c r="C38" s="3">
        <v>32090000</v>
      </c>
      <c r="D38" s="4">
        <v>31090000</v>
      </c>
      <c r="E38" s="36"/>
      <c r="F38" s="38">
        <v>31190000</v>
      </c>
      <c r="G38" s="3">
        <v>30990000</v>
      </c>
    </row>
    <row r="39" spans="1:7" x14ac:dyDescent="0.2">
      <c r="A39" t="s">
        <v>179</v>
      </c>
      <c r="B39" s="3">
        <v>38090000</v>
      </c>
      <c r="C39" s="3">
        <v>38090000</v>
      </c>
      <c r="D39" s="25">
        <v>37990000</v>
      </c>
      <c r="E39" s="36"/>
      <c r="F39" s="38">
        <v>38190000</v>
      </c>
      <c r="G39" s="4">
        <v>37790000</v>
      </c>
    </row>
  </sheetData>
  <pageMargins left="0.7" right="0.7" top="0.75" bottom="0.75" header="0.3" footer="0.3"/>
  <legacyDrawing r:id="rId1"/>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codeName="Sheet28"/>
  <dimension ref="A1:K40"/>
  <sheetViews>
    <sheetView zoomScale="79" zoomScaleNormal="100" workbookViewId="0">
      <selection activeCell="K10" sqref="K10"/>
    </sheetView>
  </sheetViews>
  <sheetFormatPr baseColWidth="10" defaultColWidth="11" defaultRowHeight="16" x14ac:dyDescent="0.2"/>
  <cols>
    <col min="1" max="1" width="25.33203125" bestFit="1" customWidth="1"/>
  </cols>
  <sheetData>
    <row r="1" spans="1:11" x14ac:dyDescent="0.2">
      <c r="B1" s="46" t="s">
        <v>0</v>
      </c>
      <c r="C1" s="46" t="s">
        <v>1</v>
      </c>
      <c r="D1" s="46" t="s">
        <v>2</v>
      </c>
      <c r="E1" s="46" t="s">
        <v>3</v>
      </c>
      <c r="F1" s="46" t="s">
        <v>4</v>
      </c>
      <c r="G1" s="46" t="s">
        <v>5</v>
      </c>
    </row>
    <row r="2" spans="1:11" x14ac:dyDescent="0.2">
      <c r="A2" t="s">
        <v>181</v>
      </c>
      <c r="B2" s="3">
        <v>22990000</v>
      </c>
      <c r="C2" s="3">
        <v>22990000</v>
      </c>
      <c r="D2" s="41">
        <v>21690000</v>
      </c>
      <c r="E2" s="37">
        <v>21690000</v>
      </c>
      <c r="F2" s="37">
        <v>21290000</v>
      </c>
      <c r="G2" s="4">
        <v>21590000</v>
      </c>
    </row>
    <row r="3" spans="1:11" x14ac:dyDescent="0.2">
      <c r="A3" t="s">
        <v>24</v>
      </c>
      <c r="B3" s="3">
        <v>25990000</v>
      </c>
      <c r="C3" s="3">
        <v>25990000</v>
      </c>
      <c r="D3" s="42">
        <v>25490000</v>
      </c>
      <c r="E3" s="37">
        <v>24690000</v>
      </c>
      <c r="F3" s="37">
        <v>24490000</v>
      </c>
      <c r="G3" s="3">
        <v>25490000</v>
      </c>
    </row>
    <row r="4" spans="1:11" x14ac:dyDescent="0.2">
      <c r="A4" t="s">
        <v>182</v>
      </c>
      <c r="B4" s="3">
        <v>28990000</v>
      </c>
      <c r="C4" s="25">
        <v>28990000</v>
      </c>
      <c r="D4" s="42">
        <v>28490000</v>
      </c>
      <c r="E4" s="37">
        <v>27490000</v>
      </c>
      <c r="F4" s="37">
        <v>27990000</v>
      </c>
      <c r="G4" s="4">
        <v>28590000</v>
      </c>
    </row>
    <row r="5" spans="1:11" x14ac:dyDescent="0.2">
      <c r="A5" t="s">
        <v>183</v>
      </c>
      <c r="B5" s="3">
        <v>34990000</v>
      </c>
      <c r="C5" s="36" t="s">
        <v>22</v>
      </c>
      <c r="D5" s="42">
        <v>34490000</v>
      </c>
      <c r="E5" s="37">
        <v>33990000</v>
      </c>
      <c r="F5" s="37">
        <v>33790000</v>
      </c>
      <c r="G5" s="3">
        <v>34490000</v>
      </c>
    </row>
    <row r="6" spans="1:11" x14ac:dyDescent="0.2">
      <c r="A6" t="s">
        <v>25</v>
      </c>
      <c r="B6" s="3">
        <v>20190000</v>
      </c>
      <c r="C6" s="36" t="s">
        <v>22</v>
      </c>
      <c r="D6" s="42">
        <v>19690000</v>
      </c>
      <c r="E6" s="36">
        <v>19490000</v>
      </c>
      <c r="F6" s="39">
        <v>19590000</v>
      </c>
      <c r="G6" s="4" t="s">
        <v>218</v>
      </c>
    </row>
    <row r="7" spans="1:11" x14ac:dyDescent="0.2">
      <c r="A7" t="s">
        <v>26</v>
      </c>
      <c r="B7" s="3">
        <v>23190000</v>
      </c>
      <c r="C7" s="3">
        <v>23190000</v>
      </c>
      <c r="D7" s="42">
        <v>22690000</v>
      </c>
      <c r="E7" s="36">
        <v>22490000</v>
      </c>
      <c r="F7" s="39">
        <v>22590000</v>
      </c>
      <c r="G7" s="4">
        <v>22690000</v>
      </c>
      <c r="I7" t="s">
        <v>31</v>
      </c>
      <c r="J7" t="s">
        <v>38</v>
      </c>
      <c r="K7" t="b">
        <v>1</v>
      </c>
    </row>
    <row r="8" spans="1:11" x14ac:dyDescent="0.2">
      <c r="A8" t="s">
        <v>157</v>
      </c>
      <c r="B8" s="3">
        <v>28590000</v>
      </c>
      <c r="C8" s="36" t="s">
        <v>22</v>
      </c>
      <c r="D8" s="42">
        <v>25990000</v>
      </c>
      <c r="E8" s="36" t="s">
        <v>22</v>
      </c>
      <c r="F8" s="39">
        <v>25590000</v>
      </c>
      <c r="G8" s="4">
        <v>24390000</v>
      </c>
      <c r="I8" t="s">
        <v>0</v>
      </c>
      <c r="J8" t="s">
        <v>36</v>
      </c>
      <c r="K8" t="b">
        <v>1</v>
      </c>
    </row>
    <row r="9" spans="1:11" x14ac:dyDescent="0.2">
      <c r="A9" t="s">
        <v>158</v>
      </c>
      <c r="B9" s="3">
        <v>29590000</v>
      </c>
      <c r="C9" s="36" t="s">
        <v>22</v>
      </c>
      <c r="D9" s="25">
        <v>29390000</v>
      </c>
      <c r="E9" s="37">
        <v>28990000</v>
      </c>
      <c r="F9" s="39">
        <v>28990000</v>
      </c>
      <c r="G9" s="3">
        <v>28690000</v>
      </c>
      <c r="I9" t="s">
        <v>2</v>
      </c>
      <c r="J9" t="s">
        <v>198</v>
      </c>
      <c r="K9" t="b">
        <v>1</v>
      </c>
    </row>
    <row r="10" spans="1:11" x14ac:dyDescent="0.2">
      <c r="A10" t="s">
        <v>92</v>
      </c>
      <c r="B10" s="3">
        <v>20590000</v>
      </c>
      <c r="C10" s="3">
        <v>20590000</v>
      </c>
      <c r="D10" s="25">
        <v>19990000</v>
      </c>
      <c r="E10" s="37">
        <v>19690000</v>
      </c>
      <c r="F10" s="38">
        <v>19790000</v>
      </c>
      <c r="G10" s="4">
        <v>19090000</v>
      </c>
      <c r="I10" t="s">
        <v>3</v>
      </c>
      <c r="J10" t="s">
        <v>199</v>
      </c>
      <c r="K10" t="b">
        <v>1</v>
      </c>
    </row>
    <row r="11" spans="1:11" x14ac:dyDescent="0.2">
      <c r="A11" t="s">
        <v>27</v>
      </c>
      <c r="B11" s="3">
        <v>17590000</v>
      </c>
      <c r="C11" s="3">
        <v>17590000</v>
      </c>
      <c r="D11" s="38">
        <v>17090000</v>
      </c>
      <c r="E11" s="36" t="s">
        <v>22</v>
      </c>
      <c r="F11" s="38">
        <v>16850000</v>
      </c>
      <c r="G11" s="4">
        <v>17290000</v>
      </c>
      <c r="I11" t="s">
        <v>4</v>
      </c>
      <c r="J11" t="s">
        <v>34</v>
      </c>
      <c r="K11" t="b">
        <v>1</v>
      </c>
    </row>
    <row r="12" spans="1:11" x14ac:dyDescent="0.2">
      <c r="A12" t="s">
        <v>28</v>
      </c>
      <c r="B12" s="3">
        <v>13990000</v>
      </c>
      <c r="C12" s="3">
        <v>13990000</v>
      </c>
      <c r="D12" s="34">
        <v>13490000</v>
      </c>
      <c r="E12" s="37">
        <v>13490000</v>
      </c>
      <c r="F12" s="34">
        <v>13590000</v>
      </c>
      <c r="G12" s="3" t="s">
        <v>220</v>
      </c>
      <c r="I12" t="s">
        <v>41</v>
      </c>
      <c r="J12" t="s">
        <v>42</v>
      </c>
      <c r="K12" t="b">
        <v>1</v>
      </c>
    </row>
    <row r="13" spans="1:11" x14ac:dyDescent="0.2">
      <c r="A13" t="s">
        <v>98</v>
      </c>
      <c r="B13" s="3">
        <v>12090000</v>
      </c>
      <c r="C13" s="36" t="s">
        <v>22</v>
      </c>
      <c r="D13" s="25">
        <v>10990000</v>
      </c>
      <c r="E13" s="36">
        <v>10990000</v>
      </c>
      <c r="F13" s="38">
        <v>10990000</v>
      </c>
      <c r="G13" s="4">
        <v>12290000</v>
      </c>
    </row>
    <row r="14" spans="1:11" x14ac:dyDescent="0.2">
      <c r="A14" t="s">
        <v>102</v>
      </c>
      <c r="B14" s="3">
        <v>8990000</v>
      </c>
      <c r="C14" s="3">
        <v>8990000</v>
      </c>
      <c r="D14" s="25">
        <v>8990000</v>
      </c>
      <c r="E14" s="37">
        <v>8490000</v>
      </c>
      <c r="F14" s="34">
        <v>8790000</v>
      </c>
      <c r="G14" s="4">
        <v>8790000</v>
      </c>
    </row>
    <row r="15" spans="1:11" x14ac:dyDescent="0.2">
      <c r="A15" t="s">
        <v>161</v>
      </c>
      <c r="B15" s="3">
        <v>12090000</v>
      </c>
      <c r="C15" s="36" t="s">
        <v>22</v>
      </c>
      <c r="D15" s="25">
        <v>12490000</v>
      </c>
      <c r="E15" s="36" t="s">
        <v>22</v>
      </c>
      <c r="F15" s="38">
        <v>12650000</v>
      </c>
      <c r="G15" s="4">
        <v>12650000</v>
      </c>
    </row>
    <row r="16" spans="1:11" x14ac:dyDescent="0.2">
      <c r="A16" t="s">
        <v>162</v>
      </c>
      <c r="B16" s="3">
        <v>9990000</v>
      </c>
      <c r="C16" s="3">
        <v>9990000</v>
      </c>
      <c r="D16" s="25">
        <v>9790000</v>
      </c>
      <c r="E16" s="37">
        <v>9690000</v>
      </c>
      <c r="F16" s="34">
        <v>9590000</v>
      </c>
      <c r="G16" s="4">
        <v>9290000</v>
      </c>
    </row>
    <row r="17" spans="1:7" x14ac:dyDescent="0.2">
      <c r="A17" t="s">
        <v>163</v>
      </c>
      <c r="B17" s="3">
        <v>7090000</v>
      </c>
      <c r="C17" s="3">
        <v>7090000</v>
      </c>
      <c r="D17" s="25">
        <v>7190000</v>
      </c>
      <c r="E17" s="37">
        <v>6990000</v>
      </c>
      <c r="F17" s="38">
        <v>7090000</v>
      </c>
      <c r="G17" s="4">
        <v>7090000</v>
      </c>
    </row>
    <row r="18" spans="1:7" x14ac:dyDescent="0.2">
      <c r="A18" t="s">
        <v>189</v>
      </c>
      <c r="B18" s="3">
        <v>16990000</v>
      </c>
      <c r="C18" s="3">
        <v>16990000</v>
      </c>
      <c r="D18" s="25">
        <v>16990000</v>
      </c>
      <c r="E18" s="37">
        <v>16190000</v>
      </c>
      <c r="F18" s="38">
        <v>16490000</v>
      </c>
      <c r="G18" s="3" t="s">
        <v>221</v>
      </c>
    </row>
    <row r="19" spans="1:7" x14ac:dyDescent="0.2">
      <c r="A19" t="s">
        <v>190</v>
      </c>
      <c r="B19" s="3">
        <v>22490000</v>
      </c>
      <c r="C19" s="3">
        <v>22490000</v>
      </c>
      <c r="D19" s="25">
        <v>21990000</v>
      </c>
      <c r="E19" s="37">
        <v>21190000</v>
      </c>
      <c r="F19" s="38">
        <v>21490000</v>
      </c>
      <c r="G19" s="4">
        <v>21490000</v>
      </c>
    </row>
    <row r="20" spans="1:7" x14ac:dyDescent="0.2">
      <c r="A20" t="s">
        <v>184</v>
      </c>
      <c r="B20" s="3">
        <v>27790000</v>
      </c>
      <c r="C20" s="3">
        <v>27790000</v>
      </c>
      <c r="D20" s="25">
        <v>27690000</v>
      </c>
      <c r="E20" s="36">
        <v>27215000</v>
      </c>
      <c r="F20" s="38">
        <v>27690000</v>
      </c>
      <c r="G20" s="4">
        <v>27190000</v>
      </c>
    </row>
    <row r="21" spans="1:7" x14ac:dyDescent="0.2">
      <c r="A21" t="s">
        <v>185</v>
      </c>
      <c r="B21" s="3">
        <v>37290000</v>
      </c>
      <c r="C21" s="3">
        <v>37290000</v>
      </c>
      <c r="D21" s="25">
        <v>36790000</v>
      </c>
      <c r="E21" s="36">
        <v>36490000</v>
      </c>
      <c r="F21" s="38">
        <v>36990000</v>
      </c>
      <c r="G21" s="4">
        <v>36890000</v>
      </c>
    </row>
    <row r="22" spans="1:7" x14ac:dyDescent="0.2">
      <c r="A22" t="s">
        <v>209</v>
      </c>
      <c r="B22" s="3">
        <v>5990000</v>
      </c>
      <c r="C22" s="3">
        <v>5990000</v>
      </c>
      <c r="D22" s="25">
        <v>5790000</v>
      </c>
      <c r="E22" s="39">
        <v>5790000</v>
      </c>
      <c r="F22" s="38">
        <v>5990000</v>
      </c>
      <c r="G22" s="4">
        <v>5890000</v>
      </c>
    </row>
    <row r="23" spans="1:7" x14ac:dyDescent="0.2">
      <c r="A23" t="s">
        <v>210</v>
      </c>
      <c r="B23" s="3">
        <v>7490000</v>
      </c>
      <c r="C23" s="36" t="s">
        <v>22</v>
      </c>
      <c r="D23" s="25">
        <v>7090000</v>
      </c>
      <c r="E23" s="39">
        <v>7290000</v>
      </c>
      <c r="F23" s="38">
        <v>7290000</v>
      </c>
      <c r="G23" s="4">
        <v>7390000</v>
      </c>
    </row>
    <row r="24" spans="1:7" x14ac:dyDescent="0.2">
      <c r="A24" t="s">
        <v>211</v>
      </c>
      <c r="B24" s="3">
        <v>6990000</v>
      </c>
      <c r="C24" s="3">
        <v>6990000</v>
      </c>
      <c r="D24" s="25">
        <v>6590000</v>
      </c>
      <c r="E24" s="39">
        <v>6590000</v>
      </c>
      <c r="F24" s="38">
        <v>6790000</v>
      </c>
      <c r="G24" s="4">
        <v>6790000</v>
      </c>
    </row>
    <row r="25" spans="1:7" x14ac:dyDescent="0.2">
      <c r="A25" t="s">
        <v>212</v>
      </c>
      <c r="B25" s="3">
        <v>7990000</v>
      </c>
      <c r="C25" s="36" t="s">
        <v>22</v>
      </c>
      <c r="D25" s="25">
        <v>7890000</v>
      </c>
      <c r="E25" s="39">
        <v>7990000</v>
      </c>
      <c r="F25" s="38">
        <v>8090000</v>
      </c>
      <c r="G25" s="4" t="s">
        <v>206</v>
      </c>
    </row>
    <row r="26" spans="1:7" x14ac:dyDescent="0.2">
      <c r="A26" t="s">
        <v>213</v>
      </c>
      <c r="B26" s="3">
        <v>10990000</v>
      </c>
      <c r="C26" s="3">
        <v>10990000</v>
      </c>
      <c r="D26" s="25">
        <v>10990000</v>
      </c>
      <c r="E26" s="37">
        <v>10490000</v>
      </c>
      <c r="F26" s="38">
        <v>10990000</v>
      </c>
      <c r="G26" s="4">
        <v>10990000</v>
      </c>
    </row>
    <row r="27" spans="1:7" x14ac:dyDescent="0.2">
      <c r="A27" t="s">
        <v>214</v>
      </c>
      <c r="B27" s="3">
        <v>13590000</v>
      </c>
      <c r="C27" s="36" t="s">
        <v>22</v>
      </c>
      <c r="D27" s="3">
        <v>13590000</v>
      </c>
      <c r="E27" s="37">
        <v>12990000</v>
      </c>
      <c r="F27" s="38">
        <v>13590000</v>
      </c>
      <c r="G27" s="4">
        <v>13590000</v>
      </c>
    </row>
    <row r="28" spans="1:7" x14ac:dyDescent="0.2">
      <c r="A28" t="s">
        <v>215</v>
      </c>
      <c r="B28" s="3">
        <v>11790000</v>
      </c>
      <c r="C28" s="3">
        <v>11790000</v>
      </c>
      <c r="D28" s="25">
        <v>11790000</v>
      </c>
      <c r="E28" s="37">
        <v>11290000</v>
      </c>
      <c r="F28" s="38">
        <v>11790000</v>
      </c>
      <c r="G28" s="4" t="s">
        <v>216</v>
      </c>
    </row>
    <row r="29" spans="1:7" x14ac:dyDescent="0.2">
      <c r="A29" t="s">
        <v>217</v>
      </c>
      <c r="B29" s="36">
        <v>14390000</v>
      </c>
      <c r="C29" s="36" t="s">
        <v>22</v>
      </c>
      <c r="D29" s="3">
        <v>14390000</v>
      </c>
      <c r="E29" s="37">
        <v>13890000</v>
      </c>
      <c r="F29" s="38">
        <v>14390000</v>
      </c>
      <c r="G29" s="4">
        <v>14390000</v>
      </c>
    </row>
    <row r="30" spans="1:7" x14ac:dyDescent="0.2">
      <c r="A30" t="s">
        <v>172</v>
      </c>
      <c r="B30" s="3">
        <v>22990000</v>
      </c>
      <c r="C30" s="3">
        <v>22990000</v>
      </c>
      <c r="D30" s="25">
        <v>22990000</v>
      </c>
      <c r="E30" s="36" t="s">
        <v>22</v>
      </c>
      <c r="F30" s="36">
        <v>22990000</v>
      </c>
      <c r="G30" s="4">
        <v>20890000</v>
      </c>
    </row>
    <row r="31" spans="1:7" x14ac:dyDescent="0.2">
      <c r="A31" t="s">
        <v>53</v>
      </c>
      <c r="B31" s="3">
        <v>5790000</v>
      </c>
      <c r="C31" s="3">
        <v>5790000</v>
      </c>
      <c r="D31" s="34">
        <v>5790000</v>
      </c>
      <c r="E31" s="37">
        <v>5490000</v>
      </c>
      <c r="F31" s="37">
        <v>5750000</v>
      </c>
      <c r="G31" s="4">
        <v>5450000</v>
      </c>
    </row>
    <row r="32" spans="1:7" x14ac:dyDescent="0.2">
      <c r="A32" t="s">
        <v>54</v>
      </c>
      <c r="B32" s="36">
        <v>4790000</v>
      </c>
      <c r="C32" s="36">
        <v>4790000</v>
      </c>
      <c r="D32" s="38">
        <v>4790000</v>
      </c>
      <c r="E32" s="37">
        <v>4790000</v>
      </c>
      <c r="F32" s="36">
        <v>4690000</v>
      </c>
      <c r="G32" s="4">
        <v>4790000</v>
      </c>
    </row>
    <row r="33" spans="1:7" x14ac:dyDescent="0.2">
      <c r="A33" t="s">
        <v>55</v>
      </c>
      <c r="B33" s="36">
        <v>3490000</v>
      </c>
      <c r="C33" s="36">
        <v>3490000</v>
      </c>
      <c r="D33" s="38">
        <v>3490000</v>
      </c>
      <c r="E33" s="37">
        <v>3290000</v>
      </c>
      <c r="F33" s="36">
        <v>3390000</v>
      </c>
      <c r="G33" s="4">
        <v>3490000</v>
      </c>
    </row>
    <row r="34" spans="1:7" x14ac:dyDescent="0.2">
      <c r="A34" t="s">
        <v>173</v>
      </c>
      <c r="B34" s="3">
        <v>4090000</v>
      </c>
      <c r="C34" s="3">
        <v>4090000</v>
      </c>
      <c r="D34" s="25">
        <v>4090000</v>
      </c>
      <c r="E34" s="39">
        <v>3890000</v>
      </c>
      <c r="F34" s="38">
        <v>4090000</v>
      </c>
      <c r="G34" s="4" t="s">
        <v>197</v>
      </c>
    </row>
    <row r="35" spans="1:7" x14ac:dyDescent="0.2">
      <c r="A35" t="s">
        <v>174</v>
      </c>
      <c r="B35" s="36">
        <v>3090000</v>
      </c>
      <c r="C35" s="36">
        <v>3090000</v>
      </c>
      <c r="D35" s="38">
        <v>3090000</v>
      </c>
      <c r="E35" s="37">
        <v>2790000</v>
      </c>
      <c r="F35" s="38">
        <v>3090000</v>
      </c>
      <c r="G35" s="4">
        <v>2750000</v>
      </c>
    </row>
    <row r="36" spans="1:7" x14ac:dyDescent="0.2">
      <c r="A36" t="s">
        <v>175</v>
      </c>
      <c r="B36" s="3">
        <v>18990000</v>
      </c>
      <c r="C36" s="3">
        <v>18990000</v>
      </c>
      <c r="D36" s="34">
        <v>18490000</v>
      </c>
      <c r="E36" s="36"/>
      <c r="F36" s="34">
        <v>18390000</v>
      </c>
      <c r="G36" s="3">
        <v>17490000</v>
      </c>
    </row>
    <row r="37" spans="1:7" x14ac:dyDescent="0.2">
      <c r="A37" t="s">
        <v>176</v>
      </c>
      <c r="B37" s="3">
        <v>24490000</v>
      </c>
      <c r="C37" s="3">
        <v>24490000</v>
      </c>
      <c r="D37" s="3">
        <v>23990000</v>
      </c>
      <c r="E37" s="36"/>
      <c r="F37" s="34">
        <v>22990000</v>
      </c>
      <c r="G37" s="4">
        <v>22990000</v>
      </c>
    </row>
    <row r="38" spans="1:7" x14ac:dyDescent="0.2">
      <c r="A38" t="s">
        <v>177</v>
      </c>
      <c r="B38" s="3">
        <v>27490000</v>
      </c>
      <c r="C38" s="3">
        <v>27490000</v>
      </c>
      <c r="D38" s="34">
        <v>26990000</v>
      </c>
      <c r="E38" s="36"/>
      <c r="F38" s="34">
        <v>25990000</v>
      </c>
      <c r="G38" s="3">
        <v>26490000</v>
      </c>
    </row>
    <row r="39" spans="1:7" x14ac:dyDescent="0.2">
      <c r="A39" t="s">
        <v>178</v>
      </c>
      <c r="B39" s="3">
        <v>31990000</v>
      </c>
      <c r="C39" s="3">
        <v>31990000</v>
      </c>
      <c r="D39" s="3">
        <v>31290000</v>
      </c>
      <c r="E39" s="36"/>
      <c r="F39" s="38">
        <v>31190000</v>
      </c>
      <c r="G39" s="3">
        <v>31590000</v>
      </c>
    </row>
    <row r="40" spans="1:7" x14ac:dyDescent="0.2">
      <c r="A40" t="s">
        <v>179</v>
      </c>
      <c r="B40" s="3">
        <v>38990000</v>
      </c>
      <c r="C40" s="3">
        <v>38990000</v>
      </c>
      <c r="D40" s="3">
        <v>38190000</v>
      </c>
      <c r="E40" s="36"/>
      <c r="F40" s="38" t="s">
        <v>22</v>
      </c>
      <c r="G40" s="4"/>
    </row>
  </sheetData>
  <pageMargins left="0.7" right="0.7" top="0.75" bottom="0.75" header="0.3" footer="0.3"/>
  <legacyDrawing r:id="rId1"/>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codeName="Sheet29"/>
  <dimension ref="A1:K40"/>
  <sheetViews>
    <sheetView zoomScale="93" zoomScaleNormal="120" workbookViewId="0">
      <pane xSplit="1" ySplit="1" topLeftCell="B2" activePane="bottomRight" state="frozen"/>
      <selection pane="topRight" activeCell="B1" sqref="B1"/>
      <selection pane="bottomLeft" activeCell="A2" sqref="A2"/>
      <selection pane="bottomRight" activeCell="B1" sqref="B1"/>
    </sheetView>
  </sheetViews>
  <sheetFormatPr baseColWidth="10" defaultColWidth="11" defaultRowHeight="16" x14ac:dyDescent="0.2"/>
  <cols>
    <col min="1" max="1" width="25.33203125" bestFit="1" customWidth="1"/>
  </cols>
  <sheetData>
    <row r="1" spans="1:11" x14ac:dyDescent="0.2">
      <c r="B1" s="46" t="s">
        <v>0</v>
      </c>
      <c r="C1" s="46" t="s">
        <v>1</v>
      </c>
      <c r="D1" s="46" t="s">
        <v>2</v>
      </c>
      <c r="E1" s="46" t="s">
        <v>3</v>
      </c>
      <c r="F1" s="46" t="s">
        <v>4</v>
      </c>
      <c r="G1" s="46" t="s">
        <v>5</v>
      </c>
    </row>
    <row r="2" spans="1:11" x14ac:dyDescent="0.2">
      <c r="A2" t="s">
        <v>181</v>
      </c>
      <c r="B2" s="3">
        <v>22390000</v>
      </c>
      <c r="C2" s="3">
        <v>22390000</v>
      </c>
      <c r="D2" s="42">
        <v>21690000</v>
      </c>
      <c r="E2" s="39">
        <v>21690000</v>
      </c>
      <c r="F2" s="37">
        <v>21690000</v>
      </c>
      <c r="G2" s="3">
        <v>21790000</v>
      </c>
    </row>
    <row r="3" spans="1:11" x14ac:dyDescent="0.2">
      <c r="A3" t="s">
        <v>24</v>
      </c>
      <c r="B3" s="3">
        <v>25790000</v>
      </c>
      <c r="C3" s="3">
        <v>25790000</v>
      </c>
      <c r="D3" s="41">
        <v>25290000</v>
      </c>
      <c r="E3" s="39">
        <v>24690000</v>
      </c>
      <c r="F3" s="37">
        <v>24990000</v>
      </c>
      <c r="G3" s="3">
        <v>24990000</v>
      </c>
    </row>
    <row r="4" spans="1:11" x14ac:dyDescent="0.2">
      <c r="A4" t="s">
        <v>182</v>
      </c>
      <c r="B4" s="3">
        <v>28790000</v>
      </c>
      <c r="C4" s="3">
        <v>28790000</v>
      </c>
      <c r="D4" s="42">
        <v>28490000</v>
      </c>
      <c r="E4" s="37">
        <v>28490000</v>
      </c>
      <c r="F4" s="37">
        <v>28490000</v>
      </c>
      <c r="G4" s="4">
        <v>28590000</v>
      </c>
    </row>
    <row r="5" spans="1:11" x14ac:dyDescent="0.2">
      <c r="A5" t="s">
        <v>183</v>
      </c>
      <c r="B5" s="3">
        <v>34790000</v>
      </c>
      <c r="C5" s="3">
        <v>34790000</v>
      </c>
      <c r="D5" s="41">
        <v>34290000</v>
      </c>
      <c r="E5" s="37">
        <v>33490000</v>
      </c>
      <c r="F5" s="37">
        <v>34090000</v>
      </c>
      <c r="G5" s="4">
        <v>34490000</v>
      </c>
    </row>
    <row r="6" spans="1:11" x14ac:dyDescent="0.2">
      <c r="A6" t="s">
        <v>25</v>
      </c>
      <c r="B6" s="3">
        <v>19590000</v>
      </c>
      <c r="C6" s="3">
        <v>19590000</v>
      </c>
      <c r="D6" s="42">
        <v>19690000</v>
      </c>
      <c r="E6" s="37">
        <v>19190000</v>
      </c>
      <c r="F6" s="37">
        <v>19490000</v>
      </c>
      <c r="G6" s="4" t="s">
        <v>218</v>
      </c>
    </row>
    <row r="7" spans="1:11" x14ac:dyDescent="0.2">
      <c r="A7" t="s">
        <v>26</v>
      </c>
      <c r="B7" s="3">
        <v>22590000</v>
      </c>
      <c r="C7" s="3">
        <v>22590000</v>
      </c>
      <c r="D7" s="42">
        <v>22690000</v>
      </c>
      <c r="E7" s="37">
        <v>21990000</v>
      </c>
      <c r="F7" s="39">
        <v>22590000</v>
      </c>
      <c r="G7" s="4">
        <v>22690000</v>
      </c>
      <c r="I7" t="s">
        <v>31</v>
      </c>
      <c r="J7" t="s">
        <v>38</v>
      </c>
      <c r="K7" t="b">
        <v>1</v>
      </c>
    </row>
    <row r="8" spans="1:11" x14ac:dyDescent="0.2">
      <c r="A8" t="s">
        <v>157</v>
      </c>
      <c r="B8" s="3" t="s">
        <v>22</v>
      </c>
      <c r="C8" s="42" t="s">
        <v>22</v>
      </c>
      <c r="D8" s="42" t="s">
        <v>22</v>
      </c>
      <c r="E8" s="36" t="s">
        <v>22</v>
      </c>
      <c r="F8" s="39">
        <v>25590000</v>
      </c>
      <c r="G8" s="4">
        <v>24390000</v>
      </c>
      <c r="I8" t="s">
        <v>0</v>
      </c>
      <c r="J8" t="s">
        <v>36</v>
      </c>
      <c r="K8" t="b">
        <v>1</v>
      </c>
    </row>
    <row r="9" spans="1:11" x14ac:dyDescent="0.2">
      <c r="A9" t="s">
        <v>158</v>
      </c>
      <c r="B9" s="3">
        <v>29390000</v>
      </c>
      <c r="C9" s="3">
        <v>29390000</v>
      </c>
      <c r="D9" s="3">
        <v>29490000</v>
      </c>
      <c r="E9" s="37">
        <v>28490000</v>
      </c>
      <c r="F9" s="39">
        <v>28990000</v>
      </c>
      <c r="G9" s="3">
        <v>28490000</v>
      </c>
      <c r="I9" t="s">
        <v>2</v>
      </c>
      <c r="J9" t="s">
        <v>198</v>
      </c>
      <c r="K9" t="b">
        <v>1</v>
      </c>
    </row>
    <row r="10" spans="1:11" x14ac:dyDescent="0.2">
      <c r="A10" t="s">
        <v>92</v>
      </c>
      <c r="B10" s="3">
        <v>20390000</v>
      </c>
      <c r="C10" s="3">
        <v>20390000</v>
      </c>
      <c r="D10" s="25">
        <v>19990000</v>
      </c>
      <c r="E10" s="39">
        <v>19690000</v>
      </c>
      <c r="F10" s="38">
        <v>19690000</v>
      </c>
      <c r="G10" s="3">
        <v>20090000</v>
      </c>
      <c r="I10" t="s">
        <v>3</v>
      </c>
      <c r="J10" t="s">
        <v>199</v>
      </c>
      <c r="K10" t="b">
        <v>1</v>
      </c>
    </row>
    <row r="11" spans="1:11" x14ac:dyDescent="0.2">
      <c r="A11" t="s">
        <v>27</v>
      </c>
      <c r="B11" s="3">
        <v>17390000</v>
      </c>
      <c r="C11" s="3">
        <v>17390000</v>
      </c>
      <c r="D11" s="38">
        <v>17090000</v>
      </c>
      <c r="E11" s="36" t="s">
        <v>22</v>
      </c>
      <c r="F11" s="38">
        <v>16850000</v>
      </c>
      <c r="G11" s="4">
        <v>17290000</v>
      </c>
      <c r="I11" t="s">
        <v>4</v>
      </c>
      <c r="J11" t="s">
        <v>34</v>
      </c>
      <c r="K11" t="b">
        <v>1</v>
      </c>
    </row>
    <row r="12" spans="1:11" x14ac:dyDescent="0.2">
      <c r="A12" t="s">
        <v>28</v>
      </c>
      <c r="B12" s="3">
        <v>13490000</v>
      </c>
      <c r="C12" s="3">
        <v>13490000</v>
      </c>
      <c r="D12" s="38">
        <v>13490000</v>
      </c>
      <c r="E12" s="37">
        <v>13490000</v>
      </c>
      <c r="F12" s="34">
        <v>13390000</v>
      </c>
      <c r="G12" s="4" t="s">
        <v>220</v>
      </c>
      <c r="I12" t="s">
        <v>41</v>
      </c>
      <c r="J12" t="s">
        <v>42</v>
      </c>
      <c r="K12" t="b">
        <v>1</v>
      </c>
    </row>
    <row r="13" spans="1:11" x14ac:dyDescent="0.2">
      <c r="A13" t="s">
        <v>98</v>
      </c>
      <c r="B13" s="3">
        <v>11990000</v>
      </c>
      <c r="C13" s="3">
        <v>11990000</v>
      </c>
      <c r="D13" s="25">
        <v>10990000</v>
      </c>
      <c r="E13" s="36">
        <v>10990000</v>
      </c>
      <c r="F13" s="38">
        <v>10890000</v>
      </c>
      <c r="G13" s="4">
        <v>12290000</v>
      </c>
    </row>
    <row r="14" spans="1:11" x14ac:dyDescent="0.2">
      <c r="A14" t="s">
        <v>102</v>
      </c>
      <c r="B14" s="3">
        <v>8940000</v>
      </c>
      <c r="C14" s="3">
        <v>8940000</v>
      </c>
      <c r="D14" s="25">
        <v>8990000</v>
      </c>
      <c r="E14" s="39">
        <v>8490000</v>
      </c>
      <c r="F14" s="38">
        <v>8790000</v>
      </c>
      <c r="G14" s="4">
        <v>8790000</v>
      </c>
    </row>
    <row r="15" spans="1:11" x14ac:dyDescent="0.2">
      <c r="A15" t="s">
        <v>161</v>
      </c>
      <c r="B15" s="3">
        <v>11990000</v>
      </c>
      <c r="C15" s="36" t="s">
        <v>22</v>
      </c>
      <c r="D15" s="3">
        <v>11990000</v>
      </c>
      <c r="E15" s="36" t="s">
        <v>22</v>
      </c>
      <c r="F15" s="34">
        <v>11990000</v>
      </c>
      <c r="G15" s="4">
        <v>12650000</v>
      </c>
    </row>
    <row r="16" spans="1:11" x14ac:dyDescent="0.2">
      <c r="A16" t="s">
        <v>162</v>
      </c>
      <c r="B16" s="3">
        <v>9290000</v>
      </c>
      <c r="C16" s="3">
        <v>9290000</v>
      </c>
      <c r="D16" s="3">
        <v>8990000</v>
      </c>
      <c r="E16" s="39">
        <v>9690000</v>
      </c>
      <c r="F16" s="38">
        <v>9590000</v>
      </c>
      <c r="G16" s="4">
        <v>9290000</v>
      </c>
    </row>
    <row r="17" spans="1:7" x14ac:dyDescent="0.2">
      <c r="A17" t="s">
        <v>163</v>
      </c>
      <c r="B17" s="3">
        <v>7040000</v>
      </c>
      <c r="C17" s="3">
        <v>7040000</v>
      </c>
      <c r="D17" s="3">
        <v>7090000</v>
      </c>
      <c r="E17" s="39">
        <v>6990000</v>
      </c>
      <c r="F17" s="38">
        <v>7090000</v>
      </c>
      <c r="G17" s="4">
        <v>7090000</v>
      </c>
    </row>
    <row r="18" spans="1:7" x14ac:dyDescent="0.2">
      <c r="A18" t="s">
        <v>189</v>
      </c>
      <c r="B18" s="3">
        <v>16890000</v>
      </c>
      <c r="C18" s="3">
        <v>16890000</v>
      </c>
      <c r="D18" s="3">
        <v>16690000</v>
      </c>
      <c r="E18" s="39">
        <v>16190000</v>
      </c>
      <c r="F18" s="34">
        <v>16590000</v>
      </c>
      <c r="G18" s="3">
        <v>15990000</v>
      </c>
    </row>
    <row r="19" spans="1:7" x14ac:dyDescent="0.2">
      <c r="A19" t="s">
        <v>190</v>
      </c>
      <c r="B19" s="3">
        <v>22290000</v>
      </c>
      <c r="C19" s="3">
        <v>22290000</v>
      </c>
      <c r="D19" s="25">
        <v>21990000</v>
      </c>
      <c r="E19" s="39">
        <v>21190000</v>
      </c>
      <c r="F19" s="38">
        <v>21490000</v>
      </c>
      <c r="G19" s="3">
        <v>21290000</v>
      </c>
    </row>
    <row r="20" spans="1:7" x14ac:dyDescent="0.2">
      <c r="A20" t="s">
        <v>184</v>
      </c>
      <c r="B20" s="3">
        <v>27590000</v>
      </c>
      <c r="C20" s="3">
        <v>27590000</v>
      </c>
      <c r="D20" s="3">
        <v>27590000</v>
      </c>
      <c r="E20" s="36">
        <v>27215000</v>
      </c>
      <c r="F20" s="38">
        <v>27690000</v>
      </c>
      <c r="G20" s="4">
        <v>27190000</v>
      </c>
    </row>
    <row r="21" spans="1:7" x14ac:dyDescent="0.2">
      <c r="A21" t="s">
        <v>185</v>
      </c>
      <c r="B21" s="3">
        <v>36790000</v>
      </c>
      <c r="C21" s="3">
        <v>36790000</v>
      </c>
      <c r="D21" s="25">
        <v>36790000</v>
      </c>
      <c r="E21" s="36">
        <v>36490000</v>
      </c>
      <c r="F21" s="38">
        <v>36990000</v>
      </c>
      <c r="G21" s="4">
        <v>36890000</v>
      </c>
    </row>
    <row r="22" spans="1:7" x14ac:dyDescent="0.2">
      <c r="A22" t="s">
        <v>209</v>
      </c>
      <c r="B22" s="3">
        <v>5740000</v>
      </c>
      <c r="C22" s="3">
        <v>5740000</v>
      </c>
      <c r="D22" s="3">
        <v>5890000</v>
      </c>
      <c r="E22" s="39" t="s">
        <v>222</v>
      </c>
      <c r="F22" s="38">
        <v>5990000</v>
      </c>
      <c r="G22" s="4">
        <v>5890000</v>
      </c>
    </row>
    <row r="23" spans="1:7" x14ac:dyDescent="0.2">
      <c r="A23" t="s">
        <v>210</v>
      </c>
      <c r="B23" s="3">
        <v>7240000</v>
      </c>
      <c r="C23" s="36" t="s">
        <v>22</v>
      </c>
      <c r="D23" s="3">
        <v>7190000</v>
      </c>
      <c r="E23" s="39" t="s">
        <v>222</v>
      </c>
      <c r="F23" s="38">
        <v>7290000</v>
      </c>
      <c r="G23" s="4">
        <v>7390000</v>
      </c>
    </row>
    <row r="24" spans="1:7" x14ac:dyDescent="0.2">
      <c r="A24" t="s">
        <v>211</v>
      </c>
      <c r="B24" s="3">
        <v>6540000</v>
      </c>
      <c r="C24" s="3">
        <v>6540000</v>
      </c>
      <c r="D24" s="3">
        <v>6690000</v>
      </c>
      <c r="E24" s="39" t="s">
        <v>222</v>
      </c>
      <c r="F24" s="38">
        <v>6790000</v>
      </c>
      <c r="G24" s="4">
        <v>6790000</v>
      </c>
    </row>
    <row r="25" spans="1:7" x14ac:dyDescent="0.2">
      <c r="A25" t="s">
        <v>212</v>
      </c>
      <c r="B25" s="3">
        <v>7940000</v>
      </c>
      <c r="C25" s="36" t="s">
        <v>22</v>
      </c>
      <c r="D25" s="3">
        <v>7990000</v>
      </c>
      <c r="E25" s="39" t="s">
        <v>222</v>
      </c>
      <c r="F25" s="38">
        <v>8090000</v>
      </c>
      <c r="G25" s="3" t="s">
        <v>223</v>
      </c>
    </row>
    <row r="26" spans="1:7" x14ac:dyDescent="0.2">
      <c r="A26" t="s">
        <v>213</v>
      </c>
      <c r="B26" s="3">
        <v>10690000</v>
      </c>
      <c r="C26" s="3">
        <v>10690000</v>
      </c>
      <c r="D26" s="25">
        <v>10990000</v>
      </c>
      <c r="E26" s="39">
        <v>10490000</v>
      </c>
      <c r="F26" s="38">
        <v>10990000</v>
      </c>
      <c r="G26" s="4">
        <v>10990000</v>
      </c>
    </row>
    <row r="27" spans="1:7" x14ac:dyDescent="0.2">
      <c r="A27" t="s">
        <v>214</v>
      </c>
      <c r="B27" s="3">
        <v>13290000</v>
      </c>
      <c r="C27" s="36" t="s">
        <v>22</v>
      </c>
      <c r="D27" s="25">
        <v>13590000</v>
      </c>
      <c r="E27" s="39">
        <v>12990000</v>
      </c>
      <c r="F27" s="38">
        <v>13590000</v>
      </c>
      <c r="G27" s="4">
        <v>13590000</v>
      </c>
    </row>
    <row r="28" spans="1:7" x14ac:dyDescent="0.2">
      <c r="A28" t="s">
        <v>215</v>
      </c>
      <c r="B28" s="3">
        <v>11690000</v>
      </c>
      <c r="C28" s="3">
        <v>11690000</v>
      </c>
      <c r="D28" s="25">
        <v>11790000</v>
      </c>
      <c r="E28" s="39">
        <v>11290000</v>
      </c>
      <c r="F28" s="34">
        <v>11690000</v>
      </c>
      <c r="G28" s="4" t="s">
        <v>216</v>
      </c>
    </row>
    <row r="29" spans="1:7" x14ac:dyDescent="0.2">
      <c r="A29" t="s">
        <v>217</v>
      </c>
      <c r="B29" s="36">
        <v>14290000</v>
      </c>
      <c r="C29" s="36" t="s">
        <v>22</v>
      </c>
      <c r="D29" s="25">
        <v>14390000</v>
      </c>
      <c r="E29" s="39">
        <v>13890000</v>
      </c>
      <c r="F29" s="38">
        <v>14390000</v>
      </c>
      <c r="G29" s="4">
        <v>14390000</v>
      </c>
    </row>
    <row r="30" spans="1:7" x14ac:dyDescent="0.2">
      <c r="A30" t="s">
        <v>172</v>
      </c>
      <c r="B30" s="3">
        <v>22990000</v>
      </c>
      <c r="C30" s="25">
        <v>22990000</v>
      </c>
      <c r="D30" s="25">
        <v>22990000</v>
      </c>
      <c r="E30" s="36" t="s">
        <v>22</v>
      </c>
      <c r="F30" s="36">
        <v>22990000</v>
      </c>
      <c r="G30" s="4">
        <v>20890000</v>
      </c>
    </row>
    <row r="31" spans="1:7" x14ac:dyDescent="0.2">
      <c r="A31" t="s">
        <v>53</v>
      </c>
      <c r="B31" s="3">
        <v>5740000</v>
      </c>
      <c r="C31" s="3">
        <v>5740000</v>
      </c>
      <c r="D31" s="38">
        <v>5790000</v>
      </c>
      <c r="E31" s="37">
        <v>5520000</v>
      </c>
      <c r="F31" s="39">
        <v>5750000</v>
      </c>
      <c r="G31" s="4">
        <v>5450000</v>
      </c>
    </row>
    <row r="32" spans="1:7" x14ac:dyDescent="0.2">
      <c r="A32" t="s">
        <v>54</v>
      </c>
      <c r="B32" s="36">
        <v>4740000</v>
      </c>
      <c r="C32" s="36">
        <v>4790000</v>
      </c>
      <c r="D32" s="38">
        <v>4790000</v>
      </c>
      <c r="E32" s="37">
        <v>4590000</v>
      </c>
      <c r="F32" s="36">
        <v>4690000</v>
      </c>
      <c r="G32" s="3">
        <v>4690000</v>
      </c>
    </row>
    <row r="33" spans="1:7" x14ac:dyDescent="0.2">
      <c r="A33" t="s">
        <v>55</v>
      </c>
      <c r="B33" s="36">
        <v>3490000</v>
      </c>
      <c r="C33" s="36">
        <v>3490000</v>
      </c>
      <c r="D33" s="38">
        <v>3490000</v>
      </c>
      <c r="E33" s="39">
        <v>3290000</v>
      </c>
      <c r="F33" s="36">
        <v>3390000</v>
      </c>
      <c r="G33" s="4">
        <v>3390000</v>
      </c>
    </row>
    <row r="34" spans="1:7" x14ac:dyDescent="0.2">
      <c r="A34" t="s">
        <v>173</v>
      </c>
      <c r="B34" s="3">
        <v>4040000</v>
      </c>
      <c r="C34" s="3">
        <v>4040000</v>
      </c>
      <c r="D34" s="25">
        <v>4090000</v>
      </c>
      <c r="E34" s="39">
        <v>3890000</v>
      </c>
      <c r="F34" s="38">
        <v>4090000</v>
      </c>
      <c r="G34" s="4" t="s">
        <v>197</v>
      </c>
    </row>
    <row r="35" spans="1:7" x14ac:dyDescent="0.2">
      <c r="A35" t="s">
        <v>174</v>
      </c>
      <c r="B35" s="36">
        <v>3090000</v>
      </c>
      <c r="C35" s="36">
        <v>3090000</v>
      </c>
      <c r="D35" s="38">
        <v>3090000</v>
      </c>
      <c r="E35" s="39">
        <v>2790000</v>
      </c>
      <c r="F35" s="38">
        <v>3090000</v>
      </c>
      <c r="G35" s="4">
        <v>2750000</v>
      </c>
    </row>
    <row r="36" spans="1:7" x14ac:dyDescent="0.2">
      <c r="A36" t="s">
        <v>175</v>
      </c>
      <c r="B36" s="3">
        <v>18290000</v>
      </c>
      <c r="C36" s="3">
        <v>18290000</v>
      </c>
      <c r="D36" s="34">
        <v>18390000</v>
      </c>
      <c r="E36" s="36"/>
      <c r="F36" s="34">
        <v>18190000</v>
      </c>
      <c r="G36" s="4">
        <v>17490000</v>
      </c>
    </row>
    <row r="37" spans="1:7" x14ac:dyDescent="0.2">
      <c r="A37" t="s">
        <v>176</v>
      </c>
      <c r="B37" s="3" t="s">
        <v>22</v>
      </c>
      <c r="C37" s="25">
        <v>24490000</v>
      </c>
      <c r="D37" s="3">
        <v>22690000</v>
      </c>
      <c r="E37" s="36"/>
      <c r="F37" s="34">
        <v>22590000</v>
      </c>
      <c r="G37" s="3">
        <v>23290000</v>
      </c>
    </row>
    <row r="38" spans="1:7" x14ac:dyDescent="0.2">
      <c r="A38" t="s">
        <v>177</v>
      </c>
      <c r="B38" s="3">
        <v>25590000</v>
      </c>
      <c r="C38" s="3">
        <v>25590000</v>
      </c>
      <c r="D38" s="34">
        <v>25790000</v>
      </c>
      <c r="E38" s="36"/>
      <c r="F38" s="38" t="s">
        <v>22</v>
      </c>
      <c r="G38" s="4">
        <v>26490000</v>
      </c>
    </row>
    <row r="39" spans="1:7" x14ac:dyDescent="0.2">
      <c r="A39" t="s">
        <v>178</v>
      </c>
      <c r="B39" s="3" t="s">
        <v>22</v>
      </c>
      <c r="C39" s="25">
        <v>31990000</v>
      </c>
      <c r="D39" s="3">
        <v>30990000</v>
      </c>
      <c r="E39" s="36"/>
      <c r="F39" s="34">
        <v>30990000</v>
      </c>
      <c r="G39" s="3">
        <v>30990000</v>
      </c>
    </row>
    <row r="40" spans="1:7" x14ac:dyDescent="0.2">
      <c r="A40" t="s">
        <v>179</v>
      </c>
      <c r="B40" s="3">
        <v>36690000</v>
      </c>
      <c r="C40" s="3">
        <v>36690000</v>
      </c>
      <c r="D40" s="3">
        <v>36490000</v>
      </c>
      <c r="E40" s="36"/>
      <c r="F40" s="38" t="s">
        <v>22</v>
      </c>
      <c r="G40" s="4"/>
    </row>
  </sheetData>
  <pageMargins left="0.7" right="0.7" top="0.75" bottom="0.75" header="0.3" footer="0.3"/>
  <legacyDrawing r:id="rId1"/>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codeName="Sheet30"/>
  <dimension ref="A1:K40"/>
  <sheetViews>
    <sheetView zoomScale="119" workbookViewId="0">
      <pane xSplit="1" ySplit="1" topLeftCell="B2" activePane="bottomRight" state="frozen"/>
      <selection pane="topRight" activeCell="B1" sqref="B1"/>
      <selection pane="bottomLeft" activeCell="A2" sqref="A2"/>
      <selection pane="bottomRight" activeCell="B1" sqref="B1"/>
    </sheetView>
  </sheetViews>
  <sheetFormatPr baseColWidth="10" defaultColWidth="11" defaultRowHeight="16" x14ac:dyDescent="0.2"/>
  <cols>
    <col min="1" max="1" width="25.33203125" bestFit="1" customWidth="1"/>
  </cols>
  <sheetData>
    <row r="1" spans="1:11" x14ac:dyDescent="0.2">
      <c r="B1" s="46" t="s">
        <v>0</v>
      </c>
      <c r="C1" s="46" t="s">
        <v>1</v>
      </c>
      <c r="D1" s="46" t="s">
        <v>2</v>
      </c>
      <c r="E1" s="46" t="s">
        <v>3</v>
      </c>
      <c r="F1" s="46" t="s">
        <v>4</v>
      </c>
      <c r="G1" s="46" t="s">
        <v>5</v>
      </c>
    </row>
    <row r="2" spans="1:11" x14ac:dyDescent="0.2">
      <c r="A2" t="s">
        <v>181</v>
      </c>
      <c r="B2" s="36">
        <v>22390000</v>
      </c>
      <c r="C2" s="25">
        <v>22390000</v>
      </c>
      <c r="D2" s="42">
        <v>21690000</v>
      </c>
      <c r="E2" s="37">
        <v>21990000</v>
      </c>
      <c r="F2" s="37">
        <v>21790000</v>
      </c>
      <c r="G2" s="3">
        <v>21690000</v>
      </c>
    </row>
    <row r="3" spans="1:11" x14ac:dyDescent="0.2">
      <c r="A3" t="s">
        <v>24</v>
      </c>
      <c r="B3" s="3">
        <v>25490000</v>
      </c>
      <c r="C3" s="3">
        <v>25490000</v>
      </c>
      <c r="D3" s="41">
        <v>24990000</v>
      </c>
      <c r="E3" s="37">
        <v>24990000</v>
      </c>
      <c r="F3" s="37">
        <v>24890000</v>
      </c>
      <c r="G3" s="4">
        <v>24990000</v>
      </c>
    </row>
    <row r="4" spans="1:11" x14ac:dyDescent="0.2">
      <c r="A4" t="s">
        <v>182</v>
      </c>
      <c r="B4" s="3">
        <v>28690000</v>
      </c>
      <c r="C4" s="3">
        <v>28690000</v>
      </c>
      <c r="D4" s="41">
        <v>28290000</v>
      </c>
      <c r="E4" s="39">
        <v>27990000</v>
      </c>
      <c r="F4" s="37">
        <v>28290000</v>
      </c>
      <c r="G4" s="3">
        <v>28490000</v>
      </c>
    </row>
    <row r="5" spans="1:11" x14ac:dyDescent="0.2">
      <c r="A5" t="s">
        <v>183</v>
      </c>
      <c r="B5" s="3">
        <v>34290000</v>
      </c>
      <c r="C5" s="3">
        <v>34290000</v>
      </c>
      <c r="D5" s="41">
        <v>33890000</v>
      </c>
      <c r="E5" s="37">
        <v>33190000</v>
      </c>
      <c r="F5" s="37">
        <v>33890000</v>
      </c>
      <c r="G5" s="3">
        <v>33890000</v>
      </c>
    </row>
    <row r="6" spans="1:11" x14ac:dyDescent="0.2">
      <c r="A6" t="s">
        <v>25</v>
      </c>
      <c r="B6" s="36">
        <v>19590000</v>
      </c>
      <c r="C6" s="36">
        <v>19590000</v>
      </c>
      <c r="D6" s="42">
        <v>19690000</v>
      </c>
      <c r="E6" s="37">
        <v>19490000</v>
      </c>
      <c r="F6" s="39">
        <v>19490000</v>
      </c>
      <c r="G6" s="3" t="s">
        <v>224</v>
      </c>
    </row>
    <row r="7" spans="1:11" x14ac:dyDescent="0.2">
      <c r="A7" t="s">
        <v>26</v>
      </c>
      <c r="B7" s="36">
        <v>22590000</v>
      </c>
      <c r="C7" s="36">
        <v>22590000</v>
      </c>
      <c r="D7" s="42">
        <v>22690000</v>
      </c>
      <c r="E7" s="37">
        <v>22490000</v>
      </c>
      <c r="F7" s="39">
        <v>22590000</v>
      </c>
      <c r="G7" s="3">
        <v>22390000</v>
      </c>
      <c r="I7" t="s">
        <v>31</v>
      </c>
      <c r="J7" t="s">
        <v>38</v>
      </c>
      <c r="K7" t="b">
        <v>1</v>
      </c>
    </row>
    <row r="8" spans="1:11" x14ac:dyDescent="0.2">
      <c r="A8" t="s">
        <v>157</v>
      </c>
      <c r="B8" s="36" t="s">
        <v>22</v>
      </c>
      <c r="C8" s="42" t="s">
        <v>22</v>
      </c>
      <c r="D8" s="42" t="s">
        <v>22</v>
      </c>
      <c r="E8" s="36" t="s">
        <v>22</v>
      </c>
      <c r="F8" s="39">
        <v>25590000</v>
      </c>
      <c r="G8" s="4">
        <v>24390000</v>
      </c>
      <c r="I8" t="s">
        <v>0</v>
      </c>
      <c r="J8" t="s">
        <v>36</v>
      </c>
      <c r="K8" t="b">
        <v>1</v>
      </c>
    </row>
    <row r="9" spans="1:11" x14ac:dyDescent="0.2">
      <c r="A9" t="s">
        <v>158</v>
      </c>
      <c r="B9" s="36">
        <v>29390000</v>
      </c>
      <c r="C9" s="36">
        <v>29390000</v>
      </c>
      <c r="D9" s="25">
        <v>29490000</v>
      </c>
      <c r="E9" s="37">
        <v>28990000</v>
      </c>
      <c r="F9" s="39">
        <v>28990000</v>
      </c>
      <c r="G9" s="3">
        <v>28490000</v>
      </c>
      <c r="I9" t="s">
        <v>2</v>
      </c>
      <c r="J9" t="s">
        <v>198</v>
      </c>
      <c r="K9" t="b">
        <v>1</v>
      </c>
    </row>
    <row r="10" spans="1:11" x14ac:dyDescent="0.2">
      <c r="A10" t="s">
        <v>92</v>
      </c>
      <c r="B10" s="36">
        <v>20390000</v>
      </c>
      <c r="C10" s="36">
        <v>20390000</v>
      </c>
      <c r="D10" s="25">
        <v>19990000</v>
      </c>
      <c r="E10" s="39">
        <v>19690000</v>
      </c>
      <c r="F10" s="38">
        <v>19690000</v>
      </c>
      <c r="G10" s="3">
        <v>20090000</v>
      </c>
      <c r="I10" t="s">
        <v>3</v>
      </c>
      <c r="J10" t="s">
        <v>199</v>
      </c>
      <c r="K10" t="b">
        <v>1</v>
      </c>
    </row>
    <row r="11" spans="1:11" x14ac:dyDescent="0.2">
      <c r="A11" t="s">
        <v>27</v>
      </c>
      <c r="B11" s="3">
        <v>17190000</v>
      </c>
      <c r="C11" s="3">
        <v>17190000</v>
      </c>
      <c r="D11" s="37">
        <v>17490000</v>
      </c>
      <c r="E11" s="36" t="s">
        <v>22</v>
      </c>
      <c r="F11" s="38">
        <v>16850000</v>
      </c>
      <c r="G11" s="4">
        <v>17290000</v>
      </c>
      <c r="I11" t="s">
        <v>4</v>
      </c>
      <c r="J11" t="s">
        <v>34</v>
      </c>
      <c r="K11" t="b">
        <v>1</v>
      </c>
    </row>
    <row r="12" spans="1:11" x14ac:dyDescent="0.2">
      <c r="A12" t="s">
        <v>28</v>
      </c>
      <c r="B12" s="3">
        <v>13490000</v>
      </c>
      <c r="C12" s="3">
        <v>13490000</v>
      </c>
      <c r="D12" s="38">
        <v>13490000</v>
      </c>
      <c r="E12" s="37">
        <v>13290000</v>
      </c>
      <c r="F12" s="38">
        <v>13390000</v>
      </c>
      <c r="G12" s="3" t="s">
        <v>225</v>
      </c>
      <c r="I12" t="s">
        <v>41</v>
      </c>
      <c r="J12" t="s">
        <v>42</v>
      </c>
      <c r="K12" t="b">
        <v>1</v>
      </c>
    </row>
    <row r="13" spans="1:11" x14ac:dyDescent="0.2">
      <c r="A13" t="s">
        <v>98</v>
      </c>
      <c r="B13" s="3">
        <v>11890000</v>
      </c>
      <c r="C13" s="3">
        <v>11890000</v>
      </c>
      <c r="D13" s="25">
        <v>10990000</v>
      </c>
      <c r="E13" s="36">
        <v>10990000</v>
      </c>
      <c r="F13" s="38">
        <v>10890000</v>
      </c>
      <c r="G13" s="4">
        <v>12290000</v>
      </c>
    </row>
    <row r="14" spans="1:11" x14ac:dyDescent="0.2">
      <c r="A14" t="s">
        <v>102</v>
      </c>
      <c r="B14" s="36">
        <v>8940000</v>
      </c>
      <c r="C14" s="36">
        <v>8940000</v>
      </c>
      <c r="D14" s="25">
        <v>8990000</v>
      </c>
      <c r="E14" s="39">
        <v>8490000</v>
      </c>
      <c r="F14" s="38">
        <v>8750000</v>
      </c>
      <c r="G14" s="4">
        <v>8790000</v>
      </c>
    </row>
    <row r="15" spans="1:11" x14ac:dyDescent="0.2">
      <c r="A15" t="s">
        <v>161</v>
      </c>
      <c r="B15" s="36">
        <v>11990000</v>
      </c>
      <c r="C15" s="36" t="s">
        <v>22</v>
      </c>
      <c r="D15" s="25">
        <v>11990000</v>
      </c>
      <c r="E15" s="36" t="s">
        <v>22</v>
      </c>
      <c r="F15" s="34">
        <v>11690000</v>
      </c>
      <c r="G15" s="3">
        <v>11690000</v>
      </c>
    </row>
    <row r="16" spans="1:11" x14ac:dyDescent="0.2">
      <c r="A16" t="s">
        <v>162</v>
      </c>
      <c r="B16" s="36">
        <v>9290000</v>
      </c>
      <c r="C16" s="36">
        <v>9290000</v>
      </c>
      <c r="D16" s="3">
        <v>8890000</v>
      </c>
      <c r="E16" s="37">
        <v>8990000</v>
      </c>
      <c r="F16" s="38">
        <v>8790000</v>
      </c>
      <c r="G16" s="3">
        <v>8790000</v>
      </c>
    </row>
    <row r="17" spans="1:7" x14ac:dyDescent="0.2">
      <c r="A17" t="s">
        <v>163</v>
      </c>
      <c r="B17" s="36">
        <v>7040000</v>
      </c>
      <c r="C17" s="36">
        <v>7040000</v>
      </c>
      <c r="D17" s="25">
        <v>7090000</v>
      </c>
      <c r="E17" s="39">
        <v>6990000</v>
      </c>
      <c r="F17" s="38">
        <v>7090000</v>
      </c>
      <c r="G17" s="4">
        <v>7090000</v>
      </c>
    </row>
    <row r="18" spans="1:7" x14ac:dyDescent="0.2">
      <c r="A18" t="s">
        <v>189</v>
      </c>
      <c r="B18" s="3">
        <v>15190000</v>
      </c>
      <c r="C18" s="3">
        <v>15190000</v>
      </c>
      <c r="D18" s="3">
        <v>14890000</v>
      </c>
      <c r="E18" s="37">
        <v>15190000</v>
      </c>
      <c r="F18" s="34">
        <v>15290000</v>
      </c>
      <c r="G18" s="3">
        <v>14790000</v>
      </c>
    </row>
    <row r="19" spans="1:7" x14ac:dyDescent="0.2">
      <c r="A19" t="s">
        <v>190</v>
      </c>
      <c r="B19" s="3">
        <v>20790000</v>
      </c>
      <c r="C19" s="3">
        <v>20790000</v>
      </c>
      <c r="D19" s="3">
        <v>20690000</v>
      </c>
      <c r="E19" s="39">
        <v>21190000</v>
      </c>
      <c r="F19" s="38">
        <v>21490000</v>
      </c>
      <c r="G19" s="3">
        <v>20790000</v>
      </c>
    </row>
    <row r="20" spans="1:7" x14ac:dyDescent="0.2">
      <c r="A20" t="s">
        <v>184</v>
      </c>
      <c r="B20" s="36">
        <v>27590000</v>
      </c>
      <c r="C20" s="36">
        <v>27590000</v>
      </c>
      <c r="D20" s="25">
        <v>27590000</v>
      </c>
      <c r="E20" s="37">
        <v>26890000</v>
      </c>
      <c r="F20" s="38">
        <v>27690000</v>
      </c>
      <c r="G20" s="4">
        <v>27190000</v>
      </c>
    </row>
    <row r="21" spans="1:7" x14ac:dyDescent="0.2">
      <c r="A21" t="s">
        <v>185</v>
      </c>
      <c r="B21" s="36">
        <v>36790000</v>
      </c>
      <c r="C21" s="36">
        <v>36790000</v>
      </c>
      <c r="D21" s="25">
        <v>36790000</v>
      </c>
      <c r="E21" s="36">
        <v>36490000</v>
      </c>
      <c r="F21" s="38">
        <v>36990000</v>
      </c>
      <c r="G21" s="3">
        <v>36490000</v>
      </c>
    </row>
    <row r="22" spans="1:7" x14ac:dyDescent="0.2">
      <c r="A22" t="s">
        <v>209</v>
      </c>
      <c r="B22" s="36">
        <v>5740000</v>
      </c>
      <c r="C22" s="36">
        <v>5740000</v>
      </c>
      <c r="D22" s="25">
        <v>5890000</v>
      </c>
      <c r="E22" s="39" t="s">
        <v>222</v>
      </c>
      <c r="F22" s="38">
        <v>5990000</v>
      </c>
      <c r="G22" s="3">
        <v>5790000</v>
      </c>
    </row>
    <row r="23" spans="1:7" x14ac:dyDescent="0.2">
      <c r="A23" t="s">
        <v>210</v>
      </c>
      <c r="B23" s="3">
        <v>7040000</v>
      </c>
      <c r="C23" s="36" t="s">
        <v>22</v>
      </c>
      <c r="D23" s="25">
        <v>7190000</v>
      </c>
      <c r="E23" s="39" t="s">
        <v>222</v>
      </c>
      <c r="F23" s="38">
        <v>7290000</v>
      </c>
      <c r="G23" s="3">
        <v>7290000</v>
      </c>
    </row>
    <row r="24" spans="1:7" x14ac:dyDescent="0.2">
      <c r="A24" t="s">
        <v>211</v>
      </c>
      <c r="B24" s="36">
        <v>6540000</v>
      </c>
      <c r="C24" s="36">
        <v>6540000</v>
      </c>
      <c r="D24" s="25">
        <v>6690000</v>
      </c>
      <c r="E24" s="39" t="s">
        <v>222</v>
      </c>
      <c r="F24" s="38">
        <v>6790000</v>
      </c>
      <c r="G24" s="3">
        <v>6590000</v>
      </c>
    </row>
    <row r="25" spans="1:7" x14ac:dyDescent="0.2">
      <c r="A25" t="s">
        <v>212</v>
      </c>
      <c r="B25" s="3">
        <v>7740000</v>
      </c>
      <c r="C25" s="36" t="s">
        <v>22</v>
      </c>
      <c r="D25" s="25">
        <v>7990000</v>
      </c>
      <c r="E25" s="39" t="s">
        <v>222</v>
      </c>
      <c r="F25" s="38">
        <v>8090000</v>
      </c>
      <c r="G25" s="4" t="s">
        <v>223</v>
      </c>
    </row>
    <row r="26" spans="1:7" x14ac:dyDescent="0.2">
      <c r="A26" t="s">
        <v>213</v>
      </c>
      <c r="B26" s="3">
        <v>10690000</v>
      </c>
      <c r="C26" s="38">
        <v>10690000</v>
      </c>
      <c r="D26" s="25">
        <v>10990000</v>
      </c>
      <c r="E26" s="39">
        <v>10490000</v>
      </c>
      <c r="F26" s="38">
        <v>10890000</v>
      </c>
      <c r="G26" s="4">
        <v>10990000</v>
      </c>
    </row>
    <row r="27" spans="1:7" x14ac:dyDescent="0.2">
      <c r="A27" t="s">
        <v>214</v>
      </c>
      <c r="B27" s="3">
        <v>13490000</v>
      </c>
      <c r="C27" s="36" t="s">
        <v>22</v>
      </c>
      <c r="D27" s="25">
        <v>13590000</v>
      </c>
      <c r="E27" s="39">
        <v>12990000</v>
      </c>
      <c r="F27" s="38">
        <v>13590000</v>
      </c>
      <c r="G27" s="4">
        <v>13590000</v>
      </c>
    </row>
    <row r="28" spans="1:7" x14ac:dyDescent="0.2">
      <c r="A28" t="s">
        <v>215</v>
      </c>
      <c r="B28" s="3">
        <v>11690000</v>
      </c>
      <c r="C28" s="38">
        <v>11690000</v>
      </c>
      <c r="D28" s="25">
        <v>11790000</v>
      </c>
      <c r="E28" s="39">
        <v>11290000</v>
      </c>
      <c r="F28" s="34">
        <v>11690000</v>
      </c>
      <c r="G28" s="4" t="s">
        <v>216</v>
      </c>
    </row>
    <row r="29" spans="1:7" x14ac:dyDescent="0.2">
      <c r="A29" t="s">
        <v>217</v>
      </c>
      <c r="B29" s="36">
        <v>14290000</v>
      </c>
      <c r="C29" s="36" t="s">
        <v>22</v>
      </c>
      <c r="D29" s="25">
        <v>14390000</v>
      </c>
      <c r="E29" s="39">
        <v>13890000</v>
      </c>
      <c r="F29" s="38">
        <v>14390000</v>
      </c>
      <c r="G29" s="4">
        <v>14390000</v>
      </c>
    </row>
    <row r="30" spans="1:7" x14ac:dyDescent="0.2">
      <c r="A30" t="s">
        <v>172</v>
      </c>
      <c r="B30" s="3">
        <v>22790000</v>
      </c>
      <c r="C30" s="3">
        <v>22790000</v>
      </c>
      <c r="D30" s="25">
        <v>22990000</v>
      </c>
      <c r="E30" s="36" t="s">
        <v>22</v>
      </c>
      <c r="F30" s="37">
        <v>22590000</v>
      </c>
      <c r="G30" s="4">
        <v>20890000</v>
      </c>
    </row>
    <row r="31" spans="1:7" x14ac:dyDescent="0.2">
      <c r="A31" t="s">
        <v>53</v>
      </c>
      <c r="B31" s="3">
        <v>5640000</v>
      </c>
      <c r="C31" s="3">
        <v>5640000</v>
      </c>
      <c r="D31" s="38">
        <v>5790000</v>
      </c>
      <c r="E31" s="39">
        <v>5520000</v>
      </c>
      <c r="F31" s="37">
        <v>5490000</v>
      </c>
      <c r="G31" s="4">
        <v>5450000</v>
      </c>
    </row>
    <row r="32" spans="1:7" x14ac:dyDescent="0.2">
      <c r="A32" t="s">
        <v>54</v>
      </c>
      <c r="B32" s="3">
        <v>4540000</v>
      </c>
      <c r="C32" s="3">
        <v>4540000</v>
      </c>
      <c r="D32" s="37">
        <v>4590000</v>
      </c>
      <c r="E32" s="39">
        <v>4590000</v>
      </c>
      <c r="F32" s="36">
        <v>4660000</v>
      </c>
      <c r="G32" s="3">
        <v>4590000</v>
      </c>
    </row>
    <row r="33" spans="1:7" x14ac:dyDescent="0.2">
      <c r="A33" t="s">
        <v>55</v>
      </c>
      <c r="B33" s="3">
        <v>3340000</v>
      </c>
      <c r="C33" s="38">
        <v>3340000</v>
      </c>
      <c r="D33" s="37">
        <v>3390000</v>
      </c>
      <c r="E33" s="39">
        <v>3290000</v>
      </c>
      <c r="F33" s="36">
        <v>3360000</v>
      </c>
      <c r="G33" s="3">
        <v>3360000</v>
      </c>
    </row>
    <row r="34" spans="1:7" x14ac:dyDescent="0.2">
      <c r="A34" t="s">
        <v>173</v>
      </c>
      <c r="B34" s="3">
        <v>4040000</v>
      </c>
      <c r="C34" s="38">
        <v>4040000</v>
      </c>
      <c r="D34" s="41">
        <v>3690000</v>
      </c>
      <c r="E34" s="39">
        <v>3890000</v>
      </c>
      <c r="F34" s="38">
        <v>3790000</v>
      </c>
      <c r="G34" s="4" t="s">
        <v>197</v>
      </c>
    </row>
    <row r="35" spans="1:7" x14ac:dyDescent="0.2">
      <c r="A35" t="s">
        <v>174</v>
      </c>
      <c r="B35" s="36">
        <v>3090000</v>
      </c>
      <c r="C35" s="36">
        <v>3090000</v>
      </c>
      <c r="D35" s="37">
        <v>2990000</v>
      </c>
      <c r="E35" s="39">
        <v>2790000</v>
      </c>
      <c r="F35" s="38">
        <v>3090000</v>
      </c>
      <c r="G35" s="4">
        <v>2750000</v>
      </c>
    </row>
    <row r="36" spans="1:7" x14ac:dyDescent="0.2">
      <c r="A36" t="s">
        <v>175</v>
      </c>
      <c r="B36" s="3">
        <v>18090000</v>
      </c>
      <c r="C36" s="3">
        <v>18090000</v>
      </c>
      <c r="D36" s="34">
        <v>17890000</v>
      </c>
      <c r="E36" s="36"/>
      <c r="F36" s="34">
        <v>18290000</v>
      </c>
      <c r="G36" s="4">
        <v>17490000</v>
      </c>
    </row>
    <row r="37" spans="1:7" x14ac:dyDescent="0.2">
      <c r="A37" t="s">
        <v>176</v>
      </c>
      <c r="B37" s="3">
        <v>23190000</v>
      </c>
      <c r="C37" s="3">
        <v>23190000</v>
      </c>
      <c r="D37" s="3">
        <v>22790000</v>
      </c>
      <c r="E37" s="36"/>
      <c r="F37" s="34">
        <v>22490000</v>
      </c>
      <c r="G37" s="3">
        <v>22790000</v>
      </c>
    </row>
    <row r="38" spans="1:7" x14ac:dyDescent="0.2">
      <c r="A38" t="s">
        <v>177</v>
      </c>
      <c r="B38" s="3">
        <v>25790000</v>
      </c>
      <c r="C38" s="3">
        <v>25790000</v>
      </c>
      <c r="D38" s="34">
        <v>25690000</v>
      </c>
      <c r="E38" s="36"/>
      <c r="F38" s="38">
        <v>26490000</v>
      </c>
      <c r="G38" s="4">
        <v>26490000</v>
      </c>
    </row>
    <row r="39" spans="1:7" x14ac:dyDescent="0.2">
      <c r="A39" t="s">
        <v>178</v>
      </c>
      <c r="B39" s="3">
        <v>30890000</v>
      </c>
      <c r="C39" s="3">
        <v>30890000</v>
      </c>
      <c r="D39" s="3">
        <v>31390000</v>
      </c>
      <c r="E39" s="36"/>
      <c r="F39" s="34">
        <v>30990000</v>
      </c>
      <c r="G39" s="4">
        <v>30990000</v>
      </c>
    </row>
    <row r="40" spans="1:7" x14ac:dyDescent="0.2">
      <c r="A40" t="s">
        <v>179</v>
      </c>
      <c r="B40" s="36">
        <v>36690000</v>
      </c>
      <c r="C40" s="36">
        <v>36690000</v>
      </c>
      <c r="D40" s="3">
        <v>36290000</v>
      </c>
      <c r="E40" s="36"/>
      <c r="F40" s="38" t="s">
        <v>22</v>
      </c>
      <c r="G40" s="4"/>
    </row>
  </sheetData>
  <pageMargins left="0.7" right="0.7" top="0.75" bottom="0.75" header="0.3" footer="0.3"/>
  <pageSetup paperSize="9" orientation="portrait" horizontalDpi="0" verticalDpi="0"/>
  <legacyDrawing r:id="rId1"/>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codeName="Sheet31"/>
  <dimension ref="A1:K40"/>
  <sheetViews>
    <sheetView zoomScale="130" zoomScaleNormal="130" workbookViewId="0">
      <pane xSplit="1" ySplit="1" topLeftCell="B7" activePane="bottomRight" state="frozen"/>
      <selection pane="topRight" activeCell="B1" sqref="B1"/>
      <selection pane="bottomLeft" activeCell="A2" sqref="A2"/>
      <selection pane="bottomRight" activeCell="B1" sqref="B1"/>
    </sheetView>
  </sheetViews>
  <sheetFormatPr baseColWidth="10" defaultColWidth="11" defaultRowHeight="16" x14ac:dyDescent="0.2"/>
  <cols>
    <col min="1" max="1" width="25.33203125" bestFit="1" customWidth="1"/>
  </cols>
  <sheetData>
    <row r="1" spans="1:11" x14ac:dyDescent="0.2">
      <c r="B1" s="46" t="s">
        <v>0</v>
      </c>
      <c r="C1" s="46" t="s">
        <v>1</v>
      </c>
      <c r="D1" s="46" t="s">
        <v>2</v>
      </c>
      <c r="E1" s="46" t="s">
        <v>3</v>
      </c>
      <c r="F1" s="46" t="s">
        <v>4</v>
      </c>
      <c r="G1" s="46" t="s">
        <v>5</v>
      </c>
    </row>
    <row r="2" spans="1:11" x14ac:dyDescent="0.2">
      <c r="A2" t="s">
        <v>181</v>
      </c>
      <c r="B2" s="3">
        <v>22290000</v>
      </c>
      <c r="C2" s="3">
        <v>22290000</v>
      </c>
      <c r="D2" s="41">
        <v>21490000</v>
      </c>
      <c r="E2" s="39">
        <v>21990000</v>
      </c>
      <c r="F2" s="37">
        <v>21490000</v>
      </c>
      <c r="G2" s="4">
        <v>21690000</v>
      </c>
    </row>
    <row r="3" spans="1:11" x14ac:dyDescent="0.2">
      <c r="A3" t="s">
        <v>24</v>
      </c>
      <c r="B3" s="3">
        <v>25690000</v>
      </c>
      <c r="C3" s="3">
        <v>25690000</v>
      </c>
      <c r="D3" s="41">
        <v>25090000</v>
      </c>
      <c r="E3" s="39">
        <v>24990000</v>
      </c>
      <c r="F3" s="39">
        <v>24890000</v>
      </c>
      <c r="G3" s="4">
        <v>24990000</v>
      </c>
    </row>
    <row r="4" spans="1:11" x14ac:dyDescent="0.2">
      <c r="A4" t="s">
        <v>182</v>
      </c>
      <c r="B4" s="3">
        <v>28890000</v>
      </c>
      <c r="C4" s="3">
        <v>28890000</v>
      </c>
      <c r="D4" s="41">
        <v>28090000</v>
      </c>
      <c r="E4" s="39">
        <v>27990000</v>
      </c>
      <c r="F4" s="39">
        <v>28290000</v>
      </c>
      <c r="G4" s="3">
        <v>28290000</v>
      </c>
    </row>
    <row r="5" spans="1:11" x14ac:dyDescent="0.2">
      <c r="A5" t="s">
        <v>183</v>
      </c>
      <c r="B5" s="3">
        <v>34490000</v>
      </c>
      <c r="C5" s="3">
        <v>34490000</v>
      </c>
      <c r="D5" s="41">
        <v>33590000</v>
      </c>
      <c r="E5" s="37">
        <v>33490000</v>
      </c>
      <c r="F5" s="37">
        <v>33590000</v>
      </c>
      <c r="G5" s="3">
        <v>33590000</v>
      </c>
    </row>
    <row r="6" spans="1:11" x14ac:dyDescent="0.2">
      <c r="A6" t="s">
        <v>25</v>
      </c>
      <c r="B6" s="3">
        <v>19890000</v>
      </c>
      <c r="C6" s="3">
        <v>19890000</v>
      </c>
      <c r="D6" s="41">
        <v>19590000</v>
      </c>
      <c r="E6" s="39">
        <v>19490000</v>
      </c>
      <c r="F6" s="39">
        <v>19490000</v>
      </c>
      <c r="G6" s="4" t="s">
        <v>224</v>
      </c>
    </row>
    <row r="7" spans="1:11" x14ac:dyDescent="0.2">
      <c r="A7" t="s">
        <v>26</v>
      </c>
      <c r="B7" s="3">
        <v>22890000</v>
      </c>
      <c r="C7" s="3">
        <v>22890000</v>
      </c>
      <c r="D7" s="42">
        <v>22690000</v>
      </c>
      <c r="E7" s="39">
        <v>22490000</v>
      </c>
      <c r="F7" s="39">
        <v>22590000</v>
      </c>
      <c r="G7" s="4">
        <v>22390000</v>
      </c>
      <c r="I7" t="s">
        <v>31</v>
      </c>
      <c r="J7" t="s">
        <v>38</v>
      </c>
      <c r="K7" t="b">
        <v>1</v>
      </c>
    </row>
    <row r="8" spans="1:11" x14ac:dyDescent="0.2">
      <c r="A8" t="s">
        <v>157</v>
      </c>
      <c r="B8" s="36" t="s">
        <v>22</v>
      </c>
      <c r="C8" s="42" t="s">
        <v>22</v>
      </c>
      <c r="D8" s="42" t="s">
        <v>22</v>
      </c>
      <c r="E8" s="36" t="s">
        <v>22</v>
      </c>
      <c r="F8" s="39">
        <v>25590000</v>
      </c>
      <c r="G8" s="4">
        <v>24390000</v>
      </c>
      <c r="I8" t="s">
        <v>0</v>
      </c>
      <c r="J8" t="s">
        <v>36</v>
      </c>
      <c r="K8" t="b">
        <v>1</v>
      </c>
    </row>
    <row r="9" spans="1:11" x14ac:dyDescent="0.2">
      <c r="A9" t="s">
        <v>158</v>
      </c>
      <c r="B9" s="3">
        <v>29590000</v>
      </c>
      <c r="C9" s="3">
        <v>29590000</v>
      </c>
      <c r="D9" s="3">
        <v>29590000</v>
      </c>
      <c r="E9" s="37">
        <v>28990000</v>
      </c>
      <c r="F9" s="39">
        <v>28990000</v>
      </c>
      <c r="G9" s="4">
        <v>28490000</v>
      </c>
      <c r="H9" t="s">
        <v>226</v>
      </c>
      <c r="I9" t="s">
        <v>2</v>
      </c>
      <c r="J9" t="s">
        <v>198</v>
      </c>
      <c r="K9" t="b">
        <v>1</v>
      </c>
    </row>
    <row r="10" spans="1:11" x14ac:dyDescent="0.2">
      <c r="A10" t="s">
        <v>92</v>
      </c>
      <c r="B10" s="3">
        <v>20090000</v>
      </c>
      <c r="C10" s="3">
        <v>20090000</v>
      </c>
      <c r="D10" s="3">
        <v>20090000</v>
      </c>
      <c r="E10" s="39">
        <v>19690000</v>
      </c>
      <c r="F10" s="38">
        <v>19690000</v>
      </c>
      <c r="G10" s="4">
        <v>20090000</v>
      </c>
      <c r="I10" t="s">
        <v>3</v>
      </c>
      <c r="J10" t="s">
        <v>199</v>
      </c>
      <c r="K10" t="b">
        <v>1</v>
      </c>
    </row>
    <row r="11" spans="1:11" x14ac:dyDescent="0.2">
      <c r="A11" t="s">
        <v>27</v>
      </c>
      <c r="B11" s="3">
        <v>17490000</v>
      </c>
      <c r="C11" s="3">
        <v>17490000</v>
      </c>
      <c r="D11" s="37">
        <v>17390000</v>
      </c>
      <c r="E11" s="36" t="s">
        <v>22</v>
      </c>
      <c r="F11" s="38">
        <v>16850000</v>
      </c>
      <c r="G11" s="4">
        <v>17290000</v>
      </c>
      <c r="I11" t="s">
        <v>4</v>
      </c>
      <c r="J11" t="s">
        <v>34</v>
      </c>
      <c r="K11" t="b">
        <v>1</v>
      </c>
    </row>
    <row r="12" spans="1:11" x14ac:dyDescent="0.2">
      <c r="A12" t="s">
        <v>28</v>
      </c>
      <c r="B12" s="3">
        <v>13490000</v>
      </c>
      <c r="C12" s="3">
        <v>13490000</v>
      </c>
      <c r="D12" s="34">
        <v>13390000</v>
      </c>
      <c r="E12" s="39">
        <v>13290000</v>
      </c>
      <c r="F12" s="38">
        <v>13390000</v>
      </c>
      <c r="G12" s="4" t="s">
        <v>225</v>
      </c>
      <c r="I12" t="s">
        <v>41</v>
      </c>
      <c r="J12" t="s">
        <v>42</v>
      </c>
      <c r="K12" t="b">
        <v>1</v>
      </c>
    </row>
    <row r="13" spans="1:11" x14ac:dyDescent="0.2">
      <c r="A13" t="s">
        <v>98</v>
      </c>
      <c r="B13" s="3">
        <v>11590000</v>
      </c>
      <c r="C13" s="3">
        <v>11590000</v>
      </c>
      <c r="D13" s="25">
        <v>10990000</v>
      </c>
      <c r="E13" s="36">
        <v>10990000</v>
      </c>
      <c r="F13" s="38">
        <v>10890000</v>
      </c>
      <c r="G13" s="4">
        <v>12290000</v>
      </c>
    </row>
    <row r="14" spans="1:11" x14ac:dyDescent="0.2">
      <c r="A14" t="s">
        <v>102</v>
      </c>
      <c r="B14" s="3">
        <v>8990000</v>
      </c>
      <c r="C14" s="3">
        <v>8990000</v>
      </c>
      <c r="D14" s="25">
        <v>8990000</v>
      </c>
      <c r="E14" s="39">
        <v>8490000</v>
      </c>
      <c r="F14" s="38">
        <v>8790000</v>
      </c>
      <c r="G14" s="4">
        <v>8790000</v>
      </c>
    </row>
    <row r="15" spans="1:11" x14ac:dyDescent="0.2">
      <c r="A15" t="s">
        <v>29</v>
      </c>
      <c r="B15" s="36">
        <v>13990000</v>
      </c>
      <c r="C15" s="36">
        <v>13990000</v>
      </c>
      <c r="D15" s="25">
        <v>13990000</v>
      </c>
      <c r="E15" s="36" t="s">
        <v>22</v>
      </c>
      <c r="F15" s="38">
        <v>13990000</v>
      </c>
      <c r="G15" s="3">
        <v>13990000</v>
      </c>
    </row>
    <row r="16" spans="1:11" x14ac:dyDescent="0.2">
      <c r="A16" t="s">
        <v>162</v>
      </c>
      <c r="B16" s="3">
        <v>9190000</v>
      </c>
      <c r="C16" s="3">
        <v>9190000</v>
      </c>
      <c r="D16" s="3">
        <v>8590000</v>
      </c>
      <c r="E16" s="37">
        <v>8690000</v>
      </c>
      <c r="F16" s="38">
        <v>8750000</v>
      </c>
      <c r="G16" s="4">
        <v>8790000</v>
      </c>
    </row>
    <row r="17" spans="1:7" x14ac:dyDescent="0.2">
      <c r="A17" t="s">
        <v>163</v>
      </c>
      <c r="B17" s="3">
        <v>7090000</v>
      </c>
      <c r="C17" s="3">
        <v>7090000</v>
      </c>
      <c r="D17" s="3">
        <v>7050000</v>
      </c>
      <c r="E17" s="39">
        <v>6990000</v>
      </c>
      <c r="F17" s="38">
        <v>7090000</v>
      </c>
      <c r="G17" s="4">
        <v>7090000</v>
      </c>
    </row>
    <row r="18" spans="1:7" x14ac:dyDescent="0.2">
      <c r="A18" t="s">
        <v>189</v>
      </c>
      <c r="B18" s="3">
        <v>15090000</v>
      </c>
      <c r="C18" s="3">
        <v>15090000</v>
      </c>
      <c r="D18" s="25">
        <v>14890000</v>
      </c>
      <c r="E18" s="37">
        <v>15190000</v>
      </c>
      <c r="F18" s="34">
        <v>14890000</v>
      </c>
      <c r="G18" s="4">
        <v>14790000</v>
      </c>
    </row>
    <row r="19" spans="1:7" x14ac:dyDescent="0.2">
      <c r="A19" t="s">
        <v>190</v>
      </c>
      <c r="B19" s="3">
        <v>20840000</v>
      </c>
      <c r="C19" s="3">
        <v>20840000</v>
      </c>
      <c r="D19" s="25">
        <v>20690000</v>
      </c>
      <c r="E19" s="37">
        <v>21490000</v>
      </c>
      <c r="F19" s="34">
        <v>20990000</v>
      </c>
      <c r="G19" s="4">
        <v>20990000</v>
      </c>
    </row>
    <row r="20" spans="1:7" x14ac:dyDescent="0.2">
      <c r="A20" t="s">
        <v>184</v>
      </c>
      <c r="B20" s="3">
        <v>27490000</v>
      </c>
      <c r="C20" s="3">
        <v>27490000</v>
      </c>
      <c r="D20" s="3">
        <v>27490000</v>
      </c>
      <c r="E20" s="37">
        <v>27190000</v>
      </c>
      <c r="F20" s="38">
        <v>27590000</v>
      </c>
      <c r="G20" s="4">
        <v>27190000</v>
      </c>
    </row>
    <row r="21" spans="1:7" x14ac:dyDescent="0.2">
      <c r="A21" t="s">
        <v>185</v>
      </c>
      <c r="B21" s="36">
        <v>36790000</v>
      </c>
      <c r="C21" s="36">
        <v>36790000</v>
      </c>
      <c r="D21" s="25">
        <v>36790000</v>
      </c>
      <c r="E21" s="36">
        <v>36490000</v>
      </c>
      <c r="F21" s="38">
        <v>36990000</v>
      </c>
      <c r="G21" s="4">
        <v>36490000</v>
      </c>
    </row>
    <row r="22" spans="1:7" x14ac:dyDescent="0.2">
      <c r="A22" t="s">
        <v>227</v>
      </c>
      <c r="B22" s="3">
        <v>5990000</v>
      </c>
      <c r="C22" s="3">
        <v>5990000</v>
      </c>
      <c r="D22" s="25">
        <v>5890000</v>
      </c>
      <c r="E22" s="39">
        <v>5790000</v>
      </c>
      <c r="F22" s="38">
        <v>5990000</v>
      </c>
      <c r="G22" s="4">
        <v>5790000</v>
      </c>
    </row>
    <row r="23" spans="1:7" x14ac:dyDescent="0.2">
      <c r="A23" t="s">
        <v>228</v>
      </c>
      <c r="B23" s="3">
        <v>7290000</v>
      </c>
      <c r="C23" s="36" t="s">
        <v>22</v>
      </c>
      <c r="D23" s="25">
        <v>7190000</v>
      </c>
      <c r="E23" s="39">
        <v>7290000</v>
      </c>
      <c r="F23" s="38">
        <v>7290000</v>
      </c>
      <c r="G23" s="3">
        <v>7190000</v>
      </c>
    </row>
    <row r="24" spans="1:7" x14ac:dyDescent="0.2">
      <c r="A24" t="s">
        <v>229</v>
      </c>
      <c r="B24" s="3">
        <v>6790000</v>
      </c>
      <c r="C24" s="3">
        <v>6790000</v>
      </c>
      <c r="D24" s="25">
        <v>6690000</v>
      </c>
      <c r="E24" s="39">
        <v>6590000</v>
      </c>
      <c r="F24" s="38">
        <v>6790000</v>
      </c>
      <c r="G24" s="4">
        <v>6590000</v>
      </c>
    </row>
    <row r="25" spans="1:7" x14ac:dyDescent="0.2">
      <c r="A25" t="s">
        <v>230</v>
      </c>
      <c r="B25" s="3">
        <v>7990000</v>
      </c>
      <c r="C25" s="36" t="s">
        <v>22</v>
      </c>
      <c r="D25" s="25">
        <v>7990000</v>
      </c>
      <c r="E25" s="39">
        <v>7990000</v>
      </c>
      <c r="F25" s="38">
        <v>8090000</v>
      </c>
      <c r="G25" s="4" t="s">
        <v>223</v>
      </c>
    </row>
    <row r="26" spans="1:7" x14ac:dyDescent="0.2">
      <c r="A26" t="s">
        <v>213</v>
      </c>
      <c r="B26" s="3">
        <v>10990000</v>
      </c>
      <c r="C26" s="3">
        <v>10990000</v>
      </c>
      <c r="D26" s="25">
        <v>10990000</v>
      </c>
      <c r="E26" s="39">
        <v>10490000</v>
      </c>
      <c r="F26" s="38">
        <v>10890000</v>
      </c>
      <c r="G26" s="4">
        <v>10990000</v>
      </c>
    </row>
    <row r="27" spans="1:7" x14ac:dyDescent="0.2">
      <c r="A27" t="s">
        <v>214</v>
      </c>
      <c r="B27" s="3">
        <v>13590000</v>
      </c>
      <c r="C27" s="36" t="s">
        <v>22</v>
      </c>
      <c r="D27" s="25">
        <v>13590000</v>
      </c>
      <c r="E27" s="39">
        <v>12990000</v>
      </c>
      <c r="F27" s="38">
        <v>13590000</v>
      </c>
      <c r="G27" s="4">
        <v>13590000</v>
      </c>
    </row>
    <row r="28" spans="1:7" x14ac:dyDescent="0.2">
      <c r="A28" t="s">
        <v>215</v>
      </c>
      <c r="B28" s="3">
        <v>11790000</v>
      </c>
      <c r="C28" s="3">
        <v>11790000</v>
      </c>
      <c r="D28" s="25">
        <v>11790000</v>
      </c>
      <c r="E28" s="39">
        <v>11290000</v>
      </c>
      <c r="F28" s="38">
        <v>11690000</v>
      </c>
      <c r="G28" s="4" t="s">
        <v>216</v>
      </c>
    </row>
    <row r="29" spans="1:7" x14ac:dyDescent="0.2">
      <c r="A29" t="s">
        <v>217</v>
      </c>
      <c r="B29" s="3">
        <v>14390000</v>
      </c>
      <c r="C29" s="36" t="s">
        <v>22</v>
      </c>
      <c r="D29" s="25">
        <v>14390000</v>
      </c>
      <c r="E29" s="39">
        <v>13890000</v>
      </c>
      <c r="F29" s="38">
        <v>14390000</v>
      </c>
      <c r="G29" s="4">
        <v>14390000</v>
      </c>
    </row>
    <row r="30" spans="1:7" x14ac:dyDescent="0.2">
      <c r="A30" t="s">
        <v>172</v>
      </c>
      <c r="B30" s="3">
        <v>22990000</v>
      </c>
      <c r="C30" s="3">
        <v>22990000</v>
      </c>
      <c r="D30" s="25">
        <v>22990000</v>
      </c>
      <c r="E30" s="36" t="s">
        <v>22</v>
      </c>
      <c r="F30" s="39">
        <v>22590000</v>
      </c>
      <c r="G30" s="4">
        <v>20890000</v>
      </c>
    </row>
    <row r="31" spans="1:7" x14ac:dyDescent="0.2">
      <c r="A31" t="s">
        <v>53</v>
      </c>
      <c r="B31" s="3">
        <v>5790000</v>
      </c>
      <c r="C31" s="3">
        <v>5790000</v>
      </c>
      <c r="D31" s="34">
        <v>5590000</v>
      </c>
      <c r="E31" s="37">
        <v>5390000</v>
      </c>
      <c r="F31" s="39">
        <v>5490000</v>
      </c>
      <c r="G31" s="4">
        <v>5450000</v>
      </c>
    </row>
    <row r="32" spans="1:7" x14ac:dyDescent="0.2">
      <c r="A32" t="s">
        <v>54</v>
      </c>
      <c r="B32" s="3">
        <v>4790000</v>
      </c>
      <c r="C32" s="3">
        <v>4790000</v>
      </c>
      <c r="D32" s="37">
        <v>4790000</v>
      </c>
      <c r="E32" s="39">
        <v>4590000</v>
      </c>
      <c r="F32" s="37">
        <v>4590000</v>
      </c>
      <c r="G32" s="3">
        <v>4590000</v>
      </c>
    </row>
    <row r="33" spans="1:7" x14ac:dyDescent="0.2">
      <c r="A33" t="s">
        <v>55</v>
      </c>
      <c r="B33" s="3">
        <v>3490000</v>
      </c>
      <c r="C33" s="3">
        <v>3490000</v>
      </c>
      <c r="D33" s="37">
        <v>3490000</v>
      </c>
      <c r="E33" s="39">
        <v>3290000</v>
      </c>
      <c r="F33" s="36">
        <v>3360000</v>
      </c>
      <c r="G33" s="3">
        <v>3360000</v>
      </c>
    </row>
    <row r="34" spans="1:7" x14ac:dyDescent="0.2">
      <c r="A34" t="s">
        <v>173</v>
      </c>
      <c r="B34" s="3">
        <v>4090000</v>
      </c>
      <c r="C34" s="3">
        <v>4090000</v>
      </c>
      <c r="D34" s="41">
        <v>3590000</v>
      </c>
      <c r="E34" s="39">
        <v>3890000</v>
      </c>
      <c r="F34" s="38">
        <v>3790000</v>
      </c>
      <c r="G34" s="4" t="s">
        <v>197</v>
      </c>
    </row>
    <row r="35" spans="1:7" x14ac:dyDescent="0.2">
      <c r="A35" t="s">
        <v>174</v>
      </c>
      <c r="B35" s="36">
        <v>3090000</v>
      </c>
      <c r="C35" s="36">
        <v>3090000</v>
      </c>
      <c r="D35" s="39">
        <v>2990000</v>
      </c>
      <c r="E35" s="39">
        <v>2790000</v>
      </c>
      <c r="F35" s="38">
        <v>3090000</v>
      </c>
      <c r="G35" s="4">
        <v>2750000</v>
      </c>
    </row>
    <row r="36" spans="1:7" x14ac:dyDescent="0.2">
      <c r="A36" t="s">
        <v>175</v>
      </c>
      <c r="B36" s="3">
        <v>18190000</v>
      </c>
      <c r="C36" s="3">
        <v>18190000</v>
      </c>
      <c r="D36" s="34">
        <v>17990000</v>
      </c>
      <c r="E36" s="36"/>
      <c r="F36" s="34">
        <v>18090000</v>
      </c>
      <c r="G36" s="4">
        <v>17490000</v>
      </c>
    </row>
    <row r="37" spans="1:7" x14ac:dyDescent="0.2">
      <c r="A37" t="s">
        <v>176</v>
      </c>
      <c r="B37" s="3">
        <v>23290000</v>
      </c>
      <c r="C37" s="3">
        <v>23290000</v>
      </c>
      <c r="D37" s="3">
        <v>23090000</v>
      </c>
      <c r="E37" s="36"/>
      <c r="F37" s="34">
        <v>22590000</v>
      </c>
      <c r="G37" s="3">
        <v>22790000</v>
      </c>
    </row>
    <row r="38" spans="1:7" x14ac:dyDescent="0.2">
      <c r="A38" t="s">
        <v>177</v>
      </c>
      <c r="B38" s="3">
        <v>26090000</v>
      </c>
      <c r="C38" s="3">
        <v>26090000</v>
      </c>
      <c r="D38" s="34">
        <v>25790000</v>
      </c>
      <c r="E38" s="36"/>
      <c r="F38" s="34">
        <v>25990000</v>
      </c>
      <c r="G38" s="4">
        <v>26490000</v>
      </c>
    </row>
    <row r="39" spans="1:7" x14ac:dyDescent="0.2">
      <c r="A39" t="s">
        <v>178</v>
      </c>
      <c r="B39" s="3">
        <v>31290000</v>
      </c>
      <c r="C39" s="3">
        <v>31290000</v>
      </c>
      <c r="D39" s="3">
        <v>31190000</v>
      </c>
      <c r="E39" s="36"/>
      <c r="F39" s="34">
        <v>30690000</v>
      </c>
      <c r="G39" s="4">
        <v>30990000</v>
      </c>
    </row>
    <row r="40" spans="1:7" x14ac:dyDescent="0.2">
      <c r="A40" t="s">
        <v>179</v>
      </c>
      <c r="B40" s="3">
        <v>36290000</v>
      </c>
      <c r="C40" s="3">
        <v>36290000</v>
      </c>
      <c r="D40" s="25">
        <v>36290000</v>
      </c>
      <c r="E40" s="36"/>
      <c r="F40" s="38" t="s">
        <v>22</v>
      </c>
      <c r="G40" s="38" t="s">
        <v>22</v>
      </c>
    </row>
  </sheetData>
  <pageMargins left="0.7" right="0.7" top="0.75" bottom="0.75" header="0.3" footer="0.3"/>
  <pageSetup paperSize="9" orientation="portrait" horizontalDpi="0" verticalDpi="0"/>
  <legacyDrawing r:id="rId1"/>
</worksheet>
</file>

<file path=xl/worksheets/sheet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codeName="Sheet32"/>
  <dimension ref="A1:K40"/>
  <sheetViews>
    <sheetView zoomScale="135" zoomScaleNormal="171" workbookViewId="0">
      <pane xSplit="1" ySplit="1" topLeftCell="B23" activePane="bottomRight" state="frozen"/>
      <selection pane="topRight" activeCell="B1" sqref="B1"/>
      <selection pane="bottomLeft" activeCell="A2" sqref="A2"/>
      <selection pane="bottomRight" activeCell="B1" sqref="B1"/>
    </sheetView>
  </sheetViews>
  <sheetFormatPr baseColWidth="10" defaultColWidth="11" defaultRowHeight="16" x14ac:dyDescent="0.2"/>
  <cols>
    <col min="1" max="1" width="25.33203125" bestFit="1" customWidth="1"/>
  </cols>
  <sheetData>
    <row r="1" spans="1:11" x14ac:dyDescent="0.2">
      <c r="B1" s="46" t="s">
        <v>0</v>
      </c>
      <c r="C1" s="46" t="s">
        <v>1</v>
      </c>
      <c r="D1" s="46" t="s">
        <v>2</v>
      </c>
      <c r="E1" s="46" t="s">
        <v>3</v>
      </c>
      <c r="F1" s="46" t="s">
        <v>4</v>
      </c>
      <c r="G1" s="46" t="s">
        <v>5</v>
      </c>
    </row>
    <row r="2" spans="1:11" x14ac:dyDescent="0.2">
      <c r="A2" t="s">
        <v>181</v>
      </c>
      <c r="B2" s="3">
        <v>22590000</v>
      </c>
      <c r="C2" s="3">
        <v>22590000</v>
      </c>
      <c r="D2" s="42">
        <v>21490000</v>
      </c>
      <c r="E2" s="39">
        <v>21990000</v>
      </c>
      <c r="F2" s="37">
        <v>21290000</v>
      </c>
      <c r="G2" s="3">
        <v>21490000</v>
      </c>
    </row>
    <row r="3" spans="1:11" x14ac:dyDescent="0.2">
      <c r="A3" t="s">
        <v>24</v>
      </c>
      <c r="B3" s="3">
        <v>25990000</v>
      </c>
      <c r="C3" s="3">
        <v>25990000</v>
      </c>
      <c r="D3" s="41">
        <v>24990000</v>
      </c>
      <c r="E3" s="39">
        <v>24990000</v>
      </c>
      <c r="F3" s="39">
        <v>24890000</v>
      </c>
      <c r="G3" s="3">
        <v>24890000</v>
      </c>
    </row>
    <row r="4" spans="1:11" x14ac:dyDescent="0.2">
      <c r="A4" t="s">
        <v>182</v>
      </c>
      <c r="B4" s="3">
        <v>28990000</v>
      </c>
      <c r="C4" s="3">
        <v>28590000</v>
      </c>
      <c r="D4" s="41">
        <v>27790000</v>
      </c>
      <c r="E4" s="37">
        <v>27710000</v>
      </c>
      <c r="F4" s="37">
        <v>27490000</v>
      </c>
      <c r="G4" s="3">
        <v>27490000</v>
      </c>
    </row>
    <row r="5" spans="1:11" x14ac:dyDescent="0.2">
      <c r="A5" t="s">
        <v>183</v>
      </c>
      <c r="B5" s="3">
        <v>34590000</v>
      </c>
      <c r="C5" s="3">
        <v>34590000</v>
      </c>
      <c r="D5" s="41">
        <v>32990000</v>
      </c>
      <c r="E5" s="37">
        <v>32990000</v>
      </c>
      <c r="F5" s="37">
        <v>32990000</v>
      </c>
      <c r="G5" s="3">
        <v>32990000</v>
      </c>
    </row>
    <row r="6" spans="1:11" x14ac:dyDescent="0.2">
      <c r="A6" t="s">
        <v>25</v>
      </c>
      <c r="B6" s="3">
        <v>19990000</v>
      </c>
      <c r="C6" s="3">
        <v>19990000</v>
      </c>
      <c r="D6" s="42">
        <v>19590000</v>
      </c>
      <c r="E6" s="39">
        <v>19490000</v>
      </c>
      <c r="F6" s="39">
        <v>19490000</v>
      </c>
      <c r="G6" s="4" t="s">
        <v>224</v>
      </c>
    </row>
    <row r="7" spans="1:11" x14ac:dyDescent="0.2">
      <c r="A7" t="s">
        <v>26</v>
      </c>
      <c r="B7" s="3">
        <v>22990000</v>
      </c>
      <c r="C7" s="3">
        <v>22990000</v>
      </c>
      <c r="D7" s="42">
        <v>22690000</v>
      </c>
      <c r="E7" s="39">
        <v>22490000</v>
      </c>
      <c r="F7" s="39">
        <v>22590000</v>
      </c>
      <c r="G7" s="4">
        <v>22390000</v>
      </c>
      <c r="I7" t="s">
        <v>31</v>
      </c>
      <c r="J7" t="s">
        <v>38</v>
      </c>
      <c r="K7" t="b">
        <v>1</v>
      </c>
    </row>
    <row r="8" spans="1:11" x14ac:dyDescent="0.2">
      <c r="A8" t="s">
        <v>157</v>
      </c>
      <c r="B8" s="36" t="s">
        <v>22</v>
      </c>
      <c r="C8" s="42" t="s">
        <v>22</v>
      </c>
      <c r="D8" s="42" t="s">
        <v>22</v>
      </c>
      <c r="E8" s="36" t="s">
        <v>22</v>
      </c>
      <c r="F8" s="36" t="s">
        <v>22</v>
      </c>
      <c r="G8" s="4">
        <v>24390000</v>
      </c>
      <c r="I8" t="s">
        <v>0</v>
      </c>
      <c r="J8" t="s">
        <v>36</v>
      </c>
      <c r="K8" t="b">
        <v>1</v>
      </c>
    </row>
    <row r="9" spans="1:11" x14ac:dyDescent="0.2">
      <c r="A9" t="s">
        <v>158</v>
      </c>
      <c r="B9" s="36">
        <v>29590000</v>
      </c>
      <c r="C9" s="36">
        <v>29590000</v>
      </c>
      <c r="D9" s="3">
        <v>28990000</v>
      </c>
      <c r="E9" s="39">
        <v>28990000</v>
      </c>
      <c r="F9" s="39">
        <v>28990000</v>
      </c>
      <c r="G9" s="4">
        <v>28490000</v>
      </c>
      <c r="H9" t="s">
        <v>226</v>
      </c>
      <c r="I9" t="s">
        <v>2</v>
      </c>
      <c r="J9" t="s">
        <v>198</v>
      </c>
      <c r="K9" t="b">
        <v>1</v>
      </c>
    </row>
    <row r="10" spans="1:11" x14ac:dyDescent="0.2">
      <c r="A10" t="s">
        <v>92</v>
      </c>
      <c r="B10" s="3">
        <v>20590000</v>
      </c>
      <c r="C10" s="3">
        <v>20590000</v>
      </c>
      <c r="D10" s="3">
        <v>19990000</v>
      </c>
      <c r="E10" s="39">
        <v>19690000</v>
      </c>
      <c r="F10" s="38">
        <v>19690000</v>
      </c>
      <c r="G10" s="4">
        <v>20090000</v>
      </c>
      <c r="I10" t="s">
        <v>3</v>
      </c>
      <c r="J10" t="s">
        <v>199</v>
      </c>
      <c r="K10" t="b">
        <v>1</v>
      </c>
    </row>
    <row r="11" spans="1:11" x14ac:dyDescent="0.2">
      <c r="A11" t="s">
        <v>27</v>
      </c>
      <c r="B11" s="3">
        <v>17590000</v>
      </c>
      <c r="C11" s="3">
        <v>17590000</v>
      </c>
      <c r="D11" s="37">
        <v>17190000</v>
      </c>
      <c r="E11" s="39">
        <v>16990000</v>
      </c>
      <c r="F11" s="38">
        <v>16850000</v>
      </c>
      <c r="G11" s="4">
        <v>17290000</v>
      </c>
      <c r="I11" t="s">
        <v>4</v>
      </c>
      <c r="J11" t="s">
        <v>34</v>
      </c>
      <c r="K11" t="b">
        <v>1</v>
      </c>
    </row>
    <row r="12" spans="1:11" x14ac:dyDescent="0.2">
      <c r="A12" t="s">
        <v>28</v>
      </c>
      <c r="B12" s="3">
        <v>13990000</v>
      </c>
      <c r="C12" s="3">
        <v>13990000</v>
      </c>
      <c r="D12" s="34">
        <v>13290000</v>
      </c>
      <c r="E12" s="39">
        <v>13290000</v>
      </c>
      <c r="F12" s="34">
        <v>13290000</v>
      </c>
      <c r="G12" s="3" t="s">
        <v>231</v>
      </c>
      <c r="I12" t="s">
        <v>41</v>
      </c>
      <c r="J12" t="s">
        <v>42</v>
      </c>
      <c r="K12" t="b">
        <v>1</v>
      </c>
    </row>
    <row r="13" spans="1:11" x14ac:dyDescent="0.2">
      <c r="A13" t="s">
        <v>98</v>
      </c>
      <c r="B13" s="36">
        <v>11590000</v>
      </c>
      <c r="C13" s="36">
        <v>11590000</v>
      </c>
      <c r="D13" s="25" t="s">
        <v>22</v>
      </c>
      <c r="E13" s="36">
        <v>10990000</v>
      </c>
      <c r="F13" s="38">
        <v>10890000</v>
      </c>
      <c r="G13" s="4">
        <v>12290000</v>
      </c>
    </row>
    <row r="14" spans="1:11" x14ac:dyDescent="0.2">
      <c r="A14" t="s">
        <v>102</v>
      </c>
      <c r="B14" s="36">
        <v>8990000</v>
      </c>
      <c r="C14" s="36">
        <v>8990000</v>
      </c>
      <c r="D14" s="3">
        <v>8690000</v>
      </c>
      <c r="E14" s="39">
        <v>8490000</v>
      </c>
      <c r="F14" s="34">
        <v>8390000</v>
      </c>
      <c r="G14" s="4" t="s">
        <v>22</v>
      </c>
    </row>
    <row r="15" spans="1:11" x14ac:dyDescent="0.2">
      <c r="A15" t="s">
        <v>29</v>
      </c>
      <c r="B15" s="36">
        <v>13990000</v>
      </c>
      <c r="C15" s="36">
        <v>13990000</v>
      </c>
      <c r="D15" s="25">
        <v>13990000</v>
      </c>
      <c r="E15" s="36" t="s">
        <v>22</v>
      </c>
      <c r="F15" s="38">
        <v>13990000</v>
      </c>
      <c r="G15" s="4">
        <v>13990000</v>
      </c>
    </row>
    <row r="16" spans="1:11" x14ac:dyDescent="0.2">
      <c r="A16" t="s">
        <v>162</v>
      </c>
      <c r="B16" s="3">
        <v>9390000</v>
      </c>
      <c r="C16" s="3">
        <v>8990000</v>
      </c>
      <c r="D16" s="25">
        <v>8590000</v>
      </c>
      <c r="E16" s="37">
        <v>8490000</v>
      </c>
      <c r="F16" s="34">
        <v>8690000</v>
      </c>
      <c r="G16" s="4">
        <v>8790000</v>
      </c>
    </row>
    <row r="17" spans="1:7" x14ac:dyDescent="0.2">
      <c r="A17" t="s">
        <v>163</v>
      </c>
      <c r="B17" s="36">
        <v>7090000</v>
      </c>
      <c r="C17" s="36">
        <v>7090000</v>
      </c>
      <c r="D17" s="25">
        <v>7050000</v>
      </c>
      <c r="E17" s="39">
        <v>6990000</v>
      </c>
      <c r="F17" s="38">
        <v>7050000</v>
      </c>
      <c r="G17" s="4">
        <v>7090000</v>
      </c>
    </row>
    <row r="18" spans="1:7" x14ac:dyDescent="0.2">
      <c r="A18" t="s">
        <v>189</v>
      </c>
      <c r="B18" s="3">
        <v>15290000</v>
      </c>
      <c r="C18" s="25">
        <v>15090000</v>
      </c>
      <c r="D18" s="25">
        <v>14890000</v>
      </c>
      <c r="E18" s="37">
        <v>14642000</v>
      </c>
      <c r="F18" s="38">
        <v>14890000</v>
      </c>
      <c r="G18" s="3">
        <v>14390000</v>
      </c>
    </row>
    <row r="19" spans="1:7" x14ac:dyDescent="0.2">
      <c r="A19" t="s">
        <v>190</v>
      </c>
      <c r="B19" s="3">
        <v>20990000</v>
      </c>
      <c r="C19" s="25">
        <v>20840000</v>
      </c>
      <c r="D19" s="25">
        <v>20690000</v>
      </c>
      <c r="E19" s="39">
        <v>21275000</v>
      </c>
      <c r="F19" s="38">
        <v>20990000</v>
      </c>
      <c r="G19" s="4">
        <v>20990000</v>
      </c>
    </row>
    <row r="20" spans="1:7" x14ac:dyDescent="0.2">
      <c r="A20" t="s">
        <v>184</v>
      </c>
      <c r="B20" s="3">
        <v>27790000</v>
      </c>
      <c r="C20" s="25">
        <v>27490000</v>
      </c>
      <c r="D20" s="25">
        <v>27490000</v>
      </c>
      <c r="E20" s="39">
        <v>27190000</v>
      </c>
      <c r="F20" s="38">
        <v>27590000</v>
      </c>
      <c r="G20" s="4">
        <v>27190000</v>
      </c>
    </row>
    <row r="21" spans="1:7" x14ac:dyDescent="0.2">
      <c r="A21" t="s">
        <v>185</v>
      </c>
      <c r="B21" s="3">
        <v>37290000</v>
      </c>
      <c r="C21" s="36" t="s">
        <v>22</v>
      </c>
      <c r="D21" s="25">
        <v>36790000</v>
      </c>
      <c r="E21" s="36">
        <v>36490000</v>
      </c>
      <c r="F21" s="38">
        <v>36990000</v>
      </c>
      <c r="G21" s="4">
        <v>36490000</v>
      </c>
    </row>
    <row r="22" spans="1:7" x14ac:dyDescent="0.2">
      <c r="A22" t="s">
        <v>227</v>
      </c>
      <c r="B22" s="3">
        <v>5790000</v>
      </c>
      <c r="C22" s="3">
        <v>5790000</v>
      </c>
      <c r="D22" s="3">
        <v>5790000</v>
      </c>
      <c r="E22" s="39">
        <v>5790000</v>
      </c>
      <c r="F22" s="34">
        <v>5690000</v>
      </c>
      <c r="G22" s="4">
        <v>5790000</v>
      </c>
    </row>
    <row r="23" spans="1:7" x14ac:dyDescent="0.2">
      <c r="A23" t="s">
        <v>228</v>
      </c>
      <c r="B23" s="3">
        <v>7090000</v>
      </c>
      <c r="C23" s="3">
        <v>7090000</v>
      </c>
      <c r="D23" s="3">
        <v>7090000</v>
      </c>
      <c r="E23" s="39">
        <v>7290000</v>
      </c>
      <c r="F23" s="38">
        <v>7290000</v>
      </c>
      <c r="G23" s="4">
        <v>7190000</v>
      </c>
    </row>
    <row r="24" spans="1:7" x14ac:dyDescent="0.2">
      <c r="A24" t="s">
        <v>229</v>
      </c>
      <c r="B24" s="3">
        <v>6590000</v>
      </c>
      <c r="C24" s="3">
        <v>6590000</v>
      </c>
      <c r="D24" s="3">
        <v>6590000</v>
      </c>
      <c r="E24" s="39">
        <v>6590000</v>
      </c>
      <c r="F24" s="38">
        <v>6790000</v>
      </c>
      <c r="G24" s="4">
        <v>6590000</v>
      </c>
    </row>
    <row r="25" spans="1:7" x14ac:dyDescent="0.2">
      <c r="A25" t="s">
        <v>230</v>
      </c>
      <c r="B25" s="3">
        <v>7890000</v>
      </c>
      <c r="C25" s="3">
        <v>7890000</v>
      </c>
      <c r="D25" s="3">
        <v>7890000</v>
      </c>
      <c r="E25" s="39">
        <v>7990000</v>
      </c>
      <c r="F25" s="38">
        <v>8090000</v>
      </c>
      <c r="G25" s="4" t="s">
        <v>223</v>
      </c>
    </row>
    <row r="26" spans="1:7" x14ac:dyDescent="0.2">
      <c r="A26" t="s">
        <v>213</v>
      </c>
      <c r="B26" s="3">
        <v>10790000</v>
      </c>
      <c r="C26" s="3">
        <v>10790000</v>
      </c>
      <c r="D26" s="3">
        <v>9990000</v>
      </c>
      <c r="E26" s="39">
        <v>10490000</v>
      </c>
      <c r="F26" s="38">
        <v>10890000</v>
      </c>
      <c r="G26" s="4">
        <v>10990000</v>
      </c>
    </row>
    <row r="27" spans="1:7" x14ac:dyDescent="0.2">
      <c r="A27" t="s">
        <v>214</v>
      </c>
      <c r="B27" s="3">
        <v>13390000</v>
      </c>
      <c r="C27" s="3">
        <v>13390000</v>
      </c>
      <c r="D27" s="25">
        <v>13590000</v>
      </c>
      <c r="E27" s="39">
        <v>12990000</v>
      </c>
      <c r="F27" s="38">
        <v>13590000</v>
      </c>
      <c r="G27" s="4">
        <v>13590000</v>
      </c>
    </row>
    <row r="28" spans="1:7" x14ac:dyDescent="0.2">
      <c r="A28" t="s">
        <v>215</v>
      </c>
      <c r="B28" s="36">
        <v>11790000</v>
      </c>
      <c r="C28" s="36">
        <v>11790000</v>
      </c>
      <c r="D28" s="25">
        <v>11790000</v>
      </c>
      <c r="E28" s="39">
        <v>11290000</v>
      </c>
      <c r="F28" s="38">
        <v>11690000</v>
      </c>
      <c r="G28" s="4" t="s">
        <v>216</v>
      </c>
    </row>
    <row r="29" spans="1:7" x14ac:dyDescent="0.2">
      <c r="A29" t="s">
        <v>217</v>
      </c>
      <c r="B29" s="36">
        <v>14390000</v>
      </c>
      <c r="C29" s="36">
        <v>14390000</v>
      </c>
      <c r="D29" s="25">
        <v>14390000</v>
      </c>
      <c r="E29" s="39">
        <v>13890000</v>
      </c>
      <c r="F29" s="38">
        <v>14390000</v>
      </c>
      <c r="G29" s="4">
        <v>14390000</v>
      </c>
    </row>
    <row r="30" spans="1:7" x14ac:dyDescent="0.2">
      <c r="A30" t="s">
        <v>172</v>
      </c>
      <c r="B30" s="36">
        <v>22990000</v>
      </c>
      <c r="C30" s="36">
        <v>22990000</v>
      </c>
      <c r="D30" s="25">
        <v>22990000</v>
      </c>
      <c r="E30" s="36" t="s">
        <v>22</v>
      </c>
      <c r="F30" s="39">
        <v>22590000</v>
      </c>
      <c r="G30" s="4">
        <v>20890000</v>
      </c>
    </row>
    <row r="31" spans="1:7" x14ac:dyDescent="0.2">
      <c r="A31" t="s">
        <v>53</v>
      </c>
      <c r="B31" s="3">
        <v>5690000</v>
      </c>
      <c r="C31" s="3">
        <v>5690000</v>
      </c>
      <c r="D31" s="38">
        <v>5590000</v>
      </c>
      <c r="E31" s="39">
        <v>5390000</v>
      </c>
      <c r="F31" s="39">
        <v>5490000</v>
      </c>
      <c r="G31" s="4">
        <v>5450000</v>
      </c>
    </row>
    <row r="32" spans="1:7" x14ac:dyDescent="0.2">
      <c r="A32" t="s">
        <v>54</v>
      </c>
      <c r="B32" s="3">
        <v>4590000</v>
      </c>
      <c r="C32" s="3">
        <v>4590000</v>
      </c>
      <c r="D32" s="37">
        <v>4590000</v>
      </c>
      <c r="E32" s="39">
        <v>4590000</v>
      </c>
      <c r="F32" s="37">
        <v>4590000</v>
      </c>
      <c r="G32" s="4">
        <v>4590000</v>
      </c>
    </row>
    <row r="33" spans="1:7" x14ac:dyDescent="0.2">
      <c r="A33" t="s">
        <v>55</v>
      </c>
      <c r="B33" s="3">
        <v>3390000</v>
      </c>
      <c r="C33" s="3">
        <v>3390000</v>
      </c>
      <c r="D33" s="37">
        <v>3390000</v>
      </c>
      <c r="E33" s="39">
        <v>3290000</v>
      </c>
      <c r="F33" s="39">
        <v>3290000</v>
      </c>
      <c r="G33" s="4">
        <v>3360000</v>
      </c>
    </row>
    <row r="34" spans="1:7" x14ac:dyDescent="0.2">
      <c r="A34" t="s">
        <v>173</v>
      </c>
      <c r="B34" s="36">
        <v>4090000</v>
      </c>
      <c r="C34" s="36">
        <v>4090000</v>
      </c>
      <c r="D34" s="42">
        <v>3590000</v>
      </c>
      <c r="E34" s="39">
        <v>3890000</v>
      </c>
      <c r="F34" s="38">
        <v>3790000</v>
      </c>
      <c r="G34" s="4" t="s">
        <v>197</v>
      </c>
    </row>
    <row r="35" spans="1:7" x14ac:dyDescent="0.2">
      <c r="A35" t="s">
        <v>174</v>
      </c>
      <c r="B35" s="36" t="s">
        <v>22</v>
      </c>
      <c r="C35" s="36" t="s">
        <v>22</v>
      </c>
      <c r="D35" s="39">
        <v>2990000</v>
      </c>
      <c r="E35" s="39" t="s">
        <v>22</v>
      </c>
      <c r="F35" s="38">
        <v>3090000</v>
      </c>
      <c r="G35" s="4">
        <v>2750000</v>
      </c>
    </row>
    <row r="36" spans="1:7" x14ac:dyDescent="0.2">
      <c r="A36" t="s">
        <v>175</v>
      </c>
      <c r="B36" s="36">
        <v>18190000</v>
      </c>
      <c r="C36" s="41">
        <v>17490000</v>
      </c>
      <c r="D36" s="34">
        <v>17790000</v>
      </c>
      <c r="E36" s="36"/>
      <c r="F36" s="34">
        <v>17590000</v>
      </c>
      <c r="G36" s="3">
        <v>16990000</v>
      </c>
    </row>
    <row r="37" spans="1:7" x14ac:dyDescent="0.2">
      <c r="A37" t="s">
        <v>176</v>
      </c>
      <c r="B37" s="3">
        <v>22990000</v>
      </c>
      <c r="C37" s="25">
        <v>23290000</v>
      </c>
      <c r="D37" s="3">
        <v>22490000</v>
      </c>
      <c r="E37" s="36"/>
      <c r="F37" s="34">
        <v>22290000</v>
      </c>
      <c r="G37" s="3">
        <v>22290000</v>
      </c>
    </row>
    <row r="38" spans="1:7" x14ac:dyDescent="0.2">
      <c r="A38" t="s">
        <v>177</v>
      </c>
      <c r="B38" s="36">
        <v>26090000</v>
      </c>
      <c r="C38" s="36" t="s">
        <v>22</v>
      </c>
      <c r="D38" s="38">
        <v>25790000</v>
      </c>
      <c r="E38" s="36"/>
      <c r="F38" s="34">
        <v>25990000</v>
      </c>
      <c r="G38" s="3">
        <v>25990000</v>
      </c>
    </row>
    <row r="39" spans="1:7" x14ac:dyDescent="0.2">
      <c r="A39" t="s">
        <v>178</v>
      </c>
      <c r="B39" s="3">
        <v>30790000</v>
      </c>
      <c r="C39" s="36" t="s">
        <v>22</v>
      </c>
      <c r="D39" s="25">
        <v>31190000</v>
      </c>
      <c r="E39" s="36"/>
      <c r="F39" s="34">
        <v>30690000</v>
      </c>
      <c r="G39" s="3">
        <v>30190000</v>
      </c>
    </row>
    <row r="40" spans="1:7" x14ac:dyDescent="0.2">
      <c r="A40" t="s">
        <v>179</v>
      </c>
      <c r="B40" s="3">
        <v>36490000</v>
      </c>
      <c r="C40" s="36" t="s">
        <v>22</v>
      </c>
      <c r="D40" s="25">
        <v>36290000</v>
      </c>
      <c r="E40" s="36"/>
      <c r="F40" s="38" t="s">
        <v>22</v>
      </c>
      <c r="G40" s="38" t="s">
        <v>22</v>
      </c>
    </row>
  </sheetData>
  <pageMargins left="0.7" right="0.7" top="0.75" bottom="0.75" header="0.3" footer="0.3"/>
  <pageSetup paperSize="9" orientation="portrait" horizontalDpi="0" verticalDpi="0"/>
  <legacyDrawing r:id="rId1"/>
</worksheet>
</file>

<file path=xl/worksheets/sheet3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codeName="Sheet33"/>
  <dimension ref="A1:K40"/>
  <sheetViews>
    <sheetView zoomScale="114" zoomScaleNormal="160" workbookViewId="0">
      <pane xSplit="1" ySplit="1" topLeftCell="H2" activePane="bottomRight" state="frozen"/>
      <selection pane="topRight" activeCell="B1" sqref="B1"/>
      <selection pane="bottomLeft" activeCell="A2" sqref="A2"/>
      <selection pane="bottomRight" activeCell="B1" sqref="B1"/>
    </sheetView>
  </sheetViews>
  <sheetFormatPr baseColWidth="10" defaultColWidth="11" defaultRowHeight="16" x14ac:dyDescent="0.2"/>
  <cols>
    <col min="1" max="1" width="27.5" bestFit="1" customWidth="1"/>
  </cols>
  <sheetData>
    <row r="1" spans="1:11" x14ac:dyDescent="0.2">
      <c r="B1" s="46" t="s">
        <v>0</v>
      </c>
      <c r="C1" s="46" t="s">
        <v>1</v>
      </c>
      <c r="D1" s="46" t="s">
        <v>2</v>
      </c>
      <c r="E1" s="46" t="s">
        <v>3</v>
      </c>
      <c r="F1" s="46" t="s">
        <v>4</v>
      </c>
      <c r="G1" s="46" t="s">
        <v>5</v>
      </c>
    </row>
    <row r="2" spans="1:11" x14ac:dyDescent="0.2">
      <c r="A2" t="s">
        <v>181</v>
      </c>
      <c r="B2" s="3">
        <v>21890000</v>
      </c>
      <c r="C2" s="3">
        <v>21890000</v>
      </c>
      <c r="D2" s="42">
        <v>21490000</v>
      </c>
      <c r="E2" s="39">
        <v>21990000</v>
      </c>
      <c r="F2" s="37">
        <v>21490000</v>
      </c>
      <c r="G2" s="4">
        <v>21490000</v>
      </c>
    </row>
    <row r="3" spans="1:11" x14ac:dyDescent="0.2">
      <c r="A3" t="s">
        <v>24</v>
      </c>
      <c r="B3" s="3">
        <v>25390000</v>
      </c>
      <c r="C3" s="3">
        <v>25390000</v>
      </c>
      <c r="D3" s="42">
        <v>24990000</v>
      </c>
      <c r="E3" s="39">
        <v>24990000</v>
      </c>
      <c r="F3" s="39">
        <v>24890000</v>
      </c>
      <c r="G3" s="4">
        <v>24890000</v>
      </c>
    </row>
    <row r="4" spans="1:11" x14ac:dyDescent="0.2">
      <c r="A4" t="s">
        <v>182</v>
      </c>
      <c r="B4" s="3">
        <v>28190000</v>
      </c>
      <c r="C4" s="3">
        <v>28190000</v>
      </c>
      <c r="D4" s="41">
        <v>27890000</v>
      </c>
      <c r="E4" s="37">
        <v>28190000</v>
      </c>
      <c r="F4" s="37">
        <v>27790000</v>
      </c>
      <c r="G4" s="3">
        <v>27790000</v>
      </c>
    </row>
    <row r="5" spans="1:11" x14ac:dyDescent="0.2">
      <c r="A5" t="s">
        <v>183</v>
      </c>
      <c r="B5" s="3">
        <v>33890000</v>
      </c>
      <c r="C5" s="3">
        <v>33890000</v>
      </c>
      <c r="D5" s="41">
        <v>33490000</v>
      </c>
      <c r="E5" s="39">
        <v>32990000</v>
      </c>
      <c r="F5" s="37">
        <v>33490000</v>
      </c>
      <c r="G5" s="3">
        <v>33490000</v>
      </c>
    </row>
    <row r="6" spans="1:11" x14ac:dyDescent="0.2">
      <c r="A6" t="s">
        <v>25</v>
      </c>
      <c r="B6" s="3">
        <v>19590000</v>
      </c>
      <c r="C6" s="3">
        <v>19590000</v>
      </c>
      <c r="D6" s="41">
        <v>19490000</v>
      </c>
      <c r="E6" s="39">
        <v>19490000</v>
      </c>
      <c r="F6" s="39">
        <v>19490000</v>
      </c>
      <c r="G6" s="4" t="s">
        <v>224</v>
      </c>
    </row>
    <row r="7" spans="1:11" x14ac:dyDescent="0.2">
      <c r="A7" t="s">
        <v>26</v>
      </c>
      <c r="B7" s="3">
        <v>22590000</v>
      </c>
      <c r="C7" s="3">
        <v>22590000</v>
      </c>
      <c r="D7" s="41">
        <v>22590000</v>
      </c>
      <c r="E7" s="39">
        <v>22490000</v>
      </c>
      <c r="F7" s="37">
        <v>22490000</v>
      </c>
      <c r="G7" s="4">
        <v>22390000</v>
      </c>
      <c r="I7" t="s">
        <v>31</v>
      </c>
      <c r="J7" t="s">
        <v>38</v>
      </c>
      <c r="K7" t="b">
        <v>1</v>
      </c>
    </row>
    <row r="8" spans="1:11" x14ac:dyDescent="0.2">
      <c r="A8" t="s">
        <v>157</v>
      </c>
      <c r="B8" s="36" t="s">
        <v>22</v>
      </c>
      <c r="C8" s="42" t="s">
        <v>22</v>
      </c>
      <c r="D8" s="42" t="s">
        <v>22</v>
      </c>
      <c r="E8" s="36" t="s">
        <v>22</v>
      </c>
      <c r="F8" s="36" t="s">
        <v>22</v>
      </c>
      <c r="G8" s="4" t="s">
        <v>22</v>
      </c>
      <c r="I8" t="s">
        <v>0</v>
      </c>
      <c r="J8" t="s">
        <v>36</v>
      </c>
      <c r="K8" t="b">
        <v>1</v>
      </c>
    </row>
    <row r="9" spans="1:11" x14ac:dyDescent="0.2">
      <c r="A9" t="s">
        <v>158</v>
      </c>
      <c r="B9" s="3">
        <v>29190000</v>
      </c>
      <c r="C9" s="3">
        <v>29190000</v>
      </c>
      <c r="D9" s="3">
        <v>29290000</v>
      </c>
      <c r="E9" s="39">
        <v>28990000</v>
      </c>
      <c r="F9" s="37">
        <v>29190000</v>
      </c>
      <c r="G9" s="3">
        <v>28690000</v>
      </c>
      <c r="H9" t="s">
        <v>226</v>
      </c>
      <c r="I9" t="s">
        <v>2</v>
      </c>
      <c r="J9" t="s">
        <v>198</v>
      </c>
      <c r="K9" t="b">
        <v>1</v>
      </c>
    </row>
    <row r="10" spans="1:11" x14ac:dyDescent="0.2">
      <c r="A10" t="s">
        <v>92</v>
      </c>
      <c r="B10" s="3">
        <v>19690000</v>
      </c>
      <c r="C10" s="3">
        <v>19690000</v>
      </c>
      <c r="D10" s="3">
        <v>19690000</v>
      </c>
      <c r="E10" s="39">
        <v>19690000</v>
      </c>
      <c r="F10" s="38">
        <v>19690000</v>
      </c>
      <c r="G10" s="4">
        <v>20090000</v>
      </c>
      <c r="I10" t="s">
        <v>3</v>
      </c>
      <c r="J10" t="s">
        <v>199</v>
      </c>
      <c r="K10" t="b">
        <v>1</v>
      </c>
    </row>
    <row r="11" spans="1:11" x14ac:dyDescent="0.2">
      <c r="A11" t="s">
        <v>27</v>
      </c>
      <c r="B11" s="3">
        <v>17090000</v>
      </c>
      <c r="C11" s="3">
        <v>17090000</v>
      </c>
      <c r="D11" s="37">
        <v>16990000</v>
      </c>
      <c r="E11" s="37">
        <v>16490000</v>
      </c>
      <c r="F11" s="38">
        <v>16850000</v>
      </c>
      <c r="G11" s="4">
        <v>17290000</v>
      </c>
      <c r="I11" t="s">
        <v>4</v>
      </c>
      <c r="J11" t="s">
        <v>34</v>
      </c>
      <c r="K11" t="b">
        <v>1</v>
      </c>
    </row>
    <row r="12" spans="1:11" x14ac:dyDescent="0.2">
      <c r="A12" t="s">
        <v>28</v>
      </c>
      <c r="B12" s="3">
        <v>13490000</v>
      </c>
      <c r="C12" s="3">
        <v>13490000</v>
      </c>
      <c r="D12" s="34">
        <v>13490000</v>
      </c>
      <c r="E12" s="39">
        <v>13290000</v>
      </c>
      <c r="F12" s="34">
        <v>13390000</v>
      </c>
      <c r="G12" s="4" t="s">
        <v>231</v>
      </c>
      <c r="I12" t="s">
        <v>41</v>
      </c>
      <c r="J12" t="s">
        <v>42</v>
      </c>
      <c r="K12" t="b">
        <v>1</v>
      </c>
    </row>
    <row r="13" spans="1:11" x14ac:dyDescent="0.2">
      <c r="A13" t="s">
        <v>98</v>
      </c>
      <c r="B13" s="3">
        <v>11490000</v>
      </c>
      <c r="C13" s="3">
        <v>11490000</v>
      </c>
      <c r="D13" s="25" t="s">
        <v>22</v>
      </c>
      <c r="E13" s="36">
        <v>10990000</v>
      </c>
      <c r="F13" s="38">
        <v>10890000</v>
      </c>
      <c r="G13" s="4">
        <v>12290000</v>
      </c>
    </row>
    <row r="14" spans="1:11" x14ac:dyDescent="0.2">
      <c r="A14" t="s">
        <v>102</v>
      </c>
      <c r="B14" s="3">
        <v>8740000</v>
      </c>
      <c r="C14" s="3">
        <v>8740000</v>
      </c>
      <c r="D14" s="3">
        <v>8790000</v>
      </c>
      <c r="E14" s="39">
        <v>8490000</v>
      </c>
      <c r="F14" s="34">
        <v>8790000</v>
      </c>
      <c r="G14" s="4" t="s">
        <v>22</v>
      </c>
    </row>
    <row r="15" spans="1:11" x14ac:dyDescent="0.2">
      <c r="A15" t="s">
        <v>29</v>
      </c>
      <c r="B15" s="3">
        <v>13990000</v>
      </c>
      <c r="C15" s="25">
        <v>13990000</v>
      </c>
      <c r="D15" s="25">
        <v>13990000</v>
      </c>
      <c r="E15" s="36" t="s">
        <v>22</v>
      </c>
      <c r="F15" s="38">
        <v>13990000</v>
      </c>
      <c r="G15" s="4">
        <v>13990000</v>
      </c>
    </row>
    <row r="16" spans="1:11" x14ac:dyDescent="0.2">
      <c r="A16" t="s">
        <v>162</v>
      </c>
      <c r="B16" s="3">
        <v>9690000</v>
      </c>
      <c r="C16" s="3">
        <v>9690000</v>
      </c>
      <c r="D16" s="3">
        <v>9590000</v>
      </c>
      <c r="E16" s="37">
        <v>9290000</v>
      </c>
      <c r="F16" s="34">
        <v>9390000</v>
      </c>
      <c r="G16" s="3">
        <v>9290000</v>
      </c>
    </row>
    <row r="17" spans="1:7" x14ac:dyDescent="0.2">
      <c r="A17" t="s">
        <v>163</v>
      </c>
      <c r="B17" s="3">
        <v>7040000</v>
      </c>
      <c r="C17" s="3">
        <v>7040000</v>
      </c>
      <c r="D17" s="25">
        <v>7050000</v>
      </c>
      <c r="E17" s="39">
        <v>6990000</v>
      </c>
      <c r="F17" s="38">
        <v>7050000</v>
      </c>
      <c r="G17" s="4">
        <v>7090000</v>
      </c>
    </row>
    <row r="18" spans="1:7" x14ac:dyDescent="0.2">
      <c r="A18" t="s">
        <v>189</v>
      </c>
      <c r="B18" s="3">
        <v>16890000</v>
      </c>
      <c r="C18" s="3">
        <v>16890000</v>
      </c>
      <c r="D18" s="3">
        <v>16490000</v>
      </c>
      <c r="E18" s="37">
        <v>15830000</v>
      </c>
      <c r="F18" s="34">
        <v>16490000</v>
      </c>
      <c r="G18" s="3">
        <v>15990000</v>
      </c>
    </row>
    <row r="19" spans="1:7" x14ac:dyDescent="0.2">
      <c r="A19" t="s">
        <v>190</v>
      </c>
      <c r="B19" s="3">
        <v>22290000</v>
      </c>
      <c r="C19" s="3">
        <v>22290000</v>
      </c>
      <c r="D19" s="3">
        <v>21690000</v>
      </c>
      <c r="E19" s="39">
        <v>21275000</v>
      </c>
      <c r="F19" s="34">
        <v>21490000</v>
      </c>
      <c r="G19" s="4">
        <v>20990000</v>
      </c>
    </row>
    <row r="20" spans="1:7" x14ac:dyDescent="0.2">
      <c r="A20" t="s">
        <v>184</v>
      </c>
      <c r="B20" s="3">
        <v>27590000</v>
      </c>
      <c r="C20" s="3">
        <v>27590000</v>
      </c>
      <c r="D20" s="25">
        <v>27490000</v>
      </c>
      <c r="E20" s="39">
        <v>26918000</v>
      </c>
      <c r="F20" s="38">
        <v>27590000</v>
      </c>
      <c r="G20" s="4">
        <v>27190000</v>
      </c>
    </row>
    <row r="21" spans="1:7" x14ac:dyDescent="0.2">
      <c r="A21" t="s">
        <v>185</v>
      </c>
      <c r="B21" s="3">
        <v>37090000</v>
      </c>
      <c r="C21" s="36" t="s">
        <v>22</v>
      </c>
      <c r="D21" s="25">
        <v>36790000</v>
      </c>
      <c r="E21" s="37">
        <v>36490000</v>
      </c>
      <c r="F21" s="38">
        <v>36990000</v>
      </c>
      <c r="G21" s="4">
        <v>36490000</v>
      </c>
    </row>
    <row r="22" spans="1:7" x14ac:dyDescent="0.2">
      <c r="A22" t="s">
        <v>227</v>
      </c>
      <c r="B22" s="3">
        <v>5940000</v>
      </c>
      <c r="C22" s="3">
        <v>5940000</v>
      </c>
      <c r="D22" s="25">
        <v>5790000</v>
      </c>
      <c r="E22" s="39">
        <v>5790000</v>
      </c>
      <c r="F22" s="34">
        <v>5990000</v>
      </c>
      <c r="G22" s="4">
        <v>5790000</v>
      </c>
    </row>
    <row r="23" spans="1:7" x14ac:dyDescent="0.2">
      <c r="A23" t="s">
        <v>228</v>
      </c>
      <c r="B23" s="3">
        <v>7240000</v>
      </c>
      <c r="C23" s="3">
        <v>7240000</v>
      </c>
      <c r="D23" s="25">
        <v>7090000</v>
      </c>
      <c r="E23" s="39">
        <v>7290000</v>
      </c>
      <c r="F23" s="38">
        <v>7290000</v>
      </c>
      <c r="G23" s="3">
        <v>7290000</v>
      </c>
    </row>
    <row r="24" spans="1:7" x14ac:dyDescent="0.2">
      <c r="A24" t="s">
        <v>229</v>
      </c>
      <c r="B24" s="3">
        <v>6740000</v>
      </c>
      <c r="C24" s="3">
        <v>6740000</v>
      </c>
      <c r="D24" s="25">
        <v>6590000</v>
      </c>
      <c r="E24" s="39">
        <v>6590000</v>
      </c>
      <c r="F24" s="38">
        <v>6790000</v>
      </c>
      <c r="G24" s="4">
        <v>6590000</v>
      </c>
    </row>
    <row r="25" spans="1:7" x14ac:dyDescent="0.2">
      <c r="A25" t="s">
        <v>230</v>
      </c>
      <c r="B25" s="3">
        <v>8040000</v>
      </c>
      <c r="C25" s="3">
        <v>8040000</v>
      </c>
      <c r="D25" s="25">
        <v>7890000</v>
      </c>
      <c r="E25" s="39">
        <v>7990000</v>
      </c>
      <c r="F25" s="38">
        <v>8090000</v>
      </c>
      <c r="G25" s="4" t="s">
        <v>223</v>
      </c>
    </row>
    <row r="26" spans="1:7" x14ac:dyDescent="0.2">
      <c r="A26" t="s">
        <v>213</v>
      </c>
      <c r="B26" s="36">
        <v>10790000</v>
      </c>
      <c r="C26" s="36">
        <v>10790000</v>
      </c>
      <c r="D26" s="3">
        <v>10990000</v>
      </c>
      <c r="E26" s="39">
        <v>10490000</v>
      </c>
      <c r="F26" s="38">
        <v>10890000</v>
      </c>
      <c r="G26" s="4">
        <v>10990000</v>
      </c>
    </row>
    <row r="27" spans="1:7" x14ac:dyDescent="0.2">
      <c r="A27" t="s">
        <v>214</v>
      </c>
      <c r="B27" s="3">
        <v>13440000</v>
      </c>
      <c r="C27" s="3">
        <v>13440000</v>
      </c>
      <c r="D27" s="25">
        <v>13590000</v>
      </c>
      <c r="E27" s="39">
        <v>12990000</v>
      </c>
      <c r="F27" s="38">
        <v>13590000</v>
      </c>
      <c r="G27" s="4">
        <v>13590000</v>
      </c>
    </row>
    <row r="28" spans="1:7" x14ac:dyDescent="0.2">
      <c r="A28" t="s">
        <v>215</v>
      </c>
      <c r="B28" s="3">
        <v>11740000</v>
      </c>
      <c r="C28" s="3">
        <v>11740000</v>
      </c>
      <c r="D28" s="25">
        <v>11790000</v>
      </c>
      <c r="E28" s="39">
        <v>11290000</v>
      </c>
      <c r="F28" s="38">
        <v>11690000</v>
      </c>
      <c r="G28" s="4" t="s">
        <v>216</v>
      </c>
    </row>
    <row r="29" spans="1:7" x14ac:dyDescent="0.2">
      <c r="A29" t="s">
        <v>217</v>
      </c>
      <c r="B29" s="3">
        <v>14340000</v>
      </c>
      <c r="C29" s="3">
        <v>14340000</v>
      </c>
      <c r="D29" s="25">
        <v>14390000</v>
      </c>
      <c r="E29" s="39">
        <v>13890000</v>
      </c>
      <c r="F29" s="38">
        <v>14390000</v>
      </c>
      <c r="G29" s="4">
        <v>14390000</v>
      </c>
    </row>
    <row r="30" spans="1:7" x14ac:dyDescent="0.2">
      <c r="A30" t="s">
        <v>172</v>
      </c>
      <c r="B30" s="3">
        <v>22290000</v>
      </c>
      <c r="C30" s="3">
        <v>22290000</v>
      </c>
      <c r="D30" s="25">
        <v>22990000</v>
      </c>
      <c r="E30" s="37">
        <v>21770000</v>
      </c>
      <c r="F30" s="39">
        <v>22590000</v>
      </c>
      <c r="G30" s="3">
        <v>22990000</v>
      </c>
    </row>
    <row r="31" spans="1:7" x14ac:dyDescent="0.2">
      <c r="A31" t="s">
        <v>53</v>
      </c>
      <c r="B31" s="3">
        <v>5740000</v>
      </c>
      <c r="C31" s="3">
        <v>5740000</v>
      </c>
      <c r="D31" s="34">
        <v>5690000</v>
      </c>
      <c r="E31" s="37">
        <v>5590000</v>
      </c>
      <c r="F31" s="37">
        <v>5650000</v>
      </c>
      <c r="G31" s="4">
        <v>5450000</v>
      </c>
    </row>
    <row r="32" spans="1:7" x14ac:dyDescent="0.2">
      <c r="A32" t="s">
        <v>54</v>
      </c>
      <c r="B32" s="3">
        <v>4590000</v>
      </c>
      <c r="C32" s="25">
        <v>4590000</v>
      </c>
      <c r="D32" s="39">
        <v>4590000</v>
      </c>
      <c r="E32" s="39">
        <v>4590000</v>
      </c>
      <c r="F32" s="39">
        <v>4590000</v>
      </c>
      <c r="G32" s="4">
        <v>4590000</v>
      </c>
    </row>
    <row r="33" spans="1:7" x14ac:dyDescent="0.2">
      <c r="A33" t="s">
        <v>55</v>
      </c>
      <c r="B33" s="36">
        <v>3390000</v>
      </c>
      <c r="C33" s="36">
        <v>3390000</v>
      </c>
      <c r="D33" s="39">
        <v>3390000</v>
      </c>
      <c r="E33" s="39">
        <v>3290000</v>
      </c>
      <c r="F33" s="39">
        <v>3290000</v>
      </c>
      <c r="G33" s="4">
        <v>3360000</v>
      </c>
    </row>
    <row r="34" spans="1:7" x14ac:dyDescent="0.2">
      <c r="A34" t="s">
        <v>173</v>
      </c>
      <c r="B34" s="3">
        <v>3990000</v>
      </c>
      <c r="C34" s="3">
        <v>3990000</v>
      </c>
      <c r="D34" s="41">
        <v>3990000</v>
      </c>
      <c r="E34" s="37">
        <v>4150000</v>
      </c>
      <c r="F34" s="38">
        <v>3790000</v>
      </c>
      <c r="G34" s="4" t="s">
        <v>22</v>
      </c>
    </row>
    <row r="35" spans="1:7" x14ac:dyDescent="0.2">
      <c r="A35" t="s">
        <v>174</v>
      </c>
      <c r="B35" s="36" t="s">
        <v>22</v>
      </c>
      <c r="C35" s="36" t="s">
        <v>22</v>
      </c>
      <c r="D35" s="39">
        <v>2990000</v>
      </c>
      <c r="E35" s="39" t="s">
        <v>22</v>
      </c>
      <c r="F35" s="38">
        <v>3090000</v>
      </c>
      <c r="G35" s="4" t="s">
        <v>22</v>
      </c>
    </row>
    <row r="36" spans="1:7" x14ac:dyDescent="0.2">
      <c r="A36" t="s">
        <v>175</v>
      </c>
      <c r="B36" s="3">
        <v>17990000</v>
      </c>
      <c r="C36" s="3">
        <v>17990000</v>
      </c>
      <c r="D36" s="34">
        <v>17990000</v>
      </c>
      <c r="E36" s="36"/>
      <c r="F36" s="34">
        <v>18090000</v>
      </c>
      <c r="G36" s="3">
        <v>17490000</v>
      </c>
    </row>
    <row r="37" spans="1:7" x14ac:dyDescent="0.2">
      <c r="A37" t="s">
        <v>186</v>
      </c>
      <c r="B37" s="3">
        <v>24290000</v>
      </c>
      <c r="C37" s="25">
        <v>24290000</v>
      </c>
      <c r="D37" s="3">
        <v>22390000</v>
      </c>
      <c r="E37" s="36"/>
      <c r="F37" s="34">
        <v>24490000</v>
      </c>
      <c r="G37" s="4">
        <v>22290000</v>
      </c>
    </row>
    <row r="38" spans="1:7" x14ac:dyDescent="0.2">
      <c r="A38" t="s">
        <v>232</v>
      </c>
      <c r="B38" s="36">
        <v>27490000</v>
      </c>
      <c r="C38" s="36" t="s">
        <v>22</v>
      </c>
      <c r="D38" s="34">
        <v>25490000</v>
      </c>
      <c r="E38" s="36"/>
      <c r="F38" s="38">
        <v>25990000</v>
      </c>
      <c r="G38" s="4">
        <v>25990000</v>
      </c>
    </row>
    <row r="39" spans="1:7" x14ac:dyDescent="0.2">
      <c r="A39" t="s">
        <v>233</v>
      </c>
      <c r="B39" s="3">
        <v>32590000</v>
      </c>
      <c r="C39" s="36" t="s">
        <v>22</v>
      </c>
      <c r="D39" s="25">
        <v>31190000</v>
      </c>
      <c r="E39" s="36"/>
      <c r="F39" s="38">
        <v>30690000</v>
      </c>
      <c r="G39" s="4">
        <v>30190000</v>
      </c>
    </row>
    <row r="40" spans="1:7" x14ac:dyDescent="0.2">
      <c r="A40" t="s">
        <v>179</v>
      </c>
      <c r="B40" s="3">
        <v>35790000</v>
      </c>
      <c r="C40" s="36" t="s">
        <v>22</v>
      </c>
      <c r="D40" s="3">
        <v>35790000</v>
      </c>
      <c r="E40" s="36"/>
      <c r="F40" s="38" t="s">
        <v>22</v>
      </c>
      <c r="G40" s="38" t="s">
        <v>22</v>
      </c>
    </row>
  </sheetData>
  <pageMargins left="0.7" right="0.7" top="0.75" bottom="0.75" header="0.3" footer="0.3"/>
  <pageSetup paperSize="9" orientation="portrait" horizontalDpi="0" verticalDpi="0"/>
  <legacyDrawing r:id="rId1"/>
</worksheet>
</file>

<file path=xl/worksheets/sheet3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codeName="Sheet34"/>
  <dimension ref="A1:K39"/>
  <sheetViews>
    <sheetView zoomScale="125" zoomScaleNormal="160" workbookViewId="0">
      <pane xSplit="1" ySplit="1" topLeftCell="B2" activePane="bottomRight" state="frozen"/>
      <selection pane="topRight" activeCell="B1" sqref="B1"/>
      <selection pane="bottomLeft" activeCell="A2" sqref="A2"/>
      <selection pane="bottomRight" activeCell="B1" sqref="B1"/>
    </sheetView>
  </sheetViews>
  <sheetFormatPr baseColWidth="10" defaultColWidth="11" defaultRowHeight="16" x14ac:dyDescent="0.2"/>
  <cols>
    <col min="1" max="1" width="27.5" bestFit="1" customWidth="1"/>
  </cols>
  <sheetData>
    <row r="1" spans="1:11" x14ac:dyDescent="0.2">
      <c r="B1" s="46" t="s">
        <v>0</v>
      </c>
      <c r="C1" s="46" t="s">
        <v>1</v>
      </c>
      <c r="D1" s="46" t="s">
        <v>2</v>
      </c>
      <c r="E1" s="46" t="s">
        <v>3</v>
      </c>
      <c r="F1" s="46" t="s">
        <v>4</v>
      </c>
      <c r="G1" s="46" t="s">
        <v>5</v>
      </c>
    </row>
    <row r="2" spans="1:11" x14ac:dyDescent="0.2">
      <c r="A2" t="s">
        <v>181</v>
      </c>
      <c r="B2" s="36">
        <v>21890000</v>
      </c>
      <c r="C2" s="36">
        <v>21890000</v>
      </c>
      <c r="D2" s="41">
        <v>21590000</v>
      </c>
      <c r="E2" s="39">
        <v>21990000</v>
      </c>
      <c r="F2" s="37">
        <v>21490000</v>
      </c>
      <c r="G2" s="4">
        <v>21490000</v>
      </c>
    </row>
    <row r="3" spans="1:11" x14ac:dyDescent="0.2">
      <c r="A3" t="s">
        <v>24</v>
      </c>
      <c r="B3" s="3">
        <v>25290000</v>
      </c>
      <c r="C3" s="3">
        <v>25290000</v>
      </c>
      <c r="D3" s="42">
        <v>24990000</v>
      </c>
      <c r="E3" s="39">
        <v>24990000</v>
      </c>
      <c r="F3" s="39">
        <v>24890000</v>
      </c>
      <c r="G3" s="4">
        <v>24890000</v>
      </c>
    </row>
    <row r="4" spans="1:11" x14ac:dyDescent="0.2">
      <c r="A4" t="s">
        <v>182</v>
      </c>
      <c r="B4" s="3">
        <v>28290000</v>
      </c>
      <c r="C4" s="3">
        <v>28290000</v>
      </c>
      <c r="D4" s="42">
        <v>27890000</v>
      </c>
      <c r="E4" s="39">
        <v>28190000</v>
      </c>
      <c r="F4" s="37">
        <v>27790000</v>
      </c>
      <c r="G4" s="4">
        <v>27790000</v>
      </c>
    </row>
    <row r="5" spans="1:11" x14ac:dyDescent="0.2">
      <c r="A5" t="s">
        <v>183</v>
      </c>
      <c r="B5" s="3">
        <v>33390000</v>
      </c>
      <c r="C5" s="3">
        <v>33390000</v>
      </c>
      <c r="D5" s="42">
        <v>33490000</v>
      </c>
      <c r="E5" s="39">
        <v>32990000</v>
      </c>
      <c r="F5" s="37">
        <v>33190000</v>
      </c>
      <c r="G5" s="3">
        <v>32990000</v>
      </c>
    </row>
    <row r="6" spans="1:11" x14ac:dyDescent="0.2">
      <c r="A6" t="s">
        <v>25</v>
      </c>
      <c r="B6" s="3">
        <v>19490000</v>
      </c>
      <c r="C6" s="3">
        <v>19490000</v>
      </c>
      <c r="D6" s="42">
        <v>19490000</v>
      </c>
      <c r="E6" s="39">
        <v>19490000</v>
      </c>
      <c r="F6" s="39">
        <v>19490000</v>
      </c>
      <c r="G6" s="3">
        <v>19290000</v>
      </c>
    </row>
    <row r="7" spans="1:11" x14ac:dyDescent="0.2">
      <c r="A7" t="s">
        <v>26</v>
      </c>
      <c r="B7" s="36">
        <v>22590000</v>
      </c>
      <c r="C7" s="36">
        <v>22590000</v>
      </c>
      <c r="D7" s="42">
        <v>22590000</v>
      </c>
      <c r="E7" s="39">
        <v>22490000</v>
      </c>
      <c r="F7" s="37">
        <v>22490000</v>
      </c>
      <c r="G7" s="4">
        <v>22390000</v>
      </c>
      <c r="I7" t="s">
        <v>31</v>
      </c>
      <c r="J7" t="s">
        <v>38</v>
      </c>
      <c r="K7" t="b">
        <v>1</v>
      </c>
    </row>
    <row r="8" spans="1:11" x14ac:dyDescent="0.2">
      <c r="A8" t="s">
        <v>157</v>
      </c>
      <c r="B8" s="36" t="s">
        <v>22</v>
      </c>
      <c r="C8" s="42" t="s">
        <v>22</v>
      </c>
      <c r="D8" s="42" t="s">
        <v>22</v>
      </c>
      <c r="E8" s="36" t="s">
        <v>22</v>
      </c>
      <c r="F8" s="36" t="s">
        <v>22</v>
      </c>
      <c r="G8" s="4" t="s">
        <v>22</v>
      </c>
      <c r="I8" t="s">
        <v>0</v>
      </c>
      <c r="J8" t="s">
        <v>36</v>
      </c>
      <c r="K8" t="b">
        <v>1</v>
      </c>
    </row>
    <row r="9" spans="1:11" x14ac:dyDescent="0.2">
      <c r="A9" t="s">
        <v>158</v>
      </c>
      <c r="B9" s="36">
        <v>29190000</v>
      </c>
      <c r="C9" s="36">
        <v>29190000</v>
      </c>
      <c r="D9" s="25">
        <v>29290000</v>
      </c>
      <c r="E9" s="39" t="s">
        <v>22</v>
      </c>
      <c r="F9" s="37">
        <v>29190000</v>
      </c>
      <c r="G9" s="3">
        <v>28390000</v>
      </c>
      <c r="H9" t="s">
        <v>226</v>
      </c>
      <c r="I9" t="s">
        <v>2</v>
      </c>
      <c r="J9" t="s">
        <v>198</v>
      </c>
      <c r="K9" t="b">
        <v>1</v>
      </c>
    </row>
    <row r="10" spans="1:11" x14ac:dyDescent="0.2">
      <c r="A10" t="s">
        <v>92</v>
      </c>
      <c r="B10" s="36">
        <v>19690000</v>
      </c>
      <c r="C10" s="36">
        <v>19690000</v>
      </c>
      <c r="D10" s="25">
        <v>19690000</v>
      </c>
      <c r="E10" s="37">
        <v>18990000</v>
      </c>
      <c r="F10" s="38">
        <v>19690000</v>
      </c>
      <c r="G10" s="4">
        <v>20090000</v>
      </c>
      <c r="I10" t="s">
        <v>3</v>
      </c>
      <c r="J10" t="s">
        <v>199</v>
      </c>
      <c r="K10" t="b">
        <v>1</v>
      </c>
    </row>
    <row r="11" spans="1:11" x14ac:dyDescent="0.2">
      <c r="A11" t="s">
        <v>27</v>
      </c>
      <c r="B11" s="36">
        <v>17090000</v>
      </c>
      <c r="C11" s="36">
        <v>17090000</v>
      </c>
      <c r="D11" s="39">
        <v>16990000</v>
      </c>
      <c r="E11" s="36" t="s">
        <v>22</v>
      </c>
      <c r="F11" s="38">
        <v>16850000</v>
      </c>
      <c r="G11" s="4">
        <v>17290000</v>
      </c>
      <c r="I11" t="s">
        <v>4</v>
      </c>
      <c r="J11" t="s">
        <v>34</v>
      </c>
      <c r="K11" t="b">
        <v>1</v>
      </c>
    </row>
    <row r="12" spans="1:11" x14ac:dyDescent="0.2">
      <c r="A12" t="s">
        <v>28</v>
      </c>
      <c r="B12" s="36">
        <v>13490000</v>
      </c>
      <c r="C12" s="36">
        <v>13490000</v>
      </c>
      <c r="D12" s="34">
        <v>13590000</v>
      </c>
      <c r="E12" s="39">
        <v>13290000</v>
      </c>
      <c r="F12" s="38">
        <v>13390000</v>
      </c>
      <c r="G12" s="4" t="s">
        <v>231</v>
      </c>
      <c r="I12" t="s">
        <v>41</v>
      </c>
      <c r="J12" t="s">
        <v>42</v>
      </c>
      <c r="K12" t="b">
        <v>1</v>
      </c>
    </row>
    <row r="13" spans="1:11" x14ac:dyDescent="0.2">
      <c r="A13" t="s">
        <v>98</v>
      </c>
      <c r="B13" s="36">
        <v>11490000</v>
      </c>
      <c r="C13" s="36">
        <v>11490000</v>
      </c>
      <c r="D13" s="25" t="s">
        <v>22</v>
      </c>
      <c r="E13" s="36">
        <v>10990000</v>
      </c>
      <c r="F13" s="38">
        <v>10890000</v>
      </c>
      <c r="G13" s="4">
        <v>12290000</v>
      </c>
    </row>
    <row r="14" spans="1:11" x14ac:dyDescent="0.2">
      <c r="A14" t="s">
        <v>102</v>
      </c>
      <c r="B14" s="3">
        <v>8840000</v>
      </c>
      <c r="C14" s="3">
        <v>8840000</v>
      </c>
      <c r="D14" s="25">
        <v>8790000</v>
      </c>
      <c r="E14" s="39">
        <v>8490000</v>
      </c>
      <c r="F14" s="34">
        <v>8790000</v>
      </c>
      <c r="G14" s="4" t="s">
        <v>22</v>
      </c>
    </row>
    <row r="15" spans="1:11" x14ac:dyDescent="0.2">
      <c r="A15" t="s">
        <v>29</v>
      </c>
      <c r="B15" s="3">
        <v>13890000</v>
      </c>
      <c r="C15" s="3">
        <v>13890000</v>
      </c>
      <c r="D15" s="25">
        <v>13990000</v>
      </c>
      <c r="E15" s="36" t="s">
        <v>22</v>
      </c>
      <c r="F15" s="38">
        <v>13990000</v>
      </c>
      <c r="G15" s="3">
        <v>13690000</v>
      </c>
    </row>
    <row r="16" spans="1:11" x14ac:dyDescent="0.2">
      <c r="A16" t="s">
        <v>162</v>
      </c>
      <c r="B16" s="3">
        <v>8940000</v>
      </c>
      <c r="C16" s="3">
        <v>8940000</v>
      </c>
      <c r="D16" s="3">
        <v>8990000</v>
      </c>
      <c r="E16" s="39">
        <v>9290000</v>
      </c>
      <c r="F16" s="34">
        <v>8750000</v>
      </c>
      <c r="G16" s="3">
        <v>8550000</v>
      </c>
    </row>
    <row r="17" spans="1:7" x14ac:dyDescent="0.2">
      <c r="A17" t="s">
        <v>163</v>
      </c>
      <c r="B17" s="36">
        <v>7040000</v>
      </c>
      <c r="C17" s="36">
        <v>7040000</v>
      </c>
      <c r="D17" s="25">
        <v>7050000</v>
      </c>
      <c r="E17" s="39">
        <v>6990000</v>
      </c>
      <c r="F17" s="38">
        <v>7050000</v>
      </c>
      <c r="G17" s="4">
        <v>7090000</v>
      </c>
    </row>
    <row r="18" spans="1:7" x14ac:dyDescent="0.2">
      <c r="A18" t="s">
        <v>189</v>
      </c>
      <c r="B18" s="3">
        <v>14990000</v>
      </c>
      <c r="C18" s="3">
        <v>14990000</v>
      </c>
      <c r="D18" s="3">
        <v>14890000</v>
      </c>
      <c r="E18" s="37">
        <v>14490000</v>
      </c>
      <c r="F18" s="34">
        <v>14990000</v>
      </c>
      <c r="G18" s="3">
        <v>14490000</v>
      </c>
    </row>
    <row r="19" spans="1:7" x14ac:dyDescent="0.2">
      <c r="A19" t="s">
        <v>190</v>
      </c>
      <c r="B19" s="3">
        <v>20590000</v>
      </c>
      <c r="C19" s="3">
        <v>20590000</v>
      </c>
      <c r="D19" s="3">
        <v>20690000</v>
      </c>
      <c r="E19" s="39">
        <v>21275000</v>
      </c>
      <c r="F19" s="34">
        <v>20590000</v>
      </c>
      <c r="G19" s="3">
        <v>20890000</v>
      </c>
    </row>
    <row r="20" spans="1:7" x14ac:dyDescent="0.2">
      <c r="A20" t="s">
        <v>184</v>
      </c>
      <c r="B20" s="36">
        <v>27590000</v>
      </c>
      <c r="C20" s="36">
        <v>27590000</v>
      </c>
      <c r="D20" s="25">
        <v>27490000</v>
      </c>
      <c r="E20" s="39">
        <v>26918000</v>
      </c>
      <c r="F20" s="38">
        <v>27590000</v>
      </c>
      <c r="G20" s="4">
        <v>27190000</v>
      </c>
    </row>
    <row r="21" spans="1:7" x14ac:dyDescent="0.2">
      <c r="A21" t="s">
        <v>185</v>
      </c>
      <c r="B21" s="36">
        <v>37090000</v>
      </c>
      <c r="C21" s="36">
        <v>37090000</v>
      </c>
      <c r="D21" s="25">
        <v>36790000</v>
      </c>
      <c r="E21" s="39">
        <v>36490000</v>
      </c>
      <c r="F21" s="38">
        <v>36990000</v>
      </c>
      <c r="G21" s="4">
        <v>36490000</v>
      </c>
    </row>
    <row r="22" spans="1:7" x14ac:dyDescent="0.2">
      <c r="A22" t="s">
        <v>227</v>
      </c>
      <c r="B22" s="36">
        <v>5940000</v>
      </c>
      <c r="C22" s="36">
        <v>5940000</v>
      </c>
      <c r="D22" s="25">
        <v>5790000</v>
      </c>
      <c r="E22" s="39">
        <v>5790000</v>
      </c>
      <c r="F22" s="38">
        <v>5990000</v>
      </c>
      <c r="G22" s="4">
        <v>5790000</v>
      </c>
    </row>
    <row r="23" spans="1:7" x14ac:dyDescent="0.2">
      <c r="A23" t="s">
        <v>228</v>
      </c>
      <c r="B23" s="36">
        <v>7240000</v>
      </c>
      <c r="C23" s="36">
        <v>7240000</v>
      </c>
      <c r="D23" s="25">
        <v>7090000</v>
      </c>
      <c r="E23" s="39">
        <v>7290000</v>
      </c>
      <c r="F23" s="38">
        <v>7290000</v>
      </c>
      <c r="G23" s="3">
        <v>7190000</v>
      </c>
    </row>
    <row r="24" spans="1:7" x14ac:dyDescent="0.2">
      <c r="A24" t="s">
        <v>229</v>
      </c>
      <c r="B24" s="36">
        <v>6740000</v>
      </c>
      <c r="C24" s="36">
        <v>6740000</v>
      </c>
      <c r="D24" s="25">
        <v>6590000</v>
      </c>
      <c r="E24" s="39">
        <v>6590000</v>
      </c>
      <c r="F24" s="38">
        <v>6790000</v>
      </c>
      <c r="G24" s="4">
        <v>6590000</v>
      </c>
    </row>
    <row r="25" spans="1:7" x14ac:dyDescent="0.2">
      <c r="A25" t="s">
        <v>230</v>
      </c>
      <c r="B25" s="36">
        <v>8040000</v>
      </c>
      <c r="C25" s="36">
        <v>8040000</v>
      </c>
      <c r="D25" s="25">
        <v>7890000</v>
      </c>
      <c r="E25" s="39">
        <v>7990000</v>
      </c>
      <c r="F25" s="38">
        <v>8090000</v>
      </c>
      <c r="G25" s="4" t="s">
        <v>223</v>
      </c>
    </row>
    <row r="26" spans="1:7" x14ac:dyDescent="0.2">
      <c r="A26" t="s">
        <v>213</v>
      </c>
      <c r="B26" s="36">
        <v>10790000</v>
      </c>
      <c r="C26" s="36">
        <v>10790000</v>
      </c>
      <c r="D26" s="3">
        <v>10790000</v>
      </c>
      <c r="E26" s="39">
        <v>10490000</v>
      </c>
      <c r="F26" s="38">
        <v>10890000</v>
      </c>
      <c r="G26" s="4">
        <v>10990000</v>
      </c>
    </row>
    <row r="27" spans="1:7" x14ac:dyDescent="0.2">
      <c r="A27" t="s">
        <v>214</v>
      </c>
      <c r="B27" s="3">
        <v>13390000</v>
      </c>
      <c r="C27" s="25">
        <v>13390000</v>
      </c>
      <c r="D27" s="3">
        <v>13390000</v>
      </c>
      <c r="E27" s="39">
        <v>12990000</v>
      </c>
      <c r="F27" s="38">
        <v>13590000</v>
      </c>
      <c r="G27" s="4">
        <v>13590000</v>
      </c>
    </row>
    <row r="28" spans="1:7" x14ac:dyDescent="0.2">
      <c r="A28" t="s">
        <v>215</v>
      </c>
      <c r="B28" s="3">
        <v>11690000</v>
      </c>
      <c r="C28" s="3">
        <v>11690000</v>
      </c>
      <c r="D28" s="3">
        <v>11590000</v>
      </c>
      <c r="E28" s="39">
        <v>11290000</v>
      </c>
      <c r="F28" s="38">
        <v>11690000</v>
      </c>
      <c r="G28" s="4" t="s">
        <v>216</v>
      </c>
    </row>
    <row r="29" spans="1:7" x14ac:dyDescent="0.2">
      <c r="A29" t="s">
        <v>217</v>
      </c>
      <c r="B29" s="3">
        <v>14290000</v>
      </c>
      <c r="C29" s="3">
        <v>14290000</v>
      </c>
      <c r="D29" s="3">
        <v>14190000</v>
      </c>
      <c r="E29" s="39">
        <v>13890000</v>
      </c>
      <c r="F29" s="38">
        <v>14390000</v>
      </c>
      <c r="G29" s="4">
        <v>14390000</v>
      </c>
    </row>
    <row r="30" spans="1:7" x14ac:dyDescent="0.2">
      <c r="A30" t="s">
        <v>172</v>
      </c>
      <c r="B30" s="36">
        <v>22290000</v>
      </c>
      <c r="C30" s="36">
        <v>22290000</v>
      </c>
      <c r="D30" s="25">
        <v>22990000</v>
      </c>
      <c r="E30" s="39">
        <v>21770000</v>
      </c>
      <c r="F30" s="39">
        <v>22590000</v>
      </c>
      <c r="G30" s="4">
        <v>22990000</v>
      </c>
    </row>
    <row r="31" spans="1:7" x14ac:dyDescent="0.2">
      <c r="A31" t="s">
        <v>53</v>
      </c>
      <c r="B31" s="36">
        <v>5740000</v>
      </c>
      <c r="C31" s="36">
        <v>5740000</v>
      </c>
      <c r="D31" s="38">
        <v>5690000</v>
      </c>
      <c r="E31" s="37">
        <v>5690000</v>
      </c>
      <c r="F31" s="39">
        <v>5650000</v>
      </c>
      <c r="G31" s="4">
        <v>5450000</v>
      </c>
    </row>
    <row r="32" spans="1:7" x14ac:dyDescent="0.2">
      <c r="A32" t="s">
        <v>54</v>
      </c>
      <c r="B32" s="36">
        <v>4590000</v>
      </c>
      <c r="C32" s="36">
        <v>4590000</v>
      </c>
      <c r="D32" s="39">
        <v>4590000</v>
      </c>
      <c r="E32" s="39">
        <v>4590000</v>
      </c>
      <c r="F32" s="39">
        <v>4590000</v>
      </c>
      <c r="G32" s="4">
        <v>4590000</v>
      </c>
    </row>
    <row r="33" spans="1:7" x14ac:dyDescent="0.2">
      <c r="A33" t="s">
        <v>55</v>
      </c>
      <c r="B33" s="36">
        <v>3390000</v>
      </c>
      <c r="C33" s="36">
        <v>3390000</v>
      </c>
      <c r="D33" s="39">
        <v>3390000</v>
      </c>
      <c r="E33" s="39">
        <v>3290000</v>
      </c>
      <c r="F33" s="39">
        <v>3290000</v>
      </c>
      <c r="G33" s="4">
        <v>3360000</v>
      </c>
    </row>
    <row r="34" spans="1:7" x14ac:dyDescent="0.2">
      <c r="A34" t="s">
        <v>173</v>
      </c>
      <c r="B34" s="36">
        <v>3990000</v>
      </c>
      <c r="C34" s="36">
        <v>3990000</v>
      </c>
      <c r="D34" s="42">
        <v>3990000</v>
      </c>
      <c r="E34" s="37">
        <v>3890000</v>
      </c>
      <c r="F34" s="38">
        <v>3790000</v>
      </c>
      <c r="G34" s="4" t="s">
        <v>22</v>
      </c>
    </row>
    <row r="35" spans="1:7" x14ac:dyDescent="0.2">
      <c r="A35" t="s">
        <v>175</v>
      </c>
      <c r="B35" s="36">
        <v>17990000</v>
      </c>
      <c r="C35" s="36">
        <v>17990000</v>
      </c>
      <c r="D35" s="38">
        <v>17990000</v>
      </c>
      <c r="E35" s="36"/>
      <c r="F35" s="38">
        <v>18090000</v>
      </c>
      <c r="G35" s="4">
        <v>17490000</v>
      </c>
    </row>
    <row r="36" spans="1:7" x14ac:dyDescent="0.2">
      <c r="A36" t="s">
        <v>186</v>
      </c>
      <c r="B36" s="36">
        <v>24290000</v>
      </c>
      <c r="C36" s="25">
        <v>24290000</v>
      </c>
      <c r="D36" s="25">
        <v>24290000</v>
      </c>
      <c r="E36" s="36"/>
      <c r="F36" s="34">
        <v>24290000</v>
      </c>
      <c r="G36" s="4">
        <v>24490000</v>
      </c>
    </row>
    <row r="37" spans="1:7" x14ac:dyDescent="0.2">
      <c r="A37" t="s">
        <v>232</v>
      </c>
      <c r="B37" s="36">
        <v>27490000</v>
      </c>
      <c r="C37" s="36" t="s">
        <v>22</v>
      </c>
      <c r="D37" s="38">
        <v>27490000</v>
      </c>
      <c r="E37" s="36"/>
      <c r="F37" s="38">
        <v>27590000</v>
      </c>
      <c r="G37" s="4">
        <v>27190000</v>
      </c>
    </row>
    <row r="38" spans="1:7" x14ac:dyDescent="0.2">
      <c r="A38" t="s">
        <v>233</v>
      </c>
      <c r="B38" s="36">
        <v>32590000</v>
      </c>
      <c r="C38" s="36" t="s">
        <v>22</v>
      </c>
      <c r="D38" s="25">
        <v>31190000</v>
      </c>
      <c r="E38" s="36"/>
      <c r="F38" s="34">
        <v>32990000</v>
      </c>
      <c r="G38" s="4">
        <v>30190000</v>
      </c>
    </row>
    <row r="39" spans="1:7" x14ac:dyDescent="0.2">
      <c r="A39" t="s">
        <v>187</v>
      </c>
      <c r="B39" s="3" t="s">
        <v>22</v>
      </c>
      <c r="C39" s="36" t="s">
        <v>22</v>
      </c>
      <c r="D39" s="25">
        <v>35790000</v>
      </c>
      <c r="E39" s="36"/>
      <c r="F39" s="38">
        <v>39990000</v>
      </c>
      <c r="G39" s="38" t="s">
        <v>22</v>
      </c>
    </row>
  </sheetData>
  <pageMargins left="0.7" right="0.7" top="0.75" bottom="0.75" header="0.3" footer="0.3"/>
  <pageSetup paperSize="9" orientation="portrait" horizontalDpi="0" verticalDpi="0"/>
  <legacyDrawing r:id="rId1"/>
</worksheet>
</file>

<file path=xl/worksheets/sheet3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codeName="Sheet35"/>
  <dimension ref="A1:K39"/>
  <sheetViews>
    <sheetView zoomScale="130" zoomScaleNormal="130" workbookViewId="0">
      <pane xSplit="1" ySplit="1" topLeftCell="B2" activePane="bottomRight" state="frozen"/>
      <selection pane="topRight" activeCell="B1" sqref="B1"/>
      <selection pane="bottomLeft" activeCell="A2" sqref="A2"/>
      <selection pane="bottomRight" activeCell="B1" sqref="B1"/>
    </sheetView>
  </sheetViews>
  <sheetFormatPr baseColWidth="10" defaultColWidth="11" defaultRowHeight="16" x14ac:dyDescent="0.2"/>
  <cols>
    <col min="1" max="1" width="27.5" bestFit="1" customWidth="1"/>
  </cols>
  <sheetData>
    <row r="1" spans="1:11" x14ac:dyDescent="0.2">
      <c r="B1" s="46" t="s">
        <v>0</v>
      </c>
      <c r="C1" s="46" t="s">
        <v>1</v>
      </c>
      <c r="D1" s="46" t="s">
        <v>2</v>
      </c>
      <c r="E1" s="46" t="s">
        <v>3</v>
      </c>
      <c r="F1" s="46" t="s">
        <v>4</v>
      </c>
      <c r="G1" s="46" t="s">
        <v>5</v>
      </c>
    </row>
    <row r="2" spans="1:11" x14ac:dyDescent="0.2">
      <c r="A2" t="s">
        <v>181</v>
      </c>
      <c r="B2" s="3">
        <v>22390000</v>
      </c>
      <c r="C2" s="3">
        <v>22290000</v>
      </c>
      <c r="D2" s="42">
        <v>21590000</v>
      </c>
      <c r="E2" s="39">
        <v>21990000</v>
      </c>
      <c r="F2" s="37">
        <v>21590000</v>
      </c>
      <c r="G2" s="4">
        <v>21490000</v>
      </c>
    </row>
    <row r="3" spans="1:11" x14ac:dyDescent="0.2">
      <c r="A3" t="s">
        <v>24</v>
      </c>
      <c r="B3" s="3">
        <v>25790000</v>
      </c>
      <c r="C3" s="3">
        <v>25390000</v>
      </c>
      <c r="D3" s="41">
        <v>24790000</v>
      </c>
      <c r="E3" s="39">
        <v>24990000</v>
      </c>
      <c r="F3" s="37">
        <v>24790000</v>
      </c>
      <c r="G3" s="4">
        <v>24890000</v>
      </c>
    </row>
    <row r="4" spans="1:11" x14ac:dyDescent="0.2">
      <c r="A4" t="s">
        <v>182</v>
      </c>
      <c r="B4" s="3">
        <v>28390000</v>
      </c>
      <c r="C4" s="3">
        <v>28590000</v>
      </c>
      <c r="D4" s="41">
        <v>27990000</v>
      </c>
      <c r="E4" s="39">
        <v>28190000</v>
      </c>
      <c r="F4" s="39">
        <v>27790000</v>
      </c>
      <c r="G4" s="4">
        <v>27790000</v>
      </c>
    </row>
    <row r="5" spans="1:11" x14ac:dyDescent="0.2">
      <c r="A5" t="s">
        <v>183</v>
      </c>
      <c r="B5" s="3">
        <v>34390000</v>
      </c>
      <c r="C5" s="3">
        <v>34190000</v>
      </c>
      <c r="D5" s="42">
        <v>33490000</v>
      </c>
      <c r="E5" s="39">
        <v>32990000</v>
      </c>
      <c r="F5" s="39">
        <v>33190000</v>
      </c>
      <c r="G5" s="3">
        <v>33190000</v>
      </c>
    </row>
    <row r="6" spans="1:11" x14ac:dyDescent="0.2">
      <c r="A6" t="s">
        <v>25</v>
      </c>
      <c r="B6" s="3">
        <v>19690000</v>
      </c>
      <c r="C6" s="3">
        <v>19890000</v>
      </c>
      <c r="D6" s="42">
        <v>19490000</v>
      </c>
      <c r="E6" s="39">
        <v>19490000</v>
      </c>
      <c r="F6" s="39">
        <v>19490000</v>
      </c>
      <c r="G6" s="3">
        <v>19190000</v>
      </c>
    </row>
    <row r="7" spans="1:11" x14ac:dyDescent="0.2">
      <c r="A7" t="s">
        <v>26</v>
      </c>
      <c r="B7" s="36">
        <v>22590000</v>
      </c>
      <c r="C7" s="36">
        <v>22590000</v>
      </c>
      <c r="D7" s="42">
        <v>22590000</v>
      </c>
      <c r="E7" s="39">
        <v>22490000</v>
      </c>
      <c r="F7" s="39">
        <v>22490000</v>
      </c>
      <c r="G7" s="3">
        <v>22190000</v>
      </c>
      <c r="I7" t="s">
        <v>31</v>
      </c>
      <c r="J7" t="s">
        <v>38</v>
      </c>
      <c r="K7" t="b">
        <v>1</v>
      </c>
    </row>
    <row r="8" spans="1:11" x14ac:dyDescent="0.2">
      <c r="A8" t="s">
        <v>157</v>
      </c>
      <c r="B8" s="36" t="s">
        <v>22</v>
      </c>
      <c r="C8" s="42" t="s">
        <v>22</v>
      </c>
      <c r="D8" s="42" t="s">
        <v>22</v>
      </c>
      <c r="E8" s="36" t="s">
        <v>22</v>
      </c>
      <c r="F8" s="36" t="s">
        <v>22</v>
      </c>
      <c r="G8" s="4" t="s">
        <v>22</v>
      </c>
      <c r="I8" t="s">
        <v>0</v>
      </c>
      <c r="J8" t="s">
        <v>36</v>
      </c>
      <c r="K8" t="b">
        <v>1</v>
      </c>
    </row>
    <row r="9" spans="1:11" x14ac:dyDescent="0.2">
      <c r="A9" t="s">
        <v>158</v>
      </c>
      <c r="B9" s="3">
        <v>29290000</v>
      </c>
      <c r="C9" s="3">
        <v>29590000</v>
      </c>
      <c r="D9" s="25">
        <v>29290000</v>
      </c>
      <c r="E9" s="39" t="s">
        <v>22</v>
      </c>
      <c r="F9" s="39">
        <v>29190000</v>
      </c>
      <c r="G9" s="3">
        <v>28890000</v>
      </c>
      <c r="H9" t="s">
        <v>226</v>
      </c>
      <c r="I9" t="s">
        <v>2</v>
      </c>
      <c r="J9" t="s">
        <v>198</v>
      </c>
      <c r="K9" t="b">
        <v>1</v>
      </c>
    </row>
    <row r="10" spans="1:11" x14ac:dyDescent="0.2">
      <c r="A10" t="s">
        <v>92</v>
      </c>
      <c r="B10" s="3">
        <v>19790000</v>
      </c>
      <c r="C10" s="3">
        <v>19990000</v>
      </c>
      <c r="D10" s="25">
        <v>19690000</v>
      </c>
      <c r="E10" s="39">
        <v>18990000</v>
      </c>
      <c r="F10" s="38">
        <v>19690000</v>
      </c>
      <c r="G10" s="4">
        <v>20090000</v>
      </c>
      <c r="I10" t="s">
        <v>3</v>
      </c>
      <c r="J10" t="s">
        <v>199</v>
      </c>
      <c r="K10" t="b">
        <v>1</v>
      </c>
    </row>
    <row r="11" spans="1:11" x14ac:dyDescent="0.2">
      <c r="A11" t="s">
        <v>27</v>
      </c>
      <c r="B11" s="3">
        <v>17190000</v>
      </c>
      <c r="C11" s="3">
        <v>17190000</v>
      </c>
      <c r="D11" s="39">
        <v>16990000</v>
      </c>
      <c r="E11" s="36" t="s">
        <v>22</v>
      </c>
      <c r="F11" s="38">
        <v>16850000</v>
      </c>
      <c r="G11" s="4">
        <v>17290000</v>
      </c>
      <c r="I11" t="s">
        <v>4</v>
      </c>
      <c r="J11" t="s">
        <v>34</v>
      </c>
      <c r="K11" t="b">
        <v>1</v>
      </c>
    </row>
    <row r="12" spans="1:11" x14ac:dyDescent="0.2">
      <c r="A12" t="s">
        <v>28</v>
      </c>
      <c r="B12" s="3">
        <v>13590000</v>
      </c>
      <c r="C12" s="3">
        <v>13790000</v>
      </c>
      <c r="D12" s="38">
        <v>13590000</v>
      </c>
      <c r="E12" s="39">
        <v>13290000</v>
      </c>
      <c r="F12" s="38">
        <v>13390000</v>
      </c>
      <c r="G12" s="4" t="s">
        <v>231</v>
      </c>
      <c r="I12" t="s">
        <v>41</v>
      </c>
      <c r="J12" t="s">
        <v>42</v>
      </c>
      <c r="K12" t="b">
        <v>1</v>
      </c>
    </row>
    <row r="13" spans="1:11" x14ac:dyDescent="0.2">
      <c r="A13" t="s">
        <v>98</v>
      </c>
      <c r="B13" s="3">
        <v>10990000</v>
      </c>
      <c r="C13" s="3">
        <v>11590000</v>
      </c>
      <c r="D13" s="25" t="s">
        <v>22</v>
      </c>
      <c r="E13" s="36">
        <v>10990000</v>
      </c>
      <c r="F13" s="38">
        <v>10890000</v>
      </c>
      <c r="G13" s="4">
        <v>12290000</v>
      </c>
    </row>
    <row r="14" spans="1:11" x14ac:dyDescent="0.2">
      <c r="A14" t="s">
        <v>102</v>
      </c>
      <c r="B14" s="3">
        <v>8890000</v>
      </c>
      <c r="C14" s="3">
        <v>8990000</v>
      </c>
      <c r="D14" s="25">
        <v>8790000</v>
      </c>
      <c r="E14" s="39">
        <v>8490000</v>
      </c>
      <c r="F14" s="34">
        <v>8890000</v>
      </c>
      <c r="G14" s="4" t="s">
        <v>22</v>
      </c>
    </row>
    <row r="15" spans="1:11" x14ac:dyDescent="0.2">
      <c r="A15" t="s">
        <v>29</v>
      </c>
      <c r="B15" s="3">
        <v>13990000</v>
      </c>
      <c r="C15" s="3">
        <v>13990000</v>
      </c>
      <c r="D15" s="25">
        <v>13990000</v>
      </c>
      <c r="E15" s="36" t="s">
        <v>22</v>
      </c>
      <c r="F15" s="38">
        <v>13990000</v>
      </c>
      <c r="G15" s="4">
        <v>13690000</v>
      </c>
    </row>
    <row r="16" spans="1:11" x14ac:dyDescent="0.2">
      <c r="A16" t="s">
        <v>162</v>
      </c>
      <c r="B16" s="3">
        <v>8990000</v>
      </c>
      <c r="C16" s="3">
        <v>8990000</v>
      </c>
      <c r="D16" s="3">
        <v>8890000</v>
      </c>
      <c r="E16" s="37">
        <v>8690000</v>
      </c>
      <c r="F16" s="38">
        <v>8750000</v>
      </c>
      <c r="G16" s="4">
        <v>8550000</v>
      </c>
    </row>
    <row r="17" spans="1:7" x14ac:dyDescent="0.2">
      <c r="A17" t="s">
        <v>163</v>
      </c>
      <c r="B17" s="3">
        <v>7090000</v>
      </c>
      <c r="C17" s="3">
        <v>7090000</v>
      </c>
      <c r="D17" s="25">
        <v>7050000</v>
      </c>
      <c r="E17" s="39">
        <v>6990000</v>
      </c>
      <c r="F17" s="38">
        <v>7050000</v>
      </c>
      <c r="G17" s="4">
        <v>7090000</v>
      </c>
    </row>
    <row r="18" spans="1:7" x14ac:dyDescent="0.2">
      <c r="A18" t="s">
        <v>189</v>
      </c>
      <c r="B18" s="36">
        <v>14990000</v>
      </c>
      <c r="C18" s="36">
        <v>14990000</v>
      </c>
      <c r="D18" s="25">
        <v>14890000</v>
      </c>
      <c r="E18" s="37">
        <v>14345000</v>
      </c>
      <c r="F18" s="38">
        <v>14990000</v>
      </c>
      <c r="G18" s="4">
        <v>14490000</v>
      </c>
    </row>
    <row r="19" spans="1:7" x14ac:dyDescent="0.2">
      <c r="A19" t="s">
        <v>190</v>
      </c>
      <c r="B19" s="36">
        <v>20590000</v>
      </c>
      <c r="C19" s="36">
        <v>20590000</v>
      </c>
      <c r="D19" s="25">
        <v>20690000</v>
      </c>
      <c r="E19" s="39">
        <v>21275000</v>
      </c>
      <c r="F19" s="38">
        <v>20590000</v>
      </c>
      <c r="G19" s="3">
        <v>20390000</v>
      </c>
    </row>
    <row r="20" spans="1:7" x14ac:dyDescent="0.2">
      <c r="A20" t="s">
        <v>184</v>
      </c>
      <c r="B20" s="3">
        <v>27690000</v>
      </c>
      <c r="C20" s="3">
        <v>27690000</v>
      </c>
      <c r="D20" s="25">
        <v>27490000</v>
      </c>
      <c r="E20" s="39">
        <v>26918000</v>
      </c>
      <c r="F20" s="38">
        <v>27590000</v>
      </c>
      <c r="G20" s="4">
        <v>27190000</v>
      </c>
    </row>
    <row r="21" spans="1:7" x14ac:dyDescent="0.2">
      <c r="A21" t="s">
        <v>185</v>
      </c>
      <c r="B21" s="3">
        <v>36790000</v>
      </c>
      <c r="C21" s="3">
        <v>36790000</v>
      </c>
      <c r="D21" s="25">
        <v>36790000</v>
      </c>
      <c r="E21" s="39">
        <v>36490000</v>
      </c>
      <c r="F21" s="38">
        <v>36990000</v>
      </c>
      <c r="G21" s="4">
        <v>36490000</v>
      </c>
    </row>
    <row r="22" spans="1:7" x14ac:dyDescent="0.2">
      <c r="A22" t="s">
        <v>227</v>
      </c>
      <c r="B22" s="3">
        <v>5590000</v>
      </c>
      <c r="C22" s="3">
        <v>5590000</v>
      </c>
      <c r="D22" s="25">
        <v>5790000</v>
      </c>
      <c r="E22" s="39">
        <v>5790000</v>
      </c>
      <c r="F22" s="34">
        <v>5890000</v>
      </c>
      <c r="G22" s="4">
        <v>5790000</v>
      </c>
    </row>
    <row r="23" spans="1:7" x14ac:dyDescent="0.2">
      <c r="A23" t="s">
        <v>228</v>
      </c>
      <c r="B23" s="3">
        <v>6990000</v>
      </c>
      <c r="C23" s="3">
        <v>6990000</v>
      </c>
      <c r="D23" s="25">
        <v>7090000</v>
      </c>
      <c r="E23" s="39">
        <v>7290000</v>
      </c>
      <c r="F23" s="34">
        <v>7190000</v>
      </c>
      <c r="G23" s="3">
        <v>7290000</v>
      </c>
    </row>
    <row r="24" spans="1:7" x14ac:dyDescent="0.2">
      <c r="A24" t="s">
        <v>229</v>
      </c>
      <c r="B24" s="3">
        <v>5990000</v>
      </c>
      <c r="C24" s="3">
        <v>5990000</v>
      </c>
      <c r="D24" s="25">
        <v>6590000</v>
      </c>
      <c r="E24" s="39">
        <v>6590000</v>
      </c>
      <c r="F24" s="34">
        <v>6490000</v>
      </c>
      <c r="G24" s="4">
        <v>6590000</v>
      </c>
    </row>
    <row r="25" spans="1:7" x14ac:dyDescent="0.2">
      <c r="A25" t="s">
        <v>230</v>
      </c>
      <c r="B25" s="3">
        <v>7790000</v>
      </c>
      <c r="C25" s="3">
        <v>7790000</v>
      </c>
      <c r="D25" s="25">
        <v>7890000</v>
      </c>
      <c r="E25" s="39">
        <v>7990000</v>
      </c>
      <c r="F25" s="38">
        <v>8090000</v>
      </c>
      <c r="G25" s="4" t="s">
        <v>223</v>
      </c>
    </row>
    <row r="26" spans="1:7" x14ac:dyDescent="0.2">
      <c r="A26" t="s">
        <v>213</v>
      </c>
      <c r="B26" s="36">
        <v>10790000</v>
      </c>
      <c r="C26" s="36">
        <v>10790000</v>
      </c>
      <c r="D26" s="25">
        <v>10790000</v>
      </c>
      <c r="E26" s="39">
        <v>10490000</v>
      </c>
      <c r="F26" s="38">
        <v>10890000</v>
      </c>
      <c r="G26" s="4">
        <v>10990000</v>
      </c>
    </row>
    <row r="27" spans="1:7" x14ac:dyDescent="0.2">
      <c r="A27" t="s">
        <v>214</v>
      </c>
      <c r="B27" s="36">
        <v>13390000</v>
      </c>
      <c r="C27" s="25">
        <v>13390000</v>
      </c>
      <c r="D27" s="25">
        <v>13390000</v>
      </c>
      <c r="E27" s="39">
        <v>12990000</v>
      </c>
      <c r="F27" s="38">
        <v>13590000</v>
      </c>
      <c r="G27" s="4">
        <v>13590000</v>
      </c>
    </row>
    <row r="28" spans="1:7" x14ac:dyDescent="0.2">
      <c r="A28" t="s">
        <v>215</v>
      </c>
      <c r="B28" s="3">
        <v>11590000</v>
      </c>
      <c r="C28" s="3">
        <v>11590000</v>
      </c>
      <c r="D28" s="25">
        <v>11590000</v>
      </c>
      <c r="E28" s="39">
        <v>11290000</v>
      </c>
      <c r="F28" s="38">
        <v>11690000</v>
      </c>
      <c r="G28" s="4" t="s">
        <v>216</v>
      </c>
    </row>
    <row r="29" spans="1:7" x14ac:dyDescent="0.2">
      <c r="A29" t="s">
        <v>217</v>
      </c>
      <c r="B29" s="3">
        <v>14190000</v>
      </c>
      <c r="C29" s="3">
        <v>14190000</v>
      </c>
      <c r="D29" s="25">
        <v>14190000</v>
      </c>
      <c r="E29" s="39">
        <v>13890000</v>
      </c>
      <c r="F29" s="38">
        <v>14390000</v>
      </c>
      <c r="G29" s="4">
        <v>14390000</v>
      </c>
    </row>
    <row r="30" spans="1:7" x14ac:dyDescent="0.2">
      <c r="A30" t="s">
        <v>172</v>
      </c>
      <c r="B30" s="3">
        <v>21990000</v>
      </c>
      <c r="C30" s="3">
        <v>21990000</v>
      </c>
      <c r="D30" s="25">
        <v>22990000</v>
      </c>
      <c r="E30" s="37">
        <v>21470000</v>
      </c>
      <c r="F30" s="37">
        <v>22490000</v>
      </c>
      <c r="G30" s="4">
        <v>22990000</v>
      </c>
    </row>
    <row r="31" spans="1:7" x14ac:dyDescent="0.2">
      <c r="A31" t="s">
        <v>53</v>
      </c>
      <c r="B31" s="3">
        <v>5590000</v>
      </c>
      <c r="C31" s="3">
        <v>5590000</v>
      </c>
      <c r="D31" s="34">
        <v>5590000</v>
      </c>
      <c r="E31" s="37">
        <v>5290000</v>
      </c>
      <c r="F31" s="39">
        <v>5690000</v>
      </c>
      <c r="G31" s="4">
        <v>5450000</v>
      </c>
    </row>
    <row r="32" spans="1:7" x14ac:dyDescent="0.2">
      <c r="A32" t="s">
        <v>54</v>
      </c>
      <c r="B32" s="36">
        <v>4590000</v>
      </c>
      <c r="C32" s="36">
        <v>4590000</v>
      </c>
      <c r="D32" s="39">
        <v>4590000</v>
      </c>
      <c r="E32" s="39">
        <v>4590000</v>
      </c>
      <c r="F32" s="39">
        <v>4590000</v>
      </c>
      <c r="G32" s="4">
        <v>4590000</v>
      </c>
    </row>
    <row r="33" spans="1:7" x14ac:dyDescent="0.2">
      <c r="A33" t="s">
        <v>55</v>
      </c>
      <c r="B33" s="3">
        <v>3290000</v>
      </c>
      <c r="C33" s="3">
        <v>3290000</v>
      </c>
      <c r="D33" s="37">
        <v>3290000</v>
      </c>
      <c r="E33" s="39">
        <v>3290000</v>
      </c>
      <c r="F33" s="39">
        <v>3290000</v>
      </c>
      <c r="G33" s="4">
        <v>3360000</v>
      </c>
    </row>
    <row r="34" spans="1:7" x14ac:dyDescent="0.2">
      <c r="A34" t="s">
        <v>173</v>
      </c>
      <c r="B34" s="3">
        <v>3790000</v>
      </c>
      <c r="C34" s="3">
        <v>3790000</v>
      </c>
      <c r="D34" s="41">
        <v>3590000</v>
      </c>
      <c r="E34" s="39">
        <v>3890000</v>
      </c>
      <c r="F34" s="38">
        <v>3790000</v>
      </c>
      <c r="G34" s="4" t="s">
        <v>22</v>
      </c>
    </row>
    <row r="35" spans="1:7" x14ac:dyDescent="0.2">
      <c r="A35" t="s">
        <v>175</v>
      </c>
      <c r="B35" s="3">
        <v>18090000</v>
      </c>
      <c r="C35" s="3">
        <v>18090000</v>
      </c>
      <c r="D35" s="38">
        <v>17990000</v>
      </c>
      <c r="E35" s="36"/>
      <c r="F35" s="38">
        <v>18090000</v>
      </c>
      <c r="G35" s="4">
        <v>17490000</v>
      </c>
    </row>
    <row r="36" spans="1:7" x14ac:dyDescent="0.2">
      <c r="A36" t="s">
        <v>186</v>
      </c>
      <c r="B36" s="3">
        <v>24390000</v>
      </c>
      <c r="C36" s="3">
        <v>24390000</v>
      </c>
      <c r="D36" s="3">
        <v>24190000</v>
      </c>
      <c r="E36" s="36"/>
      <c r="F36" s="38">
        <v>24290000</v>
      </c>
      <c r="G36" s="3">
        <v>23990000</v>
      </c>
    </row>
    <row r="37" spans="1:7" x14ac:dyDescent="0.2">
      <c r="A37" t="s">
        <v>232</v>
      </c>
      <c r="B37" s="36">
        <v>27490000</v>
      </c>
      <c r="C37" s="36" t="s">
        <v>22</v>
      </c>
      <c r="D37" s="34">
        <v>27290000</v>
      </c>
      <c r="E37" s="36"/>
      <c r="F37" s="38">
        <v>27590000</v>
      </c>
      <c r="G37" s="3">
        <v>27090000</v>
      </c>
    </row>
    <row r="38" spans="1:7" x14ac:dyDescent="0.2">
      <c r="A38" t="s">
        <v>233</v>
      </c>
      <c r="B38" s="3">
        <v>32490000</v>
      </c>
      <c r="C38" s="36" t="s">
        <v>22</v>
      </c>
      <c r="D38" s="25">
        <v>32490000</v>
      </c>
      <c r="E38" s="36"/>
      <c r="F38" s="34">
        <v>32990000</v>
      </c>
      <c r="G38" s="4">
        <v>30190000</v>
      </c>
    </row>
    <row r="39" spans="1:7" x14ac:dyDescent="0.2">
      <c r="A39" t="s">
        <v>187</v>
      </c>
      <c r="B39" s="3" t="s">
        <v>22</v>
      </c>
      <c r="C39" s="36" t="s">
        <v>22</v>
      </c>
      <c r="D39" s="25" t="s">
        <v>22</v>
      </c>
      <c r="E39" s="36"/>
      <c r="F39" s="36" t="s">
        <v>22</v>
      </c>
      <c r="G39" s="38" t="s">
        <v>22</v>
      </c>
    </row>
  </sheetData>
  <pageMargins left="0.7" right="0.7" top="0.75" bottom="0.75" header="0.3" footer="0.3"/>
  <pageSetup paperSize="9" orientation="portrait" horizontalDpi="0" verticalDpi="0"/>
  <legacyDrawing r:id="rId1"/>
</worksheet>
</file>

<file path=xl/worksheets/sheet3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codeName="Sheet36"/>
  <dimension ref="A1:K39"/>
  <sheetViews>
    <sheetView zoomScale="188" zoomScaleNormal="188" workbookViewId="0">
      <pane xSplit="1" ySplit="1" topLeftCell="C10" activePane="bottomRight" state="frozen"/>
      <selection pane="topRight" activeCell="B1" sqref="B1"/>
      <selection pane="bottomLeft" activeCell="A2" sqref="A2"/>
      <selection pane="bottomRight" activeCell="B1" sqref="B1"/>
    </sheetView>
  </sheetViews>
  <sheetFormatPr baseColWidth="10" defaultColWidth="11" defaultRowHeight="16" x14ac:dyDescent="0.2"/>
  <cols>
    <col min="1" max="1" width="27.5" bestFit="1" customWidth="1"/>
  </cols>
  <sheetData>
    <row r="1" spans="1:11" x14ac:dyDescent="0.2">
      <c r="B1" s="46" t="s">
        <v>0</v>
      </c>
      <c r="C1" s="46" t="s">
        <v>1</v>
      </c>
      <c r="D1" s="46" t="s">
        <v>2</v>
      </c>
      <c r="E1" s="46" t="s">
        <v>3</v>
      </c>
      <c r="F1" s="46" t="s">
        <v>4</v>
      </c>
      <c r="G1" s="46" t="s">
        <v>5</v>
      </c>
    </row>
    <row r="2" spans="1:11" x14ac:dyDescent="0.2">
      <c r="A2" t="s">
        <v>181</v>
      </c>
      <c r="B2" s="3">
        <v>22190000</v>
      </c>
      <c r="C2" s="3">
        <v>22290000</v>
      </c>
      <c r="D2" s="42">
        <v>21590000</v>
      </c>
      <c r="E2" s="39">
        <v>21990000</v>
      </c>
      <c r="F2" s="37">
        <v>21590000</v>
      </c>
      <c r="G2" s="4">
        <v>21490000</v>
      </c>
    </row>
    <row r="3" spans="1:11" x14ac:dyDescent="0.2">
      <c r="A3" t="s">
        <v>24</v>
      </c>
      <c r="B3" s="3">
        <v>25190000</v>
      </c>
      <c r="C3" s="3">
        <v>25390000</v>
      </c>
      <c r="D3" s="41">
        <v>24890000</v>
      </c>
      <c r="E3" s="39">
        <v>24990000</v>
      </c>
      <c r="F3" s="39">
        <v>24790000</v>
      </c>
      <c r="G3" s="4">
        <v>24890000</v>
      </c>
    </row>
    <row r="4" spans="1:11" x14ac:dyDescent="0.2">
      <c r="A4" t="s">
        <v>182</v>
      </c>
      <c r="B4" s="3">
        <v>28490000</v>
      </c>
      <c r="C4" s="3">
        <v>28590000</v>
      </c>
      <c r="D4" s="42">
        <v>27990000</v>
      </c>
      <c r="E4" s="39">
        <v>28190000</v>
      </c>
      <c r="F4" s="39">
        <v>27790000</v>
      </c>
      <c r="G4" s="4">
        <v>27790000</v>
      </c>
    </row>
    <row r="5" spans="1:11" x14ac:dyDescent="0.2">
      <c r="A5" t="s">
        <v>183</v>
      </c>
      <c r="B5" s="3">
        <v>33890000</v>
      </c>
      <c r="C5" s="3">
        <v>34090000</v>
      </c>
      <c r="D5" s="41">
        <v>33390000</v>
      </c>
      <c r="E5" s="39">
        <v>32990000</v>
      </c>
      <c r="F5" s="37">
        <v>33090000</v>
      </c>
      <c r="G5" s="3">
        <v>32990000</v>
      </c>
    </row>
    <row r="6" spans="1:11" x14ac:dyDescent="0.2">
      <c r="A6" t="s">
        <v>25</v>
      </c>
      <c r="B6" s="36">
        <v>19690000</v>
      </c>
      <c r="C6" s="41">
        <v>19890000</v>
      </c>
      <c r="D6" s="41">
        <v>19390000</v>
      </c>
      <c r="E6" s="39">
        <v>19490000</v>
      </c>
      <c r="F6" s="37">
        <v>19390000</v>
      </c>
      <c r="G6" s="3">
        <v>18990000</v>
      </c>
    </row>
    <row r="7" spans="1:11" x14ac:dyDescent="0.2">
      <c r="A7" t="s">
        <v>26</v>
      </c>
      <c r="B7" s="36">
        <v>22590000</v>
      </c>
      <c r="C7" s="41">
        <v>22790000</v>
      </c>
      <c r="D7" s="42">
        <v>22590000</v>
      </c>
      <c r="E7" s="39">
        <v>22490000</v>
      </c>
      <c r="F7" s="37">
        <v>22390000</v>
      </c>
      <c r="G7" s="3">
        <v>22190000</v>
      </c>
      <c r="I7" t="s">
        <v>31</v>
      </c>
      <c r="J7" t="s">
        <v>38</v>
      </c>
      <c r="K7" t="b">
        <v>1</v>
      </c>
    </row>
    <row r="8" spans="1:11" x14ac:dyDescent="0.2">
      <c r="A8" t="s">
        <v>157</v>
      </c>
      <c r="B8" s="36" t="s">
        <v>22</v>
      </c>
      <c r="C8" s="42" t="s">
        <v>22</v>
      </c>
      <c r="D8" s="42" t="s">
        <v>22</v>
      </c>
      <c r="E8" s="36" t="s">
        <v>22</v>
      </c>
      <c r="F8" s="36" t="s">
        <v>22</v>
      </c>
      <c r="G8" s="4" t="s">
        <v>22</v>
      </c>
      <c r="I8" t="s">
        <v>0</v>
      </c>
      <c r="J8" t="s">
        <v>36</v>
      </c>
      <c r="K8" t="b">
        <v>1</v>
      </c>
    </row>
    <row r="9" spans="1:11" x14ac:dyDescent="0.2">
      <c r="A9" t="s">
        <v>158</v>
      </c>
      <c r="B9" s="36">
        <v>29290000</v>
      </c>
      <c r="C9" s="36">
        <v>29290000</v>
      </c>
      <c r="D9" s="25">
        <v>29290000</v>
      </c>
      <c r="E9" s="39" t="s">
        <v>22</v>
      </c>
      <c r="F9" s="37">
        <v>28490000</v>
      </c>
      <c r="G9" s="3">
        <v>28490000</v>
      </c>
      <c r="H9" t="s">
        <v>226</v>
      </c>
      <c r="I9" t="s">
        <v>2</v>
      </c>
      <c r="J9" t="s">
        <v>198</v>
      </c>
      <c r="K9" t="b">
        <v>1</v>
      </c>
    </row>
    <row r="10" spans="1:11" x14ac:dyDescent="0.2">
      <c r="A10" t="s">
        <v>92</v>
      </c>
      <c r="B10" s="3">
        <v>19690000</v>
      </c>
      <c r="C10" s="3">
        <v>19990000</v>
      </c>
      <c r="D10" s="25">
        <v>19690000</v>
      </c>
      <c r="E10" s="39">
        <v>18990000</v>
      </c>
      <c r="F10" s="38">
        <v>19690000</v>
      </c>
      <c r="G10" s="3">
        <v>19890000</v>
      </c>
      <c r="I10" t="s">
        <v>3</v>
      </c>
      <c r="J10" t="s">
        <v>199</v>
      </c>
      <c r="K10" t="b">
        <v>1</v>
      </c>
    </row>
    <row r="11" spans="1:11" x14ac:dyDescent="0.2">
      <c r="A11" t="s">
        <v>27</v>
      </c>
      <c r="B11" s="3">
        <v>16990000</v>
      </c>
      <c r="C11" s="3">
        <v>17190000</v>
      </c>
      <c r="D11" s="39">
        <v>16990000</v>
      </c>
      <c r="E11" s="36" t="s">
        <v>22</v>
      </c>
      <c r="F11" s="38">
        <v>16850000</v>
      </c>
      <c r="G11" s="3">
        <v>17090000</v>
      </c>
      <c r="I11" t="s">
        <v>4</v>
      </c>
      <c r="J11" t="s">
        <v>34</v>
      </c>
      <c r="K11" t="b">
        <v>1</v>
      </c>
    </row>
    <row r="12" spans="1:11" x14ac:dyDescent="0.2">
      <c r="A12" t="s">
        <v>28</v>
      </c>
      <c r="B12" s="3">
        <v>13490000</v>
      </c>
      <c r="C12" s="3">
        <v>13690000</v>
      </c>
      <c r="D12" s="38">
        <v>13590000</v>
      </c>
      <c r="E12" s="39">
        <v>13290000</v>
      </c>
      <c r="F12" s="38">
        <v>13390000</v>
      </c>
      <c r="G12" s="4" t="s">
        <v>231</v>
      </c>
      <c r="I12" t="s">
        <v>41</v>
      </c>
      <c r="J12" t="s">
        <v>42</v>
      </c>
      <c r="K12" t="b">
        <v>1</v>
      </c>
    </row>
    <row r="13" spans="1:11" x14ac:dyDescent="0.2">
      <c r="A13" t="s">
        <v>98</v>
      </c>
      <c r="B13" s="3">
        <v>11990000</v>
      </c>
      <c r="C13" s="36" t="s">
        <v>22</v>
      </c>
      <c r="D13" s="25" t="s">
        <v>22</v>
      </c>
      <c r="E13" s="36">
        <v>10990000</v>
      </c>
      <c r="F13" s="38">
        <v>10890000</v>
      </c>
      <c r="G13" s="4">
        <v>12290000</v>
      </c>
    </row>
    <row r="14" spans="1:11" x14ac:dyDescent="0.2">
      <c r="A14" t="s">
        <v>102</v>
      </c>
      <c r="B14" s="36">
        <v>8890000</v>
      </c>
      <c r="C14" s="36">
        <v>8890000</v>
      </c>
      <c r="D14" s="3">
        <v>8990000</v>
      </c>
      <c r="E14" s="39">
        <v>8490000</v>
      </c>
      <c r="F14" s="38">
        <v>8890000</v>
      </c>
      <c r="G14" s="4" t="s">
        <v>22</v>
      </c>
    </row>
    <row r="15" spans="1:11" x14ac:dyDescent="0.2">
      <c r="A15" t="s">
        <v>29</v>
      </c>
      <c r="B15" s="3">
        <v>13990000</v>
      </c>
      <c r="C15" s="25">
        <v>13990000</v>
      </c>
      <c r="D15" s="25">
        <v>13990000</v>
      </c>
      <c r="E15" s="25">
        <v>13850000</v>
      </c>
      <c r="F15" s="34">
        <v>13890000</v>
      </c>
      <c r="G15" s="4">
        <v>13690000</v>
      </c>
    </row>
    <row r="16" spans="1:11" x14ac:dyDescent="0.2">
      <c r="A16" t="s">
        <v>162</v>
      </c>
      <c r="B16" s="3">
        <v>8590000</v>
      </c>
      <c r="C16" s="3">
        <v>8590000</v>
      </c>
      <c r="D16" s="3">
        <v>8690000</v>
      </c>
      <c r="E16" s="39">
        <v>8690000</v>
      </c>
      <c r="F16" s="34">
        <v>8690000</v>
      </c>
      <c r="G16" s="4">
        <v>8590000</v>
      </c>
    </row>
    <row r="17" spans="1:7" x14ac:dyDescent="0.2">
      <c r="A17" t="s">
        <v>163</v>
      </c>
      <c r="B17" s="3">
        <v>6990000</v>
      </c>
      <c r="C17" s="3">
        <v>6990000</v>
      </c>
      <c r="D17" s="25">
        <v>7050000</v>
      </c>
      <c r="E17" s="39">
        <v>6990000</v>
      </c>
      <c r="F17" s="34">
        <v>6990000</v>
      </c>
      <c r="G17" s="3">
        <v>6990000</v>
      </c>
    </row>
    <row r="18" spans="1:7" x14ac:dyDescent="0.2">
      <c r="A18" t="s">
        <v>189</v>
      </c>
      <c r="B18" s="3">
        <v>14890000</v>
      </c>
      <c r="C18" s="3">
        <v>14890000</v>
      </c>
      <c r="D18" s="25">
        <v>14890000</v>
      </c>
      <c r="E18" s="39">
        <v>14345000</v>
      </c>
      <c r="F18" s="38">
        <v>14990000</v>
      </c>
      <c r="G18" s="3">
        <v>14190000</v>
      </c>
    </row>
    <row r="19" spans="1:7" x14ac:dyDescent="0.2">
      <c r="A19" t="s">
        <v>190</v>
      </c>
      <c r="B19" s="3">
        <v>20590000</v>
      </c>
      <c r="C19" s="3">
        <v>20590000</v>
      </c>
      <c r="D19" s="25">
        <v>20690000</v>
      </c>
      <c r="E19" s="39">
        <v>21275000</v>
      </c>
      <c r="F19" s="38">
        <v>20590000</v>
      </c>
      <c r="G19" s="4">
        <v>20390000</v>
      </c>
    </row>
    <row r="20" spans="1:7" x14ac:dyDescent="0.2">
      <c r="A20" t="s">
        <v>184</v>
      </c>
      <c r="B20" s="3">
        <v>27490000</v>
      </c>
      <c r="C20" s="3">
        <v>27490000</v>
      </c>
      <c r="D20" s="3">
        <v>27690000</v>
      </c>
      <c r="E20" s="39">
        <v>26918000</v>
      </c>
      <c r="F20" s="38">
        <v>27590000</v>
      </c>
      <c r="G20" s="3">
        <v>27090000</v>
      </c>
    </row>
    <row r="21" spans="1:7" x14ac:dyDescent="0.2">
      <c r="A21" t="s">
        <v>185</v>
      </c>
      <c r="B21" s="36">
        <v>36790000</v>
      </c>
      <c r="C21" s="36">
        <v>36790000</v>
      </c>
      <c r="D21" s="25">
        <v>36790000</v>
      </c>
      <c r="E21" s="39">
        <v>36490000</v>
      </c>
      <c r="F21" s="38">
        <v>36990000</v>
      </c>
      <c r="G21" s="4">
        <v>36490000</v>
      </c>
    </row>
    <row r="22" spans="1:7" x14ac:dyDescent="0.2">
      <c r="A22" t="s">
        <v>227</v>
      </c>
      <c r="B22" s="3">
        <v>5690000</v>
      </c>
      <c r="C22" s="3">
        <v>5690000</v>
      </c>
      <c r="D22" s="25">
        <v>5790000</v>
      </c>
      <c r="E22" s="39">
        <v>5790000</v>
      </c>
      <c r="F22" s="38">
        <v>5890000</v>
      </c>
      <c r="G22" s="4">
        <v>5790000</v>
      </c>
    </row>
    <row r="23" spans="1:7" x14ac:dyDescent="0.2">
      <c r="A23" t="s">
        <v>228</v>
      </c>
      <c r="B23" s="36">
        <v>6990000</v>
      </c>
      <c r="C23" s="36">
        <v>6990000</v>
      </c>
      <c r="D23" s="25">
        <v>7090000</v>
      </c>
      <c r="E23" s="39">
        <v>7290000</v>
      </c>
      <c r="F23" s="38">
        <v>7190000</v>
      </c>
      <c r="G23" s="4">
        <v>7290000</v>
      </c>
    </row>
    <row r="24" spans="1:7" x14ac:dyDescent="0.2">
      <c r="A24" t="s">
        <v>229</v>
      </c>
      <c r="B24" s="3">
        <v>6490000</v>
      </c>
      <c r="C24" s="3">
        <v>6490000</v>
      </c>
      <c r="D24" s="25">
        <v>6590000</v>
      </c>
      <c r="E24" s="39">
        <v>6590000</v>
      </c>
      <c r="F24" s="38">
        <v>6490000</v>
      </c>
      <c r="G24" s="4">
        <v>6590000</v>
      </c>
    </row>
    <row r="25" spans="1:7" x14ac:dyDescent="0.2">
      <c r="A25" t="s">
        <v>230</v>
      </c>
      <c r="B25" s="36">
        <v>7790000</v>
      </c>
      <c r="C25" s="36">
        <v>7790000</v>
      </c>
      <c r="D25" s="25">
        <v>7890000</v>
      </c>
      <c r="E25" s="39">
        <v>7990000</v>
      </c>
      <c r="F25" s="38">
        <v>8090000</v>
      </c>
      <c r="G25" s="4" t="s">
        <v>223</v>
      </c>
    </row>
    <row r="26" spans="1:7" x14ac:dyDescent="0.2">
      <c r="A26" t="s">
        <v>213</v>
      </c>
      <c r="B26" s="36">
        <v>10790000</v>
      </c>
      <c r="C26" s="36">
        <v>10790000</v>
      </c>
      <c r="D26" s="25">
        <v>10790000</v>
      </c>
      <c r="E26" s="39">
        <v>10490000</v>
      </c>
      <c r="F26" s="38">
        <v>10890000</v>
      </c>
      <c r="G26" s="4">
        <v>10990000</v>
      </c>
    </row>
    <row r="27" spans="1:7" x14ac:dyDescent="0.2">
      <c r="A27" t="s">
        <v>214</v>
      </c>
      <c r="B27" s="36">
        <v>13390000</v>
      </c>
      <c r="C27" s="25">
        <v>13390000</v>
      </c>
      <c r="D27" s="25">
        <v>13390000</v>
      </c>
      <c r="E27" s="39">
        <v>12990000</v>
      </c>
      <c r="F27" s="38">
        <v>13590000</v>
      </c>
      <c r="G27" s="4">
        <v>13590000</v>
      </c>
    </row>
    <row r="28" spans="1:7" x14ac:dyDescent="0.2">
      <c r="A28" t="s">
        <v>215</v>
      </c>
      <c r="B28" s="36">
        <v>11590000</v>
      </c>
      <c r="C28" s="36">
        <v>11590000</v>
      </c>
      <c r="D28" s="25">
        <v>11590000</v>
      </c>
      <c r="E28" s="39">
        <v>11290000</v>
      </c>
      <c r="F28" s="38">
        <v>11690000</v>
      </c>
      <c r="G28" s="4" t="s">
        <v>216</v>
      </c>
    </row>
    <row r="29" spans="1:7" x14ac:dyDescent="0.2">
      <c r="A29" t="s">
        <v>217</v>
      </c>
      <c r="B29" s="36">
        <v>14190000</v>
      </c>
      <c r="C29" s="36">
        <v>14190000</v>
      </c>
      <c r="D29" s="25">
        <v>14190000</v>
      </c>
      <c r="E29" s="39">
        <v>13890000</v>
      </c>
      <c r="F29" s="38">
        <v>14290000</v>
      </c>
      <c r="G29" s="4">
        <v>14390000</v>
      </c>
    </row>
    <row r="30" spans="1:7" x14ac:dyDescent="0.2">
      <c r="A30" t="s">
        <v>172</v>
      </c>
      <c r="B30" s="3">
        <v>22490000</v>
      </c>
      <c r="C30" s="3">
        <v>22490000</v>
      </c>
      <c r="D30" s="25">
        <v>22990000</v>
      </c>
      <c r="E30" s="37">
        <v>21690000</v>
      </c>
      <c r="F30" s="39">
        <v>22490000</v>
      </c>
      <c r="G30" s="4">
        <v>22990000</v>
      </c>
    </row>
    <row r="31" spans="1:7" x14ac:dyDescent="0.2">
      <c r="A31" t="s">
        <v>53</v>
      </c>
      <c r="B31" s="36">
        <v>5590000</v>
      </c>
      <c r="C31" s="36">
        <v>5590000</v>
      </c>
      <c r="D31" s="38">
        <v>5590000</v>
      </c>
      <c r="E31" s="39">
        <v>5290000</v>
      </c>
      <c r="F31" s="39">
        <v>5690000</v>
      </c>
      <c r="G31" s="4">
        <v>5450000</v>
      </c>
    </row>
    <row r="32" spans="1:7" x14ac:dyDescent="0.2">
      <c r="A32" t="s">
        <v>54</v>
      </c>
      <c r="B32" s="36">
        <v>4590000</v>
      </c>
      <c r="C32" s="36">
        <v>4590000</v>
      </c>
      <c r="D32" s="39">
        <v>4590000</v>
      </c>
      <c r="E32" s="39">
        <v>4590000</v>
      </c>
      <c r="F32" s="39">
        <v>4590000</v>
      </c>
      <c r="G32" s="4">
        <v>4590000</v>
      </c>
    </row>
    <row r="33" spans="1:7" x14ac:dyDescent="0.2">
      <c r="A33" t="s">
        <v>55</v>
      </c>
      <c r="B33" s="36">
        <v>3290000</v>
      </c>
      <c r="C33" s="36">
        <v>3290000</v>
      </c>
      <c r="D33" s="39">
        <v>3290000</v>
      </c>
      <c r="E33" s="39">
        <v>3290000</v>
      </c>
      <c r="F33" s="39">
        <v>3290000</v>
      </c>
      <c r="G33" s="4">
        <v>3360000</v>
      </c>
    </row>
    <row r="34" spans="1:7" x14ac:dyDescent="0.2">
      <c r="A34" t="s">
        <v>173</v>
      </c>
      <c r="B34" s="36">
        <v>3790000</v>
      </c>
      <c r="C34" s="36">
        <v>3790000</v>
      </c>
      <c r="D34" s="42">
        <v>3590000</v>
      </c>
      <c r="E34" s="39">
        <v>3890000</v>
      </c>
      <c r="F34" s="38">
        <v>3790000</v>
      </c>
      <c r="G34" s="4" t="s">
        <v>22</v>
      </c>
    </row>
    <row r="35" spans="1:7" x14ac:dyDescent="0.2">
      <c r="A35" t="s">
        <v>175</v>
      </c>
      <c r="B35" s="3">
        <v>17990000</v>
      </c>
      <c r="C35" s="3">
        <v>17990000</v>
      </c>
      <c r="D35" s="38">
        <v>17990000</v>
      </c>
      <c r="E35" s="36"/>
      <c r="F35" s="38">
        <v>18090000</v>
      </c>
      <c r="G35" s="4">
        <v>17490000</v>
      </c>
    </row>
    <row r="36" spans="1:7" x14ac:dyDescent="0.2">
      <c r="A36" t="s">
        <v>186</v>
      </c>
      <c r="B36" s="3">
        <v>24290000</v>
      </c>
      <c r="C36" s="3">
        <v>24290000</v>
      </c>
      <c r="D36" s="25">
        <v>24190000</v>
      </c>
      <c r="E36" s="36"/>
      <c r="F36" s="38">
        <v>24290000</v>
      </c>
      <c r="G36" s="4">
        <v>23990000</v>
      </c>
    </row>
    <row r="37" spans="1:7" x14ac:dyDescent="0.2">
      <c r="A37" t="s">
        <v>232</v>
      </c>
      <c r="B37" s="36">
        <v>27490000</v>
      </c>
      <c r="C37" s="36" t="s">
        <v>22</v>
      </c>
      <c r="D37" s="38">
        <v>27290000</v>
      </c>
      <c r="E37" s="36"/>
      <c r="F37" s="34">
        <v>27390000</v>
      </c>
      <c r="G37" s="4">
        <v>27090000</v>
      </c>
    </row>
    <row r="38" spans="1:7" x14ac:dyDescent="0.2">
      <c r="A38" t="s">
        <v>233</v>
      </c>
      <c r="B38" s="36">
        <v>32490000</v>
      </c>
      <c r="C38" s="36" t="s">
        <v>22</v>
      </c>
      <c r="D38" s="25">
        <v>32490000</v>
      </c>
      <c r="E38" s="36"/>
      <c r="F38" s="38">
        <v>32990000</v>
      </c>
      <c r="G38" s="4">
        <v>30190000</v>
      </c>
    </row>
    <row r="39" spans="1:7" x14ac:dyDescent="0.2">
      <c r="A39" t="s">
        <v>187</v>
      </c>
      <c r="B39" s="36" t="s">
        <v>22</v>
      </c>
      <c r="C39" s="36" t="s">
        <v>22</v>
      </c>
      <c r="D39" s="25" t="s">
        <v>22</v>
      </c>
      <c r="E39" s="36"/>
      <c r="F39" s="36">
        <v>38590000</v>
      </c>
      <c r="G39" s="38" t="s">
        <v>22</v>
      </c>
    </row>
  </sheetData>
  <pageMargins left="0.7" right="0.7" top="0.75" bottom="0.75" header="0.3" footer="0.3"/>
  <pageSetup paperSize="9" orientation="portrait" horizontalDpi="0" verticalDpi="0"/>
  <legacyDrawing r:id="rId1"/>
</worksheet>
</file>

<file path=xl/worksheets/sheet3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codeName="Sheet37"/>
  <dimension ref="A1:K39"/>
  <sheetViews>
    <sheetView zoomScale="118" zoomScaleNormal="172" workbookViewId="0">
      <pane xSplit="1" ySplit="1" topLeftCell="B2" activePane="bottomRight" state="frozen"/>
      <selection pane="topRight" activeCell="B1" sqref="B1"/>
      <selection pane="bottomLeft" activeCell="A2" sqref="A2"/>
      <selection pane="bottomRight" activeCell="B1" sqref="B1"/>
    </sheetView>
  </sheetViews>
  <sheetFormatPr baseColWidth="10" defaultColWidth="11" defaultRowHeight="16" x14ac:dyDescent="0.2"/>
  <cols>
    <col min="1" max="1" width="27.5" bestFit="1" customWidth="1"/>
  </cols>
  <sheetData>
    <row r="1" spans="1:11" x14ac:dyDescent="0.2">
      <c r="B1" s="46" t="s">
        <v>0</v>
      </c>
      <c r="C1" s="46" t="s">
        <v>1</v>
      </c>
      <c r="D1" s="46" t="s">
        <v>2</v>
      </c>
      <c r="E1" s="46" t="s">
        <v>3</v>
      </c>
      <c r="F1" s="46" t="s">
        <v>4</v>
      </c>
      <c r="G1" s="46" t="s">
        <v>5</v>
      </c>
    </row>
    <row r="2" spans="1:11" x14ac:dyDescent="0.2">
      <c r="A2" t="s">
        <v>181</v>
      </c>
      <c r="B2" s="3">
        <v>21490000</v>
      </c>
      <c r="C2" s="3">
        <v>21490000</v>
      </c>
      <c r="D2" s="41">
        <v>21490000</v>
      </c>
      <c r="E2" s="37">
        <v>20790000</v>
      </c>
      <c r="F2" s="37">
        <v>21490000</v>
      </c>
      <c r="G2" s="3">
        <v>20790000</v>
      </c>
    </row>
    <row r="3" spans="1:11" x14ac:dyDescent="0.2">
      <c r="A3" t="s">
        <v>24</v>
      </c>
      <c r="B3" s="3">
        <v>24990000</v>
      </c>
      <c r="C3" s="25">
        <v>25190000</v>
      </c>
      <c r="D3" s="41">
        <v>24990000</v>
      </c>
      <c r="E3" s="37">
        <v>24790000</v>
      </c>
      <c r="F3" s="37">
        <v>24990000</v>
      </c>
      <c r="G3" s="3">
        <v>24390000</v>
      </c>
    </row>
    <row r="4" spans="1:11" x14ac:dyDescent="0.2">
      <c r="A4" t="s">
        <v>182</v>
      </c>
      <c r="B4" s="3">
        <v>27490000</v>
      </c>
      <c r="C4" s="3">
        <v>27490000</v>
      </c>
      <c r="D4" s="41">
        <v>27490000</v>
      </c>
      <c r="E4" s="37">
        <v>26990000</v>
      </c>
      <c r="F4" s="37">
        <v>27490000</v>
      </c>
      <c r="G4" s="3">
        <v>26690000</v>
      </c>
    </row>
    <row r="5" spans="1:11" x14ac:dyDescent="0.2">
      <c r="A5" t="s">
        <v>183</v>
      </c>
      <c r="B5" s="3">
        <v>33790000</v>
      </c>
      <c r="C5" s="3">
        <v>33990000</v>
      </c>
      <c r="D5" s="41">
        <v>33290000</v>
      </c>
      <c r="E5" s="37">
        <v>32790000</v>
      </c>
      <c r="F5" s="37">
        <v>33290000</v>
      </c>
      <c r="G5" s="3">
        <v>32490000</v>
      </c>
    </row>
    <row r="6" spans="1:11" x14ac:dyDescent="0.2">
      <c r="A6" t="s">
        <v>25</v>
      </c>
      <c r="B6" s="3">
        <v>18990000</v>
      </c>
      <c r="C6" s="3">
        <v>18990000</v>
      </c>
      <c r="D6" s="41">
        <v>18990000</v>
      </c>
      <c r="E6" s="37">
        <v>18990000</v>
      </c>
      <c r="F6" s="37">
        <v>18990000</v>
      </c>
      <c r="G6" s="3">
        <v>18490000</v>
      </c>
    </row>
    <row r="7" spans="1:11" x14ac:dyDescent="0.2">
      <c r="A7" t="s">
        <v>26</v>
      </c>
      <c r="B7" s="3">
        <v>22690000</v>
      </c>
      <c r="C7" s="3">
        <v>22990000</v>
      </c>
      <c r="D7" s="42">
        <v>22590000</v>
      </c>
      <c r="E7" s="37">
        <v>22290000</v>
      </c>
      <c r="F7" s="37">
        <v>22790000</v>
      </c>
      <c r="G7" s="3">
        <v>21790000</v>
      </c>
      <c r="I7" t="s">
        <v>31</v>
      </c>
      <c r="J7" t="s">
        <v>38</v>
      </c>
      <c r="K7" t="b">
        <v>1</v>
      </c>
    </row>
    <row r="8" spans="1:11" x14ac:dyDescent="0.2">
      <c r="A8" t="s">
        <v>157</v>
      </c>
      <c r="B8" s="36" t="s">
        <v>22</v>
      </c>
      <c r="C8" s="42" t="s">
        <v>22</v>
      </c>
      <c r="D8" s="42" t="s">
        <v>22</v>
      </c>
      <c r="E8" s="36" t="s">
        <v>22</v>
      </c>
      <c r="F8" s="36" t="s">
        <v>22</v>
      </c>
      <c r="G8" s="4" t="s">
        <v>22</v>
      </c>
      <c r="I8" t="s">
        <v>0</v>
      </c>
      <c r="J8" t="s">
        <v>36</v>
      </c>
      <c r="K8" t="b">
        <v>1</v>
      </c>
    </row>
    <row r="9" spans="1:11" x14ac:dyDescent="0.2">
      <c r="A9" t="s">
        <v>158</v>
      </c>
      <c r="B9" s="36">
        <v>29290000</v>
      </c>
      <c r="C9" s="41">
        <v>29590000</v>
      </c>
      <c r="D9" s="25">
        <v>29290000</v>
      </c>
      <c r="E9" s="39" t="s">
        <v>22</v>
      </c>
      <c r="F9" s="37">
        <v>29290000</v>
      </c>
      <c r="G9" s="4">
        <v>28490000</v>
      </c>
      <c r="H9" t="s">
        <v>226</v>
      </c>
      <c r="I9" t="s">
        <v>2</v>
      </c>
      <c r="J9" t="s">
        <v>198</v>
      </c>
      <c r="K9" t="b">
        <v>1</v>
      </c>
    </row>
    <row r="10" spans="1:11" x14ac:dyDescent="0.2">
      <c r="A10" t="s">
        <v>92</v>
      </c>
      <c r="B10" s="3">
        <v>18590000</v>
      </c>
      <c r="C10" s="3">
        <v>18590000</v>
      </c>
      <c r="D10" s="25">
        <v>19690000</v>
      </c>
      <c r="E10" s="39" t="s">
        <v>22</v>
      </c>
      <c r="F10" s="38">
        <v>19690000</v>
      </c>
      <c r="G10" s="3">
        <v>19590000</v>
      </c>
      <c r="I10" t="s">
        <v>3</v>
      </c>
      <c r="J10" t="s">
        <v>199</v>
      </c>
      <c r="K10" t="b">
        <v>1</v>
      </c>
    </row>
    <row r="11" spans="1:11" x14ac:dyDescent="0.2">
      <c r="A11" t="s">
        <v>27</v>
      </c>
      <c r="B11" s="3">
        <v>15890000</v>
      </c>
      <c r="C11" s="3">
        <v>15890000</v>
      </c>
      <c r="D11" s="37">
        <v>15990000</v>
      </c>
      <c r="E11" s="36" t="s">
        <v>22</v>
      </c>
      <c r="F11" s="34">
        <v>15990000</v>
      </c>
      <c r="G11" s="3">
        <v>16390000</v>
      </c>
      <c r="I11" t="s">
        <v>4</v>
      </c>
      <c r="J11" t="s">
        <v>34</v>
      </c>
      <c r="K11" t="b">
        <v>1</v>
      </c>
    </row>
    <row r="12" spans="1:11" x14ac:dyDescent="0.2">
      <c r="A12" t="s">
        <v>28</v>
      </c>
      <c r="B12" s="3">
        <v>13290000</v>
      </c>
      <c r="C12" s="3">
        <v>13290000</v>
      </c>
      <c r="D12" s="38">
        <v>13590000</v>
      </c>
      <c r="E12" s="37">
        <v>12590000</v>
      </c>
      <c r="F12" s="34">
        <v>12990000</v>
      </c>
      <c r="G12" s="3" t="s">
        <v>234</v>
      </c>
      <c r="I12" t="s">
        <v>41</v>
      </c>
      <c r="J12" t="s">
        <v>42</v>
      </c>
      <c r="K12" t="b">
        <v>1</v>
      </c>
    </row>
    <row r="13" spans="1:11" x14ac:dyDescent="0.2">
      <c r="A13" t="s">
        <v>98</v>
      </c>
      <c r="B13" s="36">
        <v>11990000</v>
      </c>
      <c r="C13" s="36" t="s">
        <v>22</v>
      </c>
      <c r="D13" s="25" t="s">
        <v>22</v>
      </c>
      <c r="E13" s="37">
        <v>17990000</v>
      </c>
      <c r="F13" s="34">
        <v>10490000</v>
      </c>
      <c r="G13" s="4">
        <v>12290000</v>
      </c>
    </row>
    <row r="14" spans="1:11" x14ac:dyDescent="0.2">
      <c r="A14" t="s">
        <v>102</v>
      </c>
      <c r="B14" s="36">
        <v>8890000</v>
      </c>
      <c r="C14" s="36">
        <v>8890000</v>
      </c>
      <c r="D14" s="25">
        <v>8990000</v>
      </c>
      <c r="E14" s="39">
        <v>8490000</v>
      </c>
      <c r="F14" s="38">
        <v>8990000</v>
      </c>
      <c r="G14" s="4" t="s">
        <v>22</v>
      </c>
    </row>
    <row r="15" spans="1:11" x14ac:dyDescent="0.2">
      <c r="A15" t="s">
        <v>29</v>
      </c>
      <c r="B15" s="3">
        <v>13990000</v>
      </c>
      <c r="C15" s="25">
        <v>13990000</v>
      </c>
      <c r="D15" s="25">
        <v>13990000</v>
      </c>
      <c r="E15" s="34">
        <v>13790000</v>
      </c>
      <c r="F15" s="34">
        <v>13890000</v>
      </c>
      <c r="G15" s="4">
        <v>13690000</v>
      </c>
    </row>
    <row r="16" spans="1:11" x14ac:dyDescent="0.2">
      <c r="A16" t="s">
        <v>162</v>
      </c>
      <c r="B16" s="3">
        <v>9490000</v>
      </c>
      <c r="C16" s="3">
        <v>9490000</v>
      </c>
      <c r="D16" s="3">
        <v>9490000</v>
      </c>
      <c r="E16" s="37">
        <v>9690000</v>
      </c>
      <c r="F16" s="34">
        <v>9490000</v>
      </c>
      <c r="G16" s="3">
        <v>9190000</v>
      </c>
    </row>
    <row r="17" spans="1:7" x14ac:dyDescent="0.2">
      <c r="A17" t="s">
        <v>163</v>
      </c>
      <c r="B17" s="36">
        <v>6990000</v>
      </c>
      <c r="C17" s="36">
        <v>6990000</v>
      </c>
      <c r="D17" s="25">
        <v>7050000</v>
      </c>
      <c r="E17" s="39">
        <v>6990000</v>
      </c>
      <c r="F17" s="34">
        <v>6990000</v>
      </c>
      <c r="G17" s="3">
        <v>6890000</v>
      </c>
    </row>
    <row r="18" spans="1:7" x14ac:dyDescent="0.2">
      <c r="A18" t="s">
        <v>189</v>
      </c>
      <c r="B18" s="3">
        <v>16190000</v>
      </c>
      <c r="C18" s="3">
        <v>16190000</v>
      </c>
      <c r="D18" s="3">
        <v>16390000</v>
      </c>
      <c r="E18" s="37">
        <v>15790000</v>
      </c>
      <c r="F18" s="34">
        <v>16190000</v>
      </c>
      <c r="G18" s="3">
        <v>16090000</v>
      </c>
    </row>
    <row r="19" spans="1:7" x14ac:dyDescent="0.2">
      <c r="A19" t="s">
        <v>190</v>
      </c>
      <c r="B19" s="3">
        <v>21490000</v>
      </c>
      <c r="C19" s="3">
        <v>21490000</v>
      </c>
      <c r="D19" s="3">
        <v>21490000</v>
      </c>
      <c r="E19" s="37">
        <v>21490000</v>
      </c>
      <c r="F19" s="34">
        <v>21490000</v>
      </c>
      <c r="G19" s="3">
        <v>21090000</v>
      </c>
    </row>
    <row r="20" spans="1:7" x14ac:dyDescent="0.2">
      <c r="A20" t="s">
        <v>184</v>
      </c>
      <c r="B20" s="36">
        <v>27490000</v>
      </c>
      <c r="C20" s="36">
        <v>27490000</v>
      </c>
      <c r="D20" s="25">
        <v>27690000</v>
      </c>
      <c r="E20" s="37">
        <v>27190000</v>
      </c>
      <c r="F20" s="38">
        <v>27490000</v>
      </c>
      <c r="G20" s="4">
        <v>27090000</v>
      </c>
    </row>
    <row r="21" spans="1:7" x14ac:dyDescent="0.2">
      <c r="A21" t="s">
        <v>185</v>
      </c>
      <c r="B21" s="36">
        <v>36790000</v>
      </c>
      <c r="C21" s="36">
        <v>36790000</v>
      </c>
      <c r="D21" s="25">
        <v>36790000</v>
      </c>
      <c r="E21" s="39">
        <v>36490000</v>
      </c>
      <c r="F21" s="34">
        <v>36790000</v>
      </c>
      <c r="G21" s="4">
        <v>36490000</v>
      </c>
    </row>
    <row r="22" spans="1:7" x14ac:dyDescent="0.2">
      <c r="A22" t="s">
        <v>227</v>
      </c>
      <c r="B22" s="3">
        <v>5790000</v>
      </c>
      <c r="C22" s="3">
        <v>5790000</v>
      </c>
      <c r="D22" s="25">
        <v>5790000</v>
      </c>
      <c r="E22" s="39">
        <v>5790000</v>
      </c>
      <c r="F22" s="38">
        <v>5890000</v>
      </c>
      <c r="G22" s="4">
        <v>5790000</v>
      </c>
    </row>
    <row r="23" spans="1:7" x14ac:dyDescent="0.2">
      <c r="A23" t="s">
        <v>228</v>
      </c>
      <c r="B23" s="3">
        <v>7090000</v>
      </c>
      <c r="C23" s="3">
        <v>7090000</v>
      </c>
      <c r="D23" s="25">
        <v>7090000</v>
      </c>
      <c r="E23" s="39">
        <v>7290000</v>
      </c>
      <c r="F23" s="38">
        <v>7190000</v>
      </c>
      <c r="G23" s="3">
        <v>7190000</v>
      </c>
    </row>
    <row r="24" spans="1:7" x14ac:dyDescent="0.2">
      <c r="A24" t="s">
        <v>229</v>
      </c>
      <c r="B24" s="3">
        <v>6590000</v>
      </c>
      <c r="C24" s="3">
        <v>6590000</v>
      </c>
      <c r="D24" s="25">
        <v>6590000</v>
      </c>
      <c r="E24" s="39">
        <v>6590000</v>
      </c>
      <c r="F24" s="34">
        <v>6690000</v>
      </c>
      <c r="G24" s="4">
        <v>6590000</v>
      </c>
    </row>
    <row r="25" spans="1:7" x14ac:dyDescent="0.2">
      <c r="A25" t="s">
        <v>230</v>
      </c>
      <c r="B25" s="3">
        <v>7890000</v>
      </c>
      <c r="C25" s="3">
        <v>7890000</v>
      </c>
      <c r="D25" s="25">
        <v>7890000</v>
      </c>
      <c r="E25" s="39">
        <v>7990000</v>
      </c>
      <c r="F25" s="38">
        <v>8090000</v>
      </c>
      <c r="G25" s="4" t="s">
        <v>223</v>
      </c>
    </row>
    <row r="26" spans="1:7" x14ac:dyDescent="0.2">
      <c r="A26" t="s">
        <v>213</v>
      </c>
      <c r="B26" s="36">
        <v>10790000</v>
      </c>
      <c r="C26" s="36">
        <v>10790000</v>
      </c>
      <c r="D26" s="25">
        <v>10790000</v>
      </c>
      <c r="E26" s="37">
        <v>10390000</v>
      </c>
      <c r="F26" s="34">
        <v>10890000</v>
      </c>
      <c r="G26" s="4">
        <v>10990000</v>
      </c>
    </row>
    <row r="27" spans="1:7" x14ac:dyDescent="0.2">
      <c r="A27" t="s">
        <v>214</v>
      </c>
      <c r="B27" s="36">
        <v>13390000</v>
      </c>
      <c r="C27" s="25">
        <v>13390000</v>
      </c>
      <c r="D27" s="25">
        <v>13390000</v>
      </c>
      <c r="E27" s="39">
        <v>12990000</v>
      </c>
      <c r="F27" s="34">
        <v>13390000</v>
      </c>
      <c r="G27" s="4">
        <v>13590000</v>
      </c>
    </row>
    <row r="28" spans="1:7" x14ac:dyDescent="0.2">
      <c r="A28" t="s">
        <v>215</v>
      </c>
      <c r="B28" s="36">
        <v>11590000</v>
      </c>
      <c r="C28" s="36">
        <v>11590000</v>
      </c>
      <c r="D28" s="25">
        <v>11590000</v>
      </c>
      <c r="E28" s="39">
        <v>11290000</v>
      </c>
      <c r="F28" s="38">
        <v>11690000</v>
      </c>
      <c r="G28" s="4" t="s">
        <v>216</v>
      </c>
    </row>
    <row r="29" spans="1:7" x14ac:dyDescent="0.2">
      <c r="A29" t="s">
        <v>217</v>
      </c>
      <c r="B29" s="36">
        <v>14190000</v>
      </c>
      <c r="C29" s="36">
        <v>14190000</v>
      </c>
      <c r="D29" s="25">
        <v>14190000</v>
      </c>
      <c r="E29" s="39">
        <v>13890000</v>
      </c>
      <c r="F29" s="38">
        <v>14190000</v>
      </c>
      <c r="G29" s="4">
        <v>14390000</v>
      </c>
    </row>
    <row r="30" spans="1:7" x14ac:dyDescent="0.2">
      <c r="A30" t="s">
        <v>172</v>
      </c>
      <c r="B30" s="36">
        <v>22490000</v>
      </c>
      <c r="C30" s="36">
        <v>22490000</v>
      </c>
      <c r="D30" s="25">
        <v>22990000</v>
      </c>
      <c r="E30" s="37">
        <v>21990000</v>
      </c>
      <c r="F30" s="39">
        <v>22490000</v>
      </c>
      <c r="G30" s="4">
        <v>22990000</v>
      </c>
    </row>
    <row r="31" spans="1:7" x14ac:dyDescent="0.2">
      <c r="A31" t="s">
        <v>53</v>
      </c>
      <c r="B31" s="36">
        <v>5590000</v>
      </c>
      <c r="C31" s="36">
        <v>5590000</v>
      </c>
      <c r="D31" s="34">
        <v>5790000</v>
      </c>
      <c r="E31" s="37">
        <v>5690000</v>
      </c>
      <c r="F31" s="37">
        <v>5790000</v>
      </c>
      <c r="G31" s="4">
        <v>5450000</v>
      </c>
    </row>
    <row r="32" spans="1:7" x14ac:dyDescent="0.2">
      <c r="A32" t="s">
        <v>54</v>
      </c>
      <c r="B32" s="3">
        <v>4550000</v>
      </c>
      <c r="C32" s="3">
        <v>4550000</v>
      </c>
      <c r="D32" s="37">
        <v>4550000</v>
      </c>
      <c r="E32" s="39">
        <v>4590000</v>
      </c>
      <c r="F32" s="39">
        <v>4550000</v>
      </c>
      <c r="G32" s="4">
        <v>4590000</v>
      </c>
    </row>
    <row r="33" spans="1:7" x14ac:dyDescent="0.2">
      <c r="A33" t="s">
        <v>55</v>
      </c>
      <c r="B33" s="36">
        <v>3290000</v>
      </c>
      <c r="C33" s="36">
        <v>3290000</v>
      </c>
      <c r="D33" s="39">
        <v>3290000</v>
      </c>
      <c r="E33" s="39">
        <v>3290000</v>
      </c>
      <c r="F33" s="39">
        <v>3290000</v>
      </c>
      <c r="G33" s="4">
        <v>3360000</v>
      </c>
    </row>
    <row r="34" spans="1:7" x14ac:dyDescent="0.2">
      <c r="A34" t="s">
        <v>173</v>
      </c>
      <c r="B34" s="3">
        <v>3990000</v>
      </c>
      <c r="C34" s="3">
        <v>3990000</v>
      </c>
      <c r="D34" s="41">
        <v>3990000</v>
      </c>
      <c r="E34" s="37">
        <v>3990000</v>
      </c>
      <c r="F34" s="38">
        <v>3590000</v>
      </c>
      <c r="G34" s="4" t="s">
        <v>22</v>
      </c>
    </row>
    <row r="35" spans="1:7" x14ac:dyDescent="0.2">
      <c r="A35" t="s">
        <v>175</v>
      </c>
      <c r="B35" s="36">
        <v>17990000</v>
      </c>
      <c r="C35" s="25">
        <v>17990000</v>
      </c>
      <c r="D35" s="34">
        <v>18190000</v>
      </c>
      <c r="E35" s="36"/>
      <c r="F35" s="34">
        <v>17990000</v>
      </c>
      <c r="G35" s="3">
        <v>17690000</v>
      </c>
    </row>
    <row r="36" spans="1:7" x14ac:dyDescent="0.2">
      <c r="A36" t="s">
        <v>186</v>
      </c>
      <c r="B36" s="36">
        <v>24290000</v>
      </c>
      <c r="C36" s="25">
        <v>24290000</v>
      </c>
      <c r="D36" s="3">
        <v>24390000</v>
      </c>
      <c r="E36" s="36"/>
      <c r="F36" s="38">
        <v>24290000</v>
      </c>
      <c r="G36" s="4">
        <v>23990000</v>
      </c>
    </row>
    <row r="37" spans="1:7" x14ac:dyDescent="0.2">
      <c r="A37" t="s">
        <v>232</v>
      </c>
      <c r="B37" s="36">
        <v>27490000</v>
      </c>
      <c r="C37" s="36" t="s">
        <v>22</v>
      </c>
      <c r="D37" s="34">
        <v>27490000</v>
      </c>
      <c r="E37" s="36"/>
      <c r="F37" s="34">
        <v>27690000</v>
      </c>
      <c r="G37" s="3">
        <v>26990000</v>
      </c>
    </row>
    <row r="38" spans="1:7" x14ac:dyDescent="0.2">
      <c r="A38" t="s">
        <v>233</v>
      </c>
      <c r="B38" s="36">
        <v>32490000</v>
      </c>
      <c r="C38" s="36" t="s">
        <v>22</v>
      </c>
      <c r="D38" s="25">
        <v>32490000</v>
      </c>
      <c r="E38" s="36"/>
      <c r="F38" s="34">
        <v>32690000</v>
      </c>
      <c r="G38" s="4">
        <v>30190000</v>
      </c>
    </row>
    <row r="39" spans="1:7" x14ac:dyDescent="0.2">
      <c r="A39" t="s">
        <v>187</v>
      </c>
      <c r="B39" s="36" t="s">
        <v>22</v>
      </c>
      <c r="C39" s="36" t="s">
        <v>22</v>
      </c>
      <c r="D39" s="25" t="s">
        <v>22</v>
      </c>
      <c r="E39" s="36"/>
      <c r="F39" s="36">
        <v>38590000</v>
      </c>
      <c r="G39" s="38" t="s">
        <v>22</v>
      </c>
    </row>
  </sheetData>
  <pageMargins left="0.7" right="0.7" top="0.75" bottom="0.75" header="0.3" footer="0.3"/>
  <pageSetup paperSize="9" orientation="portrait" horizontalDpi="0" verticalDpi="0"/>
  <legacyDrawing r:id="rId1"/>
</worksheet>
</file>

<file path=xl/worksheets/sheet3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codeName="Sheet38"/>
  <dimension ref="A1:K39"/>
  <sheetViews>
    <sheetView zoomScale="110" zoomScaleNormal="110" workbookViewId="0">
      <pane xSplit="1" ySplit="1" topLeftCell="B2" activePane="bottomRight" state="frozen"/>
      <selection pane="topRight" activeCell="B1" sqref="B1"/>
      <selection pane="bottomLeft" activeCell="A2" sqref="A2"/>
      <selection pane="bottomRight" activeCell="B1" sqref="B1"/>
    </sheetView>
  </sheetViews>
  <sheetFormatPr baseColWidth="10" defaultColWidth="11" defaultRowHeight="16" x14ac:dyDescent="0.2"/>
  <cols>
    <col min="1" max="1" width="27.5" bestFit="1" customWidth="1"/>
  </cols>
  <sheetData>
    <row r="1" spans="1:11" x14ac:dyDescent="0.2">
      <c r="B1" s="46" t="s">
        <v>0</v>
      </c>
      <c r="C1" s="46" t="s">
        <v>1</v>
      </c>
      <c r="D1" s="46" t="s">
        <v>2</v>
      </c>
      <c r="E1" s="46" t="s">
        <v>3</v>
      </c>
      <c r="F1" s="46" t="s">
        <v>4</v>
      </c>
      <c r="G1" s="46" t="s">
        <v>5</v>
      </c>
    </row>
    <row r="2" spans="1:11" x14ac:dyDescent="0.2">
      <c r="A2" t="s">
        <v>181</v>
      </c>
      <c r="B2" s="3">
        <v>21340000</v>
      </c>
      <c r="C2" s="3">
        <v>21340000</v>
      </c>
      <c r="D2" s="41">
        <v>21190000</v>
      </c>
      <c r="E2" s="39">
        <v>20790000</v>
      </c>
      <c r="F2" s="37">
        <v>21190000</v>
      </c>
      <c r="G2" s="4">
        <v>20790000</v>
      </c>
    </row>
    <row r="3" spans="1:11" x14ac:dyDescent="0.2">
      <c r="A3" t="s">
        <v>24</v>
      </c>
      <c r="B3" s="3">
        <v>24640000</v>
      </c>
      <c r="C3" s="3">
        <v>24640000</v>
      </c>
      <c r="D3" s="41">
        <v>24690000</v>
      </c>
      <c r="E3" s="39">
        <v>24790000</v>
      </c>
      <c r="F3" s="37">
        <v>24690000</v>
      </c>
      <c r="G3" s="3">
        <v>24590000</v>
      </c>
    </row>
    <row r="4" spans="1:11" x14ac:dyDescent="0.2">
      <c r="A4" t="s">
        <v>182</v>
      </c>
      <c r="B4" s="3">
        <v>27340000</v>
      </c>
      <c r="C4" s="3">
        <v>27340000</v>
      </c>
      <c r="D4" s="41">
        <v>27390000</v>
      </c>
      <c r="E4" s="39">
        <v>26990000</v>
      </c>
      <c r="F4" s="37">
        <v>27390000</v>
      </c>
      <c r="G4" s="4">
        <v>26990000</v>
      </c>
    </row>
    <row r="5" spans="1:11" x14ac:dyDescent="0.2">
      <c r="A5" t="s">
        <v>183</v>
      </c>
      <c r="B5" s="3">
        <v>32840000</v>
      </c>
      <c r="C5" s="3">
        <v>32840000</v>
      </c>
      <c r="D5" s="41">
        <v>32790000</v>
      </c>
      <c r="E5" s="39">
        <v>32790000</v>
      </c>
      <c r="F5" s="37">
        <v>32790000</v>
      </c>
      <c r="G5" s="3">
        <v>32690000</v>
      </c>
    </row>
    <row r="6" spans="1:11" x14ac:dyDescent="0.2">
      <c r="A6" t="s">
        <v>25</v>
      </c>
      <c r="B6" s="3">
        <v>18840000</v>
      </c>
      <c r="C6" s="3">
        <v>18840000</v>
      </c>
      <c r="D6" s="42">
        <v>18990000</v>
      </c>
      <c r="E6" s="39">
        <v>18990000</v>
      </c>
      <c r="F6" s="37">
        <v>18890000</v>
      </c>
      <c r="G6" s="3">
        <v>18590000</v>
      </c>
    </row>
    <row r="7" spans="1:11" x14ac:dyDescent="0.2">
      <c r="A7" t="s">
        <v>26</v>
      </c>
      <c r="B7" s="3">
        <v>22440000</v>
      </c>
      <c r="C7" s="3">
        <v>22440000</v>
      </c>
      <c r="D7" s="42">
        <v>22590000</v>
      </c>
      <c r="E7" s="39">
        <v>22290000</v>
      </c>
      <c r="F7" s="37">
        <v>22590000</v>
      </c>
      <c r="G7" s="3">
        <v>21790000</v>
      </c>
      <c r="I7" t="s">
        <v>31</v>
      </c>
      <c r="J7" t="s">
        <v>38</v>
      </c>
      <c r="K7" t="b">
        <v>1</v>
      </c>
    </row>
    <row r="8" spans="1:11" x14ac:dyDescent="0.2">
      <c r="A8" t="s">
        <v>157</v>
      </c>
      <c r="B8" s="36" t="s">
        <v>22</v>
      </c>
      <c r="C8" s="42" t="s">
        <v>22</v>
      </c>
      <c r="D8" s="42" t="s">
        <v>22</v>
      </c>
      <c r="E8" s="36" t="s">
        <v>22</v>
      </c>
      <c r="F8" s="36" t="s">
        <v>22</v>
      </c>
      <c r="G8" s="4" t="s">
        <v>22</v>
      </c>
      <c r="I8" t="s">
        <v>0</v>
      </c>
      <c r="J8" t="s">
        <v>36</v>
      </c>
      <c r="K8" t="b">
        <v>1</v>
      </c>
    </row>
    <row r="9" spans="1:11" x14ac:dyDescent="0.2">
      <c r="A9" t="s">
        <v>158</v>
      </c>
      <c r="B9" s="3">
        <v>29140000</v>
      </c>
      <c r="C9" s="3">
        <v>29140000</v>
      </c>
      <c r="D9" s="25">
        <v>29290000</v>
      </c>
      <c r="E9" s="39" t="s">
        <v>22</v>
      </c>
      <c r="F9" s="37">
        <v>29290000</v>
      </c>
      <c r="G9" s="4">
        <v>28490000</v>
      </c>
      <c r="H9" t="s">
        <v>226</v>
      </c>
      <c r="I9" t="s">
        <v>2</v>
      </c>
      <c r="J9" t="s">
        <v>198</v>
      </c>
      <c r="K9" t="b">
        <v>1</v>
      </c>
    </row>
    <row r="10" spans="1:11" x14ac:dyDescent="0.2">
      <c r="A10" t="s">
        <v>92</v>
      </c>
      <c r="B10" s="3">
        <v>18440000</v>
      </c>
      <c r="C10" s="3">
        <v>18440000</v>
      </c>
      <c r="D10" s="25">
        <v>19690000</v>
      </c>
      <c r="E10" s="39" t="s">
        <v>22</v>
      </c>
      <c r="F10" s="38">
        <v>19690000</v>
      </c>
      <c r="G10" s="4">
        <v>19590000</v>
      </c>
      <c r="I10" t="s">
        <v>3</v>
      </c>
      <c r="J10" t="s">
        <v>199</v>
      </c>
      <c r="K10" t="b">
        <v>1</v>
      </c>
    </row>
    <row r="11" spans="1:11" x14ac:dyDescent="0.2">
      <c r="A11" t="s">
        <v>27</v>
      </c>
      <c r="B11" s="3">
        <v>15790000</v>
      </c>
      <c r="C11" s="3">
        <v>15790000</v>
      </c>
      <c r="D11" s="39">
        <v>15990000</v>
      </c>
      <c r="E11" s="36" t="s">
        <v>22</v>
      </c>
      <c r="F11" s="34">
        <v>16590000</v>
      </c>
      <c r="G11" s="4">
        <v>16390000</v>
      </c>
      <c r="I11" t="s">
        <v>4</v>
      </c>
      <c r="J11" t="s">
        <v>34</v>
      </c>
      <c r="K11" t="b">
        <v>1</v>
      </c>
    </row>
    <row r="12" spans="1:11" x14ac:dyDescent="0.2">
      <c r="A12" t="s">
        <v>28</v>
      </c>
      <c r="B12" s="3">
        <v>13190000</v>
      </c>
      <c r="C12" s="3">
        <v>13190000</v>
      </c>
      <c r="D12" s="34">
        <v>12890000</v>
      </c>
      <c r="E12" s="39">
        <v>12590000</v>
      </c>
      <c r="F12" s="34">
        <v>12890000</v>
      </c>
      <c r="G12" s="4" t="s">
        <v>234</v>
      </c>
      <c r="I12" t="s">
        <v>41</v>
      </c>
      <c r="J12" t="s">
        <v>42</v>
      </c>
      <c r="K12" t="b">
        <v>1</v>
      </c>
    </row>
    <row r="13" spans="1:11" x14ac:dyDescent="0.2">
      <c r="A13" t="s">
        <v>98</v>
      </c>
      <c r="B13" s="3">
        <v>11490000</v>
      </c>
      <c r="C13" s="36" t="s">
        <v>22</v>
      </c>
      <c r="D13" s="25" t="s">
        <v>22</v>
      </c>
      <c r="E13" s="39">
        <v>17990000</v>
      </c>
      <c r="F13" s="34">
        <v>10490000</v>
      </c>
      <c r="G13" s="4">
        <v>12290000</v>
      </c>
    </row>
    <row r="14" spans="1:11" x14ac:dyDescent="0.2">
      <c r="A14" t="s">
        <v>102</v>
      </c>
      <c r="B14" s="3">
        <v>8940000</v>
      </c>
      <c r="C14" s="3">
        <v>8940000</v>
      </c>
      <c r="D14" s="25">
        <v>8990000</v>
      </c>
      <c r="E14" s="39">
        <v>8490000</v>
      </c>
      <c r="F14" s="38">
        <v>8990000</v>
      </c>
      <c r="G14" s="4" t="s">
        <v>22</v>
      </c>
    </row>
    <row r="15" spans="1:11" x14ac:dyDescent="0.2">
      <c r="A15" t="s">
        <v>29</v>
      </c>
      <c r="B15" s="3">
        <v>13890000</v>
      </c>
      <c r="C15" s="3">
        <v>13890000</v>
      </c>
      <c r="D15" s="25">
        <v>13990000</v>
      </c>
      <c r="E15" s="38">
        <v>13790000</v>
      </c>
      <c r="F15" s="38">
        <v>13990000</v>
      </c>
      <c r="G15" s="4">
        <v>13690000</v>
      </c>
    </row>
    <row r="16" spans="1:11" x14ac:dyDescent="0.2">
      <c r="A16" t="s">
        <v>162</v>
      </c>
      <c r="B16" s="3">
        <v>8540000</v>
      </c>
      <c r="C16" s="3">
        <v>8540000</v>
      </c>
      <c r="D16" s="3">
        <v>8890000</v>
      </c>
      <c r="E16" s="37">
        <v>8490000</v>
      </c>
      <c r="F16" s="34">
        <v>8490000</v>
      </c>
      <c r="G16" s="3">
        <v>8390000</v>
      </c>
    </row>
    <row r="17" spans="1:7" x14ac:dyDescent="0.2">
      <c r="A17" t="s">
        <v>163</v>
      </c>
      <c r="B17" s="3">
        <v>7040000</v>
      </c>
      <c r="C17" s="3">
        <v>7040000</v>
      </c>
      <c r="D17" s="25">
        <v>7050000</v>
      </c>
      <c r="E17" s="39">
        <v>6990000</v>
      </c>
      <c r="F17" s="34">
        <v>7090000</v>
      </c>
      <c r="G17" s="4">
        <v>6890000</v>
      </c>
    </row>
    <row r="18" spans="1:7" x14ac:dyDescent="0.2">
      <c r="A18" t="s">
        <v>189</v>
      </c>
      <c r="B18" s="3">
        <v>14390000</v>
      </c>
      <c r="C18" s="3">
        <v>14390000</v>
      </c>
      <c r="D18" s="3">
        <v>14790000</v>
      </c>
      <c r="E18" s="37">
        <v>14490000</v>
      </c>
      <c r="F18" s="34">
        <v>14490000</v>
      </c>
      <c r="G18" s="3">
        <v>14790000</v>
      </c>
    </row>
    <row r="19" spans="1:7" x14ac:dyDescent="0.2">
      <c r="A19" t="s">
        <v>190</v>
      </c>
      <c r="B19" s="3">
        <v>20440000</v>
      </c>
      <c r="C19" s="3">
        <v>20440000</v>
      </c>
      <c r="D19" s="3">
        <v>20490000</v>
      </c>
      <c r="E19" s="37">
        <v>19990000</v>
      </c>
      <c r="F19" s="34">
        <v>20390000</v>
      </c>
      <c r="G19" s="3">
        <v>20190000</v>
      </c>
    </row>
    <row r="20" spans="1:7" x14ac:dyDescent="0.2">
      <c r="A20" t="s">
        <v>184</v>
      </c>
      <c r="B20" s="3">
        <v>27340000</v>
      </c>
      <c r="C20" s="3">
        <v>27340000</v>
      </c>
      <c r="D20" s="25">
        <v>27690000</v>
      </c>
      <c r="E20" s="39">
        <v>27190000</v>
      </c>
      <c r="F20" s="38">
        <v>27490000</v>
      </c>
      <c r="G20" s="4">
        <v>27090000</v>
      </c>
    </row>
    <row r="21" spans="1:7" x14ac:dyDescent="0.2">
      <c r="A21" t="s">
        <v>185</v>
      </c>
      <c r="B21" s="3">
        <v>36640000</v>
      </c>
      <c r="C21" s="3">
        <v>36640000</v>
      </c>
      <c r="D21" s="25">
        <v>36790000</v>
      </c>
      <c r="E21" s="39">
        <v>36490000</v>
      </c>
      <c r="F21" s="34">
        <v>36590000</v>
      </c>
      <c r="G21" s="4">
        <v>36490000</v>
      </c>
    </row>
    <row r="22" spans="1:7" x14ac:dyDescent="0.2">
      <c r="A22" t="s">
        <v>227</v>
      </c>
      <c r="B22" s="3">
        <v>5750000</v>
      </c>
      <c r="C22" s="3">
        <v>5750000</v>
      </c>
      <c r="D22" s="25">
        <v>5790000</v>
      </c>
      <c r="E22" s="39">
        <v>5790000</v>
      </c>
      <c r="F22" s="38">
        <v>5790000</v>
      </c>
      <c r="G22" s="4">
        <v>5790000</v>
      </c>
    </row>
    <row r="23" spans="1:7" x14ac:dyDescent="0.2">
      <c r="A23" t="s">
        <v>228</v>
      </c>
      <c r="B23" s="3">
        <v>7050000</v>
      </c>
      <c r="C23" s="3">
        <v>7050000</v>
      </c>
      <c r="D23" s="25">
        <v>7090000</v>
      </c>
      <c r="E23" s="39">
        <v>7290000</v>
      </c>
      <c r="F23" s="38">
        <v>7190000</v>
      </c>
      <c r="G23" s="4">
        <v>7190000</v>
      </c>
    </row>
    <row r="24" spans="1:7" x14ac:dyDescent="0.2">
      <c r="A24" t="s">
        <v>229</v>
      </c>
      <c r="B24" s="3">
        <v>6550000</v>
      </c>
      <c r="C24" s="3">
        <v>6550000</v>
      </c>
      <c r="D24" s="25">
        <v>6590000</v>
      </c>
      <c r="E24" s="39">
        <v>6590000</v>
      </c>
      <c r="F24" s="34">
        <v>6690000</v>
      </c>
      <c r="G24" s="4">
        <v>6590000</v>
      </c>
    </row>
    <row r="25" spans="1:7" x14ac:dyDescent="0.2">
      <c r="A25" t="s">
        <v>230</v>
      </c>
      <c r="B25" s="3">
        <v>7850000</v>
      </c>
      <c r="C25" s="3">
        <v>7850000</v>
      </c>
      <c r="D25" s="25">
        <v>7890000</v>
      </c>
      <c r="E25" s="39">
        <v>7990000</v>
      </c>
      <c r="F25" s="38">
        <v>8090000</v>
      </c>
      <c r="G25" s="4" t="s">
        <v>223</v>
      </c>
    </row>
    <row r="26" spans="1:7" x14ac:dyDescent="0.2">
      <c r="A26" t="s">
        <v>213</v>
      </c>
      <c r="B26" s="3">
        <v>10690000</v>
      </c>
      <c r="C26" s="3">
        <v>10690000</v>
      </c>
      <c r="D26" s="25">
        <v>10790000</v>
      </c>
      <c r="E26" s="39">
        <v>10390000</v>
      </c>
      <c r="F26" s="34">
        <v>10590000</v>
      </c>
      <c r="G26" s="4">
        <v>10990000</v>
      </c>
    </row>
    <row r="27" spans="1:7" x14ac:dyDescent="0.2">
      <c r="A27" t="s">
        <v>214</v>
      </c>
      <c r="B27" s="3">
        <v>13290000</v>
      </c>
      <c r="C27" s="3">
        <v>13290000</v>
      </c>
      <c r="D27" s="25">
        <v>13390000</v>
      </c>
      <c r="E27" s="39">
        <v>12990000</v>
      </c>
      <c r="F27" s="38">
        <v>13390000</v>
      </c>
      <c r="G27" s="3">
        <v>13290000</v>
      </c>
    </row>
    <row r="28" spans="1:7" x14ac:dyDescent="0.2">
      <c r="A28" t="s">
        <v>215</v>
      </c>
      <c r="B28" s="3">
        <v>11490000</v>
      </c>
      <c r="C28" s="3">
        <v>11490000</v>
      </c>
      <c r="D28" s="25">
        <v>11590000</v>
      </c>
      <c r="E28" s="39">
        <v>11290000</v>
      </c>
      <c r="F28" s="38">
        <v>11490000</v>
      </c>
      <c r="G28" s="3" t="s">
        <v>235</v>
      </c>
    </row>
    <row r="29" spans="1:7" x14ac:dyDescent="0.2">
      <c r="A29" t="s">
        <v>217</v>
      </c>
      <c r="B29" s="3">
        <v>14090000</v>
      </c>
      <c r="C29" s="3">
        <v>14090000</v>
      </c>
      <c r="D29" s="25">
        <v>14190000</v>
      </c>
      <c r="E29" s="39">
        <v>13890000</v>
      </c>
      <c r="F29" s="38">
        <v>14090000</v>
      </c>
      <c r="G29" s="4">
        <v>13990000</v>
      </c>
    </row>
    <row r="30" spans="1:7" x14ac:dyDescent="0.2">
      <c r="A30" t="s">
        <v>172</v>
      </c>
      <c r="B30" s="3">
        <v>22340000</v>
      </c>
      <c r="C30" s="3">
        <v>22340000</v>
      </c>
      <c r="D30" s="25">
        <v>22990000</v>
      </c>
      <c r="E30" s="39">
        <v>21990000</v>
      </c>
      <c r="F30" s="39">
        <v>22490000</v>
      </c>
      <c r="G30" s="4">
        <v>22990000</v>
      </c>
    </row>
    <row r="31" spans="1:7" x14ac:dyDescent="0.2">
      <c r="A31" t="s">
        <v>53</v>
      </c>
      <c r="B31" s="3">
        <v>5550000</v>
      </c>
      <c r="C31" s="3">
        <v>5550000</v>
      </c>
      <c r="D31" s="34">
        <v>5590000</v>
      </c>
      <c r="E31" s="39">
        <v>5690000</v>
      </c>
      <c r="F31" s="37">
        <v>5590000</v>
      </c>
      <c r="G31" s="4">
        <v>5450000</v>
      </c>
    </row>
    <row r="32" spans="1:7" x14ac:dyDescent="0.2">
      <c r="A32" t="s">
        <v>54</v>
      </c>
      <c r="B32" s="3">
        <v>4490000</v>
      </c>
      <c r="C32" s="3">
        <v>4490000</v>
      </c>
      <c r="D32" s="37">
        <v>4490000</v>
      </c>
      <c r="E32" s="37">
        <v>4490000</v>
      </c>
      <c r="F32" s="39">
        <v>4490000</v>
      </c>
      <c r="G32" s="4">
        <v>4590000</v>
      </c>
    </row>
    <row r="33" spans="1:7" x14ac:dyDescent="0.2">
      <c r="A33" t="s">
        <v>55</v>
      </c>
      <c r="B33" s="3">
        <v>3190000</v>
      </c>
      <c r="C33" s="3">
        <v>3190000</v>
      </c>
      <c r="D33" s="37">
        <v>3190000</v>
      </c>
      <c r="E33" s="39">
        <v>3290000</v>
      </c>
      <c r="F33" s="39">
        <v>3190000</v>
      </c>
      <c r="G33" s="4">
        <v>3360000</v>
      </c>
    </row>
    <row r="34" spans="1:7" x14ac:dyDescent="0.2">
      <c r="A34" t="s">
        <v>173</v>
      </c>
      <c r="B34" s="3">
        <v>3990000</v>
      </c>
      <c r="C34" s="25">
        <v>3990000</v>
      </c>
      <c r="D34" s="42">
        <v>3990000</v>
      </c>
      <c r="E34" s="37">
        <v>3490000</v>
      </c>
      <c r="F34" s="38">
        <v>3590000</v>
      </c>
      <c r="G34" s="4" t="s">
        <v>22</v>
      </c>
    </row>
    <row r="35" spans="1:7" x14ac:dyDescent="0.2">
      <c r="A35" t="s">
        <v>175</v>
      </c>
      <c r="B35" s="3">
        <v>18090000</v>
      </c>
      <c r="C35" s="3">
        <v>18090000</v>
      </c>
      <c r="D35" s="38">
        <v>18190000</v>
      </c>
      <c r="E35" s="36"/>
      <c r="F35" s="34">
        <v>17990000</v>
      </c>
      <c r="G35" s="4">
        <v>17690000</v>
      </c>
    </row>
    <row r="36" spans="1:7" x14ac:dyDescent="0.2">
      <c r="A36" t="s">
        <v>186</v>
      </c>
      <c r="B36" s="3">
        <v>22740000</v>
      </c>
      <c r="C36" s="3">
        <v>22740000</v>
      </c>
      <c r="D36" s="3">
        <v>23690000</v>
      </c>
      <c r="E36" s="36"/>
      <c r="F36" s="34" t="s">
        <v>236</v>
      </c>
      <c r="G36" s="4">
        <v>23990000</v>
      </c>
    </row>
    <row r="37" spans="1:7" x14ac:dyDescent="0.2">
      <c r="A37" t="s">
        <v>232</v>
      </c>
      <c r="B37" s="3">
        <v>26140000</v>
      </c>
      <c r="C37" s="36" t="s">
        <v>22</v>
      </c>
      <c r="D37" s="34">
        <v>26690000</v>
      </c>
      <c r="E37" s="36"/>
      <c r="F37" s="25" t="s">
        <v>22</v>
      </c>
      <c r="G37" s="3">
        <v>26790000</v>
      </c>
    </row>
    <row r="38" spans="1:7" x14ac:dyDescent="0.2">
      <c r="A38" t="s">
        <v>233</v>
      </c>
      <c r="B38" s="3">
        <v>32140000</v>
      </c>
      <c r="C38" s="36" t="s">
        <v>22</v>
      </c>
      <c r="D38" s="25">
        <v>32490000</v>
      </c>
      <c r="E38" s="36"/>
      <c r="F38" s="34">
        <v>32690000</v>
      </c>
      <c r="G38" s="4">
        <v>30190000</v>
      </c>
    </row>
    <row r="39" spans="1:7" x14ac:dyDescent="0.2">
      <c r="A39" t="s">
        <v>187</v>
      </c>
      <c r="B39" s="3">
        <v>39840000</v>
      </c>
      <c r="C39" s="36" t="s">
        <v>22</v>
      </c>
      <c r="D39" s="25" t="s">
        <v>22</v>
      </c>
      <c r="E39" s="36"/>
      <c r="F39" s="36">
        <v>39990000</v>
      </c>
      <c r="G39" s="4" t="s">
        <v>22</v>
      </c>
    </row>
  </sheetData>
  <pageMargins left="0.7" right="0.7" top="0.75" bottom="0.75" header="0.3" footer="0.3"/>
  <pageSetup paperSize="9" orientation="portrait" horizontalDpi="0" verticalDpi="0"/>
  <legacyDrawing r:id="rId1"/>
</worksheet>
</file>

<file path=xl/worksheets/sheet4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codeName="Sheet39"/>
  <dimension ref="A1:K39"/>
  <sheetViews>
    <sheetView zoomScale="130" zoomScaleNormal="130" workbookViewId="0">
      <pane xSplit="1" ySplit="1" topLeftCell="B11" activePane="bottomRight" state="frozen"/>
      <selection pane="topRight" activeCell="B1" sqref="B1"/>
      <selection pane="bottomLeft" activeCell="A2" sqref="A2"/>
      <selection pane="bottomRight" activeCell="B1" sqref="B1"/>
    </sheetView>
  </sheetViews>
  <sheetFormatPr baseColWidth="10" defaultColWidth="11" defaultRowHeight="16" x14ac:dyDescent="0.2"/>
  <cols>
    <col min="1" max="1" width="27.5" bestFit="1" customWidth="1"/>
  </cols>
  <sheetData>
    <row r="1" spans="1:11" x14ac:dyDescent="0.2">
      <c r="B1" s="46" t="s">
        <v>0</v>
      </c>
      <c r="C1" s="46" t="s">
        <v>1</v>
      </c>
      <c r="D1" s="46" t="s">
        <v>2</v>
      </c>
      <c r="E1" s="46" t="s">
        <v>3</v>
      </c>
      <c r="F1" s="46" t="s">
        <v>4</v>
      </c>
      <c r="G1" s="46" t="s">
        <v>5</v>
      </c>
    </row>
    <row r="2" spans="1:11" x14ac:dyDescent="0.2">
      <c r="A2" t="s">
        <v>181</v>
      </c>
      <c r="B2" s="25">
        <v>21340000</v>
      </c>
      <c r="C2" s="3">
        <v>21490000</v>
      </c>
      <c r="D2" s="42">
        <v>21190000</v>
      </c>
      <c r="E2" s="39">
        <v>20790000</v>
      </c>
      <c r="F2" s="37">
        <v>20990000</v>
      </c>
      <c r="G2" s="3">
        <v>20890000</v>
      </c>
    </row>
    <row r="3" spans="1:11" x14ac:dyDescent="0.2">
      <c r="A3" t="s">
        <v>24</v>
      </c>
      <c r="B3" s="3">
        <v>24540000</v>
      </c>
      <c r="C3" s="3">
        <v>24790000</v>
      </c>
      <c r="D3" s="42">
        <v>24690000</v>
      </c>
      <c r="E3" s="39">
        <v>24790000</v>
      </c>
      <c r="F3" s="39">
        <v>24690000</v>
      </c>
      <c r="G3" s="4">
        <v>24590000</v>
      </c>
    </row>
    <row r="4" spans="1:11" x14ac:dyDescent="0.2">
      <c r="A4" t="s">
        <v>182</v>
      </c>
      <c r="B4" s="25">
        <v>27340000</v>
      </c>
      <c r="C4" s="3">
        <v>27490000</v>
      </c>
      <c r="D4" s="42">
        <v>27390000</v>
      </c>
      <c r="E4" s="39">
        <v>26990000</v>
      </c>
      <c r="F4" s="39">
        <v>27290000</v>
      </c>
      <c r="G4" s="4">
        <v>26990000</v>
      </c>
    </row>
    <row r="5" spans="1:11" x14ac:dyDescent="0.2">
      <c r="A5" t="s">
        <v>183</v>
      </c>
      <c r="B5" s="3">
        <v>32640000</v>
      </c>
      <c r="C5" s="3">
        <v>32890000</v>
      </c>
      <c r="D5" s="42">
        <v>32790000</v>
      </c>
      <c r="E5" s="39">
        <v>32790000</v>
      </c>
      <c r="F5" s="37">
        <v>32690000</v>
      </c>
      <c r="G5" s="3">
        <v>32390000</v>
      </c>
    </row>
    <row r="6" spans="1:11" x14ac:dyDescent="0.2">
      <c r="A6" t="s">
        <v>25</v>
      </c>
      <c r="B6" s="25">
        <v>18740000</v>
      </c>
      <c r="C6" s="3">
        <v>18990000</v>
      </c>
      <c r="D6" s="42">
        <v>18990000</v>
      </c>
      <c r="E6" s="39">
        <v>18990000</v>
      </c>
      <c r="F6" s="37">
        <v>18690000</v>
      </c>
      <c r="G6" s="4">
        <v>18590000</v>
      </c>
    </row>
    <row r="7" spans="1:11" x14ac:dyDescent="0.2">
      <c r="A7" t="s">
        <v>26</v>
      </c>
      <c r="B7" s="25">
        <v>22440000</v>
      </c>
      <c r="C7" s="3">
        <v>22690000</v>
      </c>
      <c r="D7" s="42">
        <v>22590000</v>
      </c>
      <c r="E7" s="39">
        <v>22290000</v>
      </c>
      <c r="F7" s="37">
        <v>22390000</v>
      </c>
      <c r="G7" s="3">
        <v>22090000</v>
      </c>
      <c r="I7" t="s">
        <v>31</v>
      </c>
      <c r="J7" t="s">
        <v>38</v>
      </c>
      <c r="K7" t="b">
        <v>1</v>
      </c>
    </row>
    <row r="8" spans="1:11" x14ac:dyDescent="0.2">
      <c r="A8" t="s">
        <v>157</v>
      </c>
      <c r="B8" s="25" t="s">
        <v>22</v>
      </c>
      <c r="C8" s="42" t="s">
        <v>22</v>
      </c>
      <c r="D8" s="42" t="s">
        <v>22</v>
      </c>
      <c r="E8" s="36" t="s">
        <v>22</v>
      </c>
      <c r="F8" s="36" t="s">
        <v>22</v>
      </c>
      <c r="G8" s="4" t="s">
        <v>22</v>
      </c>
      <c r="I8" t="s">
        <v>0</v>
      </c>
      <c r="J8" t="s">
        <v>36</v>
      </c>
      <c r="K8" t="b">
        <v>1</v>
      </c>
    </row>
    <row r="9" spans="1:11" x14ac:dyDescent="0.2">
      <c r="A9" t="s">
        <v>158</v>
      </c>
      <c r="B9" s="25">
        <v>29140000</v>
      </c>
      <c r="C9" s="3">
        <v>29490000</v>
      </c>
      <c r="D9" s="25">
        <v>29290000</v>
      </c>
      <c r="E9" s="39" t="s">
        <v>22</v>
      </c>
      <c r="F9" s="37">
        <v>28990000</v>
      </c>
      <c r="G9" s="4">
        <v>28490000</v>
      </c>
      <c r="I9" t="s">
        <v>2</v>
      </c>
      <c r="J9" t="s">
        <v>198</v>
      </c>
      <c r="K9" t="b">
        <v>1</v>
      </c>
    </row>
    <row r="10" spans="1:11" x14ac:dyDescent="0.2">
      <c r="A10" t="s">
        <v>92</v>
      </c>
      <c r="B10" s="25">
        <v>18440000</v>
      </c>
      <c r="C10" s="3">
        <v>18590000</v>
      </c>
      <c r="D10" s="25">
        <v>19690000</v>
      </c>
      <c r="E10" s="39" t="s">
        <v>22</v>
      </c>
      <c r="F10" s="38">
        <v>19690000</v>
      </c>
      <c r="G10" s="4">
        <v>19590000</v>
      </c>
      <c r="I10" t="s">
        <v>3</v>
      </c>
      <c r="J10" t="s">
        <v>199</v>
      </c>
      <c r="K10" t="b">
        <v>1</v>
      </c>
    </row>
    <row r="11" spans="1:11" x14ac:dyDescent="0.2">
      <c r="A11" t="s">
        <v>27</v>
      </c>
      <c r="B11" s="25">
        <v>15790000</v>
      </c>
      <c r="C11" s="3">
        <v>15890000</v>
      </c>
      <c r="D11" s="39">
        <v>15990000</v>
      </c>
      <c r="E11" s="36" t="s">
        <v>22</v>
      </c>
      <c r="F11" s="34">
        <v>15890000</v>
      </c>
      <c r="G11" s="4">
        <v>16390000</v>
      </c>
      <c r="I11" t="s">
        <v>4</v>
      </c>
      <c r="J11" t="s">
        <v>34</v>
      </c>
      <c r="K11" t="b">
        <v>1</v>
      </c>
    </row>
    <row r="12" spans="1:11" x14ac:dyDescent="0.2">
      <c r="A12" t="s">
        <v>28</v>
      </c>
      <c r="B12" s="25">
        <v>13190000</v>
      </c>
      <c r="C12" s="3">
        <v>13290000</v>
      </c>
      <c r="D12" s="38">
        <v>12890000</v>
      </c>
      <c r="E12" s="39">
        <v>12590000</v>
      </c>
      <c r="F12" s="34">
        <v>12690000</v>
      </c>
      <c r="G12" s="3" t="s">
        <v>237</v>
      </c>
      <c r="I12" t="s">
        <v>41</v>
      </c>
      <c r="J12" t="s">
        <v>42</v>
      </c>
      <c r="K12" t="b">
        <v>1</v>
      </c>
    </row>
    <row r="13" spans="1:11" x14ac:dyDescent="0.2">
      <c r="A13" t="s">
        <v>98</v>
      </c>
      <c r="B13" s="25">
        <v>11490000</v>
      </c>
      <c r="C13" s="41">
        <v>11590000</v>
      </c>
      <c r="D13" s="25" t="s">
        <v>22</v>
      </c>
      <c r="E13" s="39">
        <v>10490000</v>
      </c>
      <c r="F13" s="34">
        <v>10990000</v>
      </c>
      <c r="G13" s="4" t="s">
        <v>22</v>
      </c>
    </row>
    <row r="14" spans="1:11" x14ac:dyDescent="0.2">
      <c r="A14" t="s">
        <v>102</v>
      </c>
      <c r="B14" s="25">
        <v>8940000</v>
      </c>
      <c r="C14" s="42" t="s">
        <v>22</v>
      </c>
      <c r="D14" s="25">
        <v>8990000</v>
      </c>
      <c r="E14" s="39" t="s">
        <v>22</v>
      </c>
      <c r="F14" s="38">
        <v>8890000</v>
      </c>
      <c r="G14" s="4" t="s">
        <v>22</v>
      </c>
    </row>
    <row r="15" spans="1:11" x14ac:dyDescent="0.2">
      <c r="A15" t="s">
        <v>29</v>
      </c>
      <c r="B15" s="25">
        <v>13890000</v>
      </c>
      <c r="C15" s="25">
        <v>13890000</v>
      </c>
      <c r="D15" s="25">
        <v>13990000</v>
      </c>
      <c r="E15" s="38">
        <v>13790000</v>
      </c>
      <c r="F15" s="38">
        <v>13890000</v>
      </c>
      <c r="G15" s="4">
        <v>13690000</v>
      </c>
    </row>
    <row r="16" spans="1:11" x14ac:dyDescent="0.2">
      <c r="A16" t="s">
        <v>162</v>
      </c>
      <c r="B16" s="25">
        <v>8540000</v>
      </c>
      <c r="C16" s="25">
        <v>8540000</v>
      </c>
      <c r="D16" s="3">
        <v>8490000</v>
      </c>
      <c r="E16" s="37">
        <v>8290000</v>
      </c>
      <c r="F16" s="38">
        <v>8490000</v>
      </c>
      <c r="G16" s="4">
        <v>8390000</v>
      </c>
    </row>
    <row r="17" spans="1:7" x14ac:dyDescent="0.2">
      <c r="A17" t="s">
        <v>163</v>
      </c>
      <c r="B17" s="3">
        <v>6950000</v>
      </c>
      <c r="C17" s="3">
        <v>6950000</v>
      </c>
      <c r="D17" s="3">
        <v>6990000</v>
      </c>
      <c r="E17" s="37">
        <v>6990000</v>
      </c>
      <c r="F17" s="34">
        <v>6890000</v>
      </c>
      <c r="G17" s="4">
        <v>6890000</v>
      </c>
    </row>
    <row r="18" spans="1:7" x14ac:dyDescent="0.2">
      <c r="A18" t="s">
        <v>189</v>
      </c>
      <c r="B18" s="25">
        <v>14390000</v>
      </c>
      <c r="C18" s="25">
        <v>14390000</v>
      </c>
      <c r="D18" s="3">
        <v>14590000</v>
      </c>
      <c r="E18" s="39">
        <v>14490000</v>
      </c>
      <c r="F18" s="38">
        <v>14490000</v>
      </c>
      <c r="G18" s="3">
        <v>14190000</v>
      </c>
    </row>
    <row r="19" spans="1:7" x14ac:dyDescent="0.2">
      <c r="A19" t="s">
        <v>190</v>
      </c>
      <c r="B19" s="25">
        <v>20440000</v>
      </c>
      <c r="C19" s="25">
        <v>20440000</v>
      </c>
      <c r="D19" s="25">
        <v>20490000</v>
      </c>
      <c r="E19" s="39">
        <v>19990000</v>
      </c>
      <c r="F19" s="34">
        <v>20090000</v>
      </c>
      <c r="G19" s="3">
        <v>20290000</v>
      </c>
    </row>
    <row r="20" spans="1:7" x14ac:dyDescent="0.2">
      <c r="A20" t="s">
        <v>184</v>
      </c>
      <c r="B20" s="25">
        <v>27340000</v>
      </c>
      <c r="C20" s="25">
        <v>27340000</v>
      </c>
      <c r="D20" s="25">
        <v>27690000</v>
      </c>
      <c r="E20" s="39">
        <v>27190000</v>
      </c>
      <c r="F20" s="38">
        <v>27490000</v>
      </c>
      <c r="G20" s="4">
        <v>27090000</v>
      </c>
    </row>
    <row r="21" spans="1:7" x14ac:dyDescent="0.2">
      <c r="A21" t="s">
        <v>185</v>
      </c>
      <c r="B21" s="25">
        <v>36640000</v>
      </c>
      <c r="C21" s="25">
        <v>36640000</v>
      </c>
      <c r="D21" s="25">
        <v>36790000</v>
      </c>
      <c r="E21" s="39">
        <v>36490000</v>
      </c>
      <c r="F21" s="34">
        <v>36990000</v>
      </c>
      <c r="G21" s="4">
        <v>36490000</v>
      </c>
    </row>
    <row r="22" spans="1:7" x14ac:dyDescent="0.2">
      <c r="A22" t="s">
        <v>227</v>
      </c>
      <c r="B22" s="3">
        <v>5530000</v>
      </c>
      <c r="C22" s="3">
        <v>5530000</v>
      </c>
      <c r="D22" s="3">
        <v>5690000</v>
      </c>
      <c r="E22" s="37">
        <v>5590000</v>
      </c>
      <c r="F22" s="38">
        <v>5690000</v>
      </c>
      <c r="G22" s="4">
        <v>5790000</v>
      </c>
    </row>
    <row r="23" spans="1:7" x14ac:dyDescent="0.2">
      <c r="A23" t="s">
        <v>228</v>
      </c>
      <c r="B23" s="3">
        <v>6830000</v>
      </c>
      <c r="C23" s="3">
        <v>6830000</v>
      </c>
      <c r="D23" s="3">
        <v>6890000</v>
      </c>
      <c r="E23" s="37">
        <v>6990000</v>
      </c>
      <c r="F23" s="34">
        <v>6990000</v>
      </c>
      <c r="G23" s="4">
        <v>7190000</v>
      </c>
    </row>
    <row r="24" spans="1:7" x14ac:dyDescent="0.2">
      <c r="A24" t="s">
        <v>229</v>
      </c>
      <c r="B24" s="3">
        <v>6330000</v>
      </c>
      <c r="C24" s="3">
        <v>6330000</v>
      </c>
      <c r="D24" s="3">
        <v>6490000</v>
      </c>
      <c r="E24" s="37">
        <v>6390000</v>
      </c>
      <c r="F24" s="34">
        <v>6490000</v>
      </c>
      <c r="G24" s="4">
        <v>6590000</v>
      </c>
    </row>
    <row r="25" spans="1:7" x14ac:dyDescent="0.2">
      <c r="A25" t="s">
        <v>230</v>
      </c>
      <c r="B25" s="3">
        <v>7630000</v>
      </c>
      <c r="C25" s="3">
        <v>7630000</v>
      </c>
      <c r="D25" s="3">
        <v>7690000</v>
      </c>
      <c r="E25" s="37">
        <v>7790000</v>
      </c>
      <c r="F25" s="38">
        <v>8090000</v>
      </c>
      <c r="G25" s="4" t="s">
        <v>223</v>
      </c>
    </row>
    <row r="26" spans="1:7" x14ac:dyDescent="0.2">
      <c r="A26" t="s">
        <v>213</v>
      </c>
      <c r="B26" s="3">
        <v>9920000</v>
      </c>
      <c r="C26" s="3">
        <v>9920000</v>
      </c>
      <c r="D26" s="3">
        <v>10090000</v>
      </c>
      <c r="E26" s="37">
        <v>9990000</v>
      </c>
      <c r="F26" s="34">
        <v>9790000</v>
      </c>
      <c r="G26" s="4">
        <v>10990000</v>
      </c>
    </row>
    <row r="27" spans="1:7" x14ac:dyDescent="0.2">
      <c r="A27" t="s">
        <v>214</v>
      </c>
      <c r="B27" s="3">
        <v>12520000</v>
      </c>
      <c r="C27" s="3">
        <v>12520000</v>
      </c>
      <c r="D27" s="3">
        <v>12690000</v>
      </c>
      <c r="E27" s="37">
        <v>12990000</v>
      </c>
      <c r="F27" s="34">
        <v>12590000</v>
      </c>
      <c r="G27" s="4">
        <v>13290000</v>
      </c>
    </row>
    <row r="28" spans="1:7" x14ac:dyDescent="0.2">
      <c r="A28" t="s">
        <v>215</v>
      </c>
      <c r="B28" s="3">
        <v>10720000</v>
      </c>
      <c r="C28" s="3">
        <v>10720000</v>
      </c>
      <c r="D28" s="3">
        <v>10790000</v>
      </c>
      <c r="E28" s="37">
        <v>10690000</v>
      </c>
      <c r="F28" s="34">
        <v>10690000</v>
      </c>
      <c r="G28" s="4" t="s">
        <v>235</v>
      </c>
    </row>
    <row r="29" spans="1:7" x14ac:dyDescent="0.2">
      <c r="A29" t="s">
        <v>217</v>
      </c>
      <c r="B29" s="3">
        <v>13320000</v>
      </c>
      <c r="C29" s="3">
        <v>13320000</v>
      </c>
      <c r="D29" s="3">
        <v>13390000</v>
      </c>
      <c r="E29" s="37">
        <v>13390000</v>
      </c>
      <c r="F29" s="38">
        <v>14090000</v>
      </c>
      <c r="G29" s="4">
        <v>13990000</v>
      </c>
    </row>
    <row r="30" spans="1:7" x14ac:dyDescent="0.2">
      <c r="A30" t="s">
        <v>172</v>
      </c>
      <c r="B30" s="25">
        <v>22340000</v>
      </c>
      <c r="C30" s="25">
        <v>22340000</v>
      </c>
      <c r="D30" s="25">
        <v>22990000</v>
      </c>
      <c r="E30" s="39">
        <v>21990000</v>
      </c>
      <c r="F30" s="39">
        <v>22490000</v>
      </c>
      <c r="G30" s="4">
        <v>22990000</v>
      </c>
    </row>
    <row r="31" spans="1:7" x14ac:dyDescent="0.2">
      <c r="A31" t="s">
        <v>53</v>
      </c>
      <c r="B31" s="25">
        <v>5550000</v>
      </c>
      <c r="C31" s="25">
        <v>5550000</v>
      </c>
      <c r="D31" s="38">
        <v>5590000</v>
      </c>
      <c r="E31" s="37">
        <v>5390000</v>
      </c>
      <c r="F31" s="37">
        <v>5290000</v>
      </c>
      <c r="G31" s="4">
        <v>5450000</v>
      </c>
    </row>
    <row r="32" spans="1:7" x14ac:dyDescent="0.2">
      <c r="A32" t="s">
        <v>54</v>
      </c>
      <c r="B32" s="25">
        <v>4490000</v>
      </c>
      <c r="C32" s="25">
        <v>4490000</v>
      </c>
      <c r="D32" s="39">
        <v>4490000</v>
      </c>
      <c r="E32" s="37">
        <v>4290000</v>
      </c>
      <c r="F32" s="39">
        <v>4290000</v>
      </c>
      <c r="G32" s="3">
        <v>4490000</v>
      </c>
    </row>
    <row r="33" spans="1:7" x14ac:dyDescent="0.2">
      <c r="A33" t="s">
        <v>55</v>
      </c>
      <c r="B33" s="25">
        <v>3190000</v>
      </c>
      <c r="C33" s="25">
        <v>3190000</v>
      </c>
      <c r="D33" s="39">
        <v>3190000</v>
      </c>
      <c r="E33" s="37">
        <v>2990000</v>
      </c>
      <c r="F33" s="39">
        <v>3090000</v>
      </c>
      <c r="G33" s="3">
        <v>3250000</v>
      </c>
    </row>
    <row r="34" spans="1:7" x14ac:dyDescent="0.2">
      <c r="A34" t="s">
        <v>173</v>
      </c>
      <c r="B34" s="25" t="s">
        <v>22</v>
      </c>
      <c r="C34" s="25" t="s">
        <v>22</v>
      </c>
      <c r="D34" s="42">
        <v>3990000</v>
      </c>
      <c r="E34" s="39">
        <v>3990000</v>
      </c>
      <c r="F34" s="38">
        <v>3790000</v>
      </c>
      <c r="G34" s="4" t="s">
        <v>22</v>
      </c>
    </row>
    <row r="35" spans="1:7" x14ac:dyDescent="0.2">
      <c r="A35" t="s">
        <v>175</v>
      </c>
      <c r="B35" s="25">
        <v>18090000</v>
      </c>
      <c r="C35" s="25">
        <v>18090000</v>
      </c>
      <c r="D35" s="34">
        <v>17690000</v>
      </c>
      <c r="E35" s="36"/>
      <c r="F35" s="34">
        <v>17590000</v>
      </c>
      <c r="G35" s="3">
        <v>17290000</v>
      </c>
    </row>
    <row r="36" spans="1:7" x14ac:dyDescent="0.2">
      <c r="A36" t="s">
        <v>186</v>
      </c>
      <c r="B36" s="25">
        <v>22740000</v>
      </c>
      <c r="C36" s="25">
        <v>22740000</v>
      </c>
      <c r="D36" s="3">
        <v>22990000</v>
      </c>
      <c r="E36" s="36"/>
      <c r="F36" s="34" t="s">
        <v>238</v>
      </c>
      <c r="G36" s="3">
        <v>22690000</v>
      </c>
    </row>
    <row r="37" spans="1:7" x14ac:dyDescent="0.2">
      <c r="A37" t="s">
        <v>232</v>
      </c>
      <c r="B37" s="25">
        <v>26140000</v>
      </c>
      <c r="C37" s="36" t="s">
        <v>22</v>
      </c>
      <c r="D37" s="34">
        <v>25990000</v>
      </c>
      <c r="E37" s="36"/>
      <c r="F37" s="38">
        <v>26290000</v>
      </c>
      <c r="G37" s="3">
        <v>25890000</v>
      </c>
    </row>
    <row r="38" spans="1:7" x14ac:dyDescent="0.2">
      <c r="A38" t="s">
        <v>233</v>
      </c>
      <c r="B38" s="25">
        <v>32140000</v>
      </c>
      <c r="C38" s="36" t="s">
        <v>22</v>
      </c>
      <c r="D38" s="3">
        <v>32390000</v>
      </c>
      <c r="E38" s="36"/>
      <c r="F38" s="34">
        <v>32290000</v>
      </c>
      <c r="G38" s="4">
        <v>32490000</v>
      </c>
    </row>
    <row r="39" spans="1:7" x14ac:dyDescent="0.2">
      <c r="A39" t="s">
        <v>187</v>
      </c>
      <c r="B39" s="3" t="s">
        <v>22</v>
      </c>
      <c r="C39" s="36" t="s">
        <v>22</v>
      </c>
      <c r="D39" s="25" t="s">
        <v>22</v>
      </c>
      <c r="E39" s="36"/>
      <c r="F39" s="36">
        <v>39990000</v>
      </c>
      <c r="G39" s="4" t="s">
        <v>22</v>
      </c>
    </row>
  </sheetData>
  <pageMargins left="0.7" right="0.7" top="0.75" bottom="0.75" header="0.3" footer="0.3"/>
  <pageSetup paperSize="9" orientation="portrait" horizontalDpi="0" verticalDpi="0"/>
  <legacyDrawing r:id="rId1"/>
</worksheet>
</file>

<file path=xl/worksheets/sheet4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codeName="Sheet40"/>
  <dimension ref="A1:K39"/>
  <sheetViews>
    <sheetView zoomScale="110" zoomScaleNormal="110" workbookViewId="0">
      <pane xSplit="1" ySplit="1" topLeftCell="B2" activePane="bottomRight" state="frozen"/>
      <selection pane="topRight" activeCell="B1" sqref="B1"/>
      <selection pane="bottomLeft" activeCell="A2" sqref="A2"/>
      <selection pane="bottomRight" activeCell="B1" sqref="B1"/>
    </sheetView>
  </sheetViews>
  <sheetFormatPr baseColWidth="10" defaultColWidth="11" defaultRowHeight="16" x14ac:dyDescent="0.2"/>
  <cols>
    <col min="1" max="1" width="27.5" bestFit="1" customWidth="1"/>
  </cols>
  <sheetData>
    <row r="1" spans="1:11" x14ac:dyDescent="0.2">
      <c r="B1" s="46" t="s">
        <v>0</v>
      </c>
      <c r="C1" s="46" t="s">
        <v>1</v>
      </c>
      <c r="D1" s="46" t="s">
        <v>2</v>
      </c>
      <c r="E1" s="46" t="s">
        <v>3</v>
      </c>
      <c r="F1" s="46" t="s">
        <v>4</v>
      </c>
      <c r="G1" s="46" t="s">
        <v>5</v>
      </c>
    </row>
    <row r="2" spans="1:11" x14ac:dyDescent="0.2">
      <c r="A2" t="s">
        <v>181</v>
      </c>
      <c r="B2" s="25">
        <v>21340000</v>
      </c>
      <c r="C2" s="3">
        <v>21490000</v>
      </c>
      <c r="D2" s="41">
        <v>20990000</v>
      </c>
      <c r="E2" s="39">
        <v>20790000</v>
      </c>
      <c r="F2" s="39">
        <v>20990000</v>
      </c>
      <c r="G2" s="3">
        <v>20590000</v>
      </c>
    </row>
    <row r="3" spans="1:11" x14ac:dyDescent="0.2">
      <c r="A3" t="s">
        <v>24</v>
      </c>
      <c r="B3" s="3">
        <v>24540000</v>
      </c>
      <c r="C3" s="3">
        <v>24790000</v>
      </c>
      <c r="D3" s="42">
        <v>24690000</v>
      </c>
      <c r="E3" s="39">
        <v>24790000</v>
      </c>
      <c r="F3" s="39">
        <v>24690000</v>
      </c>
      <c r="G3" s="3">
        <v>24190000</v>
      </c>
    </row>
    <row r="4" spans="1:11" x14ac:dyDescent="0.2">
      <c r="A4" t="s">
        <v>182</v>
      </c>
      <c r="B4" s="25">
        <v>27340000</v>
      </c>
      <c r="C4" s="3">
        <v>27590000</v>
      </c>
      <c r="D4" s="42">
        <v>27390000</v>
      </c>
      <c r="E4" s="39">
        <v>26990000</v>
      </c>
      <c r="F4" s="39">
        <v>27290000</v>
      </c>
      <c r="G4" s="4">
        <v>26990000</v>
      </c>
    </row>
    <row r="5" spans="1:11" x14ac:dyDescent="0.2">
      <c r="A5" t="s">
        <v>183</v>
      </c>
      <c r="B5" s="3">
        <v>32640000</v>
      </c>
      <c r="C5" s="3">
        <v>32890000</v>
      </c>
      <c r="D5" s="42">
        <v>32790000</v>
      </c>
      <c r="E5" s="37">
        <v>31990000</v>
      </c>
      <c r="F5" s="37">
        <v>32890000</v>
      </c>
      <c r="G5" s="3">
        <v>32590000</v>
      </c>
    </row>
    <row r="6" spans="1:11" x14ac:dyDescent="0.2">
      <c r="A6" t="s">
        <v>25</v>
      </c>
      <c r="B6" s="25">
        <v>18740000</v>
      </c>
      <c r="C6" s="3">
        <v>18990000</v>
      </c>
      <c r="D6" s="41">
        <v>18690000</v>
      </c>
      <c r="E6" s="39">
        <v>18990000</v>
      </c>
      <c r="F6" s="39">
        <v>18690000</v>
      </c>
      <c r="G6" s="4">
        <v>18590000</v>
      </c>
    </row>
    <row r="7" spans="1:11" x14ac:dyDescent="0.2">
      <c r="A7" t="s">
        <v>26</v>
      </c>
      <c r="B7" s="25">
        <v>22440000</v>
      </c>
      <c r="C7" s="3">
        <v>22690000</v>
      </c>
      <c r="D7" s="42">
        <v>22590000</v>
      </c>
      <c r="E7" s="39">
        <v>22290000</v>
      </c>
      <c r="F7" s="39">
        <v>22390000</v>
      </c>
      <c r="G7" s="4">
        <v>22090000</v>
      </c>
      <c r="I7" t="s">
        <v>31</v>
      </c>
      <c r="J7" t="s">
        <v>38</v>
      </c>
      <c r="K7" t="b">
        <v>1</v>
      </c>
    </row>
    <row r="8" spans="1:11" x14ac:dyDescent="0.2">
      <c r="A8" t="s">
        <v>157</v>
      </c>
      <c r="B8" s="25" t="s">
        <v>22</v>
      </c>
      <c r="C8" s="42" t="s">
        <v>22</v>
      </c>
      <c r="D8" s="42" t="s">
        <v>22</v>
      </c>
      <c r="E8" s="36" t="s">
        <v>22</v>
      </c>
      <c r="F8" s="36" t="s">
        <v>22</v>
      </c>
      <c r="G8" s="4" t="s">
        <v>22</v>
      </c>
      <c r="I8" t="s">
        <v>0</v>
      </c>
      <c r="J8" t="s">
        <v>36</v>
      </c>
      <c r="K8" t="b">
        <v>1</v>
      </c>
    </row>
    <row r="9" spans="1:11" x14ac:dyDescent="0.2">
      <c r="A9" t="s">
        <v>158</v>
      </c>
      <c r="B9" s="3">
        <f>29140000-150000</f>
        <v>28990000</v>
      </c>
      <c r="C9" s="3">
        <f>29140000-150000</f>
        <v>28990000</v>
      </c>
      <c r="D9" s="25">
        <v>29290000</v>
      </c>
      <c r="E9" s="39" t="s">
        <v>22</v>
      </c>
      <c r="F9" s="39">
        <v>28990000</v>
      </c>
      <c r="G9" s="4">
        <v>28590000</v>
      </c>
      <c r="I9" t="s">
        <v>2</v>
      </c>
      <c r="J9" t="s">
        <v>198</v>
      </c>
      <c r="K9" t="b">
        <v>1</v>
      </c>
    </row>
    <row r="10" spans="1:11" x14ac:dyDescent="0.2">
      <c r="A10" t="s">
        <v>92</v>
      </c>
      <c r="B10" s="3">
        <v>18840000</v>
      </c>
      <c r="C10" s="3">
        <v>18840000</v>
      </c>
      <c r="D10" s="25">
        <v>19690000</v>
      </c>
      <c r="E10" s="39" t="s">
        <v>22</v>
      </c>
      <c r="F10" s="38">
        <v>19690000</v>
      </c>
      <c r="G10" s="4">
        <v>19590000</v>
      </c>
      <c r="I10" t="s">
        <v>3</v>
      </c>
      <c r="J10" t="s">
        <v>199</v>
      </c>
      <c r="K10" t="b">
        <v>1</v>
      </c>
    </row>
    <row r="11" spans="1:11" x14ac:dyDescent="0.2">
      <c r="A11" t="s">
        <v>27</v>
      </c>
      <c r="B11" s="25">
        <v>15790000</v>
      </c>
      <c r="C11" s="25">
        <v>15790000</v>
      </c>
      <c r="D11" s="39">
        <v>15990000</v>
      </c>
      <c r="E11" s="36" t="s">
        <v>22</v>
      </c>
      <c r="F11" s="38">
        <v>15890000</v>
      </c>
      <c r="G11" s="4">
        <v>16390000</v>
      </c>
      <c r="I11" t="s">
        <v>4</v>
      </c>
      <c r="J11" t="s">
        <v>34</v>
      </c>
      <c r="K11" t="b">
        <v>1</v>
      </c>
    </row>
    <row r="12" spans="1:11" x14ac:dyDescent="0.2">
      <c r="A12" t="s">
        <v>28</v>
      </c>
      <c r="B12" s="3">
        <v>12790000</v>
      </c>
      <c r="C12" s="3">
        <v>12790000</v>
      </c>
      <c r="D12" s="38">
        <v>12890000</v>
      </c>
      <c r="E12" s="39">
        <v>12590000</v>
      </c>
      <c r="F12" s="38">
        <v>12690000</v>
      </c>
      <c r="G12" s="3" t="s">
        <v>237</v>
      </c>
      <c r="I12" t="s">
        <v>41</v>
      </c>
      <c r="J12" t="s">
        <v>42</v>
      </c>
      <c r="K12" t="b">
        <v>1</v>
      </c>
    </row>
    <row r="13" spans="1:11" x14ac:dyDescent="0.2">
      <c r="A13" t="s">
        <v>98</v>
      </c>
      <c r="B13" s="25">
        <v>11490000</v>
      </c>
      <c r="C13" s="25">
        <v>11490000</v>
      </c>
      <c r="D13" s="25" t="s">
        <v>22</v>
      </c>
      <c r="E13" s="39">
        <v>10490000</v>
      </c>
      <c r="F13" s="38">
        <v>10990000</v>
      </c>
      <c r="G13" s="4" t="s">
        <v>22</v>
      </c>
    </row>
    <row r="14" spans="1:11" x14ac:dyDescent="0.2">
      <c r="A14" t="s">
        <v>102</v>
      </c>
      <c r="B14" s="25">
        <v>8940000</v>
      </c>
      <c r="C14" s="42" t="s">
        <v>22</v>
      </c>
      <c r="D14" s="25">
        <v>8990000</v>
      </c>
      <c r="E14" s="39" t="s">
        <v>22</v>
      </c>
      <c r="F14" s="38">
        <v>8890000</v>
      </c>
      <c r="G14" s="4" t="s">
        <v>22</v>
      </c>
    </row>
    <row r="15" spans="1:11" x14ac:dyDescent="0.2">
      <c r="A15" t="s">
        <v>29</v>
      </c>
      <c r="B15" s="25">
        <v>13890000</v>
      </c>
      <c r="C15" s="25">
        <v>13890000</v>
      </c>
      <c r="D15" s="25">
        <v>13990000</v>
      </c>
      <c r="E15" s="34">
        <v>13790000</v>
      </c>
      <c r="F15" s="38">
        <v>13890000</v>
      </c>
      <c r="G15" s="4">
        <v>13690000</v>
      </c>
    </row>
    <row r="16" spans="1:11" x14ac:dyDescent="0.2">
      <c r="A16" t="s">
        <v>162</v>
      </c>
      <c r="B16" s="25">
        <v>8540000</v>
      </c>
      <c r="C16" s="25">
        <v>8540000</v>
      </c>
      <c r="D16" s="25">
        <v>8490000</v>
      </c>
      <c r="E16" s="39">
        <v>8290000</v>
      </c>
      <c r="F16" s="38">
        <v>8490000</v>
      </c>
      <c r="G16" s="4">
        <v>8390000</v>
      </c>
    </row>
    <row r="17" spans="1:7" x14ac:dyDescent="0.2">
      <c r="A17" t="s">
        <v>163</v>
      </c>
      <c r="B17" s="3">
        <v>6950000</v>
      </c>
      <c r="C17" s="3">
        <v>6950000</v>
      </c>
      <c r="D17" s="25">
        <v>6990000</v>
      </c>
      <c r="E17" s="38">
        <v>6990000</v>
      </c>
      <c r="F17" s="38">
        <v>6890000</v>
      </c>
      <c r="G17" s="4">
        <v>6890000</v>
      </c>
    </row>
    <row r="18" spans="1:7" x14ac:dyDescent="0.2">
      <c r="A18" t="s">
        <v>189</v>
      </c>
      <c r="B18" s="3">
        <v>14490000</v>
      </c>
      <c r="C18" s="3">
        <v>14490000</v>
      </c>
      <c r="D18" s="25">
        <v>14590000</v>
      </c>
      <c r="E18" s="37">
        <v>13990000</v>
      </c>
      <c r="F18" s="38">
        <v>14490000</v>
      </c>
      <c r="G18" s="4">
        <v>14190000</v>
      </c>
    </row>
    <row r="19" spans="1:7" x14ac:dyDescent="0.2">
      <c r="A19" t="s">
        <v>190</v>
      </c>
      <c r="B19" s="25">
        <v>20440000</v>
      </c>
      <c r="C19" s="25">
        <v>20440000</v>
      </c>
      <c r="D19" s="25">
        <v>20490000</v>
      </c>
      <c r="E19" s="39">
        <v>19990000</v>
      </c>
      <c r="F19" s="38">
        <v>20090000</v>
      </c>
      <c r="G19" s="4">
        <v>20290000</v>
      </c>
    </row>
    <row r="20" spans="1:7" x14ac:dyDescent="0.2">
      <c r="A20" t="s">
        <v>184</v>
      </c>
      <c r="B20" s="25">
        <v>27340000</v>
      </c>
      <c r="C20" s="25">
        <v>27340000</v>
      </c>
      <c r="D20" s="25">
        <v>27690000</v>
      </c>
      <c r="E20" s="39">
        <v>27190000</v>
      </c>
      <c r="F20" s="38">
        <v>27490000</v>
      </c>
      <c r="G20" s="4">
        <v>27090000</v>
      </c>
    </row>
    <row r="21" spans="1:7" x14ac:dyDescent="0.2">
      <c r="A21" t="s">
        <v>185</v>
      </c>
      <c r="B21" s="3">
        <v>36740000</v>
      </c>
      <c r="C21" s="3">
        <v>36740000</v>
      </c>
      <c r="D21" s="25">
        <v>36790000</v>
      </c>
      <c r="E21" s="39">
        <v>36490000</v>
      </c>
      <c r="F21" s="38">
        <v>36990000</v>
      </c>
      <c r="G21" s="4">
        <v>36490000</v>
      </c>
    </row>
    <row r="22" spans="1:7" x14ac:dyDescent="0.2">
      <c r="A22" t="s">
        <v>227</v>
      </c>
      <c r="B22" s="25">
        <v>5530000</v>
      </c>
      <c r="C22" s="25">
        <v>5530000</v>
      </c>
      <c r="D22" s="25">
        <v>5690000</v>
      </c>
      <c r="E22" s="39">
        <v>5590000</v>
      </c>
      <c r="F22" s="38">
        <v>5650000</v>
      </c>
      <c r="G22" s="3">
        <v>5650000</v>
      </c>
    </row>
    <row r="23" spans="1:7" x14ac:dyDescent="0.2">
      <c r="A23" t="s">
        <v>228</v>
      </c>
      <c r="B23" s="25">
        <v>6830000</v>
      </c>
      <c r="C23" s="25">
        <v>6830000</v>
      </c>
      <c r="D23" s="25">
        <v>6890000</v>
      </c>
      <c r="E23" s="39">
        <v>6990000</v>
      </c>
      <c r="F23" s="34">
        <v>6990000</v>
      </c>
      <c r="G23" s="4">
        <v>7190000</v>
      </c>
    </row>
    <row r="24" spans="1:7" x14ac:dyDescent="0.2">
      <c r="A24" t="s">
        <v>229</v>
      </c>
      <c r="B24" s="25">
        <v>6330000</v>
      </c>
      <c r="C24" s="25">
        <v>6330000</v>
      </c>
      <c r="D24" s="25">
        <v>6490000</v>
      </c>
      <c r="E24" s="39">
        <v>6390000</v>
      </c>
      <c r="F24" s="38">
        <v>6450000</v>
      </c>
      <c r="G24" s="3">
        <v>6450000</v>
      </c>
    </row>
    <row r="25" spans="1:7" x14ac:dyDescent="0.2">
      <c r="A25" t="s">
        <v>230</v>
      </c>
      <c r="B25" s="25">
        <v>7630000</v>
      </c>
      <c r="C25" s="25">
        <v>7630000</v>
      </c>
      <c r="D25" s="25">
        <v>7690000</v>
      </c>
      <c r="E25" s="39">
        <v>7790000</v>
      </c>
      <c r="F25" s="38">
        <v>8090000</v>
      </c>
      <c r="G25" s="4" t="s">
        <v>223</v>
      </c>
    </row>
    <row r="26" spans="1:7" x14ac:dyDescent="0.2">
      <c r="A26" t="s">
        <v>213</v>
      </c>
      <c r="B26" s="25">
        <v>9920000</v>
      </c>
      <c r="C26" s="25">
        <v>9920000</v>
      </c>
      <c r="D26" s="25">
        <v>10090000</v>
      </c>
      <c r="E26" s="39">
        <v>9990000</v>
      </c>
      <c r="F26" s="34">
        <v>9990000</v>
      </c>
      <c r="G26" s="3">
        <v>9890000</v>
      </c>
    </row>
    <row r="27" spans="1:7" x14ac:dyDescent="0.2">
      <c r="A27" t="s">
        <v>214</v>
      </c>
      <c r="B27" s="25">
        <v>12520000</v>
      </c>
      <c r="C27" s="25">
        <v>12520000</v>
      </c>
      <c r="D27" s="25">
        <v>12690000</v>
      </c>
      <c r="E27" s="37">
        <v>12490000</v>
      </c>
      <c r="F27" s="34">
        <v>12590000</v>
      </c>
      <c r="G27" s="4">
        <v>13290000</v>
      </c>
    </row>
    <row r="28" spans="1:7" x14ac:dyDescent="0.2">
      <c r="A28" t="s">
        <v>215</v>
      </c>
      <c r="B28" s="25">
        <v>10720000</v>
      </c>
      <c r="C28" s="25">
        <v>10720000</v>
      </c>
      <c r="D28" s="25">
        <v>10790000</v>
      </c>
      <c r="E28" s="39">
        <v>10690000</v>
      </c>
      <c r="F28" s="34">
        <v>10590000</v>
      </c>
      <c r="G28" s="3" t="s">
        <v>239</v>
      </c>
    </row>
    <row r="29" spans="1:7" x14ac:dyDescent="0.2">
      <c r="A29" t="s">
        <v>217</v>
      </c>
      <c r="B29" s="3">
        <v>13220000</v>
      </c>
      <c r="C29" s="3">
        <v>13220000</v>
      </c>
      <c r="D29" s="25">
        <v>13390000</v>
      </c>
      <c r="E29" s="39">
        <v>13390000</v>
      </c>
      <c r="F29" s="34">
        <v>13290000</v>
      </c>
      <c r="G29" s="3">
        <v>13990000</v>
      </c>
    </row>
    <row r="30" spans="1:7" x14ac:dyDescent="0.2">
      <c r="A30" t="s">
        <v>172</v>
      </c>
      <c r="B30" s="25">
        <v>22340000</v>
      </c>
      <c r="C30" s="25">
        <v>22340000</v>
      </c>
      <c r="D30" s="25">
        <v>22990000</v>
      </c>
      <c r="E30" s="39">
        <v>21990000</v>
      </c>
      <c r="F30" s="39">
        <v>22490000</v>
      </c>
      <c r="G30" s="3">
        <v>22590000</v>
      </c>
    </row>
    <row r="31" spans="1:7" x14ac:dyDescent="0.2">
      <c r="A31" t="s">
        <v>53</v>
      </c>
      <c r="B31" s="3">
        <v>5350000</v>
      </c>
      <c r="C31" s="3">
        <v>5350000</v>
      </c>
      <c r="D31" s="34">
        <v>5390000</v>
      </c>
      <c r="E31" s="39">
        <v>5390000</v>
      </c>
      <c r="F31" s="39">
        <v>5290000</v>
      </c>
      <c r="G31" s="3">
        <v>5290000</v>
      </c>
    </row>
    <row r="32" spans="1:7" x14ac:dyDescent="0.2">
      <c r="A32" t="s">
        <v>54</v>
      </c>
      <c r="B32" s="3">
        <v>4290000</v>
      </c>
      <c r="C32" s="3">
        <v>4290000</v>
      </c>
      <c r="D32" s="37">
        <v>4290000</v>
      </c>
      <c r="E32" s="39">
        <v>4290000</v>
      </c>
      <c r="F32" s="39">
        <v>4290000</v>
      </c>
      <c r="G32" s="4">
        <v>4490000</v>
      </c>
    </row>
    <row r="33" spans="1:7" x14ac:dyDescent="0.2">
      <c r="A33" t="s">
        <v>55</v>
      </c>
      <c r="B33" s="3">
        <v>3090000</v>
      </c>
      <c r="C33" s="3">
        <v>3090000</v>
      </c>
      <c r="D33" s="37">
        <v>3090000</v>
      </c>
      <c r="E33" s="39">
        <v>2990000</v>
      </c>
      <c r="F33" s="39">
        <v>3090000</v>
      </c>
      <c r="G33" s="4">
        <v>3250000</v>
      </c>
    </row>
    <row r="34" spans="1:7" x14ac:dyDescent="0.2">
      <c r="A34" t="s">
        <v>173</v>
      </c>
      <c r="B34" s="25" t="s">
        <v>22</v>
      </c>
      <c r="C34" s="25" t="s">
        <v>22</v>
      </c>
      <c r="D34" s="42">
        <v>3990000</v>
      </c>
      <c r="E34" s="39">
        <v>3990000</v>
      </c>
      <c r="F34" s="38">
        <v>3790000</v>
      </c>
      <c r="G34" s="4" t="s">
        <v>22</v>
      </c>
    </row>
    <row r="35" spans="1:7" x14ac:dyDescent="0.2">
      <c r="A35" t="s">
        <v>175</v>
      </c>
      <c r="B35" s="3">
        <v>17590000</v>
      </c>
      <c r="C35" s="3">
        <v>17590000</v>
      </c>
      <c r="D35" s="38">
        <v>17690000</v>
      </c>
      <c r="E35" s="36"/>
      <c r="F35" s="38">
        <v>17590000</v>
      </c>
      <c r="G35" s="4">
        <v>17290000</v>
      </c>
    </row>
    <row r="36" spans="1:7" x14ac:dyDescent="0.2">
      <c r="A36" t="s">
        <v>186</v>
      </c>
      <c r="B36" s="25">
        <v>22740000</v>
      </c>
      <c r="C36" s="25">
        <v>22740000</v>
      </c>
      <c r="D36" s="25">
        <v>22990000</v>
      </c>
      <c r="E36" s="36"/>
      <c r="F36" s="38" t="s">
        <v>238</v>
      </c>
      <c r="G36" s="3">
        <v>23990000</v>
      </c>
    </row>
    <row r="37" spans="1:7" x14ac:dyDescent="0.2">
      <c r="A37" t="s">
        <v>232</v>
      </c>
      <c r="B37" s="3">
        <v>25740000</v>
      </c>
      <c r="C37" s="36" t="s">
        <v>22</v>
      </c>
      <c r="D37" s="38">
        <v>25990000</v>
      </c>
      <c r="E37" s="36"/>
      <c r="F37" s="38">
        <v>26290000</v>
      </c>
      <c r="G37" s="3">
        <v>26290000</v>
      </c>
    </row>
    <row r="38" spans="1:7" x14ac:dyDescent="0.2">
      <c r="A38" t="s">
        <v>233</v>
      </c>
      <c r="B38" s="25">
        <v>32140000</v>
      </c>
      <c r="C38" s="36" t="s">
        <v>22</v>
      </c>
      <c r="D38" s="25">
        <v>32390000</v>
      </c>
      <c r="E38" s="36"/>
      <c r="F38" s="38">
        <v>32290000</v>
      </c>
      <c r="G38" s="3">
        <v>32490000</v>
      </c>
    </row>
    <row r="39" spans="1:7" x14ac:dyDescent="0.2">
      <c r="A39" t="s">
        <v>187</v>
      </c>
      <c r="B39" s="25" t="s">
        <v>22</v>
      </c>
      <c r="C39" s="36" t="s">
        <v>22</v>
      </c>
      <c r="D39" s="25" t="s">
        <v>22</v>
      </c>
      <c r="E39" s="36"/>
      <c r="F39" s="36">
        <v>39990000</v>
      </c>
      <c r="G39" s="4" t="s">
        <v>22</v>
      </c>
    </row>
  </sheetData>
  <pageMargins left="0.7" right="0.7" top="0.75" bottom="0.75" header="0.3" footer="0.3"/>
  <pageSetup paperSize="9" orientation="portrait" horizontalDpi="0" verticalDpi="0"/>
  <legacyDrawing r:id="rId1"/>
</worksheet>
</file>

<file path=xl/worksheets/sheet4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codeName="Sheet41"/>
  <dimension ref="A1:K39"/>
  <sheetViews>
    <sheetView zoomScale="110" zoomScaleNormal="110" workbookViewId="0">
      <pane xSplit="1" ySplit="1" topLeftCell="C10" activePane="bottomRight" state="frozen"/>
      <selection pane="topRight" activeCell="B1" sqref="B1"/>
      <selection pane="bottomLeft" activeCell="A2" sqref="A2"/>
      <selection pane="bottomRight" activeCell="B1" sqref="B1"/>
    </sheetView>
  </sheetViews>
  <sheetFormatPr baseColWidth="10" defaultColWidth="11" defaultRowHeight="16" x14ac:dyDescent="0.2"/>
  <cols>
    <col min="1" max="1" width="27.5" bestFit="1" customWidth="1"/>
    <col min="2" max="2" width="0" hidden="1"/>
  </cols>
  <sheetData>
    <row r="1" spans="1:11" x14ac:dyDescent="0.2">
      <c r="B1" s="46" t="s">
        <v>0</v>
      </c>
      <c r="C1" s="46" t="s">
        <v>1</v>
      </c>
      <c r="D1" s="46" t="s">
        <v>2</v>
      </c>
      <c r="E1" s="46" t="s">
        <v>3</v>
      </c>
      <c r="F1" s="46" t="s">
        <v>4</v>
      </c>
      <c r="G1" s="46" t="s">
        <v>5</v>
      </c>
    </row>
    <row r="2" spans="1:11" x14ac:dyDescent="0.2">
      <c r="A2" t="s">
        <v>181</v>
      </c>
      <c r="B2" s="25"/>
      <c r="C2" s="25">
        <v>21490000</v>
      </c>
      <c r="D2" s="42">
        <v>20490000</v>
      </c>
      <c r="E2" s="39">
        <v>20790000</v>
      </c>
      <c r="F2" s="39">
        <v>20990000</v>
      </c>
      <c r="G2" s="4">
        <v>20590000</v>
      </c>
    </row>
    <row r="3" spans="1:11" x14ac:dyDescent="0.2">
      <c r="A3" t="s">
        <v>24</v>
      </c>
      <c r="B3" s="3"/>
      <c r="C3" s="25">
        <v>24790000</v>
      </c>
      <c r="D3" s="42">
        <v>24190000</v>
      </c>
      <c r="E3" s="39">
        <v>24790000</v>
      </c>
      <c r="F3" s="39">
        <v>24690000</v>
      </c>
      <c r="G3" s="4">
        <v>24190000</v>
      </c>
    </row>
    <row r="4" spans="1:11" x14ac:dyDescent="0.2">
      <c r="A4" t="s">
        <v>182</v>
      </c>
      <c r="B4" s="25"/>
      <c r="C4" s="25">
        <v>27590000</v>
      </c>
      <c r="D4" s="42">
        <v>26890000</v>
      </c>
      <c r="E4" s="39">
        <v>26990000</v>
      </c>
      <c r="F4" s="37">
        <v>27090000</v>
      </c>
      <c r="G4" s="4">
        <v>26990000</v>
      </c>
    </row>
    <row r="5" spans="1:11" x14ac:dyDescent="0.2">
      <c r="A5" t="s">
        <v>183</v>
      </c>
      <c r="B5" s="3"/>
      <c r="C5" s="25">
        <v>32890000</v>
      </c>
      <c r="D5" s="42">
        <v>32790000</v>
      </c>
      <c r="E5" s="37">
        <v>31990000</v>
      </c>
      <c r="F5" s="39">
        <v>32890000</v>
      </c>
      <c r="G5" s="3">
        <v>32490000</v>
      </c>
    </row>
    <row r="6" spans="1:11" x14ac:dyDescent="0.2">
      <c r="A6" t="s">
        <v>25</v>
      </c>
      <c r="B6" s="25"/>
      <c r="C6" s="25">
        <v>18990000</v>
      </c>
      <c r="D6" s="42">
        <v>18690000</v>
      </c>
      <c r="E6" s="39">
        <v>18990000</v>
      </c>
      <c r="F6" s="37">
        <v>18990000</v>
      </c>
      <c r="G6" s="4">
        <v>18590000</v>
      </c>
    </row>
    <row r="7" spans="1:11" x14ac:dyDescent="0.2">
      <c r="A7" t="s">
        <v>26</v>
      </c>
      <c r="B7" s="25"/>
      <c r="C7" s="25">
        <v>22690000</v>
      </c>
      <c r="D7" s="42">
        <v>22590000</v>
      </c>
      <c r="E7" s="39">
        <v>22290000</v>
      </c>
      <c r="F7" s="39">
        <v>22390000</v>
      </c>
      <c r="G7" s="4">
        <v>22090000</v>
      </c>
      <c r="I7" t="s">
        <v>31</v>
      </c>
      <c r="J7" t="s">
        <v>38</v>
      </c>
      <c r="K7" t="b">
        <v>1</v>
      </c>
    </row>
    <row r="8" spans="1:11" x14ac:dyDescent="0.2">
      <c r="A8" t="s">
        <v>157</v>
      </c>
      <c r="B8" s="25"/>
      <c r="C8" s="42" t="s">
        <v>22</v>
      </c>
      <c r="D8" s="42" t="s">
        <v>22</v>
      </c>
      <c r="E8" s="36" t="s">
        <v>22</v>
      </c>
      <c r="F8" s="36" t="s">
        <v>22</v>
      </c>
      <c r="G8" s="4" t="s">
        <v>22</v>
      </c>
      <c r="I8" t="s">
        <v>2</v>
      </c>
      <c r="J8" t="s">
        <v>198</v>
      </c>
      <c r="K8" t="b">
        <v>1</v>
      </c>
    </row>
    <row r="9" spans="1:11" x14ac:dyDescent="0.2">
      <c r="A9" t="s">
        <v>158</v>
      </c>
      <c r="B9" s="3"/>
      <c r="C9" s="3">
        <v>29690000</v>
      </c>
      <c r="D9" s="3">
        <v>29090000</v>
      </c>
      <c r="E9" s="39" t="s">
        <v>22</v>
      </c>
      <c r="F9" s="37">
        <v>29090000</v>
      </c>
      <c r="G9" s="4">
        <v>28690000</v>
      </c>
      <c r="I9" t="s">
        <v>3</v>
      </c>
      <c r="J9" t="s">
        <v>36</v>
      </c>
      <c r="K9" t="b">
        <v>1</v>
      </c>
    </row>
    <row r="10" spans="1:11" x14ac:dyDescent="0.2">
      <c r="A10" t="s">
        <v>92</v>
      </c>
      <c r="B10" s="3"/>
      <c r="C10" s="3">
        <v>18990000</v>
      </c>
      <c r="D10" s="3">
        <v>18990000</v>
      </c>
      <c r="E10" s="37">
        <v>18990000</v>
      </c>
      <c r="F10" s="38">
        <v>19690000</v>
      </c>
      <c r="G10" s="4">
        <v>19690000</v>
      </c>
      <c r="I10" t="s">
        <v>4</v>
      </c>
      <c r="J10" t="s">
        <v>34</v>
      </c>
      <c r="K10" t="b">
        <v>1</v>
      </c>
    </row>
    <row r="11" spans="1:11" x14ac:dyDescent="0.2">
      <c r="A11" t="s">
        <v>27</v>
      </c>
      <c r="B11" s="25"/>
      <c r="C11" s="3">
        <v>15990000</v>
      </c>
      <c r="D11" s="39">
        <v>15990000</v>
      </c>
      <c r="E11" s="36">
        <v>15290000</v>
      </c>
      <c r="F11" s="34">
        <v>15990000</v>
      </c>
      <c r="G11" s="4">
        <v>16390000</v>
      </c>
      <c r="I11" t="s">
        <v>41</v>
      </c>
      <c r="J11" t="s">
        <v>42</v>
      </c>
      <c r="K11" t="b">
        <v>1</v>
      </c>
    </row>
    <row r="12" spans="1:11" x14ac:dyDescent="0.2">
      <c r="A12" t="s">
        <v>28</v>
      </c>
      <c r="B12" s="3"/>
      <c r="C12" s="3">
        <v>12950000</v>
      </c>
      <c r="D12" s="38">
        <v>12890000</v>
      </c>
      <c r="E12" s="37">
        <v>12590000</v>
      </c>
      <c r="F12" s="38">
        <v>12690000</v>
      </c>
      <c r="G12" s="4" t="s">
        <v>237</v>
      </c>
    </row>
    <row r="13" spans="1:11" x14ac:dyDescent="0.2">
      <c r="A13" t="s">
        <v>98</v>
      </c>
      <c r="B13" s="25"/>
      <c r="C13" s="3">
        <v>9900000</v>
      </c>
      <c r="D13" s="25" t="s">
        <v>22</v>
      </c>
      <c r="E13" s="39">
        <v>10490000</v>
      </c>
      <c r="F13" s="34">
        <v>10790000</v>
      </c>
      <c r="G13" s="4" t="s">
        <v>22</v>
      </c>
    </row>
    <row r="14" spans="1:11" x14ac:dyDescent="0.2">
      <c r="A14" t="s">
        <v>102</v>
      </c>
      <c r="B14" s="25"/>
      <c r="C14" s="42" t="s">
        <v>22</v>
      </c>
      <c r="D14" s="25">
        <v>8990000</v>
      </c>
      <c r="E14" s="39" t="s">
        <v>22</v>
      </c>
      <c r="F14" s="38">
        <v>8890000</v>
      </c>
      <c r="G14" s="4" t="s">
        <v>22</v>
      </c>
    </row>
    <row r="15" spans="1:11" x14ac:dyDescent="0.2">
      <c r="A15" t="s">
        <v>29</v>
      </c>
      <c r="B15" s="25"/>
      <c r="C15" s="3">
        <v>13990000</v>
      </c>
      <c r="D15" s="25">
        <v>13990000</v>
      </c>
      <c r="E15" s="39">
        <v>13790000</v>
      </c>
      <c r="F15" s="34">
        <v>13990000</v>
      </c>
      <c r="G15" s="4">
        <v>13690000</v>
      </c>
    </row>
    <row r="16" spans="1:11" x14ac:dyDescent="0.2">
      <c r="A16" t="s">
        <v>162</v>
      </c>
      <c r="B16" s="25"/>
      <c r="C16" s="3">
        <v>8990000</v>
      </c>
      <c r="D16" s="3">
        <v>8790000</v>
      </c>
      <c r="E16" s="37">
        <v>8390000</v>
      </c>
      <c r="F16" s="34">
        <v>8790000</v>
      </c>
      <c r="G16" s="4">
        <v>8390000</v>
      </c>
    </row>
    <row r="17" spans="1:7" x14ac:dyDescent="0.2">
      <c r="A17" t="s">
        <v>163</v>
      </c>
      <c r="B17" s="3"/>
      <c r="C17" s="3">
        <v>6990000</v>
      </c>
      <c r="D17" s="25">
        <v>6990000</v>
      </c>
      <c r="E17" s="38">
        <v>6990000</v>
      </c>
      <c r="F17" s="38">
        <v>6890000</v>
      </c>
      <c r="G17" s="4">
        <v>6890000</v>
      </c>
    </row>
    <row r="18" spans="1:7" x14ac:dyDescent="0.2">
      <c r="A18" t="s">
        <v>189</v>
      </c>
      <c r="B18" s="3"/>
      <c r="C18" s="3">
        <v>14990000</v>
      </c>
      <c r="D18" s="25">
        <v>14590000</v>
      </c>
      <c r="E18" s="38">
        <v>13990000</v>
      </c>
      <c r="F18" s="34">
        <v>14690000</v>
      </c>
      <c r="G18" s="3">
        <v>14490000</v>
      </c>
    </row>
    <row r="19" spans="1:7" x14ac:dyDescent="0.2">
      <c r="A19" t="s">
        <v>190</v>
      </c>
      <c r="B19" s="25"/>
      <c r="C19" s="3">
        <v>20590000</v>
      </c>
      <c r="D19" s="25">
        <v>20490000</v>
      </c>
      <c r="E19" s="37">
        <v>19490000</v>
      </c>
      <c r="F19" s="34">
        <v>20490000</v>
      </c>
      <c r="G19" s="3">
        <v>19890000</v>
      </c>
    </row>
    <row r="20" spans="1:7" x14ac:dyDescent="0.2">
      <c r="A20" t="s">
        <v>184</v>
      </c>
      <c r="B20" s="25"/>
      <c r="C20" s="3">
        <v>27690000</v>
      </c>
      <c r="D20" s="25">
        <v>27690000</v>
      </c>
      <c r="E20" s="39">
        <v>27190000</v>
      </c>
      <c r="F20" s="38">
        <v>27590000</v>
      </c>
      <c r="G20" s="4">
        <v>27090000</v>
      </c>
    </row>
    <row r="21" spans="1:7" x14ac:dyDescent="0.2">
      <c r="A21" t="s">
        <v>185</v>
      </c>
      <c r="B21" s="3"/>
      <c r="C21" s="3">
        <v>36890000</v>
      </c>
      <c r="D21" s="25">
        <v>36790000</v>
      </c>
      <c r="E21" s="39">
        <v>36490000</v>
      </c>
      <c r="F21" s="38">
        <v>36990000</v>
      </c>
      <c r="G21" s="4">
        <v>36490000</v>
      </c>
    </row>
    <row r="22" spans="1:7" x14ac:dyDescent="0.2">
      <c r="A22" t="s">
        <v>227</v>
      </c>
      <c r="B22" s="25"/>
      <c r="C22" s="3">
        <v>5890000</v>
      </c>
      <c r="D22" s="3">
        <v>5890000</v>
      </c>
      <c r="E22" s="37">
        <v>5790000</v>
      </c>
      <c r="F22" s="38">
        <v>5650000</v>
      </c>
      <c r="G22" s="3">
        <v>5690000</v>
      </c>
    </row>
    <row r="23" spans="1:7" x14ac:dyDescent="0.2">
      <c r="A23" t="s">
        <v>228</v>
      </c>
      <c r="B23" s="25"/>
      <c r="C23" s="3">
        <v>7190000</v>
      </c>
      <c r="D23" s="3">
        <v>6990000</v>
      </c>
      <c r="E23" s="37">
        <v>7290000</v>
      </c>
      <c r="F23" s="34">
        <v>7190000</v>
      </c>
      <c r="G23" s="4">
        <v>7190000</v>
      </c>
    </row>
    <row r="24" spans="1:7" x14ac:dyDescent="0.2">
      <c r="A24" t="s">
        <v>229</v>
      </c>
      <c r="B24" s="25"/>
      <c r="C24" s="3">
        <v>6690000</v>
      </c>
      <c r="D24" s="3">
        <v>6590000</v>
      </c>
      <c r="E24" s="37">
        <v>6590000</v>
      </c>
      <c r="F24" s="38">
        <v>6490000</v>
      </c>
      <c r="G24" s="3">
        <v>6450000</v>
      </c>
    </row>
    <row r="25" spans="1:7" x14ac:dyDescent="0.2">
      <c r="A25" t="s">
        <v>230</v>
      </c>
      <c r="B25" s="25"/>
      <c r="C25" s="3">
        <v>7990000</v>
      </c>
      <c r="D25" s="3">
        <v>7890000</v>
      </c>
      <c r="E25" s="37">
        <v>7990000</v>
      </c>
      <c r="F25" s="38">
        <v>8090000</v>
      </c>
      <c r="G25" s="4" t="s">
        <v>223</v>
      </c>
    </row>
    <row r="26" spans="1:7" x14ac:dyDescent="0.2">
      <c r="A26" t="s">
        <v>213</v>
      </c>
      <c r="B26" s="25"/>
      <c r="C26" s="25" t="s">
        <v>22</v>
      </c>
      <c r="D26" s="3">
        <v>10790000</v>
      </c>
      <c r="E26" s="37">
        <v>10390000</v>
      </c>
      <c r="F26" s="34">
        <v>10790000</v>
      </c>
      <c r="G26" s="3" t="s">
        <v>240</v>
      </c>
    </row>
    <row r="27" spans="1:7" x14ac:dyDescent="0.2">
      <c r="A27" t="s">
        <v>214</v>
      </c>
      <c r="B27" s="25"/>
      <c r="C27" s="3">
        <v>13190000</v>
      </c>
      <c r="D27" s="3">
        <v>13290000</v>
      </c>
      <c r="E27" s="37">
        <v>12990000</v>
      </c>
      <c r="F27" s="34">
        <v>12590000</v>
      </c>
      <c r="G27" s="3">
        <v>12590000</v>
      </c>
    </row>
    <row r="28" spans="1:7" x14ac:dyDescent="0.2">
      <c r="A28" t="s">
        <v>215</v>
      </c>
      <c r="B28" s="25"/>
      <c r="C28" s="3">
        <v>11590000</v>
      </c>
      <c r="D28" s="3">
        <v>11490000</v>
      </c>
      <c r="E28" s="37">
        <v>11290000</v>
      </c>
      <c r="F28" s="34">
        <v>11390000</v>
      </c>
      <c r="G28" s="3" t="s">
        <v>241</v>
      </c>
    </row>
    <row r="29" spans="1:7" x14ac:dyDescent="0.2">
      <c r="A29" t="s">
        <v>217</v>
      </c>
      <c r="B29" s="3"/>
      <c r="C29" s="3">
        <v>14190000</v>
      </c>
      <c r="D29" s="3">
        <v>13990000</v>
      </c>
      <c r="E29" s="37">
        <v>13890000</v>
      </c>
      <c r="F29" s="34">
        <v>13290000</v>
      </c>
      <c r="G29" s="3">
        <v>13890000</v>
      </c>
    </row>
    <row r="30" spans="1:7" x14ac:dyDescent="0.2">
      <c r="A30" t="s">
        <v>172</v>
      </c>
      <c r="B30" s="25"/>
      <c r="C30" s="3">
        <v>22490000</v>
      </c>
      <c r="D30" s="25">
        <v>22990000</v>
      </c>
      <c r="E30" s="39">
        <v>21990000</v>
      </c>
      <c r="F30" s="39">
        <v>22490000</v>
      </c>
      <c r="G30" s="3">
        <v>22990000</v>
      </c>
    </row>
    <row r="31" spans="1:7" x14ac:dyDescent="0.2">
      <c r="A31" t="s">
        <v>53</v>
      </c>
      <c r="B31" s="3"/>
      <c r="C31" s="3">
        <v>5790000</v>
      </c>
      <c r="D31" s="34">
        <v>5790000</v>
      </c>
      <c r="E31" s="37">
        <v>5690000</v>
      </c>
      <c r="F31" s="37">
        <v>5690000</v>
      </c>
      <c r="G31" s="3">
        <v>5290000</v>
      </c>
    </row>
    <row r="32" spans="1:7" x14ac:dyDescent="0.2">
      <c r="A32" t="s">
        <v>54</v>
      </c>
      <c r="B32" s="3"/>
      <c r="C32" s="3">
        <v>4650000</v>
      </c>
      <c r="D32" s="37">
        <v>4650000</v>
      </c>
      <c r="E32" s="37">
        <v>4590000</v>
      </c>
      <c r="F32" s="37">
        <v>4590000</v>
      </c>
      <c r="G32" s="3">
        <v>4690000</v>
      </c>
    </row>
    <row r="33" spans="1:7" x14ac:dyDescent="0.2">
      <c r="A33" t="s">
        <v>55</v>
      </c>
      <c r="B33" s="3"/>
      <c r="C33" s="3">
        <v>3390000</v>
      </c>
      <c r="D33" s="37">
        <v>3390000</v>
      </c>
      <c r="E33" s="37">
        <v>3290000</v>
      </c>
      <c r="F33" s="37">
        <v>3350000</v>
      </c>
      <c r="G33" s="3">
        <v>3340000</v>
      </c>
    </row>
    <row r="34" spans="1:7" x14ac:dyDescent="0.2">
      <c r="A34" t="s">
        <v>173</v>
      </c>
      <c r="B34" s="25"/>
      <c r="C34" s="25" t="s">
        <v>22</v>
      </c>
      <c r="D34" s="42">
        <v>3990000</v>
      </c>
      <c r="E34" s="37">
        <v>3490000</v>
      </c>
      <c r="F34" s="38">
        <v>3790000</v>
      </c>
      <c r="G34" s="4" t="s">
        <v>22</v>
      </c>
    </row>
    <row r="35" spans="1:7" x14ac:dyDescent="0.2">
      <c r="A35" t="s">
        <v>175</v>
      </c>
      <c r="B35" s="3"/>
      <c r="C35" s="3">
        <v>17790000</v>
      </c>
      <c r="D35" s="38">
        <v>17490000</v>
      </c>
      <c r="E35" s="36"/>
      <c r="F35" s="38">
        <v>17590000</v>
      </c>
      <c r="G35" s="4">
        <v>17290000</v>
      </c>
    </row>
    <row r="36" spans="1:7" x14ac:dyDescent="0.2">
      <c r="A36" t="s">
        <v>186</v>
      </c>
      <c r="B36" s="25"/>
      <c r="C36" s="3">
        <v>22990000</v>
      </c>
      <c r="D36" s="25">
        <v>22790000</v>
      </c>
      <c r="E36" s="36"/>
      <c r="F36" s="38" t="s">
        <v>238</v>
      </c>
      <c r="G36" s="4">
        <v>23990000</v>
      </c>
    </row>
    <row r="37" spans="1:7" x14ac:dyDescent="0.2">
      <c r="A37" t="s">
        <v>232</v>
      </c>
      <c r="B37" s="3"/>
      <c r="C37" s="36" t="s">
        <v>22</v>
      </c>
      <c r="D37" s="38">
        <v>25790000</v>
      </c>
      <c r="E37" s="36"/>
      <c r="F37" s="34">
        <v>25990000</v>
      </c>
      <c r="G37" s="3">
        <v>26390000</v>
      </c>
    </row>
    <row r="38" spans="1:7" x14ac:dyDescent="0.2">
      <c r="A38" t="s">
        <v>233</v>
      </c>
      <c r="B38" s="25"/>
      <c r="C38" s="36" t="s">
        <v>22</v>
      </c>
      <c r="D38" s="25">
        <v>32190000</v>
      </c>
      <c r="E38" s="36"/>
      <c r="F38" s="38">
        <v>32290000</v>
      </c>
      <c r="G38" s="4">
        <v>32490000</v>
      </c>
    </row>
    <row r="39" spans="1:7" x14ac:dyDescent="0.2">
      <c r="A39" t="s">
        <v>187</v>
      </c>
      <c r="B39" s="25"/>
      <c r="C39" s="36" t="s">
        <v>22</v>
      </c>
      <c r="D39" s="25">
        <v>39790000</v>
      </c>
      <c r="E39" s="36"/>
      <c r="F39" s="37">
        <v>39690000</v>
      </c>
      <c r="G39" s="4" t="s">
        <v>22</v>
      </c>
    </row>
  </sheetData>
  <pageMargins left="0.7" right="0.7" top="0.75" bottom="0.75" header="0.3" footer="0.3"/>
  <pageSetup paperSize="9" orientation="portrait" horizontalDpi="0" verticalDpi="0"/>
  <legacyDrawing r:id="rId1"/>
</worksheet>
</file>

<file path=xl/worksheets/sheet4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sheetPr codeName="Sheet42"/>
  <dimension ref="A1:K39"/>
  <sheetViews>
    <sheetView zoomScale="118" zoomScaleNormal="110" workbookViewId="0">
      <pane xSplit="1" ySplit="1" topLeftCell="C2" activePane="bottomRight" state="frozen"/>
      <selection pane="topRight" activeCell="B1" sqref="B1"/>
      <selection pane="bottomLeft" activeCell="A2" sqref="A2"/>
      <selection pane="bottomRight" activeCell="B1" sqref="B1"/>
    </sheetView>
  </sheetViews>
  <sheetFormatPr baseColWidth="10" defaultColWidth="11" defaultRowHeight="16" x14ac:dyDescent="0.2"/>
  <cols>
    <col min="1" max="1" width="27.5" bestFit="1" customWidth="1"/>
    <col min="2" max="2" width="0" hidden="1"/>
  </cols>
  <sheetData>
    <row r="1" spans="1:11" x14ac:dyDescent="0.2">
      <c r="B1" s="46" t="s">
        <v>0</v>
      </c>
      <c r="C1" s="46" t="s">
        <v>1</v>
      </c>
      <c r="D1" s="46" t="s">
        <v>2</v>
      </c>
      <c r="E1" s="46" t="s">
        <v>3</v>
      </c>
      <c r="F1" s="46" t="s">
        <v>4</v>
      </c>
      <c r="G1" s="46" t="s">
        <v>5</v>
      </c>
    </row>
    <row r="2" spans="1:11" x14ac:dyDescent="0.2">
      <c r="A2" t="s">
        <v>181</v>
      </c>
      <c r="B2" s="25"/>
      <c r="C2" s="25">
        <v>21490000</v>
      </c>
      <c r="D2" s="41">
        <v>20890000</v>
      </c>
      <c r="E2" s="39">
        <v>20790000</v>
      </c>
      <c r="F2" s="39">
        <v>20990000</v>
      </c>
      <c r="G2" s="3">
        <v>20490000</v>
      </c>
    </row>
    <row r="3" spans="1:11" x14ac:dyDescent="0.2">
      <c r="A3" t="s">
        <v>24</v>
      </c>
      <c r="B3" s="3"/>
      <c r="C3" s="25">
        <v>24790000</v>
      </c>
      <c r="D3" s="41">
        <v>24290000</v>
      </c>
      <c r="E3" s="39">
        <v>24790000</v>
      </c>
      <c r="F3" s="37">
        <v>24990000</v>
      </c>
      <c r="G3" s="4">
        <v>24190000</v>
      </c>
    </row>
    <row r="4" spans="1:11" x14ac:dyDescent="0.2">
      <c r="A4" t="s">
        <v>182</v>
      </c>
      <c r="B4" s="25"/>
      <c r="C4" s="25">
        <v>27590000</v>
      </c>
      <c r="D4" s="41">
        <v>26990000</v>
      </c>
      <c r="E4" s="39">
        <v>26990000</v>
      </c>
      <c r="F4" s="37">
        <v>27390000</v>
      </c>
      <c r="G4" s="3">
        <v>27190000</v>
      </c>
    </row>
    <row r="5" spans="1:11" x14ac:dyDescent="0.2">
      <c r="A5" t="s">
        <v>183</v>
      </c>
      <c r="B5" s="3"/>
      <c r="C5" s="25">
        <v>32890000</v>
      </c>
      <c r="D5" s="41">
        <v>32390000</v>
      </c>
      <c r="E5" s="39">
        <v>31990000</v>
      </c>
      <c r="F5" s="39">
        <v>32890000</v>
      </c>
      <c r="G5" s="4">
        <v>32490000</v>
      </c>
    </row>
    <row r="6" spans="1:11" x14ac:dyDescent="0.2">
      <c r="A6" t="s">
        <v>25</v>
      </c>
      <c r="B6" s="25"/>
      <c r="C6" s="25">
        <v>18990000</v>
      </c>
      <c r="D6" s="42">
        <v>18690000</v>
      </c>
      <c r="E6" s="39">
        <v>18990000</v>
      </c>
      <c r="F6" s="37">
        <v>18690000</v>
      </c>
      <c r="G6" s="4">
        <v>18590000</v>
      </c>
    </row>
    <row r="7" spans="1:11" x14ac:dyDescent="0.2">
      <c r="A7" t="s">
        <v>26</v>
      </c>
      <c r="B7" s="25"/>
      <c r="C7" s="3">
        <v>22990000</v>
      </c>
      <c r="D7" s="42">
        <v>22590000</v>
      </c>
      <c r="E7" s="39">
        <v>22290000</v>
      </c>
      <c r="F7" s="39">
        <v>22390000</v>
      </c>
      <c r="G7" s="4">
        <v>22090000</v>
      </c>
      <c r="I7" t="s">
        <v>31</v>
      </c>
      <c r="J7" t="s">
        <v>38</v>
      </c>
      <c r="K7" t="b">
        <v>1</v>
      </c>
    </row>
    <row r="8" spans="1:11" x14ac:dyDescent="0.2">
      <c r="A8" t="s">
        <v>157</v>
      </c>
      <c r="B8" s="25"/>
      <c r="C8" s="42" t="s">
        <v>22</v>
      </c>
      <c r="D8" s="42" t="s">
        <v>22</v>
      </c>
      <c r="E8" s="36" t="s">
        <v>22</v>
      </c>
      <c r="F8" s="36" t="s">
        <v>22</v>
      </c>
      <c r="G8" s="4" t="s">
        <v>22</v>
      </c>
      <c r="I8" t="s">
        <v>2</v>
      </c>
      <c r="J8" t="s">
        <v>198</v>
      </c>
      <c r="K8" t="b">
        <v>1</v>
      </c>
    </row>
    <row r="9" spans="1:11" x14ac:dyDescent="0.2">
      <c r="A9" t="s">
        <v>158</v>
      </c>
      <c r="B9" s="3"/>
      <c r="C9" s="25">
        <v>29690000</v>
      </c>
      <c r="D9" s="25">
        <v>29090000</v>
      </c>
      <c r="E9" s="39" t="s">
        <v>22</v>
      </c>
      <c r="F9" s="37" t="s">
        <v>242</v>
      </c>
      <c r="G9" s="3">
        <v>28490000</v>
      </c>
      <c r="I9" t="s">
        <v>3</v>
      </c>
      <c r="J9" t="s">
        <v>36</v>
      </c>
      <c r="K9" t="b">
        <v>1</v>
      </c>
    </row>
    <row r="10" spans="1:11" x14ac:dyDescent="0.2">
      <c r="A10" t="s">
        <v>92</v>
      </c>
      <c r="B10" s="3"/>
      <c r="C10" s="25">
        <v>18990000</v>
      </c>
      <c r="D10" s="3">
        <v>19690000</v>
      </c>
      <c r="E10" s="39">
        <v>18990000</v>
      </c>
      <c r="F10" s="38">
        <v>19690000</v>
      </c>
      <c r="G10" s="4">
        <v>19690000</v>
      </c>
      <c r="I10" t="s">
        <v>4</v>
      </c>
      <c r="J10" t="s">
        <v>34</v>
      </c>
      <c r="K10" t="b">
        <v>1</v>
      </c>
    </row>
    <row r="11" spans="1:11" x14ac:dyDescent="0.2">
      <c r="A11" t="s">
        <v>27</v>
      </c>
      <c r="B11" s="25"/>
      <c r="C11" s="25">
        <v>15990000</v>
      </c>
      <c r="D11" s="39">
        <v>15990000</v>
      </c>
      <c r="E11" s="36">
        <v>15290000</v>
      </c>
      <c r="F11" s="38">
        <v>15990000</v>
      </c>
      <c r="G11" s="4">
        <v>15.99</v>
      </c>
      <c r="I11" t="s">
        <v>41</v>
      </c>
      <c r="J11" t="s">
        <v>42</v>
      </c>
      <c r="K11" t="b">
        <v>1</v>
      </c>
    </row>
    <row r="12" spans="1:11" x14ac:dyDescent="0.2">
      <c r="A12" t="s">
        <v>28</v>
      </c>
      <c r="B12" s="3"/>
      <c r="C12" s="3">
        <v>12890000</v>
      </c>
      <c r="D12" s="38">
        <v>12890000</v>
      </c>
      <c r="E12" s="39">
        <v>12590000</v>
      </c>
      <c r="F12" s="38">
        <v>12650000</v>
      </c>
      <c r="G12" s="3" t="s">
        <v>237</v>
      </c>
    </row>
    <row r="13" spans="1:11" x14ac:dyDescent="0.2">
      <c r="A13" t="s">
        <v>98</v>
      </c>
      <c r="B13" s="25"/>
      <c r="C13" s="3">
        <v>9590000</v>
      </c>
      <c r="D13" s="25" t="s">
        <v>22</v>
      </c>
      <c r="E13" s="39">
        <v>10490000</v>
      </c>
      <c r="F13" s="38">
        <v>10790000</v>
      </c>
      <c r="G13" s="4" t="s">
        <v>22</v>
      </c>
    </row>
    <row r="14" spans="1:11" x14ac:dyDescent="0.2">
      <c r="A14" t="s">
        <v>102</v>
      </c>
      <c r="B14" s="25"/>
      <c r="C14" s="42" t="s">
        <v>22</v>
      </c>
      <c r="D14" s="25">
        <v>8990000</v>
      </c>
      <c r="E14" s="39" t="s">
        <v>22</v>
      </c>
      <c r="F14" s="38">
        <v>8990000</v>
      </c>
      <c r="G14" s="4" t="s">
        <v>22</v>
      </c>
    </row>
    <row r="15" spans="1:11" x14ac:dyDescent="0.2">
      <c r="A15" t="s">
        <v>29</v>
      </c>
      <c r="B15" s="25"/>
      <c r="C15" s="25">
        <v>13990000</v>
      </c>
      <c r="D15" s="25">
        <v>13990000</v>
      </c>
      <c r="E15" s="39">
        <v>13790000</v>
      </c>
      <c r="F15" s="38">
        <v>13990000</v>
      </c>
      <c r="G15" s="4">
        <v>13690000</v>
      </c>
    </row>
    <row r="16" spans="1:11" x14ac:dyDescent="0.2">
      <c r="A16" t="s">
        <v>162</v>
      </c>
      <c r="B16" s="25"/>
      <c r="C16" s="25">
        <v>8990000</v>
      </c>
      <c r="D16" s="3">
        <v>8990000</v>
      </c>
      <c r="E16" s="39">
        <v>8390000</v>
      </c>
      <c r="F16" s="38">
        <v>8790000</v>
      </c>
      <c r="G16" s="4">
        <v>8390000</v>
      </c>
    </row>
    <row r="17" spans="1:7" x14ac:dyDescent="0.2">
      <c r="A17" t="s">
        <v>163</v>
      </c>
      <c r="B17" s="3"/>
      <c r="C17" s="25">
        <v>6990000</v>
      </c>
      <c r="D17" s="25">
        <v>6990000</v>
      </c>
      <c r="E17" s="38">
        <v>6990000</v>
      </c>
      <c r="F17" s="38">
        <v>6890000</v>
      </c>
      <c r="G17" s="4">
        <v>6890000</v>
      </c>
    </row>
    <row r="18" spans="1:7" x14ac:dyDescent="0.2">
      <c r="A18" t="s">
        <v>189</v>
      </c>
      <c r="B18" s="3"/>
      <c r="C18" s="25">
        <v>14990000</v>
      </c>
      <c r="D18" s="3">
        <v>14890000</v>
      </c>
      <c r="E18" s="38">
        <v>13990000</v>
      </c>
      <c r="F18" s="34">
        <v>14990000</v>
      </c>
      <c r="G18" s="4">
        <v>14490000</v>
      </c>
    </row>
    <row r="19" spans="1:7" x14ac:dyDescent="0.2">
      <c r="A19" t="s">
        <v>190</v>
      </c>
      <c r="B19" s="25"/>
      <c r="C19" s="25">
        <v>20590000</v>
      </c>
      <c r="D19" s="25">
        <v>20490000</v>
      </c>
      <c r="E19" s="39">
        <v>19490000</v>
      </c>
      <c r="F19" s="38">
        <v>20490000</v>
      </c>
      <c r="G19" s="3">
        <v>20090000</v>
      </c>
    </row>
    <row r="20" spans="1:7" x14ac:dyDescent="0.2">
      <c r="A20" t="s">
        <v>184</v>
      </c>
      <c r="B20" s="25"/>
      <c r="C20" s="25">
        <v>27690000</v>
      </c>
      <c r="D20" s="25">
        <v>27690000</v>
      </c>
      <c r="E20" s="39">
        <v>27190000</v>
      </c>
      <c r="F20" s="38">
        <v>27690000</v>
      </c>
      <c r="G20" s="4">
        <v>27090000</v>
      </c>
    </row>
    <row r="21" spans="1:7" x14ac:dyDescent="0.2">
      <c r="A21" t="s">
        <v>185</v>
      </c>
      <c r="B21" s="3"/>
      <c r="C21" s="25">
        <v>36890000</v>
      </c>
      <c r="D21" s="3">
        <v>36890000</v>
      </c>
      <c r="E21" s="39">
        <v>36490000</v>
      </c>
      <c r="F21" s="38">
        <v>36990000</v>
      </c>
      <c r="G21" s="4">
        <v>36490000</v>
      </c>
    </row>
    <row r="22" spans="1:7" x14ac:dyDescent="0.2">
      <c r="A22" t="s">
        <v>227</v>
      </c>
      <c r="B22" s="25"/>
      <c r="C22" s="3">
        <v>5770000</v>
      </c>
      <c r="D22" s="3">
        <v>5690000</v>
      </c>
      <c r="E22" s="37">
        <v>5590000</v>
      </c>
      <c r="F22" s="38">
        <v>5690000</v>
      </c>
      <c r="G22" s="3">
        <v>5590000</v>
      </c>
    </row>
    <row r="23" spans="1:7" x14ac:dyDescent="0.2">
      <c r="A23" t="s">
        <v>228</v>
      </c>
      <c r="B23" s="25"/>
      <c r="C23" s="3">
        <v>7070000</v>
      </c>
      <c r="D23" s="3">
        <v>7090000</v>
      </c>
      <c r="E23" s="37">
        <v>6990000</v>
      </c>
      <c r="F23" s="34">
        <v>7190000</v>
      </c>
      <c r="G23" s="3" t="s">
        <v>243</v>
      </c>
    </row>
    <row r="24" spans="1:7" x14ac:dyDescent="0.2">
      <c r="A24" t="s">
        <v>229</v>
      </c>
      <c r="B24" s="25"/>
      <c r="C24" s="3">
        <v>6570000</v>
      </c>
      <c r="D24" s="3">
        <v>6490000</v>
      </c>
      <c r="E24" s="37">
        <v>6390000</v>
      </c>
      <c r="F24" s="38">
        <v>6490000</v>
      </c>
      <c r="G24" s="3">
        <v>6390000</v>
      </c>
    </row>
    <row r="25" spans="1:7" x14ac:dyDescent="0.2">
      <c r="A25" t="s">
        <v>230</v>
      </c>
      <c r="B25" s="25"/>
      <c r="C25" s="3">
        <v>7870000</v>
      </c>
      <c r="D25" s="25">
        <v>7890000</v>
      </c>
      <c r="E25" s="37">
        <v>7790000</v>
      </c>
      <c r="F25" s="38">
        <v>8090000</v>
      </c>
      <c r="G25" s="3" t="s">
        <v>244</v>
      </c>
    </row>
    <row r="26" spans="1:7" x14ac:dyDescent="0.2">
      <c r="A26" t="s">
        <v>213</v>
      </c>
      <c r="B26" s="25"/>
      <c r="C26" s="25">
        <v>9690000</v>
      </c>
      <c r="D26" s="3">
        <v>9990000</v>
      </c>
      <c r="E26" s="37">
        <v>9990000</v>
      </c>
      <c r="F26" s="34">
        <v>9990000</v>
      </c>
      <c r="G26" s="3">
        <v>9790000</v>
      </c>
    </row>
    <row r="27" spans="1:7" x14ac:dyDescent="0.2">
      <c r="A27" t="s">
        <v>214</v>
      </c>
      <c r="B27" s="25"/>
      <c r="C27" s="3">
        <v>12390000</v>
      </c>
      <c r="D27" s="3">
        <v>12390000</v>
      </c>
      <c r="E27" s="37">
        <v>12490000</v>
      </c>
      <c r="F27" s="34">
        <v>12390000</v>
      </c>
      <c r="G27" s="3">
        <v>12190000</v>
      </c>
    </row>
    <row r="28" spans="1:7" x14ac:dyDescent="0.2">
      <c r="A28" t="s">
        <v>215</v>
      </c>
      <c r="B28" s="25"/>
      <c r="C28" s="3">
        <v>10790000</v>
      </c>
      <c r="D28" s="3">
        <v>10890000</v>
      </c>
      <c r="E28" s="37">
        <v>10690000</v>
      </c>
      <c r="F28" s="34">
        <v>10790000</v>
      </c>
      <c r="G28" s="3" t="s">
        <v>245</v>
      </c>
    </row>
    <row r="29" spans="1:7" x14ac:dyDescent="0.2">
      <c r="A29" t="s">
        <v>217</v>
      </c>
      <c r="B29" s="3"/>
      <c r="C29" s="3">
        <v>13390000</v>
      </c>
      <c r="D29" s="3">
        <v>13390000</v>
      </c>
      <c r="E29" s="37">
        <v>13390000</v>
      </c>
      <c r="F29" s="34">
        <v>13290000</v>
      </c>
      <c r="G29" s="3">
        <v>13690000</v>
      </c>
    </row>
    <row r="30" spans="1:7" x14ac:dyDescent="0.2">
      <c r="A30" t="s">
        <v>172</v>
      </c>
      <c r="B30" s="25"/>
      <c r="C30" s="25">
        <v>22490000</v>
      </c>
      <c r="D30" s="25">
        <v>22990000</v>
      </c>
      <c r="E30" s="39">
        <v>21990000</v>
      </c>
      <c r="F30" s="39">
        <v>21990000</v>
      </c>
      <c r="G30" s="4">
        <v>22990000</v>
      </c>
    </row>
    <row r="31" spans="1:7" x14ac:dyDescent="0.2">
      <c r="A31" t="s">
        <v>53</v>
      </c>
      <c r="B31" s="3"/>
      <c r="C31" s="3">
        <v>5690000</v>
      </c>
      <c r="D31" s="34">
        <v>5590000</v>
      </c>
      <c r="E31" s="37">
        <v>5390000</v>
      </c>
      <c r="F31" s="37">
        <v>5590000</v>
      </c>
      <c r="G31" s="3">
        <v>5590000</v>
      </c>
    </row>
    <row r="32" spans="1:7" x14ac:dyDescent="0.2">
      <c r="A32" t="s">
        <v>54</v>
      </c>
      <c r="B32" s="3"/>
      <c r="C32" s="3">
        <v>4490000</v>
      </c>
      <c r="D32" s="37">
        <v>4490000</v>
      </c>
      <c r="E32" s="37">
        <v>4290000</v>
      </c>
      <c r="F32" s="37">
        <v>4490000</v>
      </c>
      <c r="G32" s="3">
        <v>4390000</v>
      </c>
    </row>
    <row r="33" spans="1:7" x14ac:dyDescent="0.2">
      <c r="A33" t="s">
        <v>55</v>
      </c>
      <c r="B33" s="3"/>
      <c r="C33" s="3">
        <v>3190000</v>
      </c>
      <c r="D33" s="37">
        <v>3390000</v>
      </c>
      <c r="E33" s="37">
        <v>2990000</v>
      </c>
      <c r="F33" s="37">
        <v>3150000</v>
      </c>
      <c r="G33" s="3">
        <v>3050000</v>
      </c>
    </row>
    <row r="34" spans="1:7" x14ac:dyDescent="0.2">
      <c r="A34" t="s">
        <v>173</v>
      </c>
      <c r="B34" s="25"/>
      <c r="C34" s="25" t="s">
        <v>22</v>
      </c>
      <c r="D34" s="42">
        <v>3990000</v>
      </c>
      <c r="E34" s="39">
        <v>3490000</v>
      </c>
      <c r="F34" s="38">
        <v>3790000</v>
      </c>
      <c r="G34" s="4" t="s">
        <v>22</v>
      </c>
    </row>
    <row r="35" spans="1:7" x14ac:dyDescent="0.2">
      <c r="A35" t="s">
        <v>175</v>
      </c>
      <c r="B35" s="3"/>
      <c r="C35" s="25">
        <v>17790000</v>
      </c>
      <c r="D35" s="34">
        <v>17590000</v>
      </c>
      <c r="E35" s="36"/>
      <c r="F35" s="38">
        <v>17690000</v>
      </c>
      <c r="G35" s="4">
        <v>17290000</v>
      </c>
    </row>
    <row r="36" spans="1:7" x14ac:dyDescent="0.2">
      <c r="A36" t="s">
        <v>186</v>
      </c>
      <c r="B36" s="25"/>
      <c r="C36" s="25">
        <v>22990000</v>
      </c>
      <c r="D36" s="25">
        <v>22790000</v>
      </c>
      <c r="E36" s="36"/>
      <c r="F36" s="38" t="s">
        <v>238</v>
      </c>
      <c r="G36" s="3">
        <v>23090000</v>
      </c>
    </row>
    <row r="37" spans="1:7" x14ac:dyDescent="0.2">
      <c r="A37" t="s">
        <v>232</v>
      </c>
      <c r="B37" s="3"/>
      <c r="C37" s="36" t="s">
        <v>22</v>
      </c>
      <c r="D37" s="34">
        <v>25890000</v>
      </c>
      <c r="E37" s="36"/>
      <c r="F37" s="38">
        <v>25990000</v>
      </c>
      <c r="G37" s="3">
        <v>25490000</v>
      </c>
    </row>
    <row r="38" spans="1:7" x14ac:dyDescent="0.2">
      <c r="A38" t="s">
        <v>233</v>
      </c>
      <c r="B38" s="25"/>
      <c r="C38" s="36" t="s">
        <v>22</v>
      </c>
      <c r="D38" s="3">
        <v>31890000</v>
      </c>
      <c r="E38" s="36"/>
      <c r="F38" s="38">
        <v>31690000</v>
      </c>
      <c r="G38" s="4">
        <v>32490000</v>
      </c>
    </row>
    <row r="39" spans="1:7" x14ac:dyDescent="0.2">
      <c r="A39" t="s">
        <v>187</v>
      </c>
      <c r="B39" s="25"/>
      <c r="C39" s="36" t="s">
        <v>22</v>
      </c>
      <c r="D39" s="25">
        <v>39790000</v>
      </c>
      <c r="E39" s="36"/>
      <c r="F39" s="39">
        <v>39850000</v>
      </c>
      <c r="G39" s="4" t="s">
        <v>22</v>
      </c>
    </row>
  </sheetData>
  <pageMargins left="0.7" right="0.7" top="0.75" bottom="0.75" header="0.3" footer="0.3"/>
  <pageSetup paperSize="9" orientation="portrait" horizontalDpi="0" verticalDpi="0"/>
  <legacyDrawing r:id="rId1"/>
</worksheet>
</file>

<file path=xl/worksheets/sheet4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K39"/>
  <sheetViews>
    <sheetView zoomScale="85" zoomScaleNormal="110" workbookViewId="0">
      <pane xSplit="1" ySplit="1" topLeftCell="C2" activePane="bottomRight" state="frozen"/>
      <selection pane="topRight" activeCell="B1" sqref="B1"/>
      <selection pane="bottomLeft" activeCell="A2" sqref="A2"/>
      <selection pane="bottomRight" activeCell="B1" sqref="B1"/>
    </sheetView>
  </sheetViews>
  <sheetFormatPr baseColWidth="10" defaultColWidth="11" defaultRowHeight="16" x14ac:dyDescent="0.2"/>
  <cols>
    <col min="1" max="1" width="27.5" bestFit="1" customWidth="1"/>
    <col min="2" max="2" width="0" hidden="1"/>
  </cols>
  <sheetData>
    <row r="1" spans="1:11" x14ac:dyDescent="0.2">
      <c r="B1" s="46" t="s">
        <v>0</v>
      </c>
      <c r="C1" s="46" t="s">
        <v>1</v>
      </c>
      <c r="D1" s="46" t="s">
        <v>2</v>
      </c>
      <c r="E1" s="46" t="s">
        <v>3</v>
      </c>
      <c r="F1" s="46" t="s">
        <v>4</v>
      </c>
      <c r="G1" s="46" t="s">
        <v>5</v>
      </c>
    </row>
    <row r="2" spans="1:11" x14ac:dyDescent="0.2">
      <c r="A2" t="s">
        <v>181</v>
      </c>
      <c r="B2" s="25"/>
      <c r="C2" s="25">
        <v>21490000</v>
      </c>
      <c r="D2" s="41">
        <v>21390000</v>
      </c>
      <c r="E2" s="39">
        <v>20790000</v>
      </c>
      <c r="F2" s="39">
        <v>20990000</v>
      </c>
      <c r="G2" s="4">
        <v>20490000</v>
      </c>
    </row>
    <row r="3" spans="1:11" x14ac:dyDescent="0.2">
      <c r="A3" t="s">
        <v>24</v>
      </c>
      <c r="B3" s="3"/>
      <c r="C3" s="25">
        <v>24790000</v>
      </c>
      <c r="D3" s="41">
        <v>24790000</v>
      </c>
      <c r="E3" s="39">
        <v>24790000</v>
      </c>
      <c r="F3" s="39">
        <v>24990000</v>
      </c>
      <c r="G3" s="3">
        <v>24590000</v>
      </c>
    </row>
    <row r="4" spans="1:11" x14ac:dyDescent="0.2">
      <c r="A4" t="s">
        <v>182</v>
      </c>
      <c r="B4" s="25"/>
      <c r="C4" s="25">
        <v>27590000</v>
      </c>
      <c r="D4" s="41">
        <v>27490000</v>
      </c>
      <c r="E4" s="39">
        <v>26990000</v>
      </c>
      <c r="F4" s="37">
        <v>27290000</v>
      </c>
      <c r="G4" s="3">
        <v>26890000</v>
      </c>
    </row>
    <row r="5" spans="1:11" x14ac:dyDescent="0.2">
      <c r="A5" t="s">
        <v>183</v>
      </c>
      <c r="B5" s="3"/>
      <c r="C5" s="25">
        <v>32890000</v>
      </c>
      <c r="D5" s="41">
        <v>32890000</v>
      </c>
      <c r="E5" s="39">
        <v>31990000</v>
      </c>
      <c r="F5" s="39">
        <v>32890000</v>
      </c>
      <c r="G5" s="3">
        <v>32290000</v>
      </c>
    </row>
    <row r="6" spans="1:11" x14ac:dyDescent="0.2">
      <c r="A6" t="s">
        <v>25</v>
      </c>
      <c r="B6" s="25"/>
      <c r="C6" s="25">
        <v>18990000</v>
      </c>
      <c r="D6" s="41">
        <v>18990000</v>
      </c>
      <c r="E6" s="39">
        <v>18990000</v>
      </c>
      <c r="F6" s="39">
        <v>18690000</v>
      </c>
      <c r="G6" s="3">
        <v>18390000</v>
      </c>
    </row>
    <row r="7" spans="1:11" x14ac:dyDescent="0.2">
      <c r="A7" t="s">
        <v>26</v>
      </c>
      <c r="B7" s="25"/>
      <c r="C7" s="25">
        <v>22990000</v>
      </c>
      <c r="D7" s="42">
        <v>22590000</v>
      </c>
      <c r="E7" s="39">
        <v>22290000</v>
      </c>
      <c r="F7" s="39">
        <v>22390000</v>
      </c>
      <c r="G7" s="4">
        <v>22090000</v>
      </c>
      <c r="I7" t="s">
        <v>31</v>
      </c>
      <c r="J7" t="s">
        <v>38</v>
      </c>
      <c r="K7" t="b">
        <v>1</v>
      </c>
    </row>
    <row r="8" spans="1:11" x14ac:dyDescent="0.2">
      <c r="A8" t="s">
        <v>157</v>
      </c>
      <c r="B8" s="25"/>
      <c r="C8" s="42" t="s">
        <v>22</v>
      </c>
      <c r="D8" s="42" t="s">
        <v>22</v>
      </c>
      <c r="E8" s="39" t="s">
        <v>22</v>
      </c>
      <c r="F8" s="36" t="s">
        <v>22</v>
      </c>
      <c r="G8" s="4" t="s">
        <v>22</v>
      </c>
      <c r="I8" t="s">
        <v>2</v>
      </c>
      <c r="J8" t="s">
        <v>198</v>
      </c>
      <c r="K8" t="b">
        <v>1</v>
      </c>
    </row>
    <row r="9" spans="1:11" x14ac:dyDescent="0.2">
      <c r="A9" t="s">
        <v>158</v>
      </c>
      <c r="B9" s="3"/>
      <c r="C9" s="3">
        <v>29990000</v>
      </c>
      <c r="D9" s="25">
        <v>29090000</v>
      </c>
      <c r="E9" s="39" t="s">
        <v>22</v>
      </c>
      <c r="F9" s="37">
        <v>29090000</v>
      </c>
      <c r="G9" s="4">
        <v>28490000</v>
      </c>
      <c r="I9" t="s">
        <v>3</v>
      </c>
      <c r="J9" t="s">
        <v>36</v>
      </c>
      <c r="K9" t="b">
        <v>1</v>
      </c>
    </row>
    <row r="10" spans="1:11" x14ac:dyDescent="0.2">
      <c r="A10" t="s">
        <v>92</v>
      </c>
      <c r="B10" s="3"/>
      <c r="C10" s="42" t="s">
        <v>22</v>
      </c>
      <c r="D10" s="25">
        <v>19690000</v>
      </c>
      <c r="E10" s="39">
        <v>18990000</v>
      </c>
      <c r="F10" s="38">
        <v>19490000</v>
      </c>
      <c r="G10" s="4">
        <v>19690000</v>
      </c>
      <c r="I10" t="s">
        <v>4</v>
      </c>
      <c r="J10" t="s">
        <v>34</v>
      </c>
      <c r="K10" t="b">
        <v>1</v>
      </c>
    </row>
    <row r="11" spans="1:11" x14ac:dyDescent="0.2">
      <c r="A11" t="s">
        <v>27</v>
      </c>
      <c r="B11" s="25"/>
      <c r="C11" s="25">
        <v>15990000</v>
      </c>
      <c r="D11" s="39">
        <v>15990000</v>
      </c>
      <c r="E11" s="39">
        <v>15290000</v>
      </c>
      <c r="F11" s="38">
        <v>15590000</v>
      </c>
      <c r="G11" s="3">
        <v>15690000</v>
      </c>
      <c r="I11" t="s">
        <v>41</v>
      </c>
      <c r="J11" t="s">
        <v>42</v>
      </c>
      <c r="K11" t="b">
        <v>1</v>
      </c>
    </row>
    <row r="12" spans="1:11" x14ac:dyDescent="0.2">
      <c r="A12" t="s">
        <v>28</v>
      </c>
      <c r="B12" s="3"/>
      <c r="C12" s="3">
        <v>12850000</v>
      </c>
      <c r="D12" s="38">
        <v>12890000</v>
      </c>
      <c r="E12" s="39">
        <v>12590000</v>
      </c>
      <c r="F12" s="38">
        <v>12650000</v>
      </c>
      <c r="G12" s="4" t="s">
        <v>237</v>
      </c>
    </row>
    <row r="13" spans="1:11" x14ac:dyDescent="0.2">
      <c r="A13" t="s">
        <v>98</v>
      </c>
      <c r="B13" s="25"/>
      <c r="C13" s="3">
        <v>9990000</v>
      </c>
      <c r="D13" s="25" t="s">
        <v>22</v>
      </c>
      <c r="E13" s="39">
        <v>10490000</v>
      </c>
      <c r="F13" s="38">
        <v>9990000</v>
      </c>
      <c r="G13" s="4" t="s">
        <v>22</v>
      </c>
    </row>
    <row r="14" spans="1:11" x14ac:dyDescent="0.2">
      <c r="A14" t="s">
        <v>102</v>
      </c>
      <c r="B14" s="25"/>
      <c r="C14" s="42" t="s">
        <v>22</v>
      </c>
      <c r="D14" s="3">
        <v>9190000</v>
      </c>
      <c r="E14" s="39" t="s">
        <v>22</v>
      </c>
      <c r="F14" s="38">
        <v>8890000</v>
      </c>
      <c r="G14" s="4" t="s">
        <v>22</v>
      </c>
    </row>
    <row r="15" spans="1:11" x14ac:dyDescent="0.2">
      <c r="A15" t="s">
        <v>29</v>
      </c>
      <c r="B15" s="25"/>
      <c r="C15" s="25">
        <v>13990000</v>
      </c>
      <c r="D15" s="25">
        <v>13990000</v>
      </c>
      <c r="E15" s="39">
        <v>13790000</v>
      </c>
      <c r="F15" s="38">
        <v>13990000</v>
      </c>
      <c r="G15" s="4">
        <v>13690000</v>
      </c>
    </row>
    <row r="16" spans="1:11" x14ac:dyDescent="0.2">
      <c r="A16" t="s">
        <v>162</v>
      </c>
      <c r="B16" s="25"/>
      <c r="C16" s="25">
        <v>8990000</v>
      </c>
      <c r="D16" s="3">
        <v>8890000</v>
      </c>
      <c r="E16" s="39">
        <v>8390000</v>
      </c>
      <c r="F16" s="38">
        <v>8790000</v>
      </c>
      <c r="G16" s="3">
        <v>8690000</v>
      </c>
    </row>
    <row r="17" spans="1:7" x14ac:dyDescent="0.2">
      <c r="A17" t="s">
        <v>163</v>
      </c>
      <c r="B17" s="3"/>
      <c r="C17" s="25">
        <v>6990000</v>
      </c>
      <c r="D17" s="25">
        <v>6990000</v>
      </c>
      <c r="E17" s="39">
        <v>6990000</v>
      </c>
      <c r="F17" s="38">
        <v>6890000</v>
      </c>
      <c r="G17" s="4">
        <v>6890000</v>
      </c>
    </row>
    <row r="18" spans="1:7" x14ac:dyDescent="0.2">
      <c r="A18" t="s">
        <v>189</v>
      </c>
      <c r="B18" s="3"/>
      <c r="C18" s="25">
        <v>14990000</v>
      </c>
      <c r="D18" s="25">
        <v>14890000</v>
      </c>
      <c r="E18" s="39">
        <v>13990000</v>
      </c>
      <c r="F18" s="38">
        <v>14990000</v>
      </c>
      <c r="G18" s="4">
        <v>14590000</v>
      </c>
    </row>
    <row r="19" spans="1:7" x14ac:dyDescent="0.2">
      <c r="A19" t="s">
        <v>190</v>
      </c>
      <c r="B19" s="25"/>
      <c r="C19" s="25">
        <v>20590000</v>
      </c>
      <c r="D19" s="25">
        <v>20490000</v>
      </c>
      <c r="E19" s="39">
        <v>19490000</v>
      </c>
      <c r="F19" s="38">
        <v>20490000</v>
      </c>
      <c r="G19" s="4">
        <v>20090000</v>
      </c>
    </row>
    <row r="20" spans="1:7" x14ac:dyDescent="0.2">
      <c r="A20" t="s">
        <v>184</v>
      </c>
      <c r="B20" s="25"/>
      <c r="C20" s="25">
        <v>27690000</v>
      </c>
      <c r="D20" s="25">
        <v>27690000</v>
      </c>
      <c r="E20" s="39">
        <v>27190000</v>
      </c>
      <c r="F20" s="34">
        <v>27890000</v>
      </c>
      <c r="G20" s="4">
        <v>27090000</v>
      </c>
    </row>
    <row r="21" spans="1:7" x14ac:dyDescent="0.2">
      <c r="A21" t="s">
        <v>185</v>
      </c>
      <c r="B21" s="3"/>
      <c r="C21" s="25">
        <v>36890000</v>
      </c>
      <c r="D21" s="25">
        <v>36890000</v>
      </c>
      <c r="E21" s="39">
        <v>36490000</v>
      </c>
      <c r="F21" s="38">
        <v>36790000</v>
      </c>
      <c r="G21" s="4">
        <v>36490000</v>
      </c>
    </row>
    <row r="22" spans="1:7" x14ac:dyDescent="0.2">
      <c r="A22" t="s">
        <v>227</v>
      </c>
      <c r="B22" s="25"/>
      <c r="C22" s="25">
        <v>5770000</v>
      </c>
      <c r="D22" s="25">
        <v>5690000</v>
      </c>
      <c r="E22" s="39">
        <v>5590000</v>
      </c>
      <c r="F22" s="38">
        <v>5690000</v>
      </c>
      <c r="G22" s="3">
        <v>5690000</v>
      </c>
    </row>
    <row r="23" spans="1:7" x14ac:dyDescent="0.2">
      <c r="A23" t="s">
        <v>228</v>
      </c>
      <c r="B23" s="25"/>
      <c r="C23" s="25">
        <v>7070000</v>
      </c>
      <c r="D23" s="25">
        <v>7090000</v>
      </c>
      <c r="E23" s="39">
        <v>6990000</v>
      </c>
      <c r="F23" s="34">
        <v>7050000</v>
      </c>
      <c r="G23" s="3" t="s">
        <v>246</v>
      </c>
    </row>
    <row r="24" spans="1:7" x14ac:dyDescent="0.2">
      <c r="A24" t="s">
        <v>229</v>
      </c>
      <c r="B24" s="25"/>
      <c r="C24" s="25">
        <v>6570000</v>
      </c>
      <c r="D24" s="25">
        <v>6490000</v>
      </c>
      <c r="E24" s="39">
        <v>6390000</v>
      </c>
      <c r="F24" s="38">
        <v>6490000</v>
      </c>
      <c r="G24" s="3">
        <v>6490000</v>
      </c>
    </row>
    <row r="25" spans="1:7" x14ac:dyDescent="0.2">
      <c r="A25" t="s">
        <v>230</v>
      </c>
      <c r="B25" s="25"/>
      <c r="C25" s="25">
        <v>7870000</v>
      </c>
      <c r="D25" s="25">
        <v>7890000</v>
      </c>
      <c r="E25" s="39">
        <v>7790000</v>
      </c>
      <c r="F25" s="38">
        <v>8090000</v>
      </c>
      <c r="G25" s="3">
        <v>8090000</v>
      </c>
    </row>
    <row r="26" spans="1:7" x14ac:dyDescent="0.2">
      <c r="A26" t="s">
        <v>213</v>
      </c>
      <c r="B26" s="25"/>
      <c r="C26" s="25">
        <v>9690000</v>
      </c>
      <c r="D26" s="25">
        <v>9990000</v>
      </c>
      <c r="E26" s="39">
        <v>9990000</v>
      </c>
      <c r="F26" s="34">
        <v>9790000</v>
      </c>
      <c r="G26" s="4">
        <v>9750000</v>
      </c>
    </row>
    <row r="27" spans="1:7" x14ac:dyDescent="0.2">
      <c r="A27" t="s">
        <v>214</v>
      </c>
      <c r="B27" s="25"/>
      <c r="C27" s="25">
        <v>12390000</v>
      </c>
      <c r="D27" s="25">
        <v>12390000</v>
      </c>
      <c r="E27" s="39">
        <v>12490000</v>
      </c>
      <c r="F27" s="38">
        <v>12390000</v>
      </c>
      <c r="G27" s="3">
        <v>12390000</v>
      </c>
    </row>
    <row r="28" spans="1:7" x14ac:dyDescent="0.2">
      <c r="A28" t="s">
        <v>215</v>
      </c>
      <c r="B28" s="25"/>
      <c r="C28" s="25">
        <v>10790000</v>
      </c>
      <c r="D28" s="25">
        <v>10890000</v>
      </c>
      <c r="E28" s="39">
        <v>10690000</v>
      </c>
      <c r="F28" s="34">
        <v>10790000</v>
      </c>
      <c r="G28" s="3" t="s">
        <v>247</v>
      </c>
    </row>
    <row r="29" spans="1:7" x14ac:dyDescent="0.2">
      <c r="A29" t="s">
        <v>217</v>
      </c>
      <c r="B29" s="3"/>
      <c r="C29" s="25">
        <v>13390000</v>
      </c>
      <c r="D29" s="25">
        <v>13390000</v>
      </c>
      <c r="E29" s="39">
        <v>13390000</v>
      </c>
      <c r="F29" s="38">
        <v>13290000</v>
      </c>
      <c r="G29" s="3">
        <v>13890000</v>
      </c>
    </row>
    <row r="30" spans="1:7" x14ac:dyDescent="0.2">
      <c r="A30" t="s">
        <v>172</v>
      </c>
      <c r="B30" s="25"/>
      <c r="C30" s="25">
        <v>22490000</v>
      </c>
      <c r="D30" s="25">
        <v>22990000</v>
      </c>
      <c r="E30" s="39">
        <v>21990000</v>
      </c>
      <c r="F30" s="39">
        <v>21990000</v>
      </c>
      <c r="G30" s="4">
        <v>22990000</v>
      </c>
    </row>
    <row r="31" spans="1:7" x14ac:dyDescent="0.2">
      <c r="A31" t="s">
        <v>53</v>
      </c>
      <c r="B31" s="3"/>
      <c r="C31" s="25">
        <v>5690000</v>
      </c>
      <c r="D31" s="38">
        <v>5590000</v>
      </c>
      <c r="E31" s="39">
        <v>5390000</v>
      </c>
      <c r="F31" s="39">
        <v>5590000</v>
      </c>
      <c r="G31" s="3">
        <v>5590000</v>
      </c>
    </row>
    <row r="32" spans="1:7" x14ac:dyDescent="0.2">
      <c r="A32" t="s">
        <v>54</v>
      </c>
      <c r="B32" s="3"/>
      <c r="C32" s="25">
        <v>4490000</v>
      </c>
      <c r="D32" s="39">
        <v>4490000</v>
      </c>
      <c r="E32" s="39">
        <v>4290000</v>
      </c>
      <c r="F32" s="39">
        <v>4450000</v>
      </c>
      <c r="G32" s="3">
        <v>4490000</v>
      </c>
    </row>
    <row r="33" spans="1:7" x14ac:dyDescent="0.2">
      <c r="A33" t="s">
        <v>55</v>
      </c>
      <c r="B33" s="3"/>
      <c r="C33" s="25">
        <v>3190000</v>
      </c>
      <c r="D33" s="37">
        <v>3190000</v>
      </c>
      <c r="E33" s="39">
        <v>2990000</v>
      </c>
      <c r="F33" s="39">
        <v>3150000</v>
      </c>
      <c r="G33" s="3">
        <v>3150000</v>
      </c>
    </row>
    <row r="34" spans="1:7" x14ac:dyDescent="0.2">
      <c r="A34" t="s">
        <v>173</v>
      </c>
      <c r="B34" s="25"/>
      <c r="C34" s="25" t="s">
        <v>22</v>
      </c>
      <c r="D34" s="42">
        <v>3990000</v>
      </c>
      <c r="E34" s="39">
        <v>3490000</v>
      </c>
      <c r="F34" s="38">
        <v>3790000</v>
      </c>
      <c r="G34" s="4" t="s">
        <v>22</v>
      </c>
    </row>
    <row r="35" spans="1:7" x14ac:dyDescent="0.2">
      <c r="A35" t="s">
        <v>175</v>
      </c>
      <c r="B35" s="3"/>
      <c r="C35" s="25">
        <v>17790000</v>
      </c>
      <c r="D35" s="34">
        <v>17790000</v>
      </c>
      <c r="E35" s="36"/>
      <c r="F35" s="38">
        <v>17690000</v>
      </c>
      <c r="G35" s="4">
        <v>17290000</v>
      </c>
    </row>
    <row r="36" spans="1:7" x14ac:dyDescent="0.2">
      <c r="A36" t="s">
        <v>186</v>
      </c>
      <c r="B36" s="25"/>
      <c r="C36" s="25">
        <v>22990000</v>
      </c>
      <c r="D36" s="3">
        <v>22990000</v>
      </c>
      <c r="E36" s="36"/>
      <c r="F36" s="38" t="s">
        <v>238</v>
      </c>
      <c r="G36" s="4">
        <v>23090000</v>
      </c>
    </row>
    <row r="37" spans="1:7" x14ac:dyDescent="0.2">
      <c r="A37" t="s">
        <v>232</v>
      </c>
      <c r="B37" s="3"/>
      <c r="C37" s="36" t="s">
        <v>22</v>
      </c>
      <c r="D37" s="34">
        <v>26090000</v>
      </c>
      <c r="E37" s="36"/>
      <c r="F37" s="38">
        <v>25990000</v>
      </c>
      <c r="G37" s="4">
        <v>25490000</v>
      </c>
    </row>
    <row r="38" spans="1:7" x14ac:dyDescent="0.2">
      <c r="A38" t="s">
        <v>233</v>
      </c>
      <c r="B38" s="25"/>
      <c r="C38" s="36" t="s">
        <v>22</v>
      </c>
      <c r="D38" s="3">
        <v>32090000</v>
      </c>
      <c r="E38" s="36"/>
      <c r="F38" s="38">
        <v>31690000</v>
      </c>
      <c r="G38" s="4">
        <v>32490000</v>
      </c>
    </row>
    <row r="39" spans="1:7" x14ac:dyDescent="0.2">
      <c r="A39" t="s">
        <v>187</v>
      </c>
      <c r="B39" s="25"/>
      <c r="C39" s="36" t="s">
        <v>22</v>
      </c>
      <c r="D39" s="3">
        <v>39990000</v>
      </c>
      <c r="E39" s="36"/>
      <c r="F39" s="39">
        <v>39850000</v>
      </c>
      <c r="G39" s="4" t="s">
        <v>22</v>
      </c>
    </row>
  </sheetData>
  <pageMargins left="0.7" right="0.7" top="0.75" bottom="0.75" header="0.3" footer="0.3"/>
  <pageSetup paperSize="9" orientation="portrait" horizontalDpi="0" verticalDpi="0"/>
  <legacyDrawing r:id="rId1"/>
</worksheet>
</file>

<file path=xl/worksheets/sheet4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A1:K39"/>
  <sheetViews>
    <sheetView zoomScale="115" zoomScaleNormal="110" workbookViewId="0">
      <pane xSplit="1" ySplit="1" topLeftCell="C2" activePane="bottomRight" state="frozen"/>
      <selection pane="topRight" activeCell="B1" sqref="B1"/>
      <selection pane="bottomLeft" activeCell="A2" sqref="A2"/>
      <selection pane="bottomRight" activeCell="B1" sqref="B1"/>
    </sheetView>
  </sheetViews>
  <sheetFormatPr baseColWidth="10" defaultColWidth="11" defaultRowHeight="16" x14ac:dyDescent="0.2"/>
  <cols>
    <col min="1" max="1" width="27.5" bestFit="1" customWidth="1"/>
    <col min="2" max="2" width="0" hidden="1"/>
  </cols>
  <sheetData>
    <row r="1" spans="1:11" x14ac:dyDescent="0.2">
      <c r="B1" s="46" t="s">
        <v>0</v>
      </c>
      <c r="C1" s="46" t="s">
        <v>1</v>
      </c>
      <c r="D1" s="46" t="s">
        <v>2</v>
      </c>
      <c r="E1" s="46" t="s">
        <v>3</v>
      </c>
      <c r="F1" s="46" t="s">
        <v>4</v>
      </c>
      <c r="G1" s="46" t="s">
        <v>5</v>
      </c>
    </row>
    <row r="2" spans="1:11" x14ac:dyDescent="0.2">
      <c r="A2" t="s">
        <v>181</v>
      </c>
      <c r="B2" s="25"/>
      <c r="C2" s="25">
        <v>21490000</v>
      </c>
      <c r="D2" s="42">
        <v>21390000</v>
      </c>
      <c r="E2" s="39">
        <v>20790000</v>
      </c>
      <c r="F2" s="39">
        <v>20990000</v>
      </c>
      <c r="G2" s="4">
        <v>20490000</v>
      </c>
    </row>
    <row r="3" spans="1:11" x14ac:dyDescent="0.2">
      <c r="A3" t="s">
        <v>24</v>
      </c>
      <c r="B3" s="3"/>
      <c r="C3" s="25">
        <v>24790000</v>
      </c>
      <c r="D3" s="42">
        <v>24790000</v>
      </c>
      <c r="E3" s="39">
        <v>24790000</v>
      </c>
      <c r="F3" s="39">
        <v>24990000</v>
      </c>
      <c r="G3" s="4">
        <v>24590000</v>
      </c>
    </row>
    <row r="4" spans="1:11" x14ac:dyDescent="0.2">
      <c r="A4" t="s">
        <v>182</v>
      </c>
      <c r="B4" s="25"/>
      <c r="C4" s="3">
        <v>27490000</v>
      </c>
      <c r="D4" s="42">
        <v>27490000</v>
      </c>
      <c r="E4" s="39">
        <v>26990000</v>
      </c>
      <c r="F4" s="37">
        <v>26990000</v>
      </c>
      <c r="G4" s="3">
        <v>26590000</v>
      </c>
    </row>
    <row r="5" spans="1:11" x14ac:dyDescent="0.2">
      <c r="A5" t="s">
        <v>183</v>
      </c>
      <c r="B5" s="3"/>
      <c r="C5" s="3">
        <v>32090000</v>
      </c>
      <c r="D5" s="41">
        <v>31990000</v>
      </c>
      <c r="E5" s="39">
        <v>31790000</v>
      </c>
      <c r="F5" s="37">
        <v>31990000</v>
      </c>
      <c r="G5" s="3">
        <v>31590000</v>
      </c>
    </row>
    <row r="6" spans="1:11" x14ac:dyDescent="0.2">
      <c r="A6" t="s">
        <v>25</v>
      </c>
      <c r="B6" s="25"/>
      <c r="C6" s="25">
        <v>18990000</v>
      </c>
      <c r="D6" s="42">
        <v>18990000</v>
      </c>
      <c r="E6" s="39">
        <v>18990000</v>
      </c>
      <c r="F6" s="39">
        <v>18690000</v>
      </c>
      <c r="G6" s="4">
        <v>18390000</v>
      </c>
    </row>
    <row r="7" spans="1:11" x14ac:dyDescent="0.2">
      <c r="A7" t="s">
        <v>26</v>
      </c>
      <c r="B7" s="25"/>
      <c r="C7" s="3">
        <v>22690000</v>
      </c>
      <c r="D7" s="42">
        <v>22590000</v>
      </c>
      <c r="E7" s="39">
        <v>22290000</v>
      </c>
      <c r="F7" s="37">
        <v>21890000</v>
      </c>
      <c r="G7" s="4">
        <v>22090000</v>
      </c>
      <c r="I7" t="s">
        <v>31</v>
      </c>
      <c r="J7" t="s">
        <v>38</v>
      </c>
      <c r="K7" t="b">
        <v>1</v>
      </c>
    </row>
    <row r="8" spans="1:11" x14ac:dyDescent="0.2">
      <c r="A8" t="s">
        <v>157</v>
      </c>
      <c r="B8" s="25"/>
      <c r="C8" s="42" t="s">
        <v>22</v>
      </c>
      <c r="D8" s="42" t="s">
        <v>22</v>
      </c>
      <c r="E8" s="39" t="s">
        <v>22</v>
      </c>
      <c r="F8" s="36" t="s">
        <v>22</v>
      </c>
      <c r="G8" s="4" t="s">
        <v>22</v>
      </c>
      <c r="I8" t="s">
        <v>2</v>
      </c>
      <c r="J8" t="s">
        <v>198</v>
      </c>
      <c r="K8" t="b">
        <v>1</v>
      </c>
    </row>
    <row r="9" spans="1:11" x14ac:dyDescent="0.2">
      <c r="A9" t="s">
        <v>158</v>
      </c>
      <c r="B9" s="3"/>
      <c r="C9" s="25">
        <v>29990000</v>
      </c>
      <c r="D9" s="25">
        <v>29090000</v>
      </c>
      <c r="E9" s="39" t="s">
        <v>22</v>
      </c>
      <c r="F9" s="37">
        <v>28790000</v>
      </c>
      <c r="G9" s="4">
        <v>28390000</v>
      </c>
      <c r="I9" t="s">
        <v>3</v>
      </c>
      <c r="J9" t="s">
        <v>36</v>
      </c>
      <c r="K9" t="b">
        <v>1</v>
      </c>
    </row>
    <row r="10" spans="1:11" x14ac:dyDescent="0.2">
      <c r="A10" t="s">
        <v>92</v>
      </c>
      <c r="B10" s="3"/>
      <c r="C10" s="42" t="s">
        <v>22</v>
      </c>
      <c r="D10" s="3">
        <v>18990000</v>
      </c>
      <c r="E10" s="39">
        <v>18990000</v>
      </c>
      <c r="F10" s="34">
        <v>18690000</v>
      </c>
      <c r="G10" s="4">
        <v>19690000</v>
      </c>
      <c r="I10" t="s">
        <v>4</v>
      </c>
      <c r="J10" t="s">
        <v>34</v>
      </c>
      <c r="K10" t="b">
        <v>1</v>
      </c>
    </row>
    <row r="11" spans="1:11" x14ac:dyDescent="0.2">
      <c r="A11" t="s">
        <v>27</v>
      </c>
      <c r="B11" s="25"/>
      <c r="C11" s="25">
        <v>15990000</v>
      </c>
      <c r="D11" s="39">
        <v>15990000</v>
      </c>
      <c r="E11" s="39">
        <v>15290000</v>
      </c>
      <c r="F11" s="34">
        <v>15090000</v>
      </c>
      <c r="G11" s="4">
        <v>15690000</v>
      </c>
      <c r="I11" t="s">
        <v>41</v>
      </c>
      <c r="J11" t="s">
        <v>42</v>
      </c>
      <c r="K11" t="b">
        <v>1</v>
      </c>
    </row>
    <row r="12" spans="1:11" x14ac:dyDescent="0.2">
      <c r="A12" t="s">
        <v>28</v>
      </c>
      <c r="B12" s="3"/>
      <c r="C12" s="3">
        <v>13290000</v>
      </c>
      <c r="D12" s="38">
        <v>12890000</v>
      </c>
      <c r="E12" s="39">
        <v>12590000</v>
      </c>
      <c r="F12" s="38">
        <v>12590000</v>
      </c>
      <c r="G12" s="4" t="s">
        <v>237</v>
      </c>
    </row>
    <row r="13" spans="1:11" x14ac:dyDescent="0.2">
      <c r="A13" t="s">
        <v>98</v>
      </c>
      <c r="B13" s="25"/>
      <c r="C13" s="25">
        <v>9990000</v>
      </c>
      <c r="D13" s="25" t="s">
        <v>22</v>
      </c>
      <c r="E13" s="34">
        <v>9990000</v>
      </c>
      <c r="F13" s="38">
        <v>9990000</v>
      </c>
      <c r="G13" s="4" t="s">
        <v>22</v>
      </c>
    </row>
    <row r="14" spans="1:11" x14ac:dyDescent="0.2">
      <c r="A14" t="s">
        <v>102</v>
      </c>
      <c r="B14" s="25"/>
      <c r="C14" s="42" t="s">
        <v>22</v>
      </c>
      <c r="D14" s="25">
        <v>9190000</v>
      </c>
      <c r="E14" s="39" t="s">
        <v>22</v>
      </c>
      <c r="F14" s="38">
        <v>8790000</v>
      </c>
      <c r="G14" s="4" t="s">
        <v>22</v>
      </c>
    </row>
    <row r="15" spans="1:11" x14ac:dyDescent="0.2">
      <c r="A15" t="s">
        <v>29</v>
      </c>
      <c r="B15" s="25"/>
      <c r="C15" s="25">
        <v>13990000</v>
      </c>
      <c r="D15" s="25">
        <v>13990000</v>
      </c>
      <c r="E15" s="39">
        <v>13790000</v>
      </c>
      <c r="F15" s="38">
        <v>13990000</v>
      </c>
      <c r="G15" s="4">
        <v>13690000</v>
      </c>
    </row>
    <row r="16" spans="1:11" x14ac:dyDescent="0.2">
      <c r="A16" t="s">
        <v>162</v>
      </c>
      <c r="B16" s="25"/>
      <c r="C16" s="3">
        <v>9690000</v>
      </c>
      <c r="D16" s="3">
        <v>9690000</v>
      </c>
      <c r="E16" s="34">
        <v>9690000</v>
      </c>
      <c r="F16" s="34">
        <v>9590000</v>
      </c>
      <c r="G16" s="3">
        <v>9590000</v>
      </c>
    </row>
    <row r="17" spans="1:7" x14ac:dyDescent="0.2">
      <c r="A17" t="s">
        <v>163</v>
      </c>
      <c r="B17" s="3"/>
      <c r="C17" s="25">
        <v>6990000</v>
      </c>
      <c r="D17" s="25">
        <v>6990000</v>
      </c>
      <c r="E17" s="39">
        <v>6990000</v>
      </c>
      <c r="F17" s="38">
        <v>6850000</v>
      </c>
      <c r="G17" s="4">
        <v>6890000</v>
      </c>
    </row>
    <row r="18" spans="1:7" x14ac:dyDescent="0.2">
      <c r="A18" t="s">
        <v>189</v>
      </c>
      <c r="B18" s="3"/>
      <c r="C18" s="25">
        <v>14990000</v>
      </c>
      <c r="D18" s="3">
        <v>16090000</v>
      </c>
      <c r="E18" s="34">
        <v>15790000</v>
      </c>
      <c r="F18" s="34">
        <v>16390000</v>
      </c>
      <c r="G18" s="3">
        <v>15790000</v>
      </c>
    </row>
    <row r="19" spans="1:7" x14ac:dyDescent="0.2">
      <c r="A19" t="s">
        <v>190</v>
      </c>
      <c r="B19" s="25"/>
      <c r="C19" s="25">
        <v>20590000</v>
      </c>
      <c r="D19" s="3">
        <v>21790000</v>
      </c>
      <c r="E19" s="34">
        <v>21490000</v>
      </c>
      <c r="F19" s="38">
        <v>20990000</v>
      </c>
      <c r="G19" s="4">
        <v>20790000</v>
      </c>
    </row>
    <row r="20" spans="1:7" x14ac:dyDescent="0.2">
      <c r="A20" t="s">
        <v>184</v>
      </c>
      <c r="B20" s="25"/>
      <c r="C20" s="25">
        <v>2</v>
      </c>
      <c r="D20" s="3">
        <v>27790000</v>
      </c>
      <c r="E20" s="39">
        <v>27190000</v>
      </c>
      <c r="F20" s="34">
        <v>27890000</v>
      </c>
      <c r="G20" s="4">
        <v>27090000</v>
      </c>
    </row>
    <row r="21" spans="1:7" x14ac:dyDescent="0.2">
      <c r="A21" t="s">
        <v>185</v>
      </c>
      <c r="B21" s="3"/>
      <c r="C21" s="25">
        <v>36890000</v>
      </c>
      <c r="D21" s="25">
        <v>36890000</v>
      </c>
      <c r="E21" s="39">
        <v>36490000</v>
      </c>
      <c r="F21" s="38">
        <v>36990000</v>
      </c>
      <c r="G21" s="4">
        <v>36490000</v>
      </c>
    </row>
    <row r="22" spans="1:7" x14ac:dyDescent="0.2">
      <c r="A22" t="s">
        <v>227</v>
      </c>
      <c r="B22" s="25"/>
      <c r="C22" s="3">
        <v>5990000</v>
      </c>
      <c r="D22" s="3">
        <v>5890000</v>
      </c>
      <c r="E22" s="34">
        <v>5690000</v>
      </c>
      <c r="F22" s="38">
        <v>5690000</v>
      </c>
      <c r="G22" s="3">
        <v>5890000</v>
      </c>
    </row>
    <row r="23" spans="1:7" x14ac:dyDescent="0.2">
      <c r="A23" t="s">
        <v>228</v>
      </c>
      <c r="B23" s="25"/>
      <c r="C23" s="3">
        <v>7190000</v>
      </c>
      <c r="D23" s="3">
        <v>7190000</v>
      </c>
      <c r="E23" s="34">
        <v>6890000</v>
      </c>
      <c r="F23" s="34">
        <v>7050000</v>
      </c>
      <c r="G23" s="3" t="s">
        <v>248</v>
      </c>
    </row>
    <row r="24" spans="1:7" x14ac:dyDescent="0.2">
      <c r="A24" t="s">
        <v>229</v>
      </c>
      <c r="B24" s="25"/>
      <c r="C24" s="3">
        <v>6690000</v>
      </c>
      <c r="D24" s="3">
        <v>6690000</v>
      </c>
      <c r="E24" s="34">
        <v>6490000</v>
      </c>
      <c r="F24" s="38">
        <v>6490000</v>
      </c>
      <c r="G24" s="3">
        <v>6790000</v>
      </c>
    </row>
    <row r="25" spans="1:7" x14ac:dyDescent="0.2">
      <c r="A25" t="s">
        <v>230</v>
      </c>
      <c r="B25" s="25"/>
      <c r="C25" s="3">
        <v>7990000</v>
      </c>
      <c r="D25" s="3">
        <v>7990000</v>
      </c>
      <c r="E25" s="34">
        <v>7690000</v>
      </c>
      <c r="F25" s="34">
        <v>7890000</v>
      </c>
      <c r="G25" s="3">
        <v>7890000</v>
      </c>
    </row>
    <row r="26" spans="1:7" x14ac:dyDescent="0.2">
      <c r="A26" t="s">
        <v>213</v>
      </c>
      <c r="B26" s="25"/>
      <c r="C26" s="3">
        <v>10990000</v>
      </c>
      <c r="D26" s="3">
        <v>10890000</v>
      </c>
      <c r="E26" s="34">
        <v>10390000</v>
      </c>
      <c r="F26" s="34">
        <v>10090000</v>
      </c>
      <c r="G26" s="3">
        <v>10790000</v>
      </c>
    </row>
    <row r="27" spans="1:7" x14ac:dyDescent="0.2">
      <c r="A27" t="s">
        <v>214</v>
      </c>
      <c r="B27" s="25"/>
      <c r="C27" s="3">
        <v>13490000</v>
      </c>
      <c r="D27" s="3">
        <v>13390000</v>
      </c>
      <c r="E27" s="34">
        <v>12990000</v>
      </c>
      <c r="F27" s="38">
        <v>12990000</v>
      </c>
      <c r="G27" s="3">
        <v>13190000</v>
      </c>
    </row>
    <row r="28" spans="1:7" x14ac:dyDescent="0.2">
      <c r="A28" t="s">
        <v>215</v>
      </c>
      <c r="B28" s="25"/>
      <c r="C28" s="3">
        <v>11690000</v>
      </c>
      <c r="D28" s="3">
        <v>11690000</v>
      </c>
      <c r="E28" s="34">
        <v>11290000</v>
      </c>
      <c r="F28" s="34">
        <v>11290000</v>
      </c>
      <c r="G28" s="3" t="s">
        <v>216</v>
      </c>
    </row>
    <row r="29" spans="1:7" x14ac:dyDescent="0.2">
      <c r="A29" t="s">
        <v>217</v>
      </c>
      <c r="B29" s="3"/>
      <c r="C29" s="3">
        <v>14290000</v>
      </c>
      <c r="D29" s="3">
        <v>14190000</v>
      </c>
      <c r="E29" s="34">
        <v>13890000</v>
      </c>
      <c r="F29" s="38">
        <v>13290000</v>
      </c>
      <c r="G29" s="4">
        <v>13890000</v>
      </c>
    </row>
    <row r="30" spans="1:7" x14ac:dyDescent="0.2">
      <c r="A30" t="s">
        <v>172</v>
      </c>
      <c r="B30" s="25"/>
      <c r="C30" s="25">
        <v>22490000</v>
      </c>
      <c r="D30" s="25">
        <v>22990000</v>
      </c>
      <c r="E30" s="34">
        <v>21490000</v>
      </c>
      <c r="F30" s="37">
        <v>21990000</v>
      </c>
      <c r="G30" s="4">
        <v>22990000</v>
      </c>
    </row>
    <row r="31" spans="1:7" x14ac:dyDescent="0.2">
      <c r="A31" t="s">
        <v>53</v>
      </c>
      <c r="B31" s="3"/>
      <c r="C31" s="3">
        <v>5790000</v>
      </c>
      <c r="D31" s="38">
        <v>5590000</v>
      </c>
      <c r="E31" s="34">
        <v>5590000</v>
      </c>
      <c r="F31" s="37">
        <v>5650000</v>
      </c>
      <c r="G31" s="4">
        <v>5590000</v>
      </c>
    </row>
    <row r="32" spans="1:7" x14ac:dyDescent="0.2">
      <c r="A32" t="s">
        <v>54</v>
      </c>
      <c r="B32" s="3"/>
      <c r="C32" s="3">
        <v>4650000</v>
      </c>
      <c r="D32" s="37">
        <v>4650000</v>
      </c>
      <c r="E32" s="34">
        <v>4390000</v>
      </c>
      <c r="F32" s="37">
        <v>4590000</v>
      </c>
      <c r="G32" s="4">
        <v>4450000</v>
      </c>
    </row>
    <row r="33" spans="1:7" x14ac:dyDescent="0.2">
      <c r="A33" t="s">
        <v>55</v>
      </c>
      <c r="B33" s="3"/>
      <c r="C33" s="3">
        <v>3390000</v>
      </c>
      <c r="D33" s="37">
        <v>3350000</v>
      </c>
      <c r="E33" s="34">
        <v>3190000</v>
      </c>
      <c r="F33" s="39">
        <v>3290000</v>
      </c>
      <c r="G33" s="3">
        <v>3390000</v>
      </c>
    </row>
    <row r="34" spans="1:7" x14ac:dyDescent="0.2">
      <c r="A34" t="s">
        <v>173</v>
      </c>
      <c r="B34" s="25"/>
      <c r="C34" s="25" t="s">
        <v>22</v>
      </c>
      <c r="D34" s="42">
        <v>3990000</v>
      </c>
      <c r="E34" s="39">
        <v>3490000</v>
      </c>
      <c r="F34" s="38">
        <v>3790000</v>
      </c>
      <c r="G34" s="4" t="s">
        <v>22</v>
      </c>
    </row>
    <row r="35" spans="1:7" x14ac:dyDescent="0.2">
      <c r="A35" t="s">
        <v>175</v>
      </c>
      <c r="B35" s="3"/>
      <c r="C35" s="25">
        <v>17790000</v>
      </c>
      <c r="D35" s="34">
        <v>17490000</v>
      </c>
      <c r="E35" s="36"/>
      <c r="F35" s="38">
        <v>17490000</v>
      </c>
      <c r="G35" s="3">
        <v>16990000</v>
      </c>
    </row>
    <row r="36" spans="1:7" x14ac:dyDescent="0.2">
      <c r="A36" t="s">
        <v>186</v>
      </c>
      <c r="B36" s="25"/>
      <c r="C36" s="3">
        <v>23990000</v>
      </c>
      <c r="D36" s="3">
        <v>23590000</v>
      </c>
      <c r="E36" s="36"/>
      <c r="F36" s="34" t="s">
        <v>249</v>
      </c>
      <c r="G36" s="4">
        <v>24090000</v>
      </c>
    </row>
    <row r="37" spans="1:7" x14ac:dyDescent="0.2">
      <c r="A37" t="s">
        <v>232</v>
      </c>
      <c r="B37" s="3"/>
      <c r="C37" s="36" t="s">
        <v>22</v>
      </c>
      <c r="D37" s="34">
        <v>26290000</v>
      </c>
      <c r="E37" s="36"/>
      <c r="F37" s="34">
        <v>26890000</v>
      </c>
      <c r="G37" s="4">
        <v>27090000</v>
      </c>
    </row>
    <row r="38" spans="1:7" x14ac:dyDescent="0.2">
      <c r="A38" t="s">
        <v>233</v>
      </c>
      <c r="B38" s="25"/>
      <c r="C38" s="36" t="s">
        <v>22</v>
      </c>
      <c r="D38" s="25">
        <v>32090000</v>
      </c>
      <c r="E38" s="36"/>
      <c r="F38" s="38">
        <v>31590000</v>
      </c>
      <c r="G38" s="4">
        <v>32490000</v>
      </c>
    </row>
    <row r="39" spans="1:7" x14ac:dyDescent="0.2">
      <c r="A39" t="s">
        <v>187</v>
      </c>
      <c r="B39" s="25"/>
      <c r="C39" s="36" t="s">
        <v>22</v>
      </c>
      <c r="D39" s="25">
        <v>39990000</v>
      </c>
      <c r="E39" s="36"/>
      <c r="F39" s="39">
        <v>39850000</v>
      </c>
      <c r="G39" s="4" t="s">
        <v>22</v>
      </c>
    </row>
  </sheetData>
  <pageMargins left="0.7" right="0.7" top="0.75" bottom="0.75" header="0.3" footer="0.3"/>
  <pageSetup paperSize="9" orientation="portrait" horizontalDpi="0" verticalDpi="0"/>
  <legacyDrawing r:id="rId1"/>
</worksheet>
</file>

<file path=xl/worksheets/sheet4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dimension ref="A1:K40"/>
  <sheetViews>
    <sheetView zoomScale="120" zoomScaleNormal="120" workbookViewId="0">
      <pane xSplit="1" ySplit="1" topLeftCell="C2" activePane="bottomRight" state="frozen"/>
      <selection pane="topRight" activeCell="B1" sqref="B1"/>
      <selection pane="bottomLeft" activeCell="A2" sqref="A2"/>
      <selection pane="bottomRight" activeCell="B1" sqref="B1"/>
    </sheetView>
  </sheetViews>
  <sheetFormatPr baseColWidth="10" defaultColWidth="11" defaultRowHeight="16" x14ac:dyDescent="0.2"/>
  <cols>
    <col min="1" max="1" width="27.5" bestFit="1" customWidth="1"/>
    <col min="2" max="2" width="0" hidden="1"/>
  </cols>
  <sheetData>
    <row r="1" spans="1:11" x14ac:dyDescent="0.2">
      <c r="B1" s="46" t="s">
        <v>0</v>
      </c>
      <c r="C1" s="46" t="s">
        <v>1</v>
      </c>
      <c r="D1" s="46" t="s">
        <v>2</v>
      </c>
      <c r="E1" s="46" t="s">
        <v>3</v>
      </c>
      <c r="F1" s="46" t="s">
        <v>4</v>
      </c>
      <c r="G1" s="46" t="s">
        <v>5</v>
      </c>
    </row>
    <row r="2" spans="1:11" x14ac:dyDescent="0.2">
      <c r="A2" t="s">
        <v>21</v>
      </c>
      <c r="B2" s="46"/>
      <c r="C2" s="47">
        <v>16990000</v>
      </c>
      <c r="D2" s="47">
        <v>16990000</v>
      </c>
      <c r="E2" s="39">
        <v>16821000</v>
      </c>
      <c r="F2" s="39">
        <v>16490000</v>
      </c>
      <c r="G2" s="39">
        <v>16290000</v>
      </c>
    </row>
    <row r="3" spans="1:11" x14ac:dyDescent="0.2">
      <c r="A3" t="s">
        <v>181</v>
      </c>
      <c r="B3" s="25"/>
      <c r="C3" s="3">
        <v>19890000</v>
      </c>
      <c r="D3" s="41">
        <v>19890000</v>
      </c>
      <c r="E3" s="34">
        <v>18990000</v>
      </c>
      <c r="F3" s="37">
        <v>19790000</v>
      </c>
      <c r="G3" s="34">
        <v>18890000</v>
      </c>
    </row>
    <row r="4" spans="1:11" x14ac:dyDescent="0.2">
      <c r="A4" t="s">
        <v>24</v>
      </c>
      <c r="B4" s="3"/>
      <c r="C4" s="3">
        <v>22890000</v>
      </c>
      <c r="D4" s="41">
        <v>22790000</v>
      </c>
      <c r="E4" s="34">
        <v>21990000</v>
      </c>
      <c r="F4" s="37">
        <v>22690000</v>
      </c>
      <c r="G4" s="34">
        <v>22290000</v>
      </c>
    </row>
    <row r="5" spans="1:11" x14ac:dyDescent="0.2">
      <c r="A5" t="s">
        <v>182</v>
      </c>
      <c r="B5" s="25"/>
      <c r="C5" s="3">
        <v>25590000</v>
      </c>
      <c r="D5" s="41">
        <v>25490000</v>
      </c>
      <c r="E5" s="34">
        <v>24990000</v>
      </c>
      <c r="F5" s="37">
        <v>25490000</v>
      </c>
      <c r="G5" s="3">
        <v>25990000</v>
      </c>
    </row>
    <row r="6" spans="1:11" x14ac:dyDescent="0.2">
      <c r="A6" t="s">
        <v>183</v>
      </c>
      <c r="B6" s="3"/>
      <c r="C6" s="3">
        <v>31390000</v>
      </c>
      <c r="D6" s="41">
        <v>31390000</v>
      </c>
      <c r="E6" s="34">
        <v>30490000</v>
      </c>
      <c r="F6" s="37">
        <v>31290000</v>
      </c>
      <c r="G6" s="3">
        <v>30790000</v>
      </c>
    </row>
    <row r="7" spans="1:11" x14ac:dyDescent="0.2">
      <c r="A7" t="s">
        <v>25</v>
      </c>
      <c r="B7" s="25"/>
      <c r="C7" s="3">
        <v>15990000</v>
      </c>
      <c r="D7" s="41">
        <v>15990000</v>
      </c>
      <c r="E7" s="34">
        <v>15490000</v>
      </c>
      <c r="F7" s="37">
        <v>15990000</v>
      </c>
      <c r="G7" s="34">
        <v>15990000</v>
      </c>
    </row>
    <row r="8" spans="1:11" x14ac:dyDescent="0.2">
      <c r="A8" t="s">
        <v>26</v>
      </c>
      <c r="B8" s="25"/>
      <c r="C8" s="3">
        <v>19790000</v>
      </c>
      <c r="D8" s="41">
        <v>19790000</v>
      </c>
      <c r="E8" s="34">
        <v>18990000</v>
      </c>
      <c r="F8" s="37">
        <v>19790000</v>
      </c>
      <c r="G8" s="34">
        <v>19290000</v>
      </c>
      <c r="I8" t="s">
        <v>31</v>
      </c>
      <c r="J8" t="s">
        <v>38</v>
      </c>
      <c r="K8" t="b">
        <v>1</v>
      </c>
    </row>
    <row r="9" spans="1:11" x14ac:dyDescent="0.2">
      <c r="A9" t="s">
        <v>157</v>
      </c>
      <c r="B9" s="25"/>
      <c r="C9" s="42" t="s">
        <v>22</v>
      </c>
      <c r="D9" s="42" t="s">
        <v>22</v>
      </c>
      <c r="E9" s="39" t="s">
        <v>22</v>
      </c>
      <c r="F9" s="36" t="s">
        <v>22</v>
      </c>
      <c r="G9" s="4" t="s">
        <v>22</v>
      </c>
      <c r="I9" t="s">
        <v>2</v>
      </c>
      <c r="J9" t="s">
        <v>198</v>
      </c>
      <c r="K9" t="b">
        <v>1</v>
      </c>
    </row>
    <row r="10" spans="1:11" x14ac:dyDescent="0.2">
      <c r="A10" t="s">
        <v>158</v>
      </c>
      <c r="B10" s="3"/>
      <c r="C10" s="25">
        <v>29990000</v>
      </c>
      <c r="D10" s="25">
        <v>29090000</v>
      </c>
      <c r="E10" s="39" t="s">
        <v>22</v>
      </c>
      <c r="F10" s="39">
        <v>28790000</v>
      </c>
      <c r="G10" s="4">
        <v>28390000</v>
      </c>
      <c r="I10" t="s">
        <v>3</v>
      </c>
      <c r="J10" t="s">
        <v>36</v>
      </c>
      <c r="K10" t="b">
        <v>1</v>
      </c>
    </row>
    <row r="11" spans="1:11" x14ac:dyDescent="0.2">
      <c r="A11" t="s">
        <v>92</v>
      </c>
      <c r="B11" s="3"/>
      <c r="C11" s="42" t="s">
        <v>22</v>
      </c>
      <c r="D11" s="25">
        <v>18990000</v>
      </c>
      <c r="E11" s="39">
        <v>18990000</v>
      </c>
      <c r="F11" s="34">
        <v>18690000</v>
      </c>
      <c r="G11" s="34">
        <v>18990000</v>
      </c>
      <c r="I11" t="s">
        <v>4</v>
      </c>
      <c r="J11" t="s">
        <v>34</v>
      </c>
      <c r="K11" t="b">
        <v>1</v>
      </c>
    </row>
    <row r="12" spans="1:11" x14ac:dyDescent="0.2">
      <c r="A12" t="s">
        <v>27</v>
      </c>
      <c r="B12" s="25"/>
      <c r="C12" s="3">
        <v>13090000</v>
      </c>
      <c r="D12" s="37">
        <v>12990000</v>
      </c>
      <c r="E12" s="34">
        <v>12990000</v>
      </c>
      <c r="F12" s="34">
        <v>12990000</v>
      </c>
      <c r="G12" s="34">
        <v>12990000</v>
      </c>
      <c r="I12" t="s">
        <v>41</v>
      </c>
      <c r="J12" t="s">
        <v>42</v>
      </c>
      <c r="K12" t="b">
        <v>1</v>
      </c>
    </row>
    <row r="13" spans="1:11" x14ac:dyDescent="0.2">
      <c r="A13" t="s">
        <v>28</v>
      </c>
      <c r="B13" s="3"/>
      <c r="C13" s="3">
        <v>12090000</v>
      </c>
      <c r="D13" s="34">
        <v>11990000</v>
      </c>
      <c r="E13" s="34">
        <v>11871000</v>
      </c>
      <c r="F13" s="34">
        <v>11990000</v>
      </c>
      <c r="G13" s="34">
        <v>11790000</v>
      </c>
    </row>
    <row r="14" spans="1:11" x14ac:dyDescent="0.2">
      <c r="A14" t="s">
        <v>98</v>
      </c>
      <c r="B14" s="25"/>
      <c r="C14" s="3">
        <v>10590000</v>
      </c>
      <c r="D14" s="25" t="s">
        <v>22</v>
      </c>
      <c r="E14" s="39">
        <v>9990000</v>
      </c>
      <c r="F14" s="34">
        <v>9390000</v>
      </c>
      <c r="G14" s="4" t="s">
        <v>22</v>
      </c>
    </row>
    <row r="15" spans="1:11" x14ac:dyDescent="0.2">
      <c r="A15" t="s">
        <v>102</v>
      </c>
      <c r="B15" s="25"/>
      <c r="C15" s="42" t="s">
        <v>22</v>
      </c>
      <c r="D15" s="25">
        <v>9190000</v>
      </c>
      <c r="E15" s="39" t="s">
        <v>22</v>
      </c>
      <c r="F15" s="38">
        <v>8590000</v>
      </c>
      <c r="G15" s="4" t="s">
        <v>22</v>
      </c>
    </row>
    <row r="16" spans="1:11" x14ac:dyDescent="0.2">
      <c r="A16" t="s">
        <v>29</v>
      </c>
      <c r="B16" s="25"/>
      <c r="C16" s="42" t="s">
        <v>22</v>
      </c>
      <c r="D16" s="25">
        <v>13990000</v>
      </c>
      <c r="E16" s="39">
        <v>13790000</v>
      </c>
      <c r="F16" s="38">
        <v>13990000</v>
      </c>
      <c r="G16" s="4">
        <v>13690000</v>
      </c>
    </row>
    <row r="17" spans="1:7" x14ac:dyDescent="0.2">
      <c r="A17" t="s">
        <v>162</v>
      </c>
      <c r="B17" s="25"/>
      <c r="C17" s="25">
        <v>9690000</v>
      </c>
      <c r="D17" s="25">
        <v>9690000</v>
      </c>
      <c r="E17" s="34">
        <v>9395000</v>
      </c>
      <c r="F17" s="38">
        <v>9590000</v>
      </c>
      <c r="G17" s="4">
        <v>9490000</v>
      </c>
    </row>
    <row r="18" spans="1:7" x14ac:dyDescent="0.2">
      <c r="A18" t="s">
        <v>163</v>
      </c>
      <c r="B18" s="3"/>
      <c r="C18" s="42" t="s">
        <v>22</v>
      </c>
      <c r="D18" s="25">
        <v>6990000</v>
      </c>
      <c r="E18" s="39">
        <v>6990000</v>
      </c>
      <c r="F18" s="38">
        <v>6850000</v>
      </c>
      <c r="G18" s="4">
        <v>6890000</v>
      </c>
    </row>
    <row r="19" spans="1:7" x14ac:dyDescent="0.2">
      <c r="A19" t="s">
        <v>189</v>
      </c>
      <c r="B19" s="3"/>
      <c r="C19" s="25">
        <v>16190000</v>
      </c>
      <c r="D19" s="25">
        <v>16090000</v>
      </c>
      <c r="E19" s="34">
        <v>15830000</v>
      </c>
      <c r="F19" s="38">
        <v>16390000</v>
      </c>
      <c r="G19" s="4">
        <v>15790000</v>
      </c>
    </row>
    <row r="20" spans="1:7" x14ac:dyDescent="0.2">
      <c r="A20" t="s">
        <v>190</v>
      </c>
      <c r="B20" s="25"/>
      <c r="C20" s="25">
        <v>21590000</v>
      </c>
      <c r="D20" s="25">
        <v>21790000</v>
      </c>
      <c r="E20" s="34">
        <v>20483000</v>
      </c>
      <c r="F20" s="38">
        <v>20990000</v>
      </c>
      <c r="G20" s="4">
        <v>20790000</v>
      </c>
    </row>
    <row r="21" spans="1:7" x14ac:dyDescent="0.2">
      <c r="A21" t="s">
        <v>184</v>
      </c>
      <c r="B21" s="25"/>
      <c r="C21" s="25">
        <v>27890000</v>
      </c>
      <c r="D21" s="25">
        <v>27790000</v>
      </c>
      <c r="E21" s="39">
        <v>27190000</v>
      </c>
      <c r="F21" s="34">
        <v>28290000</v>
      </c>
      <c r="G21" s="4">
        <v>27090000</v>
      </c>
    </row>
    <row r="22" spans="1:7" x14ac:dyDescent="0.2">
      <c r="A22" t="s">
        <v>185</v>
      </c>
      <c r="B22" s="3"/>
      <c r="C22" s="25">
        <v>36690000</v>
      </c>
      <c r="D22" s="25">
        <v>36890000</v>
      </c>
      <c r="E22" s="34">
        <v>35990000</v>
      </c>
      <c r="F22" s="38">
        <v>36990000</v>
      </c>
      <c r="G22" s="4">
        <v>36490000</v>
      </c>
    </row>
    <row r="23" spans="1:7" x14ac:dyDescent="0.2">
      <c r="A23" t="s">
        <v>227</v>
      </c>
      <c r="B23" s="25"/>
      <c r="C23" s="3">
        <v>5770000</v>
      </c>
      <c r="D23" s="3">
        <v>5690000</v>
      </c>
      <c r="E23" s="34">
        <v>5138000</v>
      </c>
      <c r="F23" s="34">
        <v>5290000</v>
      </c>
      <c r="G23" s="3">
        <v>5590000</v>
      </c>
    </row>
    <row r="24" spans="1:7" x14ac:dyDescent="0.2">
      <c r="A24" t="s">
        <v>228</v>
      </c>
      <c r="B24" s="25"/>
      <c r="C24" s="3">
        <v>7070000</v>
      </c>
      <c r="D24" s="3">
        <v>6990000</v>
      </c>
      <c r="E24" s="34">
        <v>6524000</v>
      </c>
      <c r="F24" s="38">
        <v>6990000</v>
      </c>
      <c r="G24" s="34" t="s">
        <v>248</v>
      </c>
    </row>
    <row r="25" spans="1:7" x14ac:dyDescent="0.2">
      <c r="A25" t="s">
        <v>229</v>
      </c>
      <c r="B25" s="25"/>
      <c r="C25" s="3">
        <v>6570000</v>
      </c>
      <c r="D25" s="3">
        <v>6490000</v>
      </c>
      <c r="E25" s="34">
        <v>5831000</v>
      </c>
      <c r="F25" s="38">
        <v>6390000</v>
      </c>
      <c r="G25" s="3">
        <v>6490000</v>
      </c>
    </row>
    <row r="26" spans="1:7" x14ac:dyDescent="0.2">
      <c r="A26" t="s">
        <v>230</v>
      </c>
      <c r="B26" s="25"/>
      <c r="C26" s="3">
        <v>7870000</v>
      </c>
      <c r="D26" s="3">
        <v>7790000</v>
      </c>
      <c r="E26" s="34">
        <v>7316000</v>
      </c>
      <c r="F26" s="34">
        <v>7890000</v>
      </c>
      <c r="G26" s="34">
        <v>8090000</v>
      </c>
    </row>
    <row r="27" spans="1:7" x14ac:dyDescent="0.2">
      <c r="A27" t="s">
        <v>213</v>
      </c>
      <c r="B27" s="25"/>
      <c r="C27" s="3">
        <v>9390000</v>
      </c>
      <c r="D27" s="3">
        <v>10190000</v>
      </c>
      <c r="E27" s="34">
        <v>9593000</v>
      </c>
      <c r="F27" s="34">
        <v>9590000</v>
      </c>
      <c r="G27" s="3">
        <v>9750000</v>
      </c>
    </row>
    <row r="28" spans="1:7" x14ac:dyDescent="0.2">
      <c r="A28" t="s">
        <v>214</v>
      </c>
      <c r="B28" s="25"/>
      <c r="C28" s="3">
        <v>12690000</v>
      </c>
      <c r="D28" s="3">
        <v>12790000</v>
      </c>
      <c r="E28" s="34">
        <v>12365000</v>
      </c>
      <c r="F28" s="34">
        <v>12690000</v>
      </c>
      <c r="G28" s="3">
        <v>12490000</v>
      </c>
    </row>
    <row r="29" spans="1:7" x14ac:dyDescent="0.2">
      <c r="A29" t="s">
        <v>215</v>
      </c>
      <c r="B29" s="25"/>
      <c r="C29" s="3">
        <v>10890000</v>
      </c>
      <c r="D29" s="3">
        <v>10990000</v>
      </c>
      <c r="E29" s="34">
        <v>10583000</v>
      </c>
      <c r="F29" s="34">
        <v>10590000</v>
      </c>
      <c r="G29" s="3" t="s">
        <v>250</v>
      </c>
    </row>
    <row r="30" spans="1:7" x14ac:dyDescent="0.2">
      <c r="A30" t="s">
        <v>217</v>
      </c>
      <c r="B30" s="3"/>
      <c r="C30" s="3">
        <v>13490000</v>
      </c>
      <c r="D30" s="3">
        <v>13590000</v>
      </c>
      <c r="E30" s="34">
        <v>13256000</v>
      </c>
      <c r="F30" s="38">
        <v>13290000</v>
      </c>
      <c r="G30" s="4">
        <v>13890000</v>
      </c>
    </row>
    <row r="31" spans="1:7" x14ac:dyDescent="0.2">
      <c r="A31" t="s">
        <v>172</v>
      </c>
      <c r="B31" s="25"/>
      <c r="C31" s="25">
        <v>22490000</v>
      </c>
      <c r="D31" s="25">
        <v>22990000</v>
      </c>
      <c r="E31" s="34">
        <v>21572000</v>
      </c>
      <c r="F31" s="39">
        <v>21990000</v>
      </c>
      <c r="G31" s="4">
        <v>22990000</v>
      </c>
    </row>
    <row r="32" spans="1:7" x14ac:dyDescent="0.2">
      <c r="A32" t="s">
        <v>53</v>
      </c>
      <c r="B32" s="3"/>
      <c r="C32" s="3">
        <v>5690000</v>
      </c>
      <c r="D32" s="34">
        <v>5690000</v>
      </c>
      <c r="E32" s="34">
        <v>5390000</v>
      </c>
      <c r="F32" s="37">
        <v>5090000</v>
      </c>
      <c r="G32" s="4">
        <v>5590000</v>
      </c>
    </row>
    <row r="33" spans="1:7" x14ac:dyDescent="0.2">
      <c r="A33" t="s">
        <v>54</v>
      </c>
      <c r="B33" s="3"/>
      <c r="C33" s="3">
        <v>4490000</v>
      </c>
      <c r="D33" s="37">
        <v>4490000</v>
      </c>
      <c r="E33" s="34">
        <v>4290000</v>
      </c>
      <c r="F33" s="37">
        <v>4290000</v>
      </c>
      <c r="G33" s="4">
        <v>4450000</v>
      </c>
    </row>
    <row r="34" spans="1:7" x14ac:dyDescent="0.2">
      <c r="A34" t="s">
        <v>55</v>
      </c>
      <c r="B34" s="3"/>
      <c r="C34" s="3">
        <v>3190000</v>
      </c>
      <c r="D34" s="37">
        <v>3190000</v>
      </c>
      <c r="E34" s="34">
        <v>2990000</v>
      </c>
      <c r="F34" s="39">
        <v>3090000</v>
      </c>
      <c r="G34" s="3">
        <v>3190000</v>
      </c>
    </row>
    <row r="35" spans="1:7" x14ac:dyDescent="0.2">
      <c r="A35" t="s">
        <v>173</v>
      </c>
      <c r="B35" s="25"/>
      <c r="C35" s="25">
        <v>3790000</v>
      </c>
      <c r="D35" s="42">
        <v>3990000</v>
      </c>
      <c r="E35" s="39">
        <v>3490000</v>
      </c>
      <c r="F35" s="38">
        <v>2990000</v>
      </c>
      <c r="G35" s="4" t="s">
        <v>22</v>
      </c>
    </row>
    <row r="36" spans="1:7" x14ac:dyDescent="0.2">
      <c r="A36" t="s">
        <v>175</v>
      </c>
      <c r="B36" s="3"/>
      <c r="C36" s="25">
        <v>17090000</v>
      </c>
      <c r="D36" s="38">
        <v>17490000</v>
      </c>
      <c r="E36" s="36"/>
      <c r="F36" s="38">
        <v>17490000</v>
      </c>
      <c r="G36" s="3">
        <v>16990000</v>
      </c>
    </row>
    <row r="37" spans="1:7" x14ac:dyDescent="0.2">
      <c r="A37" t="s">
        <v>186</v>
      </c>
      <c r="B37" s="25"/>
      <c r="C37" s="25">
        <v>23990000</v>
      </c>
      <c r="D37" s="3">
        <v>23890000</v>
      </c>
      <c r="E37" s="36"/>
      <c r="F37" s="38" t="s">
        <v>249</v>
      </c>
      <c r="G37" s="4">
        <v>24090000</v>
      </c>
    </row>
    <row r="38" spans="1:7" x14ac:dyDescent="0.2">
      <c r="A38" t="s">
        <v>232</v>
      </c>
      <c r="B38" s="3"/>
      <c r="C38" s="36">
        <v>27090000</v>
      </c>
      <c r="D38" s="34">
        <v>26990000</v>
      </c>
      <c r="E38" s="36"/>
      <c r="F38" s="38">
        <v>26890000</v>
      </c>
      <c r="G38" s="4">
        <v>27090000</v>
      </c>
    </row>
    <row r="39" spans="1:7" x14ac:dyDescent="0.2">
      <c r="A39" t="s">
        <v>233</v>
      </c>
      <c r="B39" s="25"/>
      <c r="C39" s="36">
        <v>32490000</v>
      </c>
      <c r="D39" s="25">
        <v>32090000</v>
      </c>
      <c r="E39" s="36"/>
      <c r="F39" s="38">
        <v>31590000</v>
      </c>
      <c r="G39" s="4">
        <v>32490000</v>
      </c>
    </row>
    <row r="40" spans="1:7" x14ac:dyDescent="0.2">
      <c r="A40" t="s">
        <v>187</v>
      </c>
      <c r="B40" s="25"/>
      <c r="C40" s="25">
        <v>39990000</v>
      </c>
      <c r="D40" s="25">
        <v>39990000</v>
      </c>
      <c r="E40" s="36"/>
      <c r="F40" s="39">
        <v>39850000</v>
      </c>
      <c r="G40" s="4">
        <v>39890000</v>
      </c>
    </row>
  </sheetData>
  <pageMargins left="0.7" right="0.7" top="0.75" bottom="0.75" header="0.3" footer="0.3"/>
  <pageSetup paperSize="9" orientation="portrait" horizontalDpi="0" verticalDpi="0"/>
  <legacyDrawing r:id="rId1"/>
</worksheet>
</file>

<file path=xl/worksheets/sheet4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dimension ref="A1:K40"/>
  <sheetViews>
    <sheetView zoomScale="120" zoomScaleNormal="120" workbookViewId="0">
      <pane xSplit="1" ySplit="1" topLeftCell="C18" activePane="bottomRight" state="frozen"/>
      <selection pane="topRight" activeCell="B1" sqref="B1"/>
      <selection pane="bottomLeft" activeCell="A2" sqref="A2"/>
      <selection pane="bottomRight" activeCell="B1" sqref="B1"/>
    </sheetView>
  </sheetViews>
  <sheetFormatPr baseColWidth="10" defaultColWidth="11" defaultRowHeight="16" x14ac:dyDescent="0.2"/>
  <cols>
    <col min="1" max="1" width="27.5" bestFit="1" customWidth="1"/>
    <col min="2" max="2" width="0" hidden="1"/>
  </cols>
  <sheetData>
    <row r="1" spans="1:11" x14ac:dyDescent="0.2">
      <c r="B1" s="46" t="s">
        <v>0</v>
      </c>
      <c r="C1" s="46" t="s">
        <v>1</v>
      </c>
      <c r="D1" s="46" t="s">
        <v>2</v>
      </c>
      <c r="E1" s="46" t="s">
        <v>3</v>
      </c>
      <c r="F1" s="46" t="s">
        <v>4</v>
      </c>
      <c r="G1" s="46" t="s">
        <v>5</v>
      </c>
    </row>
    <row r="2" spans="1:11" x14ac:dyDescent="0.2">
      <c r="A2" t="s">
        <v>21</v>
      </c>
      <c r="B2" s="46"/>
      <c r="C2" s="48">
        <v>16590000</v>
      </c>
      <c r="D2" s="48">
        <v>16590000</v>
      </c>
      <c r="E2" s="39">
        <v>16821000</v>
      </c>
      <c r="F2" s="39">
        <v>16490000</v>
      </c>
      <c r="G2" s="39">
        <v>16490000</v>
      </c>
    </row>
    <row r="3" spans="1:11" x14ac:dyDescent="0.2">
      <c r="A3" t="s">
        <v>181</v>
      </c>
      <c r="B3" s="25"/>
      <c r="C3" s="3">
        <v>19690000</v>
      </c>
      <c r="D3" s="41">
        <v>19490000</v>
      </c>
      <c r="E3" s="39">
        <v>18990000</v>
      </c>
      <c r="F3" s="37">
        <v>19290000</v>
      </c>
      <c r="G3" s="39">
        <v>18890000</v>
      </c>
    </row>
    <row r="4" spans="1:11" x14ac:dyDescent="0.2">
      <c r="A4" t="s">
        <v>24</v>
      </c>
      <c r="B4" s="3"/>
      <c r="C4" s="3">
        <v>22690000</v>
      </c>
      <c r="D4" s="41">
        <v>22690000</v>
      </c>
      <c r="E4" s="39">
        <v>21990000</v>
      </c>
      <c r="F4" s="37">
        <v>22490000</v>
      </c>
      <c r="G4" s="39">
        <v>22190000</v>
      </c>
    </row>
    <row r="5" spans="1:11" x14ac:dyDescent="0.2">
      <c r="A5" t="s">
        <v>182</v>
      </c>
      <c r="B5" s="25"/>
      <c r="C5" s="3">
        <v>25690000</v>
      </c>
      <c r="D5" s="42">
        <v>25490000</v>
      </c>
      <c r="E5" s="39">
        <v>24990000</v>
      </c>
      <c r="F5" s="39">
        <v>25490000</v>
      </c>
      <c r="G5" s="3">
        <v>24990000</v>
      </c>
    </row>
    <row r="6" spans="1:11" x14ac:dyDescent="0.2">
      <c r="A6" t="s">
        <v>183</v>
      </c>
      <c r="B6" s="3"/>
      <c r="C6" s="25">
        <v>31390000</v>
      </c>
      <c r="D6" s="42">
        <v>31390000</v>
      </c>
      <c r="E6" s="39">
        <v>30490000</v>
      </c>
      <c r="F6" s="37">
        <v>31190000</v>
      </c>
      <c r="G6" s="3">
        <v>30490000</v>
      </c>
    </row>
    <row r="7" spans="1:11" x14ac:dyDescent="0.2">
      <c r="A7" t="s">
        <v>25</v>
      </c>
      <c r="B7" s="25"/>
      <c r="C7" s="25">
        <v>15990000</v>
      </c>
      <c r="D7" s="42">
        <v>15990000</v>
      </c>
      <c r="E7" s="39">
        <v>15490000</v>
      </c>
      <c r="F7" s="39">
        <v>15990000</v>
      </c>
      <c r="G7" s="34">
        <v>15590000</v>
      </c>
    </row>
    <row r="8" spans="1:11" x14ac:dyDescent="0.2">
      <c r="A8" t="s">
        <v>26</v>
      </c>
      <c r="B8" s="25"/>
      <c r="C8" s="25">
        <v>19790000</v>
      </c>
      <c r="D8" s="41">
        <v>19690000</v>
      </c>
      <c r="E8" s="39">
        <v>18990000</v>
      </c>
      <c r="F8" s="39">
        <v>19690000</v>
      </c>
      <c r="G8" s="4">
        <v>19290000</v>
      </c>
      <c r="I8" t="s">
        <v>31</v>
      </c>
      <c r="J8" t="s">
        <v>38</v>
      </c>
      <c r="K8" t="b">
        <v>1</v>
      </c>
    </row>
    <row r="9" spans="1:11" x14ac:dyDescent="0.2">
      <c r="A9" t="s">
        <v>157</v>
      </c>
      <c r="B9" s="25"/>
      <c r="C9" s="42" t="s">
        <v>22</v>
      </c>
      <c r="D9" s="42" t="s">
        <v>22</v>
      </c>
      <c r="E9" s="39" t="s">
        <v>22</v>
      </c>
      <c r="F9" s="36" t="s">
        <v>22</v>
      </c>
      <c r="G9" s="4" t="s">
        <v>22</v>
      </c>
      <c r="I9" t="s">
        <v>2</v>
      </c>
      <c r="J9" t="s">
        <v>198</v>
      </c>
      <c r="K9" t="b">
        <v>1</v>
      </c>
    </row>
    <row r="10" spans="1:11" x14ac:dyDescent="0.2">
      <c r="A10" t="s">
        <v>158</v>
      </c>
      <c r="B10" s="3"/>
      <c r="C10" s="25">
        <v>29990000</v>
      </c>
      <c r="D10" s="25">
        <v>29090000</v>
      </c>
      <c r="E10" s="39" t="s">
        <v>22</v>
      </c>
      <c r="F10" s="39">
        <v>28690000</v>
      </c>
      <c r="G10" s="4">
        <v>28290000</v>
      </c>
      <c r="I10" t="s">
        <v>3</v>
      </c>
      <c r="J10" t="s">
        <v>36</v>
      </c>
      <c r="K10" t="b">
        <v>1</v>
      </c>
    </row>
    <row r="11" spans="1:11" x14ac:dyDescent="0.2">
      <c r="A11" t="s">
        <v>92</v>
      </c>
      <c r="B11" s="3"/>
      <c r="C11" s="42" t="s">
        <v>22</v>
      </c>
      <c r="D11" s="25">
        <v>18990000</v>
      </c>
      <c r="E11" s="39">
        <v>18990000</v>
      </c>
      <c r="F11" s="34">
        <v>17990000</v>
      </c>
      <c r="G11" s="4">
        <v>18990000</v>
      </c>
      <c r="I11" t="s">
        <v>4</v>
      </c>
      <c r="J11" t="s">
        <v>34</v>
      </c>
      <c r="K11" t="b">
        <v>1</v>
      </c>
    </row>
    <row r="12" spans="1:11" x14ac:dyDescent="0.2">
      <c r="A12" t="s">
        <v>27</v>
      </c>
      <c r="B12" s="25"/>
      <c r="C12" s="3">
        <v>13490000</v>
      </c>
      <c r="D12" s="39">
        <v>12990000</v>
      </c>
      <c r="E12" s="39">
        <v>12990000</v>
      </c>
      <c r="F12" s="34">
        <v>13490000</v>
      </c>
      <c r="G12" s="4">
        <v>12990000</v>
      </c>
      <c r="I12" t="s">
        <v>41</v>
      </c>
      <c r="J12" t="s">
        <v>42</v>
      </c>
      <c r="K12" t="b">
        <v>1</v>
      </c>
    </row>
    <row r="13" spans="1:11" x14ac:dyDescent="0.2">
      <c r="A13" t="s">
        <v>28</v>
      </c>
      <c r="B13" s="3"/>
      <c r="C13" s="3">
        <v>11990000</v>
      </c>
      <c r="D13" s="38">
        <v>11990000</v>
      </c>
      <c r="E13" s="39">
        <v>11871000</v>
      </c>
      <c r="F13" s="34">
        <v>11890000</v>
      </c>
      <c r="G13" s="34">
        <v>11890000</v>
      </c>
    </row>
    <row r="14" spans="1:11" x14ac:dyDescent="0.2">
      <c r="A14" t="s">
        <v>98</v>
      </c>
      <c r="B14" s="25"/>
      <c r="C14" s="25">
        <v>10590000</v>
      </c>
      <c r="D14" s="25" t="s">
        <v>22</v>
      </c>
      <c r="E14" s="39">
        <v>9990000</v>
      </c>
      <c r="F14" s="25" t="s">
        <v>22</v>
      </c>
      <c r="G14" s="4" t="s">
        <v>22</v>
      </c>
    </row>
    <row r="15" spans="1:11" x14ac:dyDescent="0.2">
      <c r="A15" t="s">
        <v>102</v>
      </c>
      <c r="B15" s="25"/>
      <c r="C15" s="42" t="s">
        <v>22</v>
      </c>
      <c r="D15" s="25">
        <v>9190000</v>
      </c>
      <c r="E15" s="39" t="s">
        <v>22</v>
      </c>
      <c r="F15" s="38">
        <v>8490000</v>
      </c>
      <c r="G15" s="4" t="s">
        <v>22</v>
      </c>
    </row>
    <row r="16" spans="1:11" x14ac:dyDescent="0.2">
      <c r="A16" t="s">
        <v>29</v>
      </c>
      <c r="B16" s="25"/>
      <c r="C16" s="42" t="s">
        <v>22</v>
      </c>
      <c r="D16" s="25">
        <v>13990000</v>
      </c>
      <c r="E16" s="34">
        <v>13653000</v>
      </c>
      <c r="F16" s="38">
        <v>13990000</v>
      </c>
      <c r="G16" s="4">
        <v>13690000</v>
      </c>
    </row>
    <row r="17" spans="1:7" x14ac:dyDescent="0.2">
      <c r="A17" t="s">
        <v>162</v>
      </c>
      <c r="B17" s="25"/>
      <c r="C17" s="3">
        <v>9390000</v>
      </c>
      <c r="D17" s="3">
        <v>9390000</v>
      </c>
      <c r="E17" s="34">
        <v>8801000</v>
      </c>
      <c r="F17" s="34">
        <v>9290000</v>
      </c>
      <c r="G17" s="4">
        <v>9490000</v>
      </c>
    </row>
    <row r="18" spans="1:7" x14ac:dyDescent="0.2">
      <c r="A18" t="s">
        <v>163</v>
      </c>
      <c r="B18" s="3"/>
      <c r="C18" s="42">
        <v>10290000</v>
      </c>
      <c r="D18" s="25">
        <v>6990000</v>
      </c>
      <c r="E18" s="39">
        <v>6990000</v>
      </c>
      <c r="F18" s="38">
        <v>6790000</v>
      </c>
      <c r="G18" s="4">
        <v>6890000</v>
      </c>
    </row>
    <row r="19" spans="1:7" x14ac:dyDescent="0.2">
      <c r="A19" t="s">
        <v>189</v>
      </c>
      <c r="B19" s="3"/>
      <c r="C19" s="3">
        <v>16490000</v>
      </c>
      <c r="D19" s="3">
        <v>16190000</v>
      </c>
      <c r="E19" s="39">
        <v>15830000</v>
      </c>
      <c r="F19" s="38">
        <v>16490000</v>
      </c>
      <c r="G19" s="4">
        <v>15790000</v>
      </c>
    </row>
    <row r="20" spans="1:7" x14ac:dyDescent="0.2">
      <c r="A20" t="s">
        <v>190</v>
      </c>
      <c r="B20" s="25"/>
      <c r="C20" s="25">
        <v>21590000</v>
      </c>
      <c r="D20" s="3">
        <v>21590000</v>
      </c>
      <c r="E20" s="39">
        <v>20483000</v>
      </c>
      <c r="F20" s="34">
        <v>20790000</v>
      </c>
      <c r="G20" s="4">
        <v>20790000</v>
      </c>
    </row>
    <row r="21" spans="1:7" x14ac:dyDescent="0.2">
      <c r="A21" t="s">
        <v>184</v>
      </c>
      <c r="B21" s="25"/>
      <c r="C21" s="25">
        <v>27890000</v>
      </c>
      <c r="D21" s="25">
        <v>27790000</v>
      </c>
      <c r="E21" s="39">
        <v>27190000</v>
      </c>
      <c r="F21" s="34">
        <v>28290000</v>
      </c>
      <c r="G21" s="4">
        <v>27090000</v>
      </c>
    </row>
    <row r="22" spans="1:7" x14ac:dyDescent="0.2">
      <c r="A22" t="s">
        <v>185</v>
      </c>
      <c r="B22" s="3"/>
      <c r="C22" s="25">
        <v>36690000</v>
      </c>
      <c r="D22" s="25">
        <v>36890000</v>
      </c>
      <c r="E22" s="39">
        <v>35990000</v>
      </c>
      <c r="F22" s="38">
        <v>36990000</v>
      </c>
      <c r="G22" s="4">
        <v>36490000</v>
      </c>
    </row>
    <row r="23" spans="1:7" x14ac:dyDescent="0.2">
      <c r="A23" t="s">
        <v>227</v>
      </c>
      <c r="B23" s="25"/>
      <c r="C23" s="25">
        <v>5770000</v>
      </c>
      <c r="D23" s="25">
        <v>5690000</v>
      </c>
      <c r="E23" s="34">
        <v>5435000</v>
      </c>
      <c r="F23" s="34">
        <v>5590000</v>
      </c>
      <c r="G23" s="4">
        <v>5590000</v>
      </c>
    </row>
    <row r="24" spans="1:7" x14ac:dyDescent="0.2">
      <c r="A24" t="s">
        <v>228</v>
      </c>
      <c r="B24" s="25"/>
      <c r="C24" s="25">
        <v>7070000</v>
      </c>
      <c r="D24" s="25">
        <v>6990000</v>
      </c>
      <c r="E24" s="39">
        <v>6524000</v>
      </c>
      <c r="F24" s="38">
        <v>6990000</v>
      </c>
      <c r="G24" s="4">
        <v>6990000</v>
      </c>
    </row>
    <row r="25" spans="1:7" x14ac:dyDescent="0.2">
      <c r="A25" t="s">
        <v>229</v>
      </c>
      <c r="B25" s="25"/>
      <c r="C25" s="25">
        <v>6570000</v>
      </c>
      <c r="D25" s="25">
        <v>6490000</v>
      </c>
      <c r="E25" s="34">
        <v>6227000</v>
      </c>
      <c r="F25" s="38">
        <v>6390000</v>
      </c>
      <c r="G25" s="4">
        <v>6490000</v>
      </c>
    </row>
    <row r="26" spans="1:7" x14ac:dyDescent="0.2">
      <c r="A26" t="s">
        <v>230</v>
      </c>
      <c r="B26" s="25"/>
      <c r="C26" s="25">
        <v>7870000</v>
      </c>
      <c r="D26" s="25">
        <v>7790000</v>
      </c>
      <c r="E26" s="39">
        <v>7316000</v>
      </c>
      <c r="F26" s="34">
        <v>7890000</v>
      </c>
      <c r="G26" s="34">
        <v>7850000</v>
      </c>
    </row>
    <row r="27" spans="1:7" x14ac:dyDescent="0.2">
      <c r="A27" t="s">
        <v>213</v>
      </c>
      <c r="B27" s="25"/>
      <c r="C27" s="3">
        <v>10190000</v>
      </c>
      <c r="D27" s="3">
        <v>9490000</v>
      </c>
      <c r="E27" s="39">
        <v>9593000</v>
      </c>
      <c r="F27" s="34">
        <v>10190000</v>
      </c>
      <c r="G27" s="3">
        <v>9690000</v>
      </c>
    </row>
    <row r="28" spans="1:7" x14ac:dyDescent="0.2">
      <c r="A28" t="s">
        <v>214</v>
      </c>
      <c r="B28" s="25"/>
      <c r="C28" s="25">
        <v>12690000</v>
      </c>
      <c r="D28" s="3">
        <v>12690000</v>
      </c>
      <c r="E28" s="39">
        <v>12365000</v>
      </c>
      <c r="F28" s="34">
        <v>12690000</v>
      </c>
      <c r="G28" s="4">
        <v>12590000</v>
      </c>
    </row>
    <row r="29" spans="1:7" x14ac:dyDescent="0.2">
      <c r="A29" t="s">
        <v>215</v>
      </c>
      <c r="B29" s="25"/>
      <c r="C29" s="25">
        <v>10890000</v>
      </c>
      <c r="D29" s="3">
        <v>10890000</v>
      </c>
      <c r="E29" s="39">
        <v>10583000</v>
      </c>
      <c r="F29" s="34">
        <v>10690000</v>
      </c>
      <c r="G29" s="3" t="s">
        <v>245</v>
      </c>
    </row>
    <row r="30" spans="1:7" x14ac:dyDescent="0.2">
      <c r="A30" t="s">
        <v>217</v>
      </c>
      <c r="B30" s="3"/>
      <c r="C30" s="25">
        <v>13490000</v>
      </c>
      <c r="D30" s="3">
        <v>13490000</v>
      </c>
      <c r="E30" s="39">
        <v>13256000</v>
      </c>
      <c r="F30" s="38">
        <v>13690000</v>
      </c>
      <c r="G30" s="4">
        <v>13890000</v>
      </c>
    </row>
    <row r="31" spans="1:7" x14ac:dyDescent="0.2">
      <c r="A31" t="s">
        <v>172</v>
      </c>
      <c r="B31" s="25"/>
      <c r="C31" s="25">
        <v>22490000</v>
      </c>
      <c r="D31" s="25">
        <v>22990000</v>
      </c>
      <c r="E31" s="39">
        <v>21572000</v>
      </c>
      <c r="F31" s="39">
        <v>21990000</v>
      </c>
      <c r="G31" s="4">
        <v>22990000</v>
      </c>
    </row>
    <row r="32" spans="1:7" x14ac:dyDescent="0.2">
      <c r="A32" t="s">
        <v>53</v>
      </c>
      <c r="B32" s="3"/>
      <c r="C32" s="25">
        <v>5690000</v>
      </c>
      <c r="D32" s="34">
        <v>5490000</v>
      </c>
      <c r="E32" s="39">
        <v>5390000</v>
      </c>
      <c r="F32" s="37">
        <v>5590000</v>
      </c>
      <c r="G32" s="4">
        <v>5590000</v>
      </c>
    </row>
    <row r="33" spans="1:7" x14ac:dyDescent="0.2">
      <c r="A33" t="s">
        <v>54</v>
      </c>
      <c r="B33" s="3"/>
      <c r="C33" s="25">
        <v>4490000</v>
      </c>
      <c r="D33" s="37">
        <v>4390000</v>
      </c>
      <c r="E33" s="39">
        <v>4290000</v>
      </c>
      <c r="F33" s="37">
        <v>4490000</v>
      </c>
      <c r="G33" s="3">
        <v>4290000</v>
      </c>
    </row>
    <row r="34" spans="1:7" x14ac:dyDescent="0.2">
      <c r="A34" t="s">
        <v>55</v>
      </c>
      <c r="B34" s="3"/>
      <c r="C34" s="25">
        <v>3190000</v>
      </c>
      <c r="D34" s="39">
        <v>3190000</v>
      </c>
      <c r="E34" s="39">
        <v>2990000</v>
      </c>
      <c r="F34" s="39">
        <v>3190000</v>
      </c>
      <c r="G34" s="3">
        <v>3090000</v>
      </c>
    </row>
    <row r="35" spans="1:7" x14ac:dyDescent="0.2">
      <c r="A35" t="s">
        <v>173</v>
      </c>
      <c r="B35" s="25"/>
      <c r="C35" s="25">
        <v>3790000</v>
      </c>
      <c r="D35" s="42">
        <v>3990000</v>
      </c>
      <c r="E35" s="39">
        <v>3490000</v>
      </c>
      <c r="F35" s="38">
        <v>2990000</v>
      </c>
      <c r="G35" s="4" t="s">
        <v>22</v>
      </c>
    </row>
    <row r="36" spans="1:7" x14ac:dyDescent="0.2">
      <c r="A36" t="s">
        <v>175</v>
      </c>
      <c r="B36" s="3"/>
      <c r="C36" s="3">
        <v>17490000</v>
      </c>
      <c r="D36" s="38">
        <v>17490000</v>
      </c>
      <c r="E36" s="36"/>
      <c r="F36" s="34">
        <v>16990000</v>
      </c>
      <c r="G36" s="4">
        <v>16990000</v>
      </c>
    </row>
    <row r="37" spans="1:7" x14ac:dyDescent="0.2">
      <c r="A37" t="s">
        <v>186</v>
      </c>
      <c r="B37" s="25"/>
      <c r="C37" s="25">
        <v>23990000</v>
      </c>
      <c r="D37" s="25">
        <v>23890000</v>
      </c>
      <c r="E37" s="36"/>
      <c r="F37" s="34" t="s">
        <v>251</v>
      </c>
      <c r="G37" s="3">
        <v>23590000</v>
      </c>
    </row>
    <row r="38" spans="1:7" x14ac:dyDescent="0.2">
      <c r="A38" t="s">
        <v>232</v>
      </c>
      <c r="B38" s="3"/>
      <c r="C38" s="36">
        <v>27090000</v>
      </c>
      <c r="D38" s="38">
        <v>26990000</v>
      </c>
      <c r="E38" s="36"/>
      <c r="F38" s="34">
        <v>26490000</v>
      </c>
      <c r="G38" s="3">
        <v>26690000</v>
      </c>
    </row>
    <row r="39" spans="1:7" x14ac:dyDescent="0.2">
      <c r="A39" t="s">
        <v>233</v>
      </c>
      <c r="B39" s="25"/>
      <c r="C39" s="36">
        <v>32490000</v>
      </c>
      <c r="D39" s="25">
        <v>32090000</v>
      </c>
      <c r="E39" s="36"/>
      <c r="F39" s="34">
        <v>30990000</v>
      </c>
      <c r="G39" s="4">
        <v>32490000</v>
      </c>
    </row>
    <row r="40" spans="1:7" x14ac:dyDescent="0.2">
      <c r="A40" t="s">
        <v>187</v>
      </c>
      <c r="B40" s="25"/>
      <c r="C40" s="25">
        <v>39990000</v>
      </c>
      <c r="D40" s="25">
        <v>39990000</v>
      </c>
      <c r="E40" s="36"/>
      <c r="F40" s="39">
        <v>39900000</v>
      </c>
      <c r="G40" s="4">
        <v>39890000</v>
      </c>
    </row>
  </sheetData>
  <pageMargins left="0.7" right="0.7" top="0.75" bottom="0.75" header="0.3" footer="0.3"/>
  <pageSetup paperSize="9" orientation="portrait" horizontalDpi="0" verticalDpi="0"/>
  <legacyDrawing r:id="rId1"/>
</worksheet>
</file>

<file path=xl/worksheets/sheet4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L37"/>
  <sheetViews>
    <sheetView zoomScale="92" zoomScaleNormal="120" workbookViewId="0">
      <pane xSplit="1" ySplit="1" topLeftCell="C8" activePane="bottomRight" state="frozen"/>
      <selection pane="topRight" activeCell="B1" sqref="B1"/>
      <selection pane="bottomLeft" activeCell="A2" sqref="A2"/>
      <selection pane="bottomRight" activeCell="B1" sqref="B1"/>
    </sheetView>
  </sheetViews>
  <sheetFormatPr baseColWidth="10" defaultColWidth="11" defaultRowHeight="16" x14ac:dyDescent="0.2"/>
  <cols>
    <col min="1" max="1" width="27.5" bestFit="1" customWidth="1"/>
    <col min="2" max="2" width="0" hidden="1"/>
  </cols>
  <sheetData>
    <row r="1" spans="1:12" x14ac:dyDescent="0.2">
      <c r="B1" s="46" t="s">
        <v>0</v>
      </c>
      <c r="C1" s="46" t="s">
        <v>1</v>
      </c>
      <c r="D1" s="46" t="s">
        <v>2</v>
      </c>
      <c r="E1" s="46" t="s">
        <v>3</v>
      </c>
      <c r="F1" s="46" t="s">
        <v>4</v>
      </c>
      <c r="G1" s="46" t="s">
        <v>5</v>
      </c>
    </row>
    <row r="2" spans="1:12" x14ac:dyDescent="0.2">
      <c r="A2" t="s">
        <v>21</v>
      </c>
      <c r="B2" s="46"/>
      <c r="C2" s="48">
        <v>16590000</v>
      </c>
      <c r="D2" s="47">
        <v>16590000</v>
      </c>
      <c r="E2" s="39">
        <v>16821000</v>
      </c>
      <c r="F2" s="39">
        <v>16490000</v>
      </c>
      <c r="G2" s="39">
        <v>16490000</v>
      </c>
    </row>
    <row r="3" spans="1:12" x14ac:dyDescent="0.2">
      <c r="A3" t="s">
        <v>181</v>
      </c>
      <c r="B3" s="25"/>
      <c r="C3" s="3">
        <v>19690000</v>
      </c>
      <c r="D3" s="42">
        <v>19490000</v>
      </c>
      <c r="E3" s="39">
        <v>18990000</v>
      </c>
      <c r="F3" s="37">
        <v>19190000</v>
      </c>
      <c r="G3" s="39">
        <v>18890000</v>
      </c>
    </row>
    <row r="4" spans="1:12" x14ac:dyDescent="0.2">
      <c r="A4" t="s">
        <v>24</v>
      </c>
      <c r="B4" s="3"/>
      <c r="C4" s="3">
        <v>22690000</v>
      </c>
      <c r="D4" s="41">
        <v>22590000</v>
      </c>
      <c r="E4" s="39">
        <v>21990000</v>
      </c>
      <c r="F4" s="37">
        <v>22190000</v>
      </c>
      <c r="G4" s="39">
        <v>22190000</v>
      </c>
    </row>
    <row r="5" spans="1:12" x14ac:dyDescent="0.2">
      <c r="A5" t="s">
        <v>182</v>
      </c>
      <c r="B5" s="25"/>
      <c r="C5" s="3">
        <v>25690000</v>
      </c>
      <c r="D5" s="42">
        <v>25490000</v>
      </c>
      <c r="E5" s="39">
        <v>24990000</v>
      </c>
      <c r="F5" s="39">
        <v>25390000</v>
      </c>
      <c r="G5" s="39">
        <v>24990000</v>
      </c>
    </row>
    <row r="6" spans="1:12" x14ac:dyDescent="0.2">
      <c r="A6" t="s">
        <v>183</v>
      </c>
      <c r="B6" s="3"/>
      <c r="C6" s="25">
        <v>31390000</v>
      </c>
      <c r="D6" s="41">
        <v>30990000</v>
      </c>
      <c r="E6" s="39">
        <v>30490000</v>
      </c>
      <c r="F6" s="37">
        <v>30990000</v>
      </c>
      <c r="G6" s="39">
        <v>30490000</v>
      </c>
    </row>
    <row r="7" spans="1:12" x14ac:dyDescent="0.2">
      <c r="A7" t="s">
        <v>25</v>
      </c>
      <c r="B7" s="25"/>
      <c r="C7" s="25">
        <v>15990000</v>
      </c>
      <c r="D7" s="42">
        <v>15990000</v>
      </c>
      <c r="E7" s="39">
        <v>15490000</v>
      </c>
      <c r="F7" s="39">
        <v>15990000</v>
      </c>
      <c r="G7" s="39">
        <v>15590000</v>
      </c>
    </row>
    <row r="8" spans="1:12" x14ac:dyDescent="0.2">
      <c r="A8" t="s">
        <v>26</v>
      </c>
      <c r="B8" s="25"/>
      <c r="C8" s="25">
        <v>19790000</v>
      </c>
      <c r="D8" s="41">
        <v>19790000</v>
      </c>
      <c r="E8" s="39">
        <v>18990000</v>
      </c>
      <c r="F8" s="37">
        <v>19190000</v>
      </c>
      <c r="G8" s="3">
        <v>18490000</v>
      </c>
    </row>
    <row r="9" spans="1:12" x14ac:dyDescent="0.2">
      <c r="A9" t="s">
        <v>158</v>
      </c>
      <c r="B9" s="3"/>
      <c r="C9" s="25">
        <v>29990000</v>
      </c>
      <c r="D9" s="25">
        <v>29090000</v>
      </c>
      <c r="E9" s="39" t="s">
        <v>22</v>
      </c>
      <c r="F9" s="39">
        <v>28690000</v>
      </c>
      <c r="G9" s="4">
        <v>28290000</v>
      </c>
    </row>
    <row r="10" spans="1:12" x14ac:dyDescent="0.2">
      <c r="A10" t="s">
        <v>92</v>
      </c>
      <c r="B10" s="3"/>
      <c r="C10" s="42" t="s">
        <v>22</v>
      </c>
      <c r="D10" s="25">
        <v>18990000</v>
      </c>
      <c r="E10" s="39">
        <v>18990000</v>
      </c>
      <c r="F10" s="34">
        <v>17990000</v>
      </c>
      <c r="G10" s="4">
        <v>18990000</v>
      </c>
    </row>
    <row r="11" spans="1:12" x14ac:dyDescent="0.2">
      <c r="A11" t="s">
        <v>27</v>
      </c>
      <c r="B11" s="25"/>
      <c r="C11" s="3">
        <v>13490000</v>
      </c>
      <c r="D11" s="39">
        <v>12990000</v>
      </c>
      <c r="E11" s="39">
        <v>12990000</v>
      </c>
      <c r="F11" s="34">
        <v>12990000</v>
      </c>
      <c r="G11" s="4">
        <v>12990000</v>
      </c>
    </row>
    <row r="12" spans="1:12" x14ac:dyDescent="0.2">
      <c r="A12" t="s">
        <v>28</v>
      </c>
      <c r="B12" s="3"/>
      <c r="C12" s="3">
        <v>11990000</v>
      </c>
      <c r="D12" s="38">
        <v>11990000</v>
      </c>
      <c r="E12" s="39">
        <v>11871000</v>
      </c>
      <c r="F12" s="34">
        <v>11790000</v>
      </c>
      <c r="G12" s="34">
        <v>11790000</v>
      </c>
    </row>
    <row r="13" spans="1:12" x14ac:dyDescent="0.2">
      <c r="A13" t="s">
        <v>98</v>
      </c>
      <c r="B13" s="25"/>
      <c r="C13" s="25">
        <v>10590000</v>
      </c>
      <c r="D13" s="25" t="s">
        <v>22</v>
      </c>
      <c r="E13" s="39">
        <v>9990000</v>
      </c>
      <c r="F13" s="25" t="s">
        <v>22</v>
      </c>
      <c r="G13" s="4" t="s">
        <v>22</v>
      </c>
    </row>
    <row r="14" spans="1:12" x14ac:dyDescent="0.2">
      <c r="A14" t="s">
        <v>29</v>
      </c>
      <c r="B14" s="25"/>
      <c r="C14" s="42" t="s">
        <v>22</v>
      </c>
      <c r="D14" s="25">
        <v>13990000</v>
      </c>
      <c r="E14" s="39">
        <v>13653000</v>
      </c>
      <c r="F14" s="38">
        <v>13990000</v>
      </c>
      <c r="G14" s="4">
        <v>13690000</v>
      </c>
    </row>
    <row r="15" spans="1:12" x14ac:dyDescent="0.2">
      <c r="A15" t="s">
        <v>162</v>
      </c>
      <c r="B15" s="25"/>
      <c r="C15" s="3">
        <v>9390000</v>
      </c>
      <c r="D15" s="3">
        <v>9290000</v>
      </c>
      <c r="E15" s="39">
        <v>8801000</v>
      </c>
      <c r="F15" s="38">
        <v>9290000</v>
      </c>
      <c r="G15" s="4">
        <v>9490000</v>
      </c>
    </row>
    <row r="16" spans="1:12" x14ac:dyDescent="0.2">
      <c r="A16" t="s">
        <v>163</v>
      </c>
      <c r="B16" s="3"/>
      <c r="C16" s="42">
        <v>10290000</v>
      </c>
      <c r="D16" s="25">
        <v>6990000</v>
      </c>
      <c r="E16" s="39">
        <v>6990000</v>
      </c>
      <c r="F16" s="38">
        <v>6590000</v>
      </c>
      <c r="G16" s="4">
        <v>6890000</v>
      </c>
      <c r="J16" t="s">
        <v>31</v>
      </c>
      <c r="K16" t="s">
        <v>38</v>
      </c>
      <c r="L16" t="b">
        <v>1</v>
      </c>
    </row>
    <row r="17" spans="1:12" x14ac:dyDescent="0.2">
      <c r="A17" t="s">
        <v>189</v>
      </c>
      <c r="B17" s="3"/>
      <c r="C17" s="3">
        <v>16490000</v>
      </c>
      <c r="D17" s="3">
        <v>16590000</v>
      </c>
      <c r="E17" s="34">
        <v>15534000</v>
      </c>
      <c r="F17" s="34">
        <v>16690000</v>
      </c>
      <c r="G17" s="4">
        <v>15790000</v>
      </c>
      <c r="J17" t="s">
        <v>2</v>
      </c>
      <c r="K17" t="s">
        <v>198</v>
      </c>
      <c r="L17" t="b">
        <v>1</v>
      </c>
    </row>
    <row r="18" spans="1:12" x14ac:dyDescent="0.2">
      <c r="A18" t="s">
        <v>190</v>
      </c>
      <c r="B18" s="25"/>
      <c r="C18" s="25">
        <v>21590000</v>
      </c>
      <c r="D18" s="3">
        <v>21090000</v>
      </c>
      <c r="E18" s="34">
        <v>20290000</v>
      </c>
      <c r="F18" s="38">
        <v>20790000</v>
      </c>
      <c r="G18" s="3">
        <v>20890000</v>
      </c>
      <c r="J18" t="s">
        <v>3</v>
      </c>
      <c r="K18" t="s">
        <v>36</v>
      </c>
      <c r="L18" t="b">
        <v>1</v>
      </c>
    </row>
    <row r="19" spans="1:12" x14ac:dyDescent="0.2">
      <c r="A19" t="s">
        <v>184</v>
      </c>
      <c r="B19" s="25"/>
      <c r="C19" s="25">
        <v>27890000</v>
      </c>
      <c r="D19" s="3">
        <v>27890000</v>
      </c>
      <c r="E19" s="39" t="s">
        <v>22</v>
      </c>
      <c r="F19" s="34">
        <v>27990000</v>
      </c>
      <c r="G19" s="4">
        <v>27090000</v>
      </c>
      <c r="J19" t="s">
        <v>4</v>
      </c>
      <c r="K19" t="s">
        <v>34</v>
      </c>
      <c r="L19" t="b">
        <v>1</v>
      </c>
    </row>
    <row r="20" spans="1:12" x14ac:dyDescent="0.2">
      <c r="A20" t="s">
        <v>185</v>
      </c>
      <c r="B20" s="3"/>
      <c r="C20" s="25">
        <v>36690000</v>
      </c>
      <c r="D20" s="3">
        <v>36690000</v>
      </c>
      <c r="E20" s="39">
        <v>35990000</v>
      </c>
      <c r="F20" s="38">
        <v>36990000</v>
      </c>
      <c r="G20" s="4">
        <v>36490000</v>
      </c>
      <c r="J20" t="s">
        <v>41</v>
      </c>
      <c r="K20" t="s">
        <v>42</v>
      </c>
      <c r="L20" t="b">
        <v>1</v>
      </c>
    </row>
    <row r="21" spans="1:12" x14ac:dyDescent="0.2">
      <c r="A21" t="s">
        <v>227</v>
      </c>
      <c r="B21" s="25"/>
      <c r="C21" s="25">
        <v>5770000</v>
      </c>
      <c r="D21" s="3">
        <v>5890000</v>
      </c>
      <c r="E21" s="34">
        <v>5336000</v>
      </c>
      <c r="F21" s="38">
        <v>5590000</v>
      </c>
      <c r="G21" s="4">
        <v>5590000</v>
      </c>
    </row>
    <row r="22" spans="1:12" x14ac:dyDescent="0.2">
      <c r="A22" t="s">
        <v>228</v>
      </c>
      <c r="B22" s="25"/>
      <c r="C22" s="25">
        <v>7070000</v>
      </c>
      <c r="D22" s="3">
        <v>7190000</v>
      </c>
      <c r="E22" s="39">
        <v>6524000</v>
      </c>
      <c r="F22" s="38">
        <v>6990000</v>
      </c>
      <c r="G22" s="3">
        <v>7390000</v>
      </c>
    </row>
    <row r="23" spans="1:12" x14ac:dyDescent="0.2">
      <c r="A23" t="s">
        <v>229</v>
      </c>
      <c r="B23" s="25"/>
      <c r="C23" s="25">
        <v>6570000</v>
      </c>
      <c r="D23" s="3">
        <v>6690000</v>
      </c>
      <c r="E23" s="34">
        <v>6029000</v>
      </c>
      <c r="F23" s="38">
        <v>6490000</v>
      </c>
      <c r="G23" s="4">
        <v>6490000</v>
      </c>
    </row>
    <row r="24" spans="1:12" x14ac:dyDescent="0.2">
      <c r="A24" t="s">
        <v>230</v>
      </c>
      <c r="B24" s="25"/>
      <c r="C24" s="25">
        <v>7870000</v>
      </c>
      <c r="D24" s="3">
        <v>7890000</v>
      </c>
      <c r="E24" s="34">
        <v>7415000</v>
      </c>
      <c r="F24" s="34">
        <v>7890000</v>
      </c>
      <c r="G24" s="34">
        <v>7850000</v>
      </c>
    </row>
    <row r="25" spans="1:12" x14ac:dyDescent="0.2">
      <c r="A25" t="s">
        <v>213</v>
      </c>
      <c r="B25" s="25"/>
      <c r="C25" s="3">
        <v>10190000</v>
      </c>
      <c r="D25" s="3">
        <v>10690000</v>
      </c>
      <c r="E25" s="34">
        <v>10286000</v>
      </c>
      <c r="F25" s="38">
        <v>10190000</v>
      </c>
      <c r="G25" s="3">
        <v>10190000</v>
      </c>
    </row>
    <row r="26" spans="1:12" x14ac:dyDescent="0.2">
      <c r="A26" t="s">
        <v>214</v>
      </c>
      <c r="B26" s="25"/>
      <c r="C26" s="25">
        <v>12690000</v>
      </c>
      <c r="D26" s="3">
        <v>13290000</v>
      </c>
      <c r="E26" s="34">
        <v>12860000</v>
      </c>
      <c r="F26" s="38">
        <v>12690000</v>
      </c>
      <c r="G26" s="3">
        <v>13190000</v>
      </c>
    </row>
    <row r="27" spans="1:12" x14ac:dyDescent="0.2">
      <c r="A27" t="s">
        <v>215</v>
      </c>
      <c r="B27" s="25"/>
      <c r="C27" s="25">
        <v>10890000</v>
      </c>
      <c r="D27" s="3">
        <v>11490000</v>
      </c>
      <c r="E27" s="34">
        <v>11177000</v>
      </c>
      <c r="F27" s="34">
        <v>10890000</v>
      </c>
      <c r="G27" s="3">
        <v>11290000</v>
      </c>
    </row>
    <row r="28" spans="1:12" x14ac:dyDescent="0.2">
      <c r="A28" t="s">
        <v>217</v>
      </c>
      <c r="B28" s="3"/>
      <c r="C28" s="25">
        <v>13490000</v>
      </c>
      <c r="D28" s="3">
        <v>13990000</v>
      </c>
      <c r="E28" s="39">
        <v>13256000</v>
      </c>
      <c r="F28" s="34">
        <v>13690000</v>
      </c>
      <c r="G28" s="4">
        <v>13890000</v>
      </c>
    </row>
    <row r="29" spans="1:12" x14ac:dyDescent="0.2">
      <c r="A29" t="s">
        <v>172</v>
      </c>
      <c r="B29" s="25"/>
      <c r="C29" s="25">
        <v>22490000</v>
      </c>
      <c r="D29" s="25">
        <v>22990000</v>
      </c>
      <c r="E29" s="34">
        <v>21590000</v>
      </c>
      <c r="F29" s="39">
        <v>21990000</v>
      </c>
      <c r="G29" s="4">
        <v>22990000</v>
      </c>
    </row>
    <row r="30" spans="1:12" x14ac:dyDescent="0.2">
      <c r="A30" t="s">
        <v>53</v>
      </c>
      <c r="B30" s="3"/>
      <c r="C30" s="25">
        <v>5690000</v>
      </c>
      <c r="D30" s="34">
        <v>5390000</v>
      </c>
      <c r="E30" s="34">
        <v>5633000</v>
      </c>
      <c r="F30" s="37">
        <v>5490000</v>
      </c>
      <c r="G30" s="4">
        <v>5590000</v>
      </c>
    </row>
    <row r="31" spans="1:12" x14ac:dyDescent="0.2">
      <c r="A31" t="s">
        <v>54</v>
      </c>
      <c r="B31" s="3"/>
      <c r="C31" s="25">
        <v>4490000</v>
      </c>
      <c r="D31" s="37">
        <v>4290000</v>
      </c>
      <c r="E31" s="34">
        <v>4445000</v>
      </c>
      <c r="F31" s="37">
        <v>4590000</v>
      </c>
      <c r="G31" s="3">
        <v>4290000</v>
      </c>
    </row>
    <row r="32" spans="1:12" x14ac:dyDescent="0.2">
      <c r="A32" t="s">
        <v>55</v>
      </c>
      <c r="B32" s="3"/>
      <c r="C32" s="25">
        <v>3190000</v>
      </c>
      <c r="D32" s="37">
        <v>3090000</v>
      </c>
      <c r="E32" s="34">
        <v>3158000</v>
      </c>
      <c r="F32" s="37">
        <v>3390000</v>
      </c>
      <c r="G32" s="3">
        <v>3390000</v>
      </c>
    </row>
    <row r="33" spans="1:7" x14ac:dyDescent="0.2">
      <c r="A33" t="s">
        <v>175</v>
      </c>
      <c r="B33" s="3"/>
      <c r="C33" s="3">
        <v>17490000</v>
      </c>
      <c r="D33" s="38">
        <v>17490000</v>
      </c>
      <c r="E33" s="36"/>
      <c r="F33" s="34">
        <v>16190000</v>
      </c>
      <c r="G33" s="4">
        <v>16990000</v>
      </c>
    </row>
    <row r="34" spans="1:7" x14ac:dyDescent="0.2">
      <c r="A34" t="s">
        <v>186</v>
      </c>
      <c r="B34" s="25"/>
      <c r="C34" s="25">
        <v>23990000</v>
      </c>
      <c r="D34" s="3">
        <v>23090000</v>
      </c>
      <c r="E34" s="36"/>
      <c r="F34" s="34">
        <v>22890000</v>
      </c>
      <c r="G34" s="4">
        <v>23590000</v>
      </c>
    </row>
    <row r="35" spans="1:7" x14ac:dyDescent="0.2">
      <c r="A35" t="s">
        <v>232</v>
      </c>
      <c r="B35" s="3"/>
      <c r="C35" s="36">
        <v>27090000</v>
      </c>
      <c r="D35" s="34">
        <v>26090000</v>
      </c>
      <c r="E35" s="36"/>
      <c r="F35" s="34">
        <v>25990000</v>
      </c>
      <c r="G35" s="4">
        <v>26690000</v>
      </c>
    </row>
    <row r="36" spans="1:7" x14ac:dyDescent="0.2">
      <c r="A36" t="s">
        <v>233</v>
      </c>
      <c r="B36" s="25"/>
      <c r="C36" s="36">
        <v>32490000</v>
      </c>
      <c r="D36" s="3">
        <v>30590000</v>
      </c>
      <c r="E36" s="36"/>
      <c r="F36" s="38" t="s">
        <v>22</v>
      </c>
      <c r="G36" s="4">
        <v>32490000</v>
      </c>
    </row>
    <row r="37" spans="1:7" x14ac:dyDescent="0.2">
      <c r="A37" t="s">
        <v>187</v>
      </c>
      <c r="B37" s="25"/>
      <c r="C37" s="25">
        <v>39990000</v>
      </c>
      <c r="D37" s="25">
        <v>39990000</v>
      </c>
      <c r="E37" s="36"/>
      <c r="F37" s="37">
        <v>39590000</v>
      </c>
      <c r="G37" s="4">
        <v>39890000</v>
      </c>
    </row>
  </sheetData>
  <pageMargins left="0.7" right="0.7" top="0.75" bottom="0.75" header="0.3" footer="0.3"/>
  <pageSetup paperSize="9" orientation="portrait" horizontalDpi="0" verticalDpi="0"/>
  <legacyDrawing r:id="rId1"/>
</worksheet>
</file>

<file path=xl/worksheets/sheet4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dimension ref="A1:L37"/>
  <sheetViews>
    <sheetView zoomScale="125" zoomScaleNormal="120" workbookViewId="0">
      <pane xSplit="2" topLeftCell="C1" activePane="topRight" state="frozen"/>
      <selection pane="topRight" activeCell="F7" sqref="F7"/>
    </sheetView>
  </sheetViews>
  <sheetFormatPr baseColWidth="10" defaultColWidth="11" defaultRowHeight="16" x14ac:dyDescent="0.2"/>
  <cols>
    <col min="1" max="1" width="27.5" bestFit="1" customWidth="1"/>
    <col min="2" max="2" width="0" hidden="1"/>
  </cols>
  <sheetData>
    <row r="1" spans="1:12" x14ac:dyDescent="0.2">
      <c r="B1" s="46" t="s">
        <v>0</v>
      </c>
      <c r="C1" s="46" t="s">
        <v>1</v>
      </c>
      <c r="D1" s="46" t="s">
        <v>2</v>
      </c>
      <c r="E1" s="81" t="s">
        <v>3</v>
      </c>
      <c r="F1" s="81" t="s">
        <v>4</v>
      </c>
      <c r="G1" s="46" t="s">
        <v>5</v>
      </c>
    </row>
    <row r="2" spans="1:12" x14ac:dyDescent="0.2">
      <c r="A2" t="s">
        <v>21</v>
      </c>
      <c r="B2" s="46"/>
      <c r="C2" s="47">
        <v>16590000</v>
      </c>
      <c r="D2" s="47">
        <v>16590000</v>
      </c>
      <c r="E2" s="39">
        <v>16990000</v>
      </c>
      <c r="F2" s="39">
        <v>16390000</v>
      </c>
      <c r="G2" s="37">
        <v>16090000</v>
      </c>
    </row>
    <row r="3" spans="1:12" x14ac:dyDescent="0.2">
      <c r="A3" t="s">
        <v>181</v>
      </c>
      <c r="B3" s="25"/>
      <c r="C3" s="3">
        <v>19290000</v>
      </c>
      <c r="D3" s="41">
        <v>19290000</v>
      </c>
      <c r="E3" s="39">
        <v>18990000</v>
      </c>
      <c r="F3" s="37">
        <v>18990000</v>
      </c>
      <c r="G3" s="37">
        <v>18590000</v>
      </c>
    </row>
    <row r="4" spans="1:12" x14ac:dyDescent="0.2">
      <c r="A4" t="s">
        <v>24</v>
      </c>
      <c r="B4" s="3"/>
      <c r="C4" s="25">
        <v>22690000</v>
      </c>
      <c r="D4" s="42">
        <v>22590000</v>
      </c>
      <c r="E4" s="39">
        <v>21990000</v>
      </c>
      <c r="F4" s="39">
        <v>22190000</v>
      </c>
      <c r="G4" s="37">
        <v>21790000</v>
      </c>
    </row>
    <row r="5" spans="1:12" x14ac:dyDescent="0.2">
      <c r="A5" t="s">
        <v>182</v>
      </c>
      <c r="B5" s="25"/>
      <c r="C5" s="3">
        <v>25490000</v>
      </c>
      <c r="D5" s="42">
        <v>25490000</v>
      </c>
      <c r="E5" s="39">
        <v>24990000</v>
      </c>
      <c r="F5" s="37">
        <v>25090000</v>
      </c>
      <c r="G5" s="37">
        <v>24890000</v>
      </c>
    </row>
    <row r="6" spans="1:12" x14ac:dyDescent="0.2">
      <c r="A6" t="s">
        <v>183</v>
      </c>
      <c r="B6" s="3"/>
      <c r="C6" s="3">
        <v>31090000</v>
      </c>
      <c r="D6" s="42">
        <v>30990000</v>
      </c>
      <c r="E6" s="39">
        <v>30490000</v>
      </c>
      <c r="F6" s="37">
        <v>30790000</v>
      </c>
      <c r="G6" s="37">
        <v>30290000</v>
      </c>
    </row>
    <row r="7" spans="1:12" x14ac:dyDescent="0.2">
      <c r="A7" t="s">
        <v>25</v>
      </c>
      <c r="B7" s="25"/>
      <c r="C7" s="25">
        <v>15990000</v>
      </c>
      <c r="D7" s="42">
        <v>15990000</v>
      </c>
      <c r="E7" s="39">
        <v>15490000</v>
      </c>
      <c r="F7" s="39">
        <v>15990000</v>
      </c>
      <c r="G7" s="37">
        <v>15490000</v>
      </c>
    </row>
    <row r="8" spans="1:12" x14ac:dyDescent="0.2">
      <c r="A8" t="s">
        <v>26</v>
      </c>
      <c r="B8" s="25"/>
      <c r="C8" s="25">
        <v>19790000</v>
      </c>
      <c r="D8" s="42">
        <v>19790000</v>
      </c>
      <c r="E8" s="39">
        <v>18990000</v>
      </c>
      <c r="F8" s="39">
        <v>19190000</v>
      </c>
      <c r="G8" s="3">
        <v>18590000</v>
      </c>
    </row>
    <row r="9" spans="1:12" x14ac:dyDescent="0.2">
      <c r="A9" t="s">
        <v>158</v>
      </c>
      <c r="B9" s="3"/>
      <c r="C9" s="25">
        <v>29990000</v>
      </c>
      <c r="D9" s="3">
        <v>28490000</v>
      </c>
      <c r="E9" s="39" t="s">
        <v>22</v>
      </c>
      <c r="F9" s="37">
        <v>28490000</v>
      </c>
      <c r="G9" s="34">
        <v>28090000</v>
      </c>
    </row>
    <row r="10" spans="1:12" x14ac:dyDescent="0.2">
      <c r="A10" t="s">
        <v>92</v>
      </c>
      <c r="B10" s="3"/>
      <c r="C10" s="42" t="s">
        <v>22</v>
      </c>
      <c r="D10" s="25">
        <v>18990000</v>
      </c>
      <c r="E10" s="39">
        <v>18990000</v>
      </c>
      <c r="F10" s="34">
        <v>17990000</v>
      </c>
      <c r="G10" s="34">
        <v>17490000</v>
      </c>
    </row>
    <row r="11" spans="1:12" x14ac:dyDescent="0.2">
      <c r="A11" t="s">
        <v>27</v>
      </c>
      <c r="B11" s="25"/>
      <c r="C11" s="3">
        <v>12990000</v>
      </c>
      <c r="D11" s="39">
        <v>12990000</v>
      </c>
      <c r="E11" s="39">
        <v>12990000</v>
      </c>
      <c r="F11" s="38">
        <v>12990000</v>
      </c>
      <c r="G11" s="4">
        <v>12990000</v>
      </c>
    </row>
    <row r="12" spans="1:12" x14ac:dyDescent="0.2">
      <c r="A12" t="s">
        <v>28</v>
      </c>
      <c r="B12" s="3"/>
      <c r="C12" s="25">
        <v>11990000</v>
      </c>
      <c r="D12" s="38">
        <v>11990000</v>
      </c>
      <c r="E12" s="39">
        <v>11990000</v>
      </c>
      <c r="F12" s="34">
        <v>11590000</v>
      </c>
      <c r="G12" s="34">
        <v>11590000</v>
      </c>
    </row>
    <row r="13" spans="1:12" x14ac:dyDescent="0.2">
      <c r="A13" t="s">
        <v>98</v>
      </c>
      <c r="B13" s="25"/>
      <c r="C13" s="25">
        <v>10590000</v>
      </c>
      <c r="D13" s="25" t="s">
        <v>22</v>
      </c>
      <c r="E13" s="39">
        <v>9990000</v>
      </c>
      <c r="F13" s="25" t="s">
        <v>22</v>
      </c>
      <c r="G13" s="4" t="s">
        <v>22</v>
      </c>
    </row>
    <row r="14" spans="1:12" x14ac:dyDescent="0.2">
      <c r="A14" t="s">
        <v>29</v>
      </c>
      <c r="B14" s="25"/>
      <c r="C14" s="42">
        <v>13990000</v>
      </c>
      <c r="D14" s="3">
        <v>13890000</v>
      </c>
      <c r="E14" s="39">
        <v>13790000</v>
      </c>
      <c r="F14" s="38">
        <v>13990000</v>
      </c>
      <c r="G14" s="4">
        <v>13690000</v>
      </c>
    </row>
    <row r="15" spans="1:12" x14ac:dyDescent="0.2">
      <c r="A15" t="s">
        <v>162</v>
      </c>
      <c r="B15" s="25"/>
      <c r="C15" s="3">
        <v>8690000</v>
      </c>
      <c r="D15" s="3">
        <v>8690000</v>
      </c>
      <c r="E15" s="37">
        <v>7910000</v>
      </c>
      <c r="F15" s="34">
        <v>8690000</v>
      </c>
      <c r="G15" s="34">
        <v>8390000</v>
      </c>
    </row>
    <row r="16" spans="1:12" x14ac:dyDescent="0.2">
      <c r="A16" t="s">
        <v>163</v>
      </c>
      <c r="B16" s="3"/>
      <c r="C16" s="42">
        <v>10290000</v>
      </c>
      <c r="D16" s="25">
        <v>6990000</v>
      </c>
      <c r="E16" s="39">
        <v>6990000</v>
      </c>
      <c r="F16" s="38">
        <v>6590000</v>
      </c>
      <c r="G16" s="34">
        <v>6790000</v>
      </c>
      <c r="J16" t="s">
        <v>31</v>
      </c>
      <c r="K16" t="s">
        <v>38</v>
      </c>
      <c r="L16" t="b">
        <v>1</v>
      </c>
    </row>
    <row r="17" spans="1:12" x14ac:dyDescent="0.2">
      <c r="A17" t="s">
        <v>189</v>
      </c>
      <c r="B17" s="3"/>
      <c r="C17" s="25">
        <v>16490000</v>
      </c>
      <c r="D17" s="25">
        <v>16590000</v>
      </c>
      <c r="E17" s="39">
        <v>15534000</v>
      </c>
      <c r="F17" s="38">
        <v>16690000</v>
      </c>
      <c r="G17" s="34">
        <v>16590000</v>
      </c>
      <c r="J17" t="s">
        <v>2</v>
      </c>
      <c r="K17" t="s">
        <v>198</v>
      </c>
      <c r="L17" t="b">
        <v>1</v>
      </c>
    </row>
    <row r="18" spans="1:12" x14ac:dyDescent="0.2">
      <c r="A18" t="s">
        <v>190</v>
      </c>
      <c r="B18" s="25"/>
      <c r="C18" s="3">
        <v>20490000</v>
      </c>
      <c r="D18" s="3">
        <v>20490000</v>
      </c>
      <c r="E18" s="39">
        <v>20290000</v>
      </c>
      <c r="F18" s="34">
        <v>20490000</v>
      </c>
      <c r="G18" s="4">
        <v>20890000</v>
      </c>
      <c r="J18" t="s">
        <v>3</v>
      </c>
      <c r="K18" t="s">
        <v>36</v>
      </c>
      <c r="L18" t="b">
        <v>1</v>
      </c>
    </row>
    <row r="19" spans="1:12" x14ac:dyDescent="0.2">
      <c r="A19" t="s">
        <v>184</v>
      </c>
      <c r="B19" s="25"/>
      <c r="C19" s="25">
        <v>27890000</v>
      </c>
      <c r="D19" s="25">
        <v>27890000</v>
      </c>
      <c r="E19" s="39" t="s">
        <v>22</v>
      </c>
      <c r="F19" s="34">
        <v>27990000</v>
      </c>
      <c r="G19" s="4">
        <v>27090000</v>
      </c>
      <c r="J19" t="s">
        <v>4</v>
      </c>
      <c r="K19" t="s">
        <v>34</v>
      </c>
      <c r="L19" t="b">
        <v>1</v>
      </c>
    </row>
    <row r="20" spans="1:12" x14ac:dyDescent="0.2">
      <c r="A20" t="s">
        <v>185</v>
      </c>
      <c r="B20" s="3"/>
      <c r="C20" s="25">
        <v>36690000</v>
      </c>
      <c r="D20" s="25">
        <v>36690000</v>
      </c>
      <c r="E20" s="39">
        <v>35990000</v>
      </c>
      <c r="F20" s="38">
        <v>36990000</v>
      </c>
      <c r="G20" s="4">
        <v>36490000</v>
      </c>
      <c r="J20" t="s">
        <v>41</v>
      </c>
      <c r="K20" t="s">
        <v>42</v>
      </c>
      <c r="L20" t="b">
        <v>1</v>
      </c>
    </row>
    <row r="21" spans="1:12" x14ac:dyDescent="0.2">
      <c r="A21" t="s">
        <v>227</v>
      </c>
      <c r="B21" s="25"/>
      <c r="C21" s="3">
        <v>5990000</v>
      </c>
      <c r="D21" s="25">
        <v>5890000</v>
      </c>
      <c r="E21" s="39">
        <v>5336000</v>
      </c>
      <c r="F21" s="38">
        <v>5590000</v>
      </c>
      <c r="G21" s="4">
        <v>5590000</v>
      </c>
    </row>
    <row r="22" spans="1:12" x14ac:dyDescent="0.2">
      <c r="A22" t="s">
        <v>228</v>
      </c>
      <c r="B22" s="25"/>
      <c r="C22" s="3">
        <v>7190000</v>
      </c>
      <c r="D22" s="25">
        <v>7190000</v>
      </c>
      <c r="E22" s="39">
        <v>6524000</v>
      </c>
      <c r="F22" s="38">
        <v>6990000</v>
      </c>
      <c r="G22" s="3">
        <v>6990000</v>
      </c>
    </row>
    <row r="23" spans="1:12" x14ac:dyDescent="0.2">
      <c r="A23" t="s">
        <v>229</v>
      </c>
      <c r="B23" s="25"/>
      <c r="C23" s="3">
        <v>6690000</v>
      </c>
      <c r="D23" s="25">
        <v>6690000</v>
      </c>
      <c r="E23" s="39">
        <v>6425000</v>
      </c>
      <c r="F23" s="38">
        <v>6490000</v>
      </c>
      <c r="G23" s="4">
        <v>6490000</v>
      </c>
    </row>
    <row r="24" spans="1:12" x14ac:dyDescent="0.2">
      <c r="A24" t="s">
        <v>230</v>
      </c>
      <c r="B24" s="25"/>
      <c r="C24" s="3">
        <v>7990000</v>
      </c>
      <c r="D24" s="25">
        <v>7890000</v>
      </c>
      <c r="E24" s="39">
        <v>7415000</v>
      </c>
      <c r="F24" s="34">
        <v>7770000</v>
      </c>
      <c r="G24" s="34">
        <v>7390000</v>
      </c>
    </row>
    <row r="25" spans="1:12" x14ac:dyDescent="0.2">
      <c r="A25" t="s">
        <v>213</v>
      </c>
      <c r="B25" s="25"/>
      <c r="C25" s="25">
        <v>10190000</v>
      </c>
      <c r="D25" s="25">
        <v>10690000</v>
      </c>
      <c r="E25" s="39">
        <v>10286000</v>
      </c>
      <c r="F25" s="38">
        <v>10190000</v>
      </c>
      <c r="G25" s="3">
        <v>10190000</v>
      </c>
    </row>
    <row r="26" spans="1:12" x14ac:dyDescent="0.2">
      <c r="A26" t="s">
        <v>214</v>
      </c>
      <c r="B26" s="25"/>
      <c r="C26" s="3">
        <v>13490000</v>
      </c>
      <c r="D26" s="25">
        <v>13290000</v>
      </c>
      <c r="E26" s="39">
        <v>12860000</v>
      </c>
      <c r="F26" s="38">
        <v>12990000</v>
      </c>
      <c r="G26" s="3">
        <v>12690000</v>
      </c>
    </row>
    <row r="27" spans="1:12" x14ac:dyDescent="0.2">
      <c r="A27" t="s">
        <v>215</v>
      </c>
      <c r="B27" s="25"/>
      <c r="C27" s="3">
        <v>11690000</v>
      </c>
      <c r="D27" s="25">
        <v>11490000</v>
      </c>
      <c r="E27" s="39">
        <v>11177000</v>
      </c>
      <c r="F27" s="38">
        <v>10890000</v>
      </c>
      <c r="G27" s="3">
        <v>10890000</v>
      </c>
    </row>
    <row r="28" spans="1:12" x14ac:dyDescent="0.2">
      <c r="A28" t="s">
        <v>217</v>
      </c>
      <c r="B28" s="3"/>
      <c r="C28" s="3">
        <v>14290000</v>
      </c>
      <c r="D28" s="25">
        <v>13990000</v>
      </c>
      <c r="E28" s="39">
        <v>13256000</v>
      </c>
      <c r="F28" s="34">
        <v>13690000</v>
      </c>
      <c r="G28" s="34">
        <v>13590000</v>
      </c>
    </row>
    <row r="29" spans="1:12" x14ac:dyDescent="0.2">
      <c r="A29" t="s">
        <v>172</v>
      </c>
      <c r="B29" s="25"/>
      <c r="C29" s="25">
        <v>22490000</v>
      </c>
      <c r="D29" s="25">
        <v>22990000</v>
      </c>
      <c r="E29" s="39">
        <v>21590000</v>
      </c>
      <c r="F29" s="39">
        <v>21990000</v>
      </c>
      <c r="G29" s="4">
        <v>22990000</v>
      </c>
    </row>
    <row r="30" spans="1:12" x14ac:dyDescent="0.2">
      <c r="A30" t="s">
        <v>53</v>
      </c>
      <c r="B30" s="3"/>
      <c r="C30" s="3">
        <v>5590000</v>
      </c>
      <c r="D30" s="38">
        <v>5390000</v>
      </c>
      <c r="E30" s="34">
        <v>5336000</v>
      </c>
      <c r="F30" s="39">
        <v>5590000</v>
      </c>
      <c r="G30" s="4">
        <v>5590000</v>
      </c>
    </row>
    <row r="31" spans="1:12" x14ac:dyDescent="0.2">
      <c r="A31" t="s">
        <v>54</v>
      </c>
      <c r="B31" s="3"/>
      <c r="C31" s="25">
        <v>4490000</v>
      </c>
      <c r="D31" s="39">
        <v>4290000</v>
      </c>
      <c r="E31" s="34">
        <v>4247000</v>
      </c>
      <c r="F31" s="39">
        <v>4590000</v>
      </c>
      <c r="G31" s="4">
        <v>4290000</v>
      </c>
    </row>
    <row r="32" spans="1:12" x14ac:dyDescent="0.2">
      <c r="A32" t="s">
        <v>55</v>
      </c>
      <c r="B32" s="3"/>
      <c r="C32" s="3">
        <v>3290000</v>
      </c>
      <c r="D32" s="39">
        <v>3090000</v>
      </c>
      <c r="E32" s="34">
        <v>2960000</v>
      </c>
      <c r="F32" s="39">
        <v>3390000</v>
      </c>
      <c r="G32" s="4">
        <v>3390000</v>
      </c>
    </row>
    <row r="33" spans="1:7" x14ac:dyDescent="0.2">
      <c r="A33" t="s">
        <v>175</v>
      </c>
      <c r="B33" s="3"/>
      <c r="C33" s="25">
        <v>17490000</v>
      </c>
      <c r="D33" s="34">
        <v>16990000</v>
      </c>
      <c r="E33" s="36"/>
      <c r="F33" s="34">
        <v>17490000</v>
      </c>
      <c r="G33" s="34">
        <v>16690000</v>
      </c>
    </row>
    <row r="34" spans="1:7" x14ac:dyDescent="0.2">
      <c r="A34" t="s">
        <v>186</v>
      </c>
      <c r="B34" s="25"/>
      <c r="C34" s="3">
        <v>22990000</v>
      </c>
      <c r="D34" s="3">
        <v>22990000</v>
      </c>
      <c r="E34" s="36"/>
      <c r="F34" s="38">
        <v>22890000</v>
      </c>
      <c r="G34" s="34">
        <v>22790000</v>
      </c>
    </row>
    <row r="35" spans="1:7" x14ac:dyDescent="0.2">
      <c r="A35" t="s">
        <v>232</v>
      </c>
      <c r="B35" s="3"/>
      <c r="C35" s="41">
        <v>25490000</v>
      </c>
      <c r="D35" s="34">
        <v>25390000</v>
      </c>
      <c r="E35" s="36"/>
      <c r="F35" s="34">
        <v>25390000</v>
      </c>
      <c r="G35" s="4">
        <v>26690000</v>
      </c>
    </row>
    <row r="36" spans="1:7" x14ac:dyDescent="0.2">
      <c r="A36" t="s">
        <v>233</v>
      </c>
      <c r="B36" s="25"/>
      <c r="C36" s="41">
        <v>29090000</v>
      </c>
      <c r="D36" s="3">
        <v>29090000</v>
      </c>
      <c r="E36" s="36"/>
      <c r="F36" s="38" t="s">
        <v>22</v>
      </c>
      <c r="G36" s="4">
        <v>32490000</v>
      </c>
    </row>
    <row r="37" spans="1:7" x14ac:dyDescent="0.2">
      <c r="A37" t="s">
        <v>187</v>
      </c>
      <c r="B37" s="25"/>
      <c r="C37" s="25">
        <v>39990000</v>
      </c>
      <c r="D37" s="25">
        <v>39990000</v>
      </c>
      <c r="E37" s="36"/>
      <c r="F37" s="39">
        <v>39590000</v>
      </c>
      <c r="G37" s="4">
        <v>39890000</v>
      </c>
    </row>
  </sheetData>
  <pageMargins left="0.7" right="0.7" top="0.75" bottom="0.75" header="0.3" footer="0.3"/>
  <pageSetup paperSize="9" orientation="portrait" horizontalDpi="0" verticalDpi="0"/>
  <legacyDrawing r:id="rId1"/>
</worksheet>
</file>

<file path=xl/worksheets/sheet5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dimension ref="A1:L37"/>
  <sheetViews>
    <sheetView topLeftCell="A11" zoomScale="130" zoomScaleNormal="130" workbookViewId="0">
      <pane xSplit="2" topLeftCell="C1" activePane="topRight" state="frozen"/>
      <selection activeCell="A11" sqref="A11"/>
      <selection pane="topRight" activeCell="A11" sqref="A11"/>
    </sheetView>
  </sheetViews>
  <sheetFormatPr baseColWidth="10" defaultColWidth="11" defaultRowHeight="16" x14ac:dyDescent="0.2"/>
  <cols>
    <col min="1" max="1" width="27.5" bestFit="1" customWidth="1"/>
    <col min="2" max="2" width="0" hidden="1"/>
  </cols>
  <sheetData>
    <row r="1" spans="1:12" x14ac:dyDescent="0.2">
      <c r="B1" s="46" t="s">
        <v>0</v>
      </c>
      <c r="C1" s="46" t="s">
        <v>1</v>
      </c>
      <c r="D1" s="46" t="s">
        <v>2</v>
      </c>
      <c r="E1" s="81" t="s">
        <v>3</v>
      </c>
      <c r="F1" s="81" t="s">
        <v>4</v>
      </c>
      <c r="G1" s="81" t="s">
        <v>5</v>
      </c>
    </row>
    <row r="2" spans="1:12" x14ac:dyDescent="0.2">
      <c r="A2" t="s">
        <v>21</v>
      </c>
      <c r="B2" s="46"/>
      <c r="C2" s="47">
        <v>16590000</v>
      </c>
      <c r="D2" s="48">
        <v>16390000</v>
      </c>
      <c r="E2" s="34">
        <v>16127000</v>
      </c>
      <c r="F2" s="39">
        <v>16390000</v>
      </c>
      <c r="G2" s="39">
        <v>16190000</v>
      </c>
    </row>
    <row r="3" spans="1:12" x14ac:dyDescent="0.2">
      <c r="A3" t="s">
        <v>181</v>
      </c>
      <c r="B3" s="25"/>
      <c r="C3" s="25">
        <v>19290000</v>
      </c>
      <c r="D3" s="42">
        <v>19290000</v>
      </c>
      <c r="E3" s="39">
        <v>18990000</v>
      </c>
      <c r="F3" s="37">
        <v>18890000</v>
      </c>
      <c r="G3" s="37">
        <v>18790000</v>
      </c>
    </row>
    <row r="4" spans="1:12" x14ac:dyDescent="0.2">
      <c r="A4" t="s">
        <v>24</v>
      </c>
      <c r="B4" s="3"/>
      <c r="C4" s="25">
        <v>22690000</v>
      </c>
      <c r="D4" s="42">
        <v>22590000</v>
      </c>
      <c r="E4" s="39">
        <v>21990000</v>
      </c>
      <c r="F4" s="39">
        <v>22290000</v>
      </c>
      <c r="G4" s="37">
        <v>21990000</v>
      </c>
    </row>
    <row r="5" spans="1:12" x14ac:dyDescent="0.2">
      <c r="A5" t="s">
        <v>182</v>
      </c>
      <c r="B5" s="25"/>
      <c r="C5" s="25">
        <v>25490000</v>
      </c>
      <c r="D5" s="42">
        <v>25490000</v>
      </c>
      <c r="E5" s="39">
        <v>24990000</v>
      </c>
      <c r="F5" s="39">
        <v>25090000</v>
      </c>
      <c r="G5" s="37">
        <v>24590000</v>
      </c>
    </row>
    <row r="6" spans="1:12" x14ac:dyDescent="0.2">
      <c r="A6" t="s">
        <v>183</v>
      </c>
      <c r="B6" s="3"/>
      <c r="C6" s="3">
        <v>31190000</v>
      </c>
      <c r="D6" s="42">
        <v>30990000</v>
      </c>
      <c r="E6" s="39">
        <v>30490000</v>
      </c>
      <c r="F6" s="37">
        <v>30690000</v>
      </c>
      <c r="G6" s="37">
        <v>30190000</v>
      </c>
    </row>
    <row r="7" spans="1:12" x14ac:dyDescent="0.2">
      <c r="A7" t="s">
        <v>25</v>
      </c>
      <c r="B7" s="25"/>
      <c r="C7" s="25">
        <v>15990000</v>
      </c>
      <c r="D7" s="42">
        <v>15990000</v>
      </c>
      <c r="E7" s="39">
        <v>15490000</v>
      </c>
      <c r="F7" s="37">
        <v>15790000</v>
      </c>
      <c r="G7" s="39">
        <v>15490000</v>
      </c>
    </row>
    <row r="8" spans="1:12" x14ac:dyDescent="0.2">
      <c r="A8" t="s">
        <v>26</v>
      </c>
      <c r="B8" s="25"/>
      <c r="C8" s="25">
        <v>19790000</v>
      </c>
      <c r="D8" s="42">
        <v>19790000</v>
      </c>
      <c r="E8" s="39">
        <v>18990000</v>
      </c>
      <c r="F8" s="39">
        <v>19190000</v>
      </c>
      <c r="G8" s="39">
        <v>18490000</v>
      </c>
    </row>
    <row r="9" spans="1:12" x14ac:dyDescent="0.2">
      <c r="A9" t="s">
        <v>158</v>
      </c>
      <c r="B9" s="3"/>
      <c r="C9" s="25">
        <v>29990000</v>
      </c>
      <c r="D9" s="3">
        <v>27990000</v>
      </c>
      <c r="E9" s="39" t="s">
        <v>22</v>
      </c>
      <c r="F9" s="37">
        <v>28690000</v>
      </c>
      <c r="G9" s="34">
        <v>27990000</v>
      </c>
    </row>
    <row r="10" spans="1:12" x14ac:dyDescent="0.2">
      <c r="A10" t="s">
        <v>92</v>
      </c>
      <c r="B10" s="3"/>
      <c r="C10" s="42" t="s">
        <v>22</v>
      </c>
      <c r="D10" s="25">
        <v>18990000</v>
      </c>
      <c r="E10" s="39">
        <v>18990000</v>
      </c>
      <c r="F10" s="38">
        <v>17990000</v>
      </c>
      <c r="G10" s="39">
        <v>17490000</v>
      </c>
    </row>
    <row r="11" spans="1:12" x14ac:dyDescent="0.2">
      <c r="A11" t="s">
        <v>27</v>
      </c>
      <c r="B11" s="25"/>
      <c r="C11" s="25">
        <v>12990000</v>
      </c>
      <c r="D11" s="39">
        <v>12990000</v>
      </c>
      <c r="E11" s="39">
        <v>12990000</v>
      </c>
      <c r="F11" s="38">
        <v>12990000</v>
      </c>
      <c r="G11" s="4">
        <v>12990000</v>
      </c>
    </row>
    <row r="12" spans="1:12" x14ac:dyDescent="0.2">
      <c r="A12" t="s">
        <v>28</v>
      </c>
      <c r="B12" s="3"/>
      <c r="C12" s="25">
        <v>11990000</v>
      </c>
      <c r="D12" s="38">
        <v>11990000</v>
      </c>
      <c r="E12" s="34">
        <v>11672000</v>
      </c>
      <c r="F12" s="38">
        <v>11590000</v>
      </c>
      <c r="G12" s="4">
        <v>11590000</v>
      </c>
    </row>
    <row r="13" spans="1:12" x14ac:dyDescent="0.2">
      <c r="A13" t="s">
        <v>98</v>
      </c>
      <c r="B13" s="25"/>
      <c r="C13" s="25">
        <v>10590000</v>
      </c>
      <c r="D13" s="25" t="s">
        <v>22</v>
      </c>
      <c r="E13" s="39">
        <v>9990000</v>
      </c>
      <c r="F13" s="25" t="s">
        <v>22</v>
      </c>
      <c r="G13" s="4" t="s">
        <v>22</v>
      </c>
    </row>
    <row r="14" spans="1:12" x14ac:dyDescent="0.2">
      <c r="A14" t="s">
        <v>29</v>
      </c>
      <c r="B14" s="25"/>
      <c r="C14" s="42">
        <v>13990000</v>
      </c>
      <c r="D14" s="25">
        <v>13890000</v>
      </c>
      <c r="E14" s="39">
        <v>13790000</v>
      </c>
      <c r="F14" s="38">
        <v>13990000</v>
      </c>
      <c r="G14" s="4">
        <v>13690000</v>
      </c>
    </row>
    <row r="15" spans="1:12" x14ac:dyDescent="0.2">
      <c r="A15" t="s">
        <v>162</v>
      </c>
      <c r="B15" s="25"/>
      <c r="C15" s="25">
        <v>8690000</v>
      </c>
      <c r="D15" s="3">
        <v>8590000</v>
      </c>
      <c r="E15" s="37">
        <v>8603000</v>
      </c>
      <c r="F15" s="38">
        <v>8690000</v>
      </c>
      <c r="G15" s="34">
        <v>8290000</v>
      </c>
    </row>
    <row r="16" spans="1:12" x14ac:dyDescent="0.2">
      <c r="A16" t="s">
        <v>163</v>
      </c>
      <c r="B16" s="3"/>
      <c r="C16" s="42" t="s">
        <v>22</v>
      </c>
      <c r="D16" s="25">
        <v>6990000</v>
      </c>
      <c r="E16" s="34">
        <v>7990000</v>
      </c>
      <c r="F16" s="38">
        <v>6590000</v>
      </c>
      <c r="G16" s="4">
        <v>6790000</v>
      </c>
      <c r="J16" t="s">
        <v>31</v>
      </c>
      <c r="K16" t="s">
        <v>38</v>
      </c>
      <c r="L16" t="b">
        <v>1</v>
      </c>
    </row>
    <row r="17" spans="1:12" x14ac:dyDescent="0.2">
      <c r="A17" t="s">
        <v>189</v>
      </c>
      <c r="B17" s="3"/>
      <c r="C17" s="25">
        <v>16490000</v>
      </c>
      <c r="D17" s="3">
        <v>16790000</v>
      </c>
      <c r="E17" s="39">
        <v>15534000</v>
      </c>
      <c r="F17" s="38">
        <v>16690000</v>
      </c>
      <c r="G17" s="34">
        <v>16290000</v>
      </c>
      <c r="J17" t="s">
        <v>2</v>
      </c>
      <c r="K17" t="s">
        <v>198</v>
      </c>
      <c r="L17" t="b">
        <v>1</v>
      </c>
    </row>
    <row r="18" spans="1:12" x14ac:dyDescent="0.2">
      <c r="A18" t="s">
        <v>190</v>
      </c>
      <c r="B18" s="25"/>
      <c r="C18" s="25">
        <v>20490000</v>
      </c>
      <c r="D18" s="25">
        <v>20490000</v>
      </c>
      <c r="E18" s="39">
        <v>20290000</v>
      </c>
      <c r="F18" s="34">
        <v>19990000</v>
      </c>
      <c r="G18" s="34">
        <v>19990000</v>
      </c>
      <c r="J18" t="s">
        <v>3</v>
      </c>
      <c r="K18" t="s">
        <v>36</v>
      </c>
      <c r="L18" t="b">
        <v>1</v>
      </c>
    </row>
    <row r="19" spans="1:12" x14ac:dyDescent="0.2">
      <c r="A19" t="s">
        <v>184</v>
      </c>
      <c r="B19" s="25"/>
      <c r="C19" s="25">
        <v>27890000</v>
      </c>
      <c r="D19" s="25">
        <v>27890000</v>
      </c>
      <c r="E19" s="34">
        <v>27190000</v>
      </c>
      <c r="F19" s="38">
        <v>27990000</v>
      </c>
      <c r="G19" s="34">
        <v>27290000</v>
      </c>
      <c r="J19" t="s">
        <v>4</v>
      </c>
      <c r="K19" t="s">
        <v>34</v>
      </c>
      <c r="L19" t="b">
        <v>1</v>
      </c>
    </row>
    <row r="20" spans="1:12" x14ac:dyDescent="0.2">
      <c r="A20" t="s">
        <v>185</v>
      </c>
      <c r="B20" s="3"/>
      <c r="C20" s="25">
        <v>36690000</v>
      </c>
      <c r="D20" s="25">
        <v>36690000</v>
      </c>
      <c r="E20" s="39">
        <v>35990000</v>
      </c>
      <c r="F20" s="38">
        <v>36990000</v>
      </c>
      <c r="G20" s="34">
        <v>36090000</v>
      </c>
      <c r="J20" t="s">
        <v>41</v>
      </c>
      <c r="K20" t="s">
        <v>42</v>
      </c>
      <c r="L20" t="b">
        <v>1</v>
      </c>
    </row>
    <row r="21" spans="1:12" x14ac:dyDescent="0.2">
      <c r="A21" t="s">
        <v>227</v>
      </c>
      <c r="B21" s="25"/>
      <c r="C21" s="3">
        <v>5890000</v>
      </c>
      <c r="D21" s="25">
        <v>5890000</v>
      </c>
      <c r="E21" s="39">
        <v>5336000</v>
      </c>
      <c r="F21" s="34">
        <v>5790000</v>
      </c>
      <c r="G21" s="4">
        <v>5590000</v>
      </c>
    </row>
    <row r="22" spans="1:12" x14ac:dyDescent="0.2">
      <c r="A22" t="s">
        <v>228</v>
      </c>
      <c r="B22" s="25"/>
      <c r="C22" s="3">
        <v>7090000</v>
      </c>
      <c r="D22" s="3">
        <v>7090000</v>
      </c>
      <c r="E22" s="34">
        <v>6722000</v>
      </c>
      <c r="F22" s="38">
        <v>6990000</v>
      </c>
      <c r="G22" s="3">
        <v>6790000</v>
      </c>
    </row>
    <row r="23" spans="1:12" x14ac:dyDescent="0.2">
      <c r="A23" t="s">
        <v>229</v>
      </c>
      <c r="B23" s="25"/>
      <c r="C23" s="3">
        <v>6590000</v>
      </c>
      <c r="D23" s="3">
        <v>6590000</v>
      </c>
      <c r="E23" s="34">
        <v>5930000</v>
      </c>
      <c r="F23" s="38">
        <v>6590000</v>
      </c>
      <c r="G23" s="3">
        <v>6790000</v>
      </c>
    </row>
    <row r="24" spans="1:12" x14ac:dyDescent="0.2">
      <c r="A24" t="s">
        <v>230</v>
      </c>
      <c r="B24" s="25"/>
      <c r="C24" s="25">
        <v>7990000</v>
      </c>
      <c r="D24" s="25">
        <v>7890000</v>
      </c>
      <c r="E24" s="39">
        <v>7415000</v>
      </c>
      <c r="F24" s="38">
        <v>7770000</v>
      </c>
      <c r="G24" s="34">
        <v>7690000</v>
      </c>
    </row>
    <row r="25" spans="1:12" x14ac:dyDescent="0.2">
      <c r="A25" t="s">
        <v>213</v>
      </c>
      <c r="B25" s="25"/>
      <c r="C25" s="3">
        <v>10690000</v>
      </c>
      <c r="D25" s="3">
        <v>10490000</v>
      </c>
      <c r="E25" s="34">
        <v>10187000</v>
      </c>
      <c r="F25" s="34">
        <v>10590000</v>
      </c>
      <c r="G25" s="3">
        <v>10090000</v>
      </c>
    </row>
    <row r="26" spans="1:12" x14ac:dyDescent="0.2">
      <c r="A26" t="s">
        <v>214</v>
      </c>
      <c r="B26" s="25"/>
      <c r="C26" s="3">
        <v>12790000</v>
      </c>
      <c r="D26" s="3">
        <v>12690000</v>
      </c>
      <c r="E26" s="34">
        <v>12731000</v>
      </c>
      <c r="F26" s="34">
        <v>12690000</v>
      </c>
      <c r="G26" s="4">
        <v>12690000</v>
      </c>
    </row>
    <row r="27" spans="1:12" x14ac:dyDescent="0.2">
      <c r="A27" t="s">
        <v>215</v>
      </c>
      <c r="B27" s="25"/>
      <c r="C27" s="3">
        <v>11590000</v>
      </c>
      <c r="D27" s="3">
        <v>11190000</v>
      </c>
      <c r="E27" s="34">
        <v>10880000</v>
      </c>
      <c r="F27" s="38">
        <v>10890000</v>
      </c>
      <c r="G27" s="4">
        <v>10890000</v>
      </c>
    </row>
    <row r="28" spans="1:12" x14ac:dyDescent="0.2">
      <c r="A28" t="s">
        <v>217</v>
      </c>
      <c r="B28" s="3"/>
      <c r="C28" s="3">
        <v>14090000</v>
      </c>
      <c r="D28" s="3">
        <v>13690000</v>
      </c>
      <c r="E28" s="34">
        <v>13553000</v>
      </c>
      <c r="F28" s="34">
        <v>13690000</v>
      </c>
      <c r="G28" s="4">
        <v>13590000</v>
      </c>
    </row>
    <row r="29" spans="1:12" x14ac:dyDescent="0.2">
      <c r="A29" t="s">
        <v>172</v>
      </c>
      <c r="B29" s="25"/>
      <c r="C29" s="25">
        <v>22490000</v>
      </c>
      <c r="D29" s="25">
        <v>22990000</v>
      </c>
      <c r="E29" s="34">
        <v>21790000</v>
      </c>
      <c r="F29" s="39">
        <v>21990000</v>
      </c>
      <c r="G29" s="4">
        <v>22990000</v>
      </c>
    </row>
    <row r="30" spans="1:12" x14ac:dyDescent="0.2">
      <c r="A30" t="s">
        <v>53</v>
      </c>
      <c r="B30" s="3"/>
      <c r="C30" s="3">
        <v>5790000</v>
      </c>
      <c r="D30" s="34">
        <v>5590000</v>
      </c>
      <c r="E30" s="34">
        <v>5690000</v>
      </c>
      <c r="F30" s="39">
        <v>5590000</v>
      </c>
      <c r="G30" s="4">
        <v>5590000</v>
      </c>
    </row>
    <row r="31" spans="1:12" x14ac:dyDescent="0.2">
      <c r="A31" t="s">
        <v>54</v>
      </c>
      <c r="B31" s="3"/>
      <c r="C31" s="3">
        <v>4690000</v>
      </c>
      <c r="D31" s="37">
        <v>4390000</v>
      </c>
      <c r="E31" s="34">
        <v>4490000</v>
      </c>
      <c r="F31" s="39">
        <v>4590000</v>
      </c>
      <c r="G31" s="34">
        <v>4490000</v>
      </c>
    </row>
    <row r="32" spans="1:12" x14ac:dyDescent="0.2">
      <c r="A32" t="s">
        <v>55</v>
      </c>
      <c r="B32" s="3"/>
      <c r="C32" s="3">
        <v>3390000</v>
      </c>
      <c r="D32" s="37">
        <v>3190000</v>
      </c>
      <c r="E32" s="34">
        <v>3190000</v>
      </c>
      <c r="F32" s="39">
        <v>3390000</v>
      </c>
      <c r="G32" s="34">
        <v>3190000</v>
      </c>
    </row>
    <row r="33" spans="1:7" x14ac:dyDescent="0.2">
      <c r="A33" t="s">
        <v>175</v>
      </c>
      <c r="B33" s="3"/>
      <c r="C33" s="3">
        <v>17690000</v>
      </c>
      <c r="D33" s="34">
        <v>17490000</v>
      </c>
      <c r="E33" s="36"/>
      <c r="F33" s="34">
        <v>17690000</v>
      </c>
      <c r="G33" s="4">
        <v>16690000</v>
      </c>
    </row>
    <row r="34" spans="1:7" x14ac:dyDescent="0.2">
      <c r="A34" t="s">
        <v>186</v>
      </c>
      <c r="B34" s="25"/>
      <c r="C34" s="3">
        <v>22090000</v>
      </c>
      <c r="D34" s="3">
        <v>21990000</v>
      </c>
      <c r="E34" s="36"/>
      <c r="F34" s="34">
        <v>21990000</v>
      </c>
      <c r="G34" s="34">
        <v>21990000</v>
      </c>
    </row>
    <row r="35" spans="1:7" x14ac:dyDescent="0.2">
      <c r="A35" t="s">
        <v>232</v>
      </c>
      <c r="B35" s="3"/>
      <c r="C35" s="42">
        <v>25490000</v>
      </c>
      <c r="D35" s="38">
        <v>25390000</v>
      </c>
      <c r="E35" s="36"/>
      <c r="F35" s="34">
        <v>24990000</v>
      </c>
      <c r="G35" s="34">
        <v>25890000</v>
      </c>
    </row>
    <row r="36" spans="1:7" x14ac:dyDescent="0.2">
      <c r="A36" t="s">
        <v>61</v>
      </c>
      <c r="B36" s="25"/>
      <c r="C36" s="42">
        <v>29090000</v>
      </c>
      <c r="D36" s="3" t="s">
        <v>22</v>
      </c>
      <c r="E36" s="36"/>
      <c r="F36" s="38" t="s">
        <v>22</v>
      </c>
      <c r="G36" s="4">
        <v>31990000</v>
      </c>
    </row>
    <row r="37" spans="1:7" x14ac:dyDescent="0.2">
      <c r="A37" t="s">
        <v>187</v>
      </c>
      <c r="B37" s="25"/>
      <c r="C37" s="25">
        <v>39990000</v>
      </c>
      <c r="D37" s="25">
        <v>39990000</v>
      </c>
      <c r="E37" s="36"/>
      <c r="F37" s="39">
        <v>39590000</v>
      </c>
      <c r="G37" s="38" t="s">
        <v>22</v>
      </c>
    </row>
  </sheetData>
  <pageMargins left="0.7" right="0.7" top="0.75" bottom="0.75" header="0.3" footer="0.3"/>
  <pageSetup paperSize="9" orientation="portrait" horizontalDpi="0" verticalDpi="0"/>
  <legacyDrawing r:id="rId1"/>
</worksheet>
</file>

<file path=xl/worksheets/sheet5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dimension ref="A1:L37"/>
  <sheetViews>
    <sheetView zoomScale="130" zoomScaleNormal="130" workbookViewId="0">
      <pane xSplit="2" topLeftCell="C1" activePane="topRight" state="frozen"/>
      <selection pane="topRight" activeCell="E21" sqref="E21"/>
    </sheetView>
  </sheetViews>
  <sheetFormatPr baseColWidth="10" defaultColWidth="11" defaultRowHeight="16" x14ac:dyDescent="0.2"/>
  <cols>
    <col min="1" max="1" width="27.5" bestFit="1" customWidth="1"/>
    <col min="2" max="2" width="0" hidden="1"/>
  </cols>
  <sheetData>
    <row r="1" spans="1:12" x14ac:dyDescent="0.2">
      <c r="B1" s="46" t="s">
        <v>0</v>
      </c>
      <c r="C1" s="46" t="s">
        <v>1</v>
      </c>
      <c r="D1" s="46" t="s">
        <v>2</v>
      </c>
      <c r="E1" s="81" t="s">
        <v>3</v>
      </c>
      <c r="F1" s="81" t="s">
        <v>4</v>
      </c>
      <c r="G1" s="81" t="s">
        <v>5</v>
      </c>
    </row>
    <row r="2" spans="1:12" x14ac:dyDescent="0.2">
      <c r="A2" t="s">
        <v>21</v>
      </c>
      <c r="B2" s="46"/>
      <c r="C2" s="47">
        <v>16590000</v>
      </c>
      <c r="D2" s="47">
        <v>16390000</v>
      </c>
      <c r="E2" s="39">
        <v>16127000</v>
      </c>
      <c r="F2" s="39">
        <v>16290000</v>
      </c>
      <c r="G2" s="37">
        <v>16290000</v>
      </c>
    </row>
    <row r="3" spans="1:12" x14ac:dyDescent="0.2">
      <c r="A3" t="s">
        <v>181</v>
      </c>
      <c r="B3" s="25"/>
      <c r="C3" s="25">
        <v>19290000</v>
      </c>
      <c r="D3" s="42">
        <v>19290000</v>
      </c>
      <c r="E3" s="39">
        <v>18990000</v>
      </c>
      <c r="F3" s="37">
        <v>18890000</v>
      </c>
      <c r="G3" s="39">
        <v>18790000</v>
      </c>
    </row>
    <row r="4" spans="1:12" x14ac:dyDescent="0.2">
      <c r="A4" t="s">
        <v>24</v>
      </c>
      <c r="B4" s="3"/>
      <c r="C4" s="3">
        <v>22590000</v>
      </c>
      <c r="D4" s="41">
        <v>22490000</v>
      </c>
      <c r="E4" s="39">
        <v>21990000</v>
      </c>
      <c r="F4" s="39">
        <v>22190000</v>
      </c>
      <c r="G4" s="39">
        <v>21990000</v>
      </c>
    </row>
    <row r="5" spans="1:12" x14ac:dyDescent="0.2">
      <c r="A5" t="s">
        <v>182</v>
      </c>
      <c r="B5" s="25"/>
      <c r="C5" s="25">
        <v>25490000</v>
      </c>
      <c r="D5" s="42">
        <v>25490000</v>
      </c>
      <c r="E5" s="34">
        <v>24690000</v>
      </c>
      <c r="F5" s="39">
        <v>25090000</v>
      </c>
      <c r="G5" s="39">
        <v>24590000</v>
      </c>
    </row>
    <row r="6" spans="1:12" x14ac:dyDescent="0.2">
      <c r="A6" t="s">
        <v>183</v>
      </c>
      <c r="B6" s="3"/>
      <c r="C6" s="25">
        <v>31190000</v>
      </c>
      <c r="D6" s="42">
        <v>30990000</v>
      </c>
      <c r="E6" s="34">
        <v>30190000</v>
      </c>
      <c r="F6" s="39">
        <v>30690000</v>
      </c>
      <c r="G6" s="39">
        <v>30190000</v>
      </c>
    </row>
    <row r="7" spans="1:12" x14ac:dyDescent="0.2">
      <c r="A7" t="s">
        <v>25</v>
      </c>
      <c r="B7" s="25"/>
      <c r="C7" s="25">
        <v>15990000</v>
      </c>
      <c r="D7" s="42">
        <v>15990000</v>
      </c>
      <c r="E7" s="39">
        <v>15490000</v>
      </c>
      <c r="F7" s="39">
        <v>15790000</v>
      </c>
      <c r="G7" s="39">
        <v>15490000</v>
      </c>
    </row>
    <row r="8" spans="1:12" x14ac:dyDescent="0.2">
      <c r="A8" t="s">
        <v>26</v>
      </c>
      <c r="B8" s="25"/>
      <c r="C8" s="3">
        <v>19690000</v>
      </c>
      <c r="D8" s="41">
        <v>19590000</v>
      </c>
      <c r="E8" s="39">
        <v>18990000</v>
      </c>
      <c r="F8" s="39">
        <v>19190000</v>
      </c>
      <c r="G8" s="39">
        <v>18490000</v>
      </c>
    </row>
    <row r="9" spans="1:12" x14ac:dyDescent="0.2">
      <c r="A9" t="s">
        <v>158</v>
      </c>
      <c r="B9" s="3"/>
      <c r="C9" s="25">
        <v>29990000</v>
      </c>
      <c r="D9" s="3">
        <v>28490000</v>
      </c>
      <c r="E9" s="39" t="s">
        <v>22</v>
      </c>
      <c r="F9" s="37">
        <v>28590000</v>
      </c>
      <c r="G9" s="39">
        <v>27990000</v>
      </c>
    </row>
    <row r="10" spans="1:12" x14ac:dyDescent="0.2">
      <c r="A10" t="s">
        <v>92</v>
      </c>
      <c r="B10" s="3"/>
      <c r="C10" s="42" t="s">
        <v>22</v>
      </c>
      <c r="D10" s="25">
        <v>18990000</v>
      </c>
      <c r="E10" s="39">
        <v>18990000</v>
      </c>
      <c r="F10" s="38">
        <v>17990000</v>
      </c>
      <c r="G10" s="39">
        <v>17490000</v>
      </c>
    </row>
    <row r="11" spans="1:12" x14ac:dyDescent="0.2">
      <c r="A11" t="s">
        <v>27</v>
      </c>
      <c r="B11" s="25"/>
      <c r="C11" s="3">
        <v>13090000</v>
      </c>
      <c r="D11" s="39">
        <v>12990000</v>
      </c>
      <c r="E11" s="39">
        <v>12990000</v>
      </c>
      <c r="F11" s="38">
        <v>12890000</v>
      </c>
      <c r="G11" s="4">
        <v>12990000</v>
      </c>
    </row>
    <row r="12" spans="1:12" x14ac:dyDescent="0.2">
      <c r="A12" t="s">
        <v>28</v>
      </c>
      <c r="B12" s="3"/>
      <c r="C12" s="25">
        <v>11990000</v>
      </c>
      <c r="D12" s="38">
        <v>11990000</v>
      </c>
      <c r="E12" s="39">
        <v>11672000</v>
      </c>
      <c r="F12" s="38">
        <v>11590000</v>
      </c>
      <c r="G12" s="4">
        <v>11590000</v>
      </c>
    </row>
    <row r="13" spans="1:12" x14ac:dyDescent="0.2">
      <c r="A13" t="s">
        <v>98</v>
      </c>
      <c r="B13" s="25"/>
      <c r="C13" s="25">
        <v>10590000</v>
      </c>
      <c r="D13" s="25" t="s">
        <v>22</v>
      </c>
      <c r="E13" s="39">
        <v>9990000</v>
      </c>
      <c r="F13" s="25" t="s">
        <v>22</v>
      </c>
      <c r="G13" s="4" t="s">
        <v>22</v>
      </c>
    </row>
    <row r="14" spans="1:12" x14ac:dyDescent="0.2">
      <c r="A14" t="s">
        <v>29</v>
      </c>
      <c r="B14" s="25"/>
      <c r="C14" s="42">
        <v>13990000</v>
      </c>
      <c r="D14" s="25">
        <v>13890000</v>
      </c>
      <c r="E14" s="39">
        <v>13790000</v>
      </c>
      <c r="F14" s="38">
        <v>13990000</v>
      </c>
      <c r="G14" s="4">
        <v>13690000</v>
      </c>
    </row>
    <row r="15" spans="1:12" x14ac:dyDescent="0.2">
      <c r="A15" t="s">
        <v>162</v>
      </c>
      <c r="B15" s="25"/>
      <c r="C15" s="3">
        <v>8590000</v>
      </c>
      <c r="D15" s="3">
        <v>8790000</v>
      </c>
      <c r="E15" s="39">
        <v>8603000</v>
      </c>
      <c r="F15" s="38">
        <v>8690000</v>
      </c>
      <c r="G15" s="34">
        <v>8290000</v>
      </c>
    </row>
    <row r="16" spans="1:12" x14ac:dyDescent="0.2">
      <c r="A16" t="s">
        <v>252</v>
      </c>
      <c r="B16" s="3"/>
      <c r="C16" s="42" t="s">
        <v>22</v>
      </c>
      <c r="D16" s="25">
        <v>6990000</v>
      </c>
      <c r="E16" s="39">
        <v>7990000</v>
      </c>
      <c r="F16" s="38">
        <v>6590000</v>
      </c>
      <c r="G16" s="4">
        <v>6790000</v>
      </c>
      <c r="J16" t="s">
        <v>31</v>
      </c>
      <c r="K16" t="s">
        <v>38</v>
      </c>
      <c r="L16" t="b">
        <v>1</v>
      </c>
    </row>
    <row r="17" spans="1:12" x14ac:dyDescent="0.2">
      <c r="A17" t="s">
        <v>33</v>
      </c>
      <c r="B17" s="3"/>
      <c r="C17" s="3">
        <v>16990000</v>
      </c>
      <c r="D17" s="25">
        <v>16690000</v>
      </c>
      <c r="E17" s="39" t="s">
        <v>22</v>
      </c>
      <c r="F17" s="38">
        <v>16990000</v>
      </c>
      <c r="G17" s="4">
        <v>16990000</v>
      </c>
      <c r="J17" t="s">
        <v>2</v>
      </c>
      <c r="K17" t="s">
        <v>198</v>
      </c>
      <c r="L17" t="b">
        <v>1</v>
      </c>
    </row>
    <row r="18" spans="1:12" x14ac:dyDescent="0.2">
      <c r="A18" t="s">
        <v>37</v>
      </c>
      <c r="B18" s="25"/>
      <c r="C18" s="3">
        <v>20990000</v>
      </c>
      <c r="D18" s="25">
        <v>21990000</v>
      </c>
      <c r="E18" s="39" t="s">
        <v>22</v>
      </c>
      <c r="F18" s="38" t="s">
        <v>253</v>
      </c>
      <c r="G18" s="4" t="s">
        <v>253</v>
      </c>
      <c r="J18" t="s">
        <v>3</v>
      </c>
      <c r="K18" t="s">
        <v>36</v>
      </c>
      <c r="L18" t="b">
        <v>1</v>
      </c>
    </row>
    <row r="19" spans="1:12" x14ac:dyDescent="0.2">
      <c r="A19" t="s">
        <v>184</v>
      </c>
      <c r="B19" s="25"/>
      <c r="C19" s="3">
        <v>27990000</v>
      </c>
      <c r="D19" s="25">
        <v>27890000</v>
      </c>
      <c r="E19" s="39">
        <v>27190000</v>
      </c>
      <c r="F19" s="38">
        <v>27990000</v>
      </c>
      <c r="G19" s="4">
        <v>27290000</v>
      </c>
      <c r="J19" t="s">
        <v>4</v>
      </c>
      <c r="K19" t="s">
        <v>34</v>
      </c>
      <c r="L19" t="b">
        <v>1</v>
      </c>
    </row>
    <row r="20" spans="1:12" x14ac:dyDescent="0.2">
      <c r="A20" t="s">
        <v>185</v>
      </c>
      <c r="B20" s="3"/>
      <c r="C20" s="25">
        <v>36690000</v>
      </c>
      <c r="D20" s="25">
        <v>36690000</v>
      </c>
      <c r="E20" s="39">
        <v>35990000</v>
      </c>
      <c r="F20" s="38">
        <v>36990000</v>
      </c>
      <c r="G20" s="4">
        <v>36090000</v>
      </c>
      <c r="J20" t="s">
        <v>41</v>
      </c>
      <c r="K20" t="s">
        <v>42</v>
      </c>
      <c r="L20" t="b">
        <v>1</v>
      </c>
    </row>
    <row r="21" spans="1:12" x14ac:dyDescent="0.2">
      <c r="A21" t="s">
        <v>227</v>
      </c>
      <c r="B21" s="25"/>
      <c r="C21" s="25">
        <v>5890000</v>
      </c>
      <c r="D21" s="25">
        <v>5890000</v>
      </c>
      <c r="E21" s="34">
        <v>4490000</v>
      </c>
      <c r="F21" s="34">
        <v>5690000</v>
      </c>
      <c r="G21" s="34">
        <v>5690000</v>
      </c>
    </row>
    <row r="22" spans="1:12" x14ac:dyDescent="0.2">
      <c r="A22" t="s">
        <v>228</v>
      </c>
      <c r="B22" s="25"/>
      <c r="C22" s="25">
        <v>7090000</v>
      </c>
      <c r="D22" s="25">
        <v>7090000</v>
      </c>
      <c r="E22" s="39">
        <v>6722000</v>
      </c>
      <c r="F22" s="38">
        <v>6990000</v>
      </c>
      <c r="G22" s="4">
        <v>6790000</v>
      </c>
    </row>
    <row r="23" spans="1:12" x14ac:dyDescent="0.2">
      <c r="A23" t="s">
        <v>229</v>
      </c>
      <c r="B23" s="25"/>
      <c r="C23" s="25">
        <v>6590000</v>
      </c>
      <c r="D23" s="25">
        <v>6590000</v>
      </c>
      <c r="E23" s="34">
        <v>4990000</v>
      </c>
      <c r="F23" s="38">
        <v>6590000</v>
      </c>
      <c r="G23" s="34">
        <v>6590000</v>
      </c>
    </row>
    <row r="24" spans="1:12" x14ac:dyDescent="0.2">
      <c r="A24" t="s">
        <v>230</v>
      </c>
      <c r="B24" s="25"/>
      <c r="C24" s="25">
        <v>7990000</v>
      </c>
      <c r="D24" s="25">
        <v>7890000</v>
      </c>
      <c r="E24" s="39">
        <v>7415000</v>
      </c>
      <c r="F24" s="38">
        <v>7770000</v>
      </c>
      <c r="G24" s="34">
        <v>7770000</v>
      </c>
    </row>
    <row r="25" spans="1:12" x14ac:dyDescent="0.2">
      <c r="A25" t="s">
        <v>213</v>
      </c>
      <c r="B25" s="25"/>
      <c r="C25" s="3">
        <v>10290000</v>
      </c>
      <c r="D25" s="25">
        <v>10490000</v>
      </c>
      <c r="E25" s="39">
        <v>10187000</v>
      </c>
      <c r="F25" s="34">
        <v>10190000</v>
      </c>
      <c r="G25" s="3">
        <v>10190000</v>
      </c>
    </row>
    <row r="26" spans="1:12" x14ac:dyDescent="0.2">
      <c r="A26" t="s">
        <v>214</v>
      </c>
      <c r="B26" s="25"/>
      <c r="C26" s="3">
        <v>13390000</v>
      </c>
      <c r="D26" s="25">
        <v>12690000</v>
      </c>
      <c r="E26" s="34">
        <v>12860000</v>
      </c>
      <c r="F26" s="38">
        <v>12690000</v>
      </c>
      <c r="G26" s="4">
        <v>12690000</v>
      </c>
    </row>
    <row r="27" spans="1:12" x14ac:dyDescent="0.2">
      <c r="A27" t="s">
        <v>215</v>
      </c>
      <c r="B27" s="25"/>
      <c r="C27" s="25">
        <v>11590000</v>
      </c>
      <c r="D27" s="25">
        <v>11190000</v>
      </c>
      <c r="E27" s="39">
        <v>10880000</v>
      </c>
      <c r="F27" s="38">
        <v>10890000</v>
      </c>
      <c r="G27" s="4">
        <v>10890000</v>
      </c>
    </row>
    <row r="28" spans="1:12" x14ac:dyDescent="0.2">
      <c r="A28" t="s">
        <v>217</v>
      </c>
      <c r="B28" s="3"/>
      <c r="C28" s="25">
        <v>14090000</v>
      </c>
      <c r="D28" s="3">
        <v>13990000</v>
      </c>
      <c r="E28" s="39">
        <v>13553000</v>
      </c>
      <c r="F28" s="38">
        <v>13690000</v>
      </c>
      <c r="G28" s="4">
        <v>13590000</v>
      </c>
    </row>
    <row r="29" spans="1:12" x14ac:dyDescent="0.2">
      <c r="A29" t="s">
        <v>172</v>
      </c>
      <c r="B29" s="25"/>
      <c r="C29" s="25">
        <v>22490000</v>
      </c>
      <c r="D29" s="25">
        <v>22990000</v>
      </c>
      <c r="E29" s="39">
        <v>21790000</v>
      </c>
      <c r="F29" s="39">
        <v>21990000</v>
      </c>
      <c r="G29" s="4">
        <v>22990000</v>
      </c>
    </row>
    <row r="30" spans="1:12" x14ac:dyDescent="0.2">
      <c r="A30" t="s">
        <v>53</v>
      </c>
      <c r="B30" s="3"/>
      <c r="C30" s="25">
        <v>5790000</v>
      </c>
      <c r="D30" s="34">
        <v>5690000</v>
      </c>
      <c r="E30" s="39">
        <v>5690000</v>
      </c>
      <c r="F30" s="39">
        <v>5590000</v>
      </c>
      <c r="G30" s="4">
        <v>5590000</v>
      </c>
    </row>
    <row r="31" spans="1:12" x14ac:dyDescent="0.2">
      <c r="A31" t="s">
        <v>54</v>
      </c>
      <c r="B31" s="3"/>
      <c r="C31" s="25">
        <v>4690000</v>
      </c>
      <c r="D31" s="37">
        <v>4490000</v>
      </c>
      <c r="E31" s="39">
        <v>4490000</v>
      </c>
      <c r="F31" s="39">
        <v>4590000</v>
      </c>
      <c r="G31" s="4">
        <v>4490000</v>
      </c>
    </row>
    <row r="32" spans="1:12" x14ac:dyDescent="0.2">
      <c r="A32" t="s">
        <v>55</v>
      </c>
      <c r="B32" s="3"/>
      <c r="C32" s="25">
        <v>3390000</v>
      </c>
      <c r="D32" s="37">
        <v>3290000</v>
      </c>
      <c r="E32" s="39">
        <v>3190000</v>
      </c>
      <c r="F32" s="39">
        <v>3390000</v>
      </c>
      <c r="G32" s="34">
        <v>3290000</v>
      </c>
    </row>
    <row r="33" spans="1:7" x14ac:dyDescent="0.2">
      <c r="A33" t="s">
        <v>175</v>
      </c>
      <c r="B33" s="3"/>
      <c r="C33" s="3">
        <v>17090000</v>
      </c>
      <c r="D33" s="38">
        <v>17490000</v>
      </c>
      <c r="E33" s="36"/>
      <c r="F33" s="38">
        <v>17690000</v>
      </c>
      <c r="G33" s="4">
        <v>16690000</v>
      </c>
    </row>
    <row r="34" spans="1:7" x14ac:dyDescent="0.2">
      <c r="A34" t="s">
        <v>186</v>
      </c>
      <c r="B34" s="25"/>
      <c r="C34" s="3">
        <v>21890000</v>
      </c>
      <c r="D34" s="3">
        <v>21890000</v>
      </c>
      <c r="E34" s="36"/>
      <c r="F34" s="34">
        <v>22090000</v>
      </c>
      <c r="G34" s="4">
        <v>21990000</v>
      </c>
    </row>
    <row r="35" spans="1:7" x14ac:dyDescent="0.2">
      <c r="A35" t="s">
        <v>232</v>
      </c>
      <c r="B35" s="3"/>
      <c r="C35" s="42">
        <v>25490000</v>
      </c>
      <c r="D35" s="38">
        <v>25390000</v>
      </c>
      <c r="E35" s="36"/>
      <c r="F35" s="38">
        <v>24990000</v>
      </c>
      <c r="G35" s="34">
        <v>25290000</v>
      </c>
    </row>
    <row r="36" spans="1:7" x14ac:dyDescent="0.2">
      <c r="A36" t="s">
        <v>61</v>
      </c>
      <c r="B36" s="25"/>
      <c r="C36" s="42">
        <v>29090000</v>
      </c>
      <c r="D36" s="3" t="s">
        <v>22</v>
      </c>
      <c r="E36" s="36"/>
      <c r="F36" s="38" t="s">
        <v>22</v>
      </c>
      <c r="G36" s="4">
        <v>31990000</v>
      </c>
    </row>
    <row r="37" spans="1:7" x14ac:dyDescent="0.2">
      <c r="A37" t="s">
        <v>187</v>
      </c>
      <c r="B37" s="25"/>
      <c r="C37" s="25">
        <v>39990000</v>
      </c>
      <c r="D37" s="25">
        <v>39990000</v>
      </c>
      <c r="E37" s="36"/>
      <c r="F37" s="39">
        <v>39590000</v>
      </c>
      <c r="G37" s="38" t="s">
        <v>22</v>
      </c>
    </row>
  </sheetData>
  <pageMargins left="0.7" right="0.7" top="0.75" bottom="0.75" header="0.3" footer="0.3"/>
  <pageSetup paperSize="9" orientation="portrait" horizontalDpi="0" verticalDpi="0"/>
  <legacyDrawing r:id="rId1"/>
</worksheet>
</file>

<file path=xl/worksheets/sheet5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dimension ref="A1:L38"/>
  <sheetViews>
    <sheetView zoomScale="120" zoomScaleNormal="120" workbookViewId="0">
      <pane xSplit="2" topLeftCell="C1" activePane="topRight" state="frozen"/>
      <selection pane="topRight" activeCell="J10" sqref="J10"/>
    </sheetView>
  </sheetViews>
  <sheetFormatPr baseColWidth="10" defaultColWidth="11" defaultRowHeight="16" x14ac:dyDescent="0.2"/>
  <cols>
    <col min="1" max="1" width="27.5" bestFit="1" customWidth="1"/>
    <col min="2" max="2" width="0" hidden="1"/>
  </cols>
  <sheetData>
    <row r="1" spans="1:12" x14ac:dyDescent="0.2">
      <c r="B1" s="46" t="s">
        <v>0</v>
      </c>
      <c r="C1" s="46" t="s">
        <v>1</v>
      </c>
      <c r="D1" s="46" t="s">
        <v>2</v>
      </c>
      <c r="E1" s="81" t="s">
        <v>3</v>
      </c>
      <c r="F1" s="81" t="s">
        <v>4</v>
      </c>
      <c r="G1" s="81" t="s">
        <v>5</v>
      </c>
    </row>
    <row r="2" spans="1:12" x14ac:dyDescent="0.2">
      <c r="A2" t="s">
        <v>21</v>
      </c>
      <c r="B2" s="46"/>
      <c r="C2" s="48">
        <v>16290000</v>
      </c>
      <c r="D2" s="48">
        <v>16290000</v>
      </c>
      <c r="E2" s="39">
        <v>16127000</v>
      </c>
      <c r="F2" s="39">
        <v>16190000</v>
      </c>
      <c r="G2" s="37">
        <v>16190000</v>
      </c>
    </row>
    <row r="3" spans="1:12" x14ac:dyDescent="0.2">
      <c r="A3" t="s">
        <v>181</v>
      </c>
      <c r="B3" s="25"/>
      <c r="C3" s="25">
        <v>19290000</v>
      </c>
      <c r="D3" s="41">
        <v>19190000</v>
      </c>
      <c r="E3" s="39">
        <v>18990000</v>
      </c>
      <c r="F3" s="37">
        <v>19190000</v>
      </c>
      <c r="G3" s="39">
        <v>18790000</v>
      </c>
    </row>
    <row r="4" spans="1:12" x14ac:dyDescent="0.2">
      <c r="A4" t="s">
        <v>24</v>
      </c>
      <c r="B4" s="3"/>
      <c r="C4" s="3">
        <v>22390000</v>
      </c>
      <c r="D4" s="41">
        <v>22390000</v>
      </c>
      <c r="E4" s="39">
        <v>21990000</v>
      </c>
      <c r="F4" s="39">
        <v>22290000</v>
      </c>
      <c r="G4" s="39">
        <v>21990000</v>
      </c>
    </row>
    <row r="5" spans="1:12" x14ac:dyDescent="0.2">
      <c r="A5" t="s">
        <v>182</v>
      </c>
      <c r="B5" s="25"/>
      <c r="C5" s="3">
        <v>25390000</v>
      </c>
      <c r="D5" s="41">
        <v>25290000</v>
      </c>
      <c r="E5" s="39">
        <v>24690000</v>
      </c>
      <c r="F5" s="39">
        <v>25090000</v>
      </c>
      <c r="G5" s="39">
        <v>24590000</v>
      </c>
    </row>
    <row r="6" spans="1:12" x14ac:dyDescent="0.2">
      <c r="A6" t="s">
        <v>183</v>
      </c>
      <c r="B6" s="3"/>
      <c r="C6" s="3">
        <v>31090000</v>
      </c>
      <c r="D6" s="42">
        <v>30990000</v>
      </c>
      <c r="E6" s="39">
        <v>30190000</v>
      </c>
      <c r="F6" s="37">
        <v>30990000</v>
      </c>
      <c r="G6" s="37">
        <v>30090000</v>
      </c>
    </row>
    <row r="7" spans="1:12" x14ac:dyDescent="0.2">
      <c r="A7" t="s">
        <v>25</v>
      </c>
      <c r="B7" s="25"/>
      <c r="C7" s="25">
        <v>15990000</v>
      </c>
      <c r="D7" s="41">
        <v>15890000</v>
      </c>
      <c r="E7" s="39">
        <v>15490000</v>
      </c>
      <c r="F7" s="39">
        <v>15890000</v>
      </c>
      <c r="G7" s="39">
        <v>15490000</v>
      </c>
    </row>
    <row r="8" spans="1:12" x14ac:dyDescent="0.2">
      <c r="A8" t="s">
        <v>26</v>
      </c>
      <c r="B8" s="25"/>
      <c r="C8" s="25">
        <v>19690000</v>
      </c>
      <c r="D8" s="41">
        <v>19490000</v>
      </c>
      <c r="E8" s="39">
        <v>18990000</v>
      </c>
      <c r="F8" s="37">
        <v>19490000</v>
      </c>
      <c r="G8" s="39">
        <v>18490000</v>
      </c>
    </row>
    <row r="9" spans="1:12" x14ac:dyDescent="0.2">
      <c r="A9" t="s">
        <v>158</v>
      </c>
      <c r="B9" s="3"/>
      <c r="C9" s="3">
        <v>28590000</v>
      </c>
      <c r="D9" s="25">
        <v>28490000</v>
      </c>
      <c r="E9" s="39" t="s">
        <v>22</v>
      </c>
      <c r="F9" s="37">
        <v>27990000</v>
      </c>
      <c r="G9" s="39">
        <v>27990000</v>
      </c>
    </row>
    <row r="10" spans="1:12" x14ac:dyDescent="0.2">
      <c r="A10" t="s">
        <v>92</v>
      </c>
      <c r="B10" s="3"/>
      <c r="C10" s="42" t="s">
        <v>22</v>
      </c>
      <c r="D10" s="3">
        <v>18490000</v>
      </c>
      <c r="E10" s="39">
        <v>18990000</v>
      </c>
      <c r="F10" s="38">
        <v>17990000</v>
      </c>
      <c r="G10" s="39">
        <v>17490000</v>
      </c>
    </row>
    <row r="11" spans="1:12" x14ac:dyDescent="0.2">
      <c r="A11" t="s">
        <v>27</v>
      </c>
      <c r="B11" s="25"/>
      <c r="C11" s="3">
        <v>12990000</v>
      </c>
      <c r="D11" s="37">
        <v>12890000</v>
      </c>
      <c r="E11" s="39">
        <v>12990000</v>
      </c>
      <c r="F11" s="38">
        <v>12890000</v>
      </c>
      <c r="G11" s="34">
        <v>12690000</v>
      </c>
    </row>
    <row r="12" spans="1:12" x14ac:dyDescent="0.2">
      <c r="A12" t="s">
        <v>28</v>
      </c>
      <c r="B12" s="3"/>
      <c r="C12" s="3">
        <v>11790000</v>
      </c>
      <c r="D12" s="34">
        <v>11690000</v>
      </c>
      <c r="E12" s="39">
        <v>11672000</v>
      </c>
      <c r="F12" s="38">
        <v>11690000</v>
      </c>
      <c r="G12" s="4">
        <v>11590000</v>
      </c>
    </row>
    <row r="13" spans="1:12" x14ac:dyDescent="0.2">
      <c r="A13" t="s">
        <v>98</v>
      </c>
      <c r="B13" s="25"/>
      <c r="C13" s="25">
        <v>10590000</v>
      </c>
      <c r="D13" s="25" t="s">
        <v>22</v>
      </c>
      <c r="E13" s="39">
        <v>9990000</v>
      </c>
      <c r="F13" s="25" t="s">
        <v>22</v>
      </c>
      <c r="G13" s="4" t="s">
        <v>22</v>
      </c>
    </row>
    <row r="14" spans="1:12" x14ac:dyDescent="0.2">
      <c r="A14" t="s">
        <v>29</v>
      </c>
      <c r="B14" s="25"/>
      <c r="C14" s="42">
        <v>13990000</v>
      </c>
      <c r="D14" s="25">
        <v>13890000</v>
      </c>
      <c r="E14" s="39">
        <v>13790000</v>
      </c>
      <c r="F14" s="34">
        <v>13890000</v>
      </c>
      <c r="G14" s="4">
        <v>13690000</v>
      </c>
    </row>
    <row r="15" spans="1:12" x14ac:dyDescent="0.2">
      <c r="A15" t="s">
        <v>162</v>
      </c>
      <c r="B15" s="25"/>
      <c r="C15" s="3">
        <v>8690000</v>
      </c>
      <c r="D15" s="3">
        <v>7990000</v>
      </c>
      <c r="E15" s="3">
        <v>8501000</v>
      </c>
      <c r="F15" s="38">
        <v>7990000</v>
      </c>
      <c r="G15" s="34">
        <v>8290000</v>
      </c>
    </row>
    <row r="16" spans="1:12" x14ac:dyDescent="0.2">
      <c r="A16" t="s">
        <v>252</v>
      </c>
      <c r="B16" s="3"/>
      <c r="C16" s="42" t="s">
        <v>22</v>
      </c>
      <c r="D16" s="3">
        <v>6790000</v>
      </c>
      <c r="E16" s="39">
        <v>7990000</v>
      </c>
      <c r="F16" s="38">
        <v>6590000</v>
      </c>
      <c r="G16" s="4">
        <v>6790000</v>
      </c>
      <c r="J16" t="s">
        <v>31</v>
      </c>
      <c r="K16" t="s">
        <v>38</v>
      </c>
      <c r="L16" t="b">
        <v>1</v>
      </c>
    </row>
    <row r="17" spans="1:12" x14ac:dyDescent="0.2">
      <c r="A17" t="s">
        <v>33</v>
      </c>
      <c r="B17" s="3"/>
      <c r="C17" s="25">
        <v>16990000</v>
      </c>
      <c r="D17" s="3">
        <v>16990000</v>
      </c>
      <c r="E17" s="39">
        <v>16325000</v>
      </c>
      <c r="F17" s="34">
        <v>16690000</v>
      </c>
      <c r="G17" s="4">
        <v>16490000</v>
      </c>
      <c r="J17" t="s">
        <v>2</v>
      </c>
      <c r="K17" t="s">
        <v>198</v>
      </c>
      <c r="L17" t="b">
        <v>1</v>
      </c>
    </row>
    <row r="18" spans="1:12" x14ac:dyDescent="0.2">
      <c r="A18" t="s">
        <v>37</v>
      </c>
      <c r="B18" s="25"/>
      <c r="C18" s="25">
        <v>20990000</v>
      </c>
      <c r="D18" s="3">
        <v>22490000</v>
      </c>
      <c r="E18" s="39">
        <v>21790000</v>
      </c>
      <c r="F18" s="38" t="s">
        <v>253</v>
      </c>
      <c r="G18" s="4" t="s">
        <v>253</v>
      </c>
      <c r="J18" t="s">
        <v>3</v>
      </c>
      <c r="K18" t="s">
        <v>36</v>
      </c>
      <c r="L18" t="b">
        <v>1</v>
      </c>
    </row>
    <row r="19" spans="1:12" x14ac:dyDescent="0.2">
      <c r="A19" t="s">
        <v>184</v>
      </c>
      <c r="B19" s="25"/>
      <c r="C19" s="25">
        <v>27990000</v>
      </c>
      <c r="D19" s="25">
        <v>27890000</v>
      </c>
      <c r="E19" s="39">
        <v>27190000</v>
      </c>
      <c r="F19" s="38">
        <v>27890000</v>
      </c>
      <c r="G19" s="34">
        <v>27590000</v>
      </c>
      <c r="J19" t="s">
        <v>4</v>
      </c>
      <c r="K19" t="s">
        <v>34</v>
      </c>
      <c r="L19" t="b">
        <v>1</v>
      </c>
    </row>
    <row r="20" spans="1:12" x14ac:dyDescent="0.2">
      <c r="A20" t="s">
        <v>185</v>
      </c>
      <c r="B20" s="3"/>
      <c r="C20" s="25">
        <v>36690000</v>
      </c>
      <c r="D20" s="25">
        <v>36690000</v>
      </c>
      <c r="E20" s="39">
        <v>35990000</v>
      </c>
      <c r="F20" s="38">
        <v>36590000</v>
      </c>
      <c r="G20" s="4">
        <v>36090000</v>
      </c>
      <c r="J20" t="s">
        <v>41</v>
      </c>
      <c r="K20" t="s">
        <v>42</v>
      </c>
      <c r="L20" t="b">
        <v>1</v>
      </c>
    </row>
    <row r="21" spans="1:12" x14ac:dyDescent="0.2">
      <c r="A21" t="s">
        <v>227</v>
      </c>
      <c r="B21" s="25"/>
      <c r="C21" s="42" t="s">
        <v>22</v>
      </c>
      <c r="D21" s="25">
        <v>5890000</v>
      </c>
      <c r="E21" s="39">
        <v>4490000</v>
      </c>
      <c r="F21" s="38">
        <v>5690000</v>
      </c>
      <c r="G21" s="34">
        <v>5690000</v>
      </c>
    </row>
    <row r="22" spans="1:12" x14ac:dyDescent="0.2">
      <c r="A22" t="s">
        <v>228</v>
      </c>
      <c r="B22" s="25"/>
      <c r="C22" s="25">
        <v>7090000</v>
      </c>
      <c r="D22" s="25">
        <v>7090000</v>
      </c>
      <c r="E22" s="39">
        <v>6722000</v>
      </c>
      <c r="F22" s="34">
        <v>6690000</v>
      </c>
      <c r="G22" s="4">
        <v>6790000</v>
      </c>
    </row>
    <row r="23" spans="1:12" x14ac:dyDescent="0.2">
      <c r="A23" t="s">
        <v>229</v>
      </c>
      <c r="B23" s="25"/>
      <c r="C23" s="25">
        <v>6590000</v>
      </c>
      <c r="D23" s="25">
        <v>6590000</v>
      </c>
      <c r="E23" s="39">
        <v>4990000</v>
      </c>
      <c r="F23" s="38">
        <v>6590000</v>
      </c>
      <c r="G23" s="4">
        <v>6590000</v>
      </c>
    </row>
    <row r="24" spans="1:12" x14ac:dyDescent="0.2">
      <c r="A24" t="s">
        <v>230</v>
      </c>
      <c r="B24" s="25"/>
      <c r="C24" s="25">
        <v>7990000</v>
      </c>
      <c r="D24" s="25">
        <v>7890000</v>
      </c>
      <c r="E24" s="39">
        <v>7415000</v>
      </c>
      <c r="F24" s="38">
        <v>7770000</v>
      </c>
      <c r="G24" s="34">
        <v>8090000</v>
      </c>
    </row>
    <row r="25" spans="1:12" x14ac:dyDescent="0.2">
      <c r="A25" t="s">
        <v>213</v>
      </c>
      <c r="B25" s="25"/>
      <c r="C25" s="25">
        <v>10290000</v>
      </c>
      <c r="D25" s="25">
        <v>10490000</v>
      </c>
      <c r="E25" s="39">
        <v>10187000</v>
      </c>
      <c r="F25" s="38">
        <v>10190000</v>
      </c>
      <c r="G25" s="4">
        <v>10190000</v>
      </c>
    </row>
    <row r="26" spans="1:12" x14ac:dyDescent="0.2">
      <c r="A26" t="s">
        <v>214</v>
      </c>
      <c r="B26" s="25"/>
      <c r="C26" s="3">
        <v>12590000</v>
      </c>
      <c r="D26" s="25">
        <v>12690000</v>
      </c>
      <c r="E26" s="39">
        <v>12860000</v>
      </c>
      <c r="F26" s="38">
        <v>12690000</v>
      </c>
      <c r="G26" s="4">
        <v>12690000</v>
      </c>
    </row>
    <row r="27" spans="1:12" x14ac:dyDescent="0.2">
      <c r="A27" t="s">
        <v>215</v>
      </c>
      <c r="B27" s="25"/>
      <c r="C27" s="3">
        <v>11390000</v>
      </c>
      <c r="D27" s="25">
        <v>11190000</v>
      </c>
      <c r="E27" s="39">
        <v>10880000</v>
      </c>
      <c r="F27" s="34">
        <v>11390000</v>
      </c>
      <c r="G27" s="4">
        <v>10890000</v>
      </c>
    </row>
    <row r="28" spans="1:12" x14ac:dyDescent="0.2">
      <c r="A28" t="s">
        <v>217</v>
      </c>
      <c r="B28" s="3"/>
      <c r="C28" s="3">
        <v>13890000</v>
      </c>
      <c r="D28" s="3">
        <v>13690000</v>
      </c>
      <c r="E28" s="39">
        <v>13553000</v>
      </c>
      <c r="F28" s="34">
        <v>13490000</v>
      </c>
      <c r="G28" s="4">
        <v>13590000</v>
      </c>
    </row>
    <row r="29" spans="1:12" x14ac:dyDescent="0.2">
      <c r="A29" t="s">
        <v>172</v>
      </c>
      <c r="B29" s="25"/>
      <c r="C29" s="25">
        <v>22490000</v>
      </c>
      <c r="D29" s="3">
        <v>22190000</v>
      </c>
      <c r="E29" s="39">
        <v>21790000</v>
      </c>
      <c r="F29" s="39">
        <v>21790000</v>
      </c>
      <c r="G29" s="4">
        <v>22990000</v>
      </c>
    </row>
    <row r="30" spans="1:12" x14ac:dyDescent="0.2">
      <c r="A30" t="s">
        <v>53</v>
      </c>
      <c r="B30" s="3"/>
      <c r="C30" s="3">
        <v>5590000</v>
      </c>
      <c r="D30" s="38">
        <v>5690000</v>
      </c>
      <c r="E30" s="34">
        <v>5633000</v>
      </c>
      <c r="F30" s="39">
        <v>5590000</v>
      </c>
      <c r="G30" s="4">
        <v>5590000</v>
      </c>
    </row>
    <row r="31" spans="1:12" x14ac:dyDescent="0.2">
      <c r="A31" t="s">
        <v>54</v>
      </c>
      <c r="B31" s="3"/>
      <c r="C31" s="3">
        <v>4590000</v>
      </c>
      <c r="D31" s="39">
        <v>4490000</v>
      </c>
      <c r="E31" s="34">
        <v>4445000</v>
      </c>
      <c r="F31" s="37">
        <v>4490000</v>
      </c>
      <c r="G31" s="4">
        <v>4490000</v>
      </c>
    </row>
    <row r="32" spans="1:12" x14ac:dyDescent="0.2">
      <c r="A32" t="s">
        <v>55</v>
      </c>
      <c r="B32" s="3"/>
      <c r="C32" s="3">
        <v>3290000</v>
      </c>
      <c r="D32" s="39">
        <v>3290000</v>
      </c>
      <c r="E32" s="39">
        <v>3190000</v>
      </c>
      <c r="F32" s="37">
        <v>3290000</v>
      </c>
      <c r="G32" s="4">
        <v>3290000</v>
      </c>
    </row>
    <row r="33" spans="1:7" x14ac:dyDescent="0.2">
      <c r="A33" t="s">
        <v>175</v>
      </c>
      <c r="B33" s="3"/>
      <c r="C33" s="25">
        <v>17090000</v>
      </c>
      <c r="D33" s="34">
        <v>16990000</v>
      </c>
      <c r="E33" s="36"/>
      <c r="F33" s="38">
        <v>17690000</v>
      </c>
      <c r="G33" s="4">
        <v>16690000</v>
      </c>
    </row>
    <row r="34" spans="1:7" x14ac:dyDescent="0.2">
      <c r="A34" t="s">
        <v>186</v>
      </c>
      <c r="B34" s="25"/>
      <c r="C34" s="3">
        <v>21790000</v>
      </c>
      <c r="D34" s="3">
        <v>21790000</v>
      </c>
      <c r="E34" s="36"/>
      <c r="F34" s="34">
        <v>21690000</v>
      </c>
      <c r="G34" s="4">
        <v>21990000</v>
      </c>
    </row>
    <row r="35" spans="1:7" x14ac:dyDescent="0.2">
      <c r="A35" t="s">
        <v>232</v>
      </c>
      <c r="B35" s="3"/>
      <c r="C35" s="42">
        <v>25490000</v>
      </c>
      <c r="D35" s="34">
        <v>24990000</v>
      </c>
      <c r="E35" s="36"/>
      <c r="F35" s="34">
        <v>24690000</v>
      </c>
      <c r="G35" s="34">
        <v>25290000</v>
      </c>
    </row>
    <row r="36" spans="1:7" x14ac:dyDescent="0.2">
      <c r="A36" t="s">
        <v>59</v>
      </c>
      <c r="B36" s="3"/>
      <c r="C36" s="42"/>
      <c r="D36" s="38">
        <v>26790000</v>
      </c>
      <c r="E36" s="36"/>
      <c r="F36" s="38">
        <v>26690000</v>
      </c>
      <c r="G36" s="4">
        <v>26590000</v>
      </c>
    </row>
    <row r="37" spans="1:7" x14ac:dyDescent="0.2">
      <c r="A37" t="s">
        <v>61</v>
      </c>
      <c r="B37" s="25"/>
      <c r="C37" s="42">
        <v>29090000</v>
      </c>
      <c r="D37" s="25">
        <v>31690000</v>
      </c>
      <c r="E37" s="36"/>
      <c r="F37" s="38">
        <v>31990000</v>
      </c>
      <c r="G37" s="4">
        <v>31990000</v>
      </c>
    </row>
    <row r="38" spans="1:7" x14ac:dyDescent="0.2">
      <c r="A38" t="s">
        <v>187</v>
      </c>
      <c r="B38" s="25"/>
      <c r="C38" s="25">
        <v>39990000</v>
      </c>
      <c r="D38" s="25">
        <v>39990000</v>
      </c>
      <c r="E38" s="36"/>
      <c r="F38" s="39">
        <v>39590000</v>
      </c>
      <c r="G38" s="38" t="s">
        <v>22</v>
      </c>
    </row>
  </sheetData>
  <pageMargins left="0.7" right="0.7" top="0.75" bottom="0.75" header="0.3" footer="0.3"/>
  <pageSetup paperSize="9" orientation="portrait" horizontalDpi="0" verticalDpi="0"/>
  <legacyDrawing r:id="rId1"/>
</worksheet>
</file>

<file path=xl/worksheets/sheet5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dimension ref="A1:L38"/>
  <sheetViews>
    <sheetView zoomScale="117" zoomScaleNormal="120" workbookViewId="0">
      <pane xSplit="2" topLeftCell="C1" activePane="topRight" state="frozen"/>
      <selection pane="topRight" activeCell="K23" sqref="K23"/>
    </sheetView>
  </sheetViews>
  <sheetFormatPr baseColWidth="10" defaultColWidth="11" defaultRowHeight="16" x14ac:dyDescent="0.2"/>
  <cols>
    <col min="1" max="1" width="27.5" bestFit="1" customWidth="1"/>
    <col min="2" max="2" width="0" hidden="1"/>
  </cols>
  <sheetData>
    <row r="1" spans="1:12" x14ac:dyDescent="0.2">
      <c r="B1" s="46" t="s">
        <v>0</v>
      </c>
      <c r="C1" s="46" t="s">
        <v>1</v>
      </c>
      <c r="D1" s="46" t="s">
        <v>2</v>
      </c>
      <c r="E1" s="81" t="s">
        <v>3</v>
      </c>
      <c r="F1" s="81" t="s">
        <v>4</v>
      </c>
      <c r="G1" s="81" t="s">
        <v>5</v>
      </c>
    </row>
    <row r="2" spans="1:12" x14ac:dyDescent="0.2">
      <c r="A2" t="s">
        <v>21</v>
      </c>
      <c r="B2" s="46"/>
      <c r="C2" s="47">
        <v>16290000</v>
      </c>
      <c r="D2" s="47">
        <v>16290000</v>
      </c>
      <c r="E2" s="39">
        <v>16127000</v>
      </c>
      <c r="F2" s="39">
        <v>16190000</v>
      </c>
      <c r="G2" s="37">
        <v>15990000</v>
      </c>
    </row>
    <row r="3" spans="1:12" x14ac:dyDescent="0.2">
      <c r="A3" t="s">
        <v>181</v>
      </c>
      <c r="B3" s="25"/>
      <c r="C3" s="25">
        <v>19290000</v>
      </c>
      <c r="D3" s="42">
        <v>19190000</v>
      </c>
      <c r="E3" s="39">
        <v>18990000</v>
      </c>
      <c r="F3" s="37">
        <v>18990000</v>
      </c>
      <c r="G3" s="39">
        <v>18790000</v>
      </c>
    </row>
    <row r="4" spans="1:12" x14ac:dyDescent="0.2">
      <c r="A4" t="s">
        <v>24</v>
      </c>
      <c r="B4" s="3"/>
      <c r="C4" s="25">
        <v>22390000</v>
      </c>
      <c r="D4" s="42">
        <v>22390000</v>
      </c>
      <c r="E4" s="39">
        <v>21990000</v>
      </c>
      <c r="F4" s="39">
        <v>22190000</v>
      </c>
      <c r="G4" s="39">
        <v>21990000</v>
      </c>
    </row>
    <row r="5" spans="1:12" x14ac:dyDescent="0.2">
      <c r="A5" t="s">
        <v>182</v>
      </c>
      <c r="B5" s="25"/>
      <c r="C5" s="3">
        <v>25290000</v>
      </c>
      <c r="D5" s="41">
        <v>25190000</v>
      </c>
      <c r="E5" s="39">
        <v>24690000</v>
      </c>
      <c r="F5" s="37">
        <v>24990000</v>
      </c>
      <c r="G5" s="37">
        <v>24690000</v>
      </c>
    </row>
    <row r="6" spans="1:12" x14ac:dyDescent="0.2">
      <c r="A6" t="s">
        <v>183</v>
      </c>
      <c r="B6" s="3"/>
      <c r="C6" s="25">
        <v>31090000</v>
      </c>
      <c r="D6" s="42">
        <v>30990000</v>
      </c>
      <c r="E6" s="39">
        <v>30190000</v>
      </c>
      <c r="F6" s="37">
        <v>30390000</v>
      </c>
      <c r="G6" s="39">
        <v>30090000</v>
      </c>
    </row>
    <row r="7" spans="1:12" x14ac:dyDescent="0.2">
      <c r="A7" t="s">
        <v>25</v>
      </c>
      <c r="B7" s="25"/>
      <c r="C7" s="25">
        <v>15990000</v>
      </c>
      <c r="D7" s="42">
        <v>15890000</v>
      </c>
      <c r="E7" s="39">
        <v>15490000</v>
      </c>
      <c r="F7" s="37">
        <v>15690000</v>
      </c>
      <c r="G7" s="37">
        <v>15290000</v>
      </c>
    </row>
    <row r="8" spans="1:12" x14ac:dyDescent="0.2">
      <c r="A8" t="s">
        <v>26</v>
      </c>
      <c r="B8" s="25"/>
      <c r="C8" s="3">
        <v>19590000</v>
      </c>
      <c r="D8" s="42">
        <v>19490000</v>
      </c>
      <c r="E8" s="39">
        <v>18990000</v>
      </c>
      <c r="F8" s="37">
        <v>19290000</v>
      </c>
      <c r="G8" s="39">
        <v>18490000</v>
      </c>
    </row>
    <row r="9" spans="1:12" x14ac:dyDescent="0.2">
      <c r="A9" t="s">
        <v>158</v>
      </c>
      <c r="B9" s="3"/>
      <c r="C9" s="3">
        <v>29990000</v>
      </c>
      <c r="D9" s="25">
        <v>28490000</v>
      </c>
      <c r="E9" s="39" t="s">
        <v>22</v>
      </c>
      <c r="F9" s="37">
        <v>28590000</v>
      </c>
      <c r="G9" s="39">
        <v>27990000</v>
      </c>
    </row>
    <row r="10" spans="1:12" x14ac:dyDescent="0.2">
      <c r="A10" t="s">
        <v>92</v>
      </c>
      <c r="B10" s="3"/>
      <c r="C10" s="42" t="s">
        <v>22</v>
      </c>
      <c r="D10" s="25">
        <v>18490000</v>
      </c>
      <c r="E10" s="39">
        <v>18990000</v>
      </c>
      <c r="F10" s="34">
        <v>17490000</v>
      </c>
      <c r="G10" s="37">
        <v>17290000</v>
      </c>
    </row>
    <row r="11" spans="1:12" x14ac:dyDescent="0.2">
      <c r="A11" t="s">
        <v>27</v>
      </c>
      <c r="B11" s="25"/>
      <c r="C11" s="25">
        <v>12990000</v>
      </c>
      <c r="D11" s="39">
        <v>12890000</v>
      </c>
      <c r="E11" s="3">
        <v>12690000</v>
      </c>
      <c r="F11" s="34">
        <v>12590000</v>
      </c>
      <c r="G11" s="34">
        <v>12290000</v>
      </c>
    </row>
    <row r="12" spans="1:12" x14ac:dyDescent="0.2">
      <c r="A12" t="s">
        <v>28</v>
      </c>
      <c r="B12" s="3"/>
      <c r="C12" s="25">
        <v>11790000</v>
      </c>
      <c r="D12" s="38">
        <v>11690000</v>
      </c>
      <c r="E12" s="39">
        <v>11672000</v>
      </c>
      <c r="F12" s="38">
        <v>11690000</v>
      </c>
      <c r="G12" s="4">
        <v>11590000</v>
      </c>
    </row>
    <row r="13" spans="1:12" x14ac:dyDescent="0.2">
      <c r="A13" t="s">
        <v>98</v>
      </c>
      <c r="B13" s="25"/>
      <c r="C13" s="3">
        <v>9990000</v>
      </c>
      <c r="D13" s="25" t="s">
        <v>22</v>
      </c>
      <c r="E13" s="39">
        <v>9990000</v>
      </c>
      <c r="F13" s="25" t="s">
        <v>22</v>
      </c>
      <c r="G13" s="4" t="s">
        <v>22</v>
      </c>
    </row>
    <row r="14" spans="1:12" x14ac:dyDescent="0.2">
      <c r="A14" t="s">
        <v>29</v>
      </c>
      <c r="B14" s="25"/>
      <c r="C14" s="41">
        <v>13890000</v>
      </c>
      <c r="D14" s="25">
        <v>13890000</v>
      </c>
      <c r="E14" s="3">
        <v>13652000</v>
      </c>
      <c r="F14" s="38">
        <v>13890000</v>
      </c>
      <c r="G14" s="4">
        <v>13690000</v>
      </c>
    </row>
    <row r="15" spans="1:12" x14ac:dyDescent="0.2">
      <c r="A15" t="s">
        <v>162</v>
      </c>
      <c r="B15" s="25"/>
      <c r="C15" s="25">
        <v>8690000</v>
      </c>
      <c r="D15" s="25">
        <v>7990000</v>
      </c>
      <c r="E15" s="39">
        <v>8501000</v>
      </c>
      <c r="F15" s="38">
        <v>7990000</v>
      </c>
      <c r="G15" s="34">
        <v>7890000</v>
      </c>
    </row>
    <row r="16" spans="1:12" x14ac:dyDescent="0.2">
      <c r="A16" t="s">
        <v>30</v>
      </c>
      <c r="B16" s="3"/>
      <c r="C16" s="42">
        <v>9990000</v>
      </c>
      <c r="D16" s="25">
        <v>9690000</v>
      </c>
      <c r="E16" s="39">
        <v>9593000</v>
      </c>
      <c r="F16" s="34">
        <v>9490000</v>
      </c>
      <c r="G16" s="4">
        <v>9390000</v>
      </c>
      <c r="J16" t="s">
        <v>31</v>
      </c>
      <c r="K16" t="s">
        <v>38</v>
      </c>
      <c r="L16" t="b">
        <v>1</v>
      </c>
    </row>
    <row r="17" spans="1:12" x14ac:dyDescent="0.2">
      <c r="A17" t="s">
        <v>33</v>
      </c>
      <c r="B17" s="3"/>
      <c r="C17" s="25">
        <v>16990000</v>
      </c>
      <c r="D17" s="25">
        <v>16990000</v>
      </c>
      <c r="E17" s="39">
        <v>16325000</v>
      </c>
      <c r="F17" s="38">
        <v>16690000</v>
      </c>
      <c r="G17" s="4">
        <v>16490000</v>
      </c>
      <c r="J17" t="s">
        <v>2</v>
      </c>
      <c r="K17" t="s">
        <v>198</v>
      </c>
      <c r="L17" t="b">
        <v>1</v>
      </c>
    </row>
    <row r="18" spans="1:12" x14ac:dyDescent="0.2">
      <c r="A18" t="s">
        <v>37</v>
      </c>
      <c r="B18" s="25"/>
      <c r="C18" s="25">
        <v>20990000</v>
      </c>
      <c r="D18" s="25">
        <v>22490000</v>
      </c>
      <c r="E18" s="39">
        <v>21790000</v>
      </c>
      <c r="F18" s="34">
        <v>19290000</v>
      </c>
      <c r="G18" s="4" t="s">
        <v>253</v>
      </c>
      <c r="J18" t="s">
        <v>3</v>
      </c>
      <c r="K18" t="s">
        <v>36</v>
      </c>
      <c r="L18" t="b">
        <v>1</v>
      </c>
    </row>
    <row r="19" spans="1:12" x14ac:dyDescent="0.2">
      <c r="A19" t="s">
        <v>184</v>
      </c>
      <c r="B19" s="25"/>
      <c r="C19" s="3">
        <v>27890000</v>
      </c>
      <c r="D19" s="25">
        <v>27890000</v>
      </c>
      <c r="E19" s="39">
        <v>27190000</v>
      </c>
      <c r="F19" s="38">
        <v>27990000</v>
      </c>
      <c r="G19" s="4">
        <v>27590000</v>
      </c>
      <c r="J19" t="s">
        <v>4</v>
      </c>
      <c r="K19" t="s">
        <v>34</v>
      </c>
      <c r="L19" t="b">
        <v>1</v>
      </c>
    </row>
    <row r="20" spans="1:12" x14ac:dyDescent="0.2">
      <c r="A20" t="s">
        <v>185</v>
      </c>
      <c r="B20" s="3"/>
      <c r="C20" s="25">
        <v>36690000</v>
      </c>
      <c r="D20" s="25">
        <v>36690000</v>
      </c>
      <c r="E20" s="39">
        <v>35990000</v>
      </c>
      <c r="F20" s="34">
        <v>36990000</v>
      </c>
      <c r="G20" s="4">
        <v>36090000</v>
      </c>
      <c r="J20" t="s">
        <v>41</v>
      </c>
      <c r="K20" t="s">
        <v>42</v>
      </c>
      <c r="L20" t="b">
        <v>1</v>
      </c>
    </row>
    <row r="21" spans="1:12" x14ac:dyDescent="0.2">
      <c r="A21" t="s">
        <v>227</v>
      </c>
      <c r="B21" s="25"/>
      <c r="C21" s="42">
        <v>5220000</v>
      </c>
      <c r="D21" s="3">
        <v>5190000</v>
      </c>
      <c r="E21" s="39">
        <v>4490000</v>
      </c>
      <c r="F21" s="38">
        <v>5690000</v>
      </c>
      <c r="G21" s="34">
        <v>5190000</v>
      </c>
    </row>
    <row r="22" spans="1:12" x14ac:dyDescent="0.2">
      <c r="A22" t="s">
        <v>228</v>
      </c>
      <c r="B22" s="25"/>
      <c r="C22" s="25">
        <v>7090000</v>
      </c>
      <c r="D22" s="25">
        <v>7090000</v>
      </c>
      <c r="E22" s="3">
        <v>6227000</v>
      </c>
      <c r="F22" s="34">
        <v>6690000</v>
      </c>
      <c r="G22" s="3">
        <v>6490000</v>
      </c>
    </row>
    <row r="23" spans="1:12" x14ac:dyDescent="0.2">
      <c r="A23" t="s">
        <v>229</v>
      </c>
      <c r="B23" s="25"/>
      <c r="C23" s="3">
        <v>5820000</v>
      </c>
      <c r="D23" s="3">
        <v>5790000</v>
      </c>
      <c r="E23" s="39">
        <v>4990000</v>
      </c>
      <c r="F23" s="38">
        <v>6590000</v>
      </c>
      <c r="G23" s="3">
        <v>5890000</v>
      </c>
    </row>
    <row r="24" spans="1:12" x14ac:dyDescent="0.2">
      <c r="A24" t="s">
        <v>230</v>
      </c>
      <c r="B24" s="25"/>
      <c r="C24" s="3">
        <v>7890000</v>
      </c>
      <c r="D24" s="25">
        <v>7890000</v>
      </c>
      <c r="E24" s="3">
        <v>6920000</v>
      </c>
      <c r="F24" s="34">
        <v>7290000</v>
      </c>
      <c r="G24" s="34">
        <v>7690000</v>
      </c>
    </row>
    <row r="25" spans="1:12" x14ac:dyDescent="0.2">
      <c r="A25" t="s">
        <v>213</v>
      </c>
      <c r="B25" s="25"/>
      <c r="C25" s="3">
        <v>8380000</v>
      </c>
      <c r="D25" s="3">
        <v>8490000</v>
      </c>
      <c r="E25" s="3">
        <v>8405000</v>
      </c>
      <c r="F25" s="38">
        <v>8490000</v>
      </c>
      <c r="G25" s="3">
        <v>8490000</v>
      </c>
    </row>
    <row r="26" spans="1:12" x14ac:dyDescent="0.2">
      <c r="A26" t="s">
        <v>214</v>
      </c>
      <c r="B26" s="25"/>
      <c r="C26" s="3">
        <v>13390000</v>
      </c>
      <c r="D26" s="25">
        <v>12690000</v>
      </c>
      <c r="E26" s="3">
        <v>11870000</v>
      </c>
      <c r="F26" s="38">
        <v>12690000</v>
      </c>
      <c r="G26" s="4">
        <v>12690000</v>
      </c>
    </row>
    <row r="27" spans="1:12" x14ac:dyDescent="0.2">
      <c r="A27" t="s">
        <v>215</v>
      </c>
      <c r="B27" s="25"/>
      <c r="C27" s="3">
        <v>9380000</v>
      </c>
      <c r="D27" s="3">
        <v>9490000</v>
      </c>
      <c r="E27" s="3">
        <v>8900000</v>
      </c>
      <c r="F27" s="34">
        <v>9990000</v>
      </c>
      <c r="G27" s="3">
        <v>9490000</v>
      </c>
    </row>
    <row r="28" spans="1:12" x14ac:dyDescent="0.2">
      <c r="A28" t="s">
        <v>217</v>
      </c>
      <c r="B28" s="3"/>
      <c r="C28" s="3">
        <v>13790000</v>
      </c>
      <c r="D28" s="25">
        <v>13690000</v>
      </c>
      <c r="E28" s="3">
        <v>12583000</v>
      </c>
      <c r="F28" s="34">
        <v>13890000</v>
      </c>
      <c r="G28" s="4">
        <v>13590000</v>
      </c>
    </row>
    <row r="29" spans="1:12" x14ac:dyDescent="0.2">
      <c r="A29" t="s">
        <v>172</v>
      </c>
      <c r="B29" s="25"/>
      <c r="C29" s="25">
        <v>22090000</v>
      </c>
      <c r="D29" s="25">
        <v>22190000</v>
      </c>
      <c r="E29" s="39">
        <v>21790000</v>
      </c>
      <c r="F29" s="39">
        <v>21990000</v>
      </c>
      <c r="G29" s="4">
        <v>22990000</v>
      </c>
    </row>
    <row r="30" spans="1:12" x14ac:dyDescent="0.2">
      <c r="A30" t="s">
        <v>53</v>
      </c>
      <c r="B30" s="3"/>
      <c r="C30" s="3">
        <v>5390000</v>
      </c>
      <c r="D30" s="34">
        <v>5390000</v>
      </c>
      <c r="E30" s="34">
        <v>5138000</v>
      </c>
      <c r="F30" s="37">
        <v>5350000</v>
      </c>
      <c r="G30" s="3">
        <v>5250000</v>
      </c>
    </row>
    <row r="31" spans="1:12" x14ac:dyDescent="0.2">
      <c r="A31" t="s">
        <v>54</v>
      </c>
      <c r="B31" s="3"/>
      <c r="C31" s="3">
        <v>4290000</v>
      </c>
      <c r="D31" s="37">
        <v>4290000</v>
      </c>
      <c r="E31" s="34">
        <v>4247000</v>
      </c>
      <c r="F31" s="37">
        <v>4290000</v>
      </c>
      <c r="G31" s="3">
        <v>4250000</v>
      </c>
    </row>
    <row r="32" spans="1:12" x14ac:dyDescent="0.2">
      <c r="A32" t="s">
        <v>55</v>
      </c>
      <c r="B32" s="3"/>
      <c r="C32" s="3">
        <v>3090000</v>
      </c>
      <c r="D32" s="37">
        <v>3090000</v>
      </c>
      <c r="E32" s="3">
        <v>2990000</v>
      </c>
      <c r="F32" s="37">
        <v>3090000</v>
      </c>
      <c r="G32" s="3">
        <v>3090000</v>
      </c>
    </row>
    <row r="33" spans="1:7" x14ac:dyDescent="0.2">
      <c r="A33" t="s">
        <v>175</v>
      </c>
      <c r="B33" s="3"/>
      <c r="C33" s="3">
        <v>17590000</v>
      </c>
      <c r="D33" s="38">
        <v>16990000</v>
      </c>
      <c r="E33" s="36"/>
      <c r="F33" s="38">
        <v>16890000</v>
      </c>
      <c r="G33" s="3">
        <v>16350000</v>
      </c>
    </row>
    <row r="34" spans="1:7" x14ac:dyDescent="0.2">
      <c r="A34" t="s">
        <v>186</v>
      </c>
      <c r="B34" s="25"/>
      <c r="C34" s="3">
        <v>21690000</v>
      </c>
      <c r="D34" s="25">
        <v>21790000</v>
      </c>
      <c r="E34" s="36"/>
      <c r="F34" s="34">
        <v>21590000</v>
      </c>
      <c r="G34" s="3">
        <v>20990000</v>
      </c>
    </row>
    <row r="35" spans="1:7" x14ac:dyDescent="0.2">
      <c r="A35" t="s">
        <v>232</v>
      </c>
      <c r="B35" s="3"/>
      <c r="C35" s="42">
        <v>25490000</v>
      </c>
      <c r="D35" s="38">
        <v>24990000</v>
      </c>
      <c r="E35" s="36"/>
      <c r="F35" s="34">
        <v>24690000</v>
      </c>
      <c r="G35" s="4">
        <v>25290000</v>
      </c>
    </row>
    <row r="36" spans="1:7" x14ac:dyDescent="0.2">
      <c r="A36" t="s">
        <v>59</v>
      </c>
      <c r="B36" s="3"/>
      <c r="C36" s="42">
        <v>26990000</v>
      </c>
      <c r="D36" s="34">
        <v>26890000</v>
      </c>
      <c r="E36" s="36"/>
      <c r="F36" s="38">
        <v>26590000</v>
      </c>
      <c r="G36" s="4">
        <v>26590000</v>
      </c>
    </row>
    <row r="37" spans="1:7" x14ac:dyDescent="0.2">
      <c r="A37" t="s">
        <v>61</v>
      </c>
      <c r="B37" s="25"/>
      <c r="C37" s="42">
        <v>29090000</v>
      </c>
      <c r="D37" s="3">
        <v>31890000</v>
      </c>
      <c r="E37" s="36"/>
      <c r="F37" s="38">
        <v>31990000</v>
      </c>
      <c r="G37" s="4">
        <v>31990000</v>
      </c>
    </row>
    <row r="38" spans="1:7" x14ac:dyDescent="0.2">
      <c r="A38" t="s">
        <v>187</v>
      </c>
      <c r="B38" s="25"/>
      <c r="C38" s="25">
        <v>39990000</v>
      </c>
      <c r="D38" s="3">
        <v>39590000</v>
      </c>
      <c r="E38" s="36"/>
      <c r="F38" s="39">
        <v>39390000</v>
      </c>
      <c r="G38" s="38">
        <v>39390000</v>
      </c>
    </row>
  </sheetData>
  <pageMargins left="0.7" right="0.7" top="0.75" bottom="0.75" header="0.3" footer="0.3"/>
  <pageSetup paperSize="9" orientation="portrait" horizontalDpi="0" verticalDpi="0"/>
  <legacyDrawing r:id="rId1"/>
</worksheet>
</file>

<file path=xl/worksheets/sheet5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dimension ref="A1:L38"/>
  <sheetViews>
    <sheetView zoomScale="110" zoomScaleNormal="110" workbookViewId="0">
      <pane xSplit="2" ySplit="1" topLeftCell="F33" activePane="bottomRight" state="frozen"/>
      <selection pane="topRight" activeCell="C1" sqref="C1"/>
      <selection pane="bottomLeft" activeCell="A2" sqref="A2"/>
      <selection pane="bottomRight" activeCell="C1" sqref="C1"/>
    </sheetView>
  </sheetViews>
  <sheetFormatPr baseColWidth="10" defaultColWidth="11" defaultRowHeight="16" x14ac:dyDescent="0.2"/>
  <cols>
    <col min="1" max="1" width="27.5" bestFit="1" customWidth="1"/>
    <col min="2" max="2" width="0" hidden="1"/>
  </cols>
  <sheetData>
    <row r="1" spans="1:12" x14ac:dyDescent="0.2">
      <c r="B1" s="46" t="s">
        <v>0</v>
      </c>
      <c r="C1" s="46" t="s">
        <v>1</v>
      </c>
      <c r="D1" s="46" t="s">
        <v>2</v>
      </c>
      <c r="E1" s="81" t="s">
        <v>3</v>
      </c>
      <c r="F1" s="81" t="s">
        <v>4</v>
      </c>
      <c r="G1" s="81" t="s">
        <v>5</v>
      </c>
    </row>
    <row r="2" spans="1:12" x14ac:dyDescent="0.2">
      <c r="A2" t="s">
        <v>21</v>
      </c>
      <c r="B2" s="46"/>
      <c r="C2" s="47">
        <v>16290000</v>
      </c>
      <c r="D2" s="47">
        <v>16290000</v>
      </c>
      <c r="E2" s="39">
        <v>16127000</v>
      </c>
      <c r="F2" s="39">
        <v>16190000</v>
      </c>
      <c r="G2" s="39">
        <v>15990000</v>
      </c>
    </row>
    <row r="3" spans="1:12" x14ac:dyDescent="0.2">
      <c r="A3" t="s">
        <v>181</v>
      </c>
      <c r="B3" s="25"/>
      <c r="C3" s="25">
        <v>19290000</v>
      </c>
      <c r="D3" s="42">
        <v>19190000</v>
      </c>
      <c r="E3" s="39">
        <v>18990000</v>
      </c>
      <c r="F3" s="39">
        <v>18990000</v>
      </c>
      <c r="G3" s="39">
        <v>18790000</v>
      </c>
    </row>
    <row r="4" spans="1:12" x14ac:dyDescent="0.2">
      <c r="A4" t="s">
        <v>24</v>
      </c>
      <c r="B4" s="3"/>
      <c r="C4" s="25">
        <v>22390000</v>
      </c>
      <c r="D4" s="42">
        <v>22390000</v>
      </c>
      <c r="E4" s="39">
        <v>21990000</v>
      </c>
      <c r="F4" s="39">
        <v>22190000</v>
      </c>
      <c r="G4" s="39">
        <v>21990000</v>
      </c>
    </row>
    <row r="5" spans="1:12" x14ac:dyDescent="0.2">
      <c r="A5" t="s">
        <v>182</v>
      </c>
      <c r="B5" s="25"/>
      <c r="C5" s="25">
        <v>25290000</v>
      </c>
      <c r="D5" s="42">
        <v>25190000</v>
      </c>
      <c r="E5" s="39">
        <v>24690000</v>
      </c>
      <c r="F5" s="39">
        <v>24990000</v>
      </c>
      <c r="G5" s="39">
        <v>24690000</v>
      </c>
    </row>
    <row r="6" spans="1:12" x14ac:dyDescent="0.2">
      <c r="A6" t="s">
        <v>183</v>
      </c>
      <c r="B6" s="3"/>
      <c r="C6" s="25">
        <v>31090000</v>
      </c>
      <c r="D6" s="42">
        <v>30990000</v>
      </c>
      <c r="E6" s="39">
        <v>30190000</v>
      </c>
      <c r="F6" s="39">
        <v>30390000</v>
      </c>
      <c r="G6" s="39">
        <v>30090000</v>
      </c>
    </row>
    <row r="7" spans="1:12" x14ac:dyDescent="0.2">
      <c r="A7" t="s">
        <v>25</v>
      </c>
      <c r="B7" s="25"/>
      <c r="C7" s="25">
        <v>15990000</v>
      </c>
      <c r="D7" s="42">
        <v>15890000</v>
      </c>
      <c r="E7" s="39">
        <v>15490000</v>
      </c>
      <c r="F7" s="37">
        <v>15790000</v>
      </c>
      <c r="G7" s="37">
        <v>15290000</v>
      </c>
    </row>
    <row r="8" spans="1:12" x14ac:dyDescent="0.2">
      <c r="A8" t="s">
        <v>26</v>
      </c>
      <c r="B8" s="25"/>
      <c r="C8" s="25">
        <v>19590000</v>
      </c>
      <c r="D8" s="42">
        <v>19490000</v>
      </c>
      <c r="E8" s="39">
        <v>18990000</v>
      </c>
      <c r="F8" s="39">
        <v>19290000</v>
      </c>
      <c r="G8" s="37">
        <v>18990000</v>
      </c>
    </row>
    <row r="9" spans="1:12" x14ac:dyDescent="0.2">
      <c r="A9" t="s">
        <v>158</v>
      </c>
      <c r="B9" s="3"/>
      <c r="C9" s="25">
        <v>29990000</v>
      </c>
      <c r="D9" s="25">
        <v>28490000</v>
      </c>
      <c r="E9" s="39" t="s">
        <v>22</v>
      </c>
      <c r="F9" s="39">
        <v>28590000</v>
      </c>
      <c r="G9" s="39">
        <v>27990000</v>
      </c>
    </row>
    <row r="10" spans="1:12" x14ac:dyDescent="0.2">
      <c r="A10" t="s">
        <v>92</v>
      </c>
      <c r="B10" s="3"/>
      <c r="C10" s="42" t="s">
        <v>22</v>
      </c>
      <c r="D10" s="25">
        <v>18490000</v>
      </c>
      <c r="E10" s="39">
        <v>18990000</v>
      </c>
      <c r="F10" s="42" t="s">
        <v>22</v>
      </c>
      <c r="G10" s="4">
        <v>17290000</v>
      </c>
    </row>
    <row r="11" spans="1:12" x14ac:dyDescent="0.2">
      <c r="A11" t="s">
        <v>27</v>
      </c>
      <c r="B11" s="25"/>
      <c r="C11" s="25">
        <v>12990000</v>
      </c>
      <c r="D11" s="37">
        <v>12790000</v>
      </c>
      <c r="E11" s="39">
        <v>12690000</v>
      </c>
      <c r="F11" s="38">
        <v>12590000</v>
      </c>
      <c r="G11" s="4">
        <v>12290000</v>
      </c>
    </row>
    <row r="12" spans="1:12" x14ac:dyDescent="0.2">
      <c r="A12" t="s">
        <v>28</v>
      </c>
      <c r="B12" s="3"/>
      <c r="C12" s="25">
        <v>11790000</v>
      </c>
      <c r="D12" s="38">
        <v>11690000</v>
      </c>
      <c r="E12" s="39">
        <v>11672000</v>
      </c>
      <c r="F12" s="38">
        <v>11690000</v>
      </c>
      <c r="G12" s="4">
        <v>11590000</v>
      </c>
    </row>
    <row r="13" spans="1:12" x14ac:dyDescent="0.2">
      <c r="A13" t="s">
        <v>98</v>
      </c>
      <c r="B13" s="25"/>
      <c r="C13" s="25">
        <v>9990000</v>
      </c>
      <c r="D13" s="25" t="s">
        <v>22</v>
      </c>
      <c r="E13" s="39">
        <v>9990000</v>
      </c>
      <c r="F13" s="25" t="s">
        <v>22</v>
      </c>
      <c r="G13" s="4" t="s">
        <v>22</v>
      </c>
    </row>
    <row r="14" spans="1:12" x14ac:dyDescent="0.2">
      <c r="A14" t="s">
        <v>29</v>
      </c>
      <c r="B14" s="25"/>
      <c r="C14" s="41">
        <v>11790000</v>
      </c>
      <c r="D14" s="25">
        <v>13890000</v>
      </c>
      <c r="E14" s="39">
        <v>13652000</v>
      </c>
      <c r="F14" s="38">
        <v>13850000</v>
      </c>
      <c r="G14" s="4">
        <v>13690000</v>
      </c>
    </row>
    <row r="15" spans="1:12" x14ac:dyDescent="0.2">
      <c r="A15" t="s">
        <v>162</v>
      </c>
      <c r="B15" s="25"/>
      <c r="C15" s="25">
        <v>8690000</v>
      </c>
      <c r="D15" s="25">
        <v>7990000</v>
      </c>
      <c r="E15" s="39">
        <v>8501000</v>
      </c>
      <c r="F15" s="38">
        <v>7990000</v>
      </c>
      <c r="G15" s="4">
        <v>7890000</v>
      </c>
    </row>
    <row r="16" spans="1:12" x14ac:dyDescent="0.2">
      <c r="A16" t="s">
        <v>30</v>
      </c>
      <c r="B16" s="3"/>
      <c r="C16" s="42">
        <v>9990000</v>
      </c>
      <c r="D16" s="3">
        <v>8490000</v>
      </c>
      <c r="E16" s="3">
        <v>8405000</v>
      </c>
      <c r="F16" s="34">
        <v>8690000</v>
      </c>
      <c r="G16" s="34">
        <v>8590000</v>
      </c>
      <c r="J16" t="s">
        <v>31</v>
      </c>
      <c r="K16" t="s">
        <v>38</v>
      </c>
      <c r="L16" t="b">
        <v>1</v>
      </c>
    </row>
    <row r="17" spans="1:12" x14ac:dyDescent="0.2">
      <c r="A17" t="s">
        <v>33</v>
      </c>
      <c r="B17" s="3"/>
      <c r="C17" s="25">
        <v>16990000</v>
      </c>
      <c r="D17" s="3">
        <v>16690000</v>
      </c>
      <c r="E17" s="39">
        <v>16325000</v>
      </c>
      <c r="F17" s="38">
        <v>16690000</v>
      </c>
      <c r="G17" s="4">
        <v>16490000</v>
      </c>
      <c r="J17" t="s">
        <v>2</v>
      </c>
      <c r="K17" t="s">
        <v>198</v>
      </c>
      <c r="L17" t="b">
        <v>1</v>
      </c>
    </row>
    <row r="18" spans="1:12" x14ac:dyDescent="0.2">
      <c r="A18" t="s">
        <v>37</v>
      </c>
      <c r="B18" s="25"/>
      <c r="C18" s="25">
        <v>20990000</v>
      </c>
      <c r="D18" s="3">
        <v>22390000</v>
      </c>
      <c r="E18" s="3">
        <v>21290000</v>
      </c>
      <c r="F18" s="38">
        <v>21990000</v>
      </c>
      <c r="G18" s="34">
        <v>21790000</v>
      </c>
      <c r="J18" t="s">
        <v>3</v>
      </c>
      <c r="K18" t="s">
        <v>36</v>
      </c>
      <c r="L18" t="b">
        <v>1</v>
      </c>
    </row>
    <row r="19" spans="1:12" x14ac:dyDescent="0.2">
      <c r="A19" t="s">
        <v>184</v>
      </c>
      <c r="B19" s="25"/>
      <c r="C19" s="3">
        <v>26490000</v>
      </c>
      <c r="D19" s="3">
        <v>27490000</v>
      </c>
      <c r="E19" s="39">
        <v>27190000</v>
      </c>
      <c r="F19" s="34">
        <v>26490000</v>
      </c>
      <c r="G19" s="4">
        <v>27490000</v>
      </c>
      <c r="J19" t="s">
        <v>4</v>
      </c>
      <c r="K19" t="s">
        <v>34</v>
      </c>
      <c r="L19" t="b">
        <v>1</v>
      </c>
    </row>
    <row r="20" spans="1:12" x14ac:dyDescent="0.2">
      <c r="A20" t="s">
        <v>185</v>
      </c>
      <c r="B20" s="3"/>
      <c r="C20" s="25">
        <v>36690000</v>
      </c>
      <c r="D20" s="3">
        <v>36590000</v>
      </c>
      <c r="E20" s="39">
        <v>35990000</v>
      </c>
      <c r="F20" s="38">
        <v>36990000</v>
      </c>
      <c r="G20" s="4">
        <v>36590000</v>
      </c>
      <c r="J20" t="s">
        <v>41</v>
      </c>
      <c r="K20" t="s">
        <v>42</v>
      </c>
      <c r="L20" t="b">
        <v>1</v>
      </c>
    </row>
    <row r="21" spans="1:12" x14ac:dyDescent="0.2">
      <c r="A21" t="s">
        <v>227</v>
      </c>
      <c r="B21" s="25"/>
      <c r="C21" s="42">
        <v>5220000</v>
      </c>
      <c r="D21" s="25">
        <v>5190000</v>
      </c>
      <c r="E21" s="39">
        <v>4490000</v>
      </c>
      <c r="F21" s="34">
        <v>5290000</v>
      </c>
      <c r="G21" s="4">
        <v>5190000</v>
      </c>
    </row>
    <row r="22" spans="1:12" x14ac:dyDescent="0.2">
      <c r="A22" t="s">
        <v>228</v>
      </c>
      <c r="B22" s="25"/>
      <c r="C22" s="25">
        <v>7090000</v>
      </c>
      <c r="D22" s="25">
        <v>7090000</v>
      </c>
      <c r="E22" s="39">
        <v>6227000</v>
      </c>
      <c r="F22" s="38">
        <v>6690000</v>
      </c>
      <c r="G22" s="4">
        <v>6490000</v>
      </c>
    </row>
    <row r="23" spans="1:12" x14ac:dyDescent="0.2">
      <c r="A23" t="s">
        <v>229</v>
      </c>
      <c r="B23" s="25"/>
      <c r="C23" s="25">
        <v>5820000</v>
      </c>
      <c r="D23" s="25">
        <v>5790000</v>
      </c>
      <c r="E23" s="39">
        <v>4990000</v>
      </c>
      <c r="F23" s="34">
        <v>5990000</v>
      </c>
      <c r="G23" s="4">
        <v>5890000</v>
      </c>
    </row>
    <row r="24" spans="1:12" x14ac:dyDescent="0.2">
      <c r="A24" t="s">
        <v>230</v>
      </c>
      <c r="B24" s="25"/>
      <c r="C24" s="25">
        <v>7890000</v>
      </c>
      <c r="D24" s="25">
        <v>7890000</v>
      </c>
      <c r="E24" s="39">
        <v>6920000</v>
      </c>
      <c r="F24" s="34">
        <v>7290000</v>
      </c>
      <c r="G24" s="4">
        <v>7690000</v>
      </c>
    </row>
    <row r="25" spans="1:12" x14ac:dyDescent="0.2">
      <c r="A25" t="s">
        <v>213</v>
      </c>
      <c r="B25" s="25"/>
      <c r="C25" s="25">
        <v>8380000</v>
      </c>
      <c r="D25" s="3">
        <v>8390000</v>
      </c>
      <c r="E25" s="39">
        <v>8405000</v>
      </c>
      <c r="F25" s="38">
        <v>8350000</v>
      </c>
      <c r="G25" s="3">
        <v>8390000</v>
      </c>
    </row>
    <row r="26" spans="1:12" x14ac:dyDescent="0.2">
      <c r="A26" t="s">
        <v>214</v>
      </c>
      <c r="B26" s="25"/>
      <c r="C26" s="25">
        <v>13390000</v>
      </c>
      <c r="D26" s="25">
        <v>12690000</v>
      </c>
      <c r="E26" s="39">
        <v>11870000</v>
      </c>
      <c r="F26" s="34">
        <v>12990000</v>
      </c>
      <c r="G26" s="4">
        <v>12690000</v>
      </c>
    </row>
    <row r="27" spans="1:12" x14ac:dyDescent="0.2">
      <c r="A27" t="s">
        <v>215</v>
      </c>
      <c r="B27" s="25"/>
      <c r="C27" s="25">
        <v>9380000</v>
      </c>
      <c r="D27" s="3">
        <v>9390000</v>
      </c>
      <c r="E27" s="39">
        <v>8900000</v>
      </c>
      <c r="F27" s="34">
        <v>9350000</v>
      </c>
      <c r="G27" s="4">
        <v>9490000</v>
      </c>
    </row>
    <row r="28" spans="1:12" x14ac:dyDescent="0.2">
      <c r="A28" t="s">
        <v>217</v>
      </c>
      <c r="B28" s="3"/>
      <c r="C28" s="25">
        <v>13790000</v>
      </c>
      <c r="D28" s="25">
        <v>13690000</v>
      </c>
      <c r="E28" s="39">
        <v>12583000</v>
      </c>
      <c r="F28" s="34">
        <v>13890000</v>
      </c>
      <c r="G28" s="4">
        <v>13590000</v>
      </c>
    </row>
    <row r="29" spans="1:12" x14ac:dyDescent="0.2">
      <c r="A29" t="s">
        <v>172</v>
      </c>
      <c r="B29" s="25"/>
      <c r="C29" s="25">
        <v>22090000</v>
      </c>
      <c r="D29" s="25">
        <v>22190000</v>
      </c>
      <c r="E29" s="39">
        <v>21790000</v>
      </c>
      <c r="F29" s="39">
        <v>21990000</v>
      </c>
      <c r="G29" s="4">
        <v>22990000</v>
      </c>
    </row>
    <row r="30" spans="1:12" x14ac:dyDescent="0.2">
      <c r="A30" t="s">
        <v>53</v>
      </c>
      <c r="B30" s="3"/>
      <c r="C30" s="25">
        <v>5390000</v>
      </c>
      <c r="D30" s="38">
        <v>5390000</v>
      </c>
      <c r="E30" s="39">
        <v>5138000</v>
      </c>
      <c r="F30" s="39">
        <v>5350000</v>
      </c>
      <c r="G30" s="4">
        <v>5250000</v>
      </c>
    </row>
    <row r="31" spans="1:12" x14ac:dyDescent="0.2">
      <c r="A31" t="s">
        <v>54</v>
      </c>
      <c r="B31" s="3"/>
      <c r="C31" s="25">
        <v>4290000</v>
      </c>
      <c r="D31" s="39">
        <v>4290000</v>
      </c>
      <c r="E31" s="39">
        <v>4247000</v>
      </c>
      <c r="F31" s="39">
        <v>4290000</v>
      </c>
      <c r="G31" s="4">
        <v>4250000</v>
      </c>
    </row>
    <row r="32" spans="1:12" x14ac:dyDescent="0.2">
      <c r="A32" t="s">
        <v>55</v>
      </c>
      <c r="B32" s="3"/>
      <c r="C32" s="25">
        <v>3090000</v>
      </c>
      <c r="D32" s="39">
        <v>3090000</v>
      </c>
      <c r="E32" s="39">
        <v>2990000</v>
      </c>
      <c r="F32" s="39">
        <v>3090000</v>
      </c>
      <c r="G32" s="4">
        <v>3090000</v>
      </c>
    </row>
    <row r="33" spans="1:7" x14ac:dyDescent="0.2">
      <c r="A33" t="s">
        <v>175</v>
      </c>
      <c r="B33" s="3"/>
      <c r="C33" s="3">
        <v>17490000</v>
      </c>
      <c r="D33" s="38">
        <v>16990000</v>
      </c>
      <c r="E33" s="36"/>
      <c r="F33" s="34">
        <v>17190000</v>
      </c>
      <c r="G33" s="3">
        <v>16690000</v>
      </c>
    </row>
    <row r="34" spans="1:7" x14ac:dyDescent="0.2">
      <c r="A34" t="s">
        <v>186</v>
      </c>
      <c r="B34" s="25"/>
      <c r="C34" s="3">
        <v>21490000</v>
      </c>
      <c r="D34" s="25">
        <v>21790000</v>
      </c>
      <c r="E34" s="36"/>
      <c r="F34" s="34">
        <v>21390000</v>
      </c>
      <c r="G34" s="4">
        <v>20990000</v>
      </c>
    </row>
    <row r="35" spans="1:7" x14ac:dyDescent="0.2">
      <c r="A35" t="s">
        <v>232</v>
      </c>
      <c r="B35" s="3"/>
      <c r="C35" s="42">
        <v>25490000</v>
      </c>
      <c r="D35" s="38">
        <v>24990000</v>
      </c>
      <c r="E35" s="36"/>
      <c r="F35" s="38">
        <v>24690000</v>
      </c>
      <c r="G35" s="4">
        <v>25290000</v>
      </c>
    </row>
    <row r="36" spans="1:7" x14ac:dyDescent="0.2">
      <c r="A36" t="s">
        <v>59</v>
      </c>
      <c r="B36" s="3"/>
      <c r="C36" s="42">
        <v>26990000</v>
      </c>
      <c r="D36" s="34">
        <v>26690000</v>
      </c>
      <c r="E36" s="36"/>
      <c r="F36" s="38">
        <v>26490000</v>
      </c>
      <c r="G36" s="4">
        <v>26590000</v>
      </c>
    </row>
    <row r="37" spans="1:7" x14ac:dyDescent="0.2">
      <c r="A37" t="s">
        <v>61</v>
      </c>
      <c r="B37" s="25"/>
      <c r="C37" s="42">
        <v>29090000</v>
      </c>
      <c r="D37" s="25">
        <v>31890000</v>
      </c>
      <c r="E37" s="36"/>
      <c r="F37" s="38">
        <v>31990000</v>
      </c>
      <c r="G37" s="4">
        <v>31990000</v>
      </c>
    </row>
    <row r="38" spans="1:7" x14ac:dyDescent="0.2">
      <c r="A38" t="s">
        <v>187</v>
      </c>
      <c r="B38" s="25"/>
      <c r="C38" s="25">
        <v>39990000</v>
      </c>
      <c r="D38" s="25">
        <v>39590000</v>
      </c>
      <c r="E38" s="36"/>
      <c r="F38" s="39">
        <v>39390000</v>
      </c>
      <c r="G38" s="38">
        <v>39390000</v>
      </c>
    </row>
  </sheetData>
  <pageMargins left="0.7" right="0.7" top="0.75" bottom="0.75" header="0.3" footer="0.3"/>
  <pageSetup paperSize="9" orientation="portrait" horizontalDpi="0" verticalDpi="0"/>
  <legacyDrawing r:id="rId1"/>
</worksheet>
</file>

<file path=xl/worksheets/sheet5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dimension ref="A1:L37"/>
  <sheetViews>
    <sheetView zoomScale="130" zoomScaleNormal="130" workbookViewId="0">
      <pane xSplit="2" ySplit="1" topLeftCell="C2" activePane="bottomRight" state="frozen"/>
      <selection pane="topRight" activeCell="C1" sqref="C1"/>
      <selection pane="bottomLeft" activeCell="A2" sqref="A2"/>
      <selection pane="bottomRight" activeCell="C1" sqref="C1"/>
    </sheetView>
  </sheetViews>
  <sheetFormatPr baseColWidth="10" defaultColWidth="11" defaultRowHeight="16" x14ac:dyDescent="0.2"/>
  <cols>
    <col min="1" max="1" width="27.5" bestFit="1" customWidth="1"/>
    <col min="2" max="2" width="0" hidden="1"/>
  </cols>
  <sheetData>
    <row r="1" spans="1:12" x14ac:dyDescent="0.2">
      <c r="B1" s="46" t="s">
        <v>0</v>
      </c>
      <c r="C1" s="46" t="s">
        <v>1</v>
      </c>
      <c r="D1" s="46" t="s">
        <v>2</v>
      </c>
      <c r="E1" s="81" t="s">
        <v>3</v>
      </c>
      <c r="F1" s="81" t="s">
        <v>4</v>
      </c>
      <c r="G1" s="81" t="s">
        <v>5</v>
      </c>
    </row>
    <row r="2" spans="1:12" x14ac:dyDescent="0.2">
      <c r="A2" t="s">
        <v>21</v>
      </c>
      <c r="B2" s="46"/>
      <c r="C2" s="48">
        <v>16190000</v>
      </c>
      <c r="D2" s="48">
        <v>16190000</v>
      </c>
      <c r="E2" s="39">
        <v>16127000</v>
      </c>
      <c r="F2" s="39">
        <v>16190000</v>
      </c>
      <c r="G2" s="39">
        <v>15990000</v>
      </c>
    </row>
    <row r="3" spans="1:12" x14ac:dyDescent="0.2">
      <c r="A3" t="s">
        <v>181</v>
      </c>
      <c r="B3" s="25"/>
      <c r="C3" s="3">
        <v>19090000</v>
      </c>
      <c r="D3" s="41">
        <v>19090000</v>
      </c>
      <c r="E3" s="39">
        <v>18990000</v>
      </c>
      <c r="F3" s="39">
        <v>18990000</v>
      </c>
      <c r="G3" s="39">
        <v>18790000</v>
      </c>
    </row>
    <row r="4" spans="1:12" x14ac:dyDescent="0.2">
      <c r="A4" t="s">
        <v>24</v>
      </c>
      <c r="B4" s="3"/>
      <c r="C4" s="3">
        <v>22290000</v>
      </c>
      <c r="D4" s="41">
        <v>22290000</v>
      </c>
      <c r="E4" s="39">
        <v>21990000</v>
      </c>
      <c r="F4" s="39">
        <v>22190000</v>
      </c>
      <c r="G4" s="39">
        <v>21990000</v>
      </c>
    </row>
    <row r="5" spans="1:12" x14ac:dyDescent="0.2">
      <c r="A5" t="s">
        <v>182</v>
      </c>
      <c r="B5" s="25"/>
      <c r="C5" s="25">
        <v>25290000</v>
      </c>
      <c r="D5" s="42">
        <v>25190000</v>
      </c>
      <c r="E5" s="39">
        <v>24690000</v>
      </c>
      <c r="F5" s="39">
        <v>24990000</v>
      </c>
      <c r="G5" s="39">
        <v>24690000</v>
      </c>
    </row>
    <row r="6" spans="1:12" x14ac:dyDescent="0.2">
      <c r="A6" t="s">
        <v>183</v>
      </c>
      <c r="B6" s="3"/>
      <c r="C6" s="3">
        <v>30890000</v>
      </c>
      <c r="D6" s="41">
        <v>30790000</v>
      </c>
      <c r="E6" s="39">
        <v>30190000</v>
      </c>
      <c r="F6" s="39">
        <v>30390000</v>
      </c>
      <c r="G6" s="39">
        <v>30090000</v>
      </c>
    </row>
    <row r="7" spans="1:12" x14ac:dyDescent="0.2">
      <c r="A7" t="s">
        <v>25</v>
      </c>
      <c r="B7" s="25"/>
      <c r="C7" s="25">
        <v>15990000</v>
      </c>
      <c r="D7" s="42">
        <v>15890000</v>
      </c>
      <c r="E7" s="39">
        <v>15490000</v>
      </c>
      <c r="F7" s="39">
        <v>15790000</v>
      </c>
      <c r="G7" s="37">
        <v>15490000</v>
      </c>
    </row>
    <row r="8" spans="1:12" x14ac:dyDescent="0.2">
      <c r="A8" t="s">
        <v>26</v>
      </c>
      <c r="B8" s="25"/>
      <c r="C8" s="25">
        <v>19590000</v>
      </c>
      <c r="D8" s="42">
        <v>19490000</v>
      </c>
      <c r="E8" s="39">
        <v>18990000</v>
      </c>
      <c r="F8" s="39">
        <v>19290000</v>
      </c>
      <c r="G8" s="37">
        <v>18990000</v>
      </c>
    </row>
    <row r="9" spans="1:12" x14ac:dyDescent="0.2">
      <c r="A9" t="s">
        <v>158</v>
      </c>
      <c r="B9" s="3"/>
      <c r="C9" s="25">
        <v>29990000</v>
      </c>
      <c r="D9" s="25">
        <v>28490000</v>
      </c>
      <c r="E9" s="39" t="s">
        <v>22</v>
      </c>
      <c r="F9" s="39">
        <v>28590000</v>
      </c>
      <c r="G9" s="39">
        <v>27990000</v>
      </c>
    </row>
    <row r="10" spans="1:12" x14ac:dyDescent="0.2">
      <c r="A10" t="s">
        <v>92</v>
      </c>
      <c r="B10" s="3"/>
      <c r="C10" s="42" t="s">
        <v>22</v>
      </c>
      <c r="D10" s="25">
        <v>18490000</v>
      </c>
      <c r="E10" s="39">
        <v>18990000</v>
      </c>
      <c r="F10" s="42" t="s">
        <v>22</v>
      </c>
      <c r="G10" s="4">
        <v>17290000</v>
      </c>
    </row>
    <row r="11" spans="1:12" x14ac:dyDescent="0.2">
      <c r="A11" t="s">
        <v>27</v>
      </c>
      <c r="B11" s="25"/>
      <c r="C11" s="3">
        <v>12790000</v>
      </c>
      <c r="D11" s="39">
        <v>12790000</v>
      </c>
      <c r="E11" s="39">
        <v>12690000</v>
      </c>
      <c r="F11" s="38">
        <v>12590000</v>
      </c>
      <c r="G11" s="4">
        <v>12290000</v>
      </c>
    </row>
    <row r="12" spans="1:12" x14ac:dyDescent="0.2">
      <c r="A12" t="s">
        <v>28</v>
      </c>
      <c r="B12" s="3"/>
      <c r="C12" s="25">
        <v>11790000</v>
      </c>
      <c r="D12" s="38">
        <v>11690000</v>
      </c>
      <c r="E12" s="39">
        <v>11672000</v>
      </c>
      <c r="F12" s="38">
        <v>11650000</v>
      </c>
      <c r="G12" s="4">
        <v>11590000</v>
      </c>
    </row>
    <row r="13" spans="1:12" x14ac:dyDescent="0.2">
      <c r="A13" t="s">
        <v>98</v>
      </c>
      <c r="B13" s="25"/>
      <c r="C13" s="25">
        <v>9990000</v>
      </c>
      <c r="D13" s="25" t="s">
        <v>22</v>
      </c>
      <c r="E13" s="39">
        <v>9990000</v>
      </c>
      <c r="F13" s="25" t="s">
        <v>22</v>
      </c>
      <c r="G13" s="4" t="s">
        <v>22</v>
      </c>
    </row>
    <row r="14" spans="1:12" x14ac:dyDescent="0.2">
      <c r="A14" t="s">
        <v>29</v>
      </c>
      <c r="B14" s="25"/>
      <c r="C14" s="42">
        <v>11790000</v>
      </c>
      <c r="D14" s="25">
        <v>13890000</v>
      </c>
      <c r="E14" s="39">
        <v>13652000</v>
      </c>
      <c r="F14" s="38">
        <v>13850000</v>
      </c>
      <c r="G14" s="4">
        <v>13690000</v>
      </c>
    </row>
    <row r="15" spans="1:12" x14ac:dyDescent="0.2">
      <c r="A15" t="s">
        <v>30</v>
      </c>
      <c r="B15" s="3"/>
      <c r="C15" s="42">
        <v>9990000</v>
      </c>
      <c r="D15" s="25">
        <v>8490000</v>
      </c>
      <c r="E15" s="39">
        <v>8405000</v>
      </c>
      <c r="F15" s="34">
        <v>8890000</v>
      </c>
      <c r="G15" s="34">
        <v>8390000</v>
      </c>
      <c r="J15" t="s">
        <v>31</v>
      </c>
      <c r="K15" t="s">
        <v>38</v>
      </c>
      <c r="L15" t="b">
        <v>1</v>
      </c>
    </row>
    <row r="16" spans="1:12" x14ac:dyDescent="0.2">
      <c r="A16" t="s">
        <v>33</v>
      </c>
      <c r="B16" s="3"/>
      <c r="C16" s="25">
        <v>16990000</v>
      </c>
      <c r="D16" s="25">
        <v>16690000</v>
      </c>
      <c r="E16" s="39">
        <v>16325000</v>
      </c>
      <c r="F16" s="34">
        <v>16590000</v>
      </c>
      <c r="G16" s="4">
        <v>16490000</v>
      </c>
      <c r="J16" t="s">
        <v>2</v>
      </c>
      <c r="K16" t="s">
        <v>198</v>
      </c>
      <c r="L16" t="b">
        <v>1</v>
      </c>
    </row>
    <row r="17" spans="1:12" x14ac:dyDescent="0.2">
      <c r="A17" t="s">
        <v>37</v>
      </c>
      <c r="B17" s="25"/>
      <c r="C17" s="25">
        <v>20990000</v>
      </c>
      <c r="D17" s="25">
        <v>22390000</v>
      </c>
      <c r="E17" s="39">
        <v>21290000</v>
      </c>
      <c r="F17" s="38">
        <v>21990000</v>
      </c>
      <c r="G17" s="4">
        <v>21790000</v>
      </c>
      <c r="J17" t="s">
        <v>3</v>
      </c>
      <c r="K17" t="s">
        <v>36</v>
      </c>
      <c r="L17" t="b">
        <v>1</v>
      </c>
    </row>
    <row r="18" spans="1:12" x14ac:dyDescent="0.2">
      <c r="A18" t="s">
        <v>184</v>
      </c>
      <c r="B18" s="25"/>
      <c r="C18" s="3">
        <v>25990000</v>
      </c>
      <c r="D18" s="25">
        <v>27490000</v>
      </c>
      <c r="E18" s="3">
        <v>26490000</v>
      </c>
      <c r="F18" s="34">
        <v>26690000</v>
      </c>
      <c r="G18" s="4">
        <v>27490000</v>
      </c>
      <c r="J18" t="s">
        <v>4</v>
      </c>
      <c r="K18" t="s">
        <v>34</v>
      </c>
      <c r="L18" t="b">
        <v>1</v>
      </c>
    </row>
    <row r="19" spans="1:12" x14ac:dyDescent="0.2">
      <c r="A19" t="s">
        <v>185</v>
      </c>
      <c r="B19" s="3"/>
      <c r="C19" s="3">
        <v>33990000</v>
      </c>
      <c r="D19" s="25">
        <v>36590000</v>
      </c>
      <c r="E19" s="39">
        <v>35990000</v>
      </c>
      <c r="F19" s="38">
        <v>36990000</v>
      </c>
      <c r="G19" s="4">
        <v>36590000</v>
      </c>
      <c r="J19" t="s">
        <v>41</v>
      </c>
      <c r="K19" t="s">
        <v>42</v>
      </c>
      <c r="L19" t="b">
        <v>1</v>
      </c>
    </row>
    <row r="20" spans="1:12" x14ac:dyDescent="0.2">
      <c r="A20" t="s">
        <v>227</v>
      </c>
      <c r="B20" s="25"/>
      <c r="C20" s="41">
        <v>5990000</v>
      </c>
      <c r="D20" s="3">
        <v>5790000</v>
      </c>
      <c r="E20" s="3">
        <v>5336000</v>
      </c>
      <c r="F20" s="34">
        <v>5790000</v>
      </c>
      <c r="G20" s="34">
        <v>5690000</v>
      </c>
    </row>
    <row r="21" spans="1:12" x14ac:dyDescent="0.2">
      <c r="A21" t="s">
        <v>228</v>
      </c>
      <c r="B21" s="25"/>
      <c r="C21" s="25">
        <v>7090000</v>
      </c>
      <c r="D21" s="25">
        <v>7090000</v>
      </c>
      <c r="E21" s="3">
        <v>6722000</v>
      </c>
      <c r="F21" s="38">
        <v>6690000</v>
      </c>
      <c r="G21" s="4">
        <v>6490000</v>
      </c>
    </row>
    <row r="22" spans="1:12" x14ac:dyDescent="0.2">
      <c r="A22" t="s">
        <v>229</v>
      </c>
      <c r="B22" s="25"/>
      <c r="C22" s="3">
        <v>6590000</v>
      </c>
      <c r="D22" s="3">
        <v>6590000</v>
      </c>
      <c r="E22" s="3">
        <v>5930000</v>
      </c>
      <c r="F22" s="34">
        <v>6590000</v>
      </c>
      <c r="G22" s="34">
        <v>6590000</v>
      </c>
    </row>
    <row r="23" spans="1:12" x14ac:dyDescent="0.2">
      <c r="A23" t="s">
        <v>230</v>
      </c>
      <c r="B23" s="25"/>
      <c r="C23" s="25">
        <v>7890000</v>
      </c>
      <c r="D23" s="25">
        <v>7890000</v>
      </c>
      <c r="E23" s="3">
        <v>7415000</v>
      </c>
      <c r="F23" s="34">
        <v>7290000</v>
      </c>
      <c r="G23" s="4">
        <v>7690000</v>
      </c>
    </row>
    <row r="24" spans="1:12" x14ac:dyDescent="0.2">
      <c r="A24" t="s">
        <v>213</v>
      </c>
      <c r="B24" s="25"/>
      <c r="C24" s="3">
        <v>10790000</v>
      </c>
      <c r="D24" s="3">
        <v>10690000</v>
      </c>
      <c r="E24" s="3">
        <v>10187000</v>
      </c>
      <c r="F24" s="34">
        <v>10590000</v>
      </c>
      <c r="G24" s="3">
        <v>10590000</v>
      </c>
    </row>
    <row r="25" spans="1:12" x14ac:dyDescent="0.2">
      <c r="A25" t="s">
        <v>214</v>
      </c>
      <c r="B25" s="25"/>
      <c r="C25" s="25">
        <v>13390000</v>
      </c>
      <c r="D25" s="25">
        <v>12690000</v>
      </c>
      <c r="E25" s="3">
        <v>12860000</v>
      </c>
      <c r="F25" s="34">
        <v>12990000</v>
      </c>
      <c r="G25" s="34">
        <v>12890000</v>
      </c>
    </row>
    <row r="26" spans="1:12" x14ac:dyDescent="0.2">
      <c r="A26" t="s">
        <v>215</v>
      </c>
      <c r="B26" s="25"/>
      <c r="C26" s="3">
        <v>11390000</v>
      </c>
      <c r="D26" s="3">
        <v>11490000</v>
      </c>
      <c r="E26" s="3">
        <v>10880000</v>
      </c>
      <c r="F26" s="38">
        <v>9350000</v>
      </c>
      <c r="G26" s="34">
        <v>11290000</v>
      </c>
    </row>
    <row r="27" spans="1:12" x14ac:dyDescent="0.2">
      <c r="A27" t="s">
        <v>217</v>
      </c>
      <c r="B27" s="3"/>
      <c r="C27" s="3">
        <v>13990000</v>
      </c>
      <c r="D27" s="25">
        <v>13690000</v>
      </c>
      <c r="E27" s="3">
        <v>13553000</v>
      </c>
      <c r="F27" s="38">
        <v>13890000</v>
      </c>
      <c r="G27" s="4">
        <v>13590000</v>
      </c>
    </row>
    <row r="28" spans="1:12" x14ac:dyDescent="0.2">
      <c r="A28" t="s">
        <v>172</v>
      </c>
      <c r="B28" s="25"/>
      <c r="C28" s="25">
        <v>22490000</v>
      </c>
      <c r="D28" s="25">
        <v>22190000</v>
      </c>
      <c r="E28" s="39">
        <v>21790000</v>
      </c>
      <c r="F28" s="39">
        <v>21990000</v>
      </c>
      <c r="G28" s="4">
        <v>22990000</v>
      </c>
    </row>
    <row r="29" spans="1:12" x14ac:dyDescent="0.2">
      <c r="A29" t="s">
        <v>53</v>
      </c>
      <c r="B29" s="3"/>
      <c r="C29" s="3">
        <v>5690000</v>
      </c>
      <c r="D29" s="38">
        <v>5390000</v>
      </c>
      <c r="E29" s="3">
        <v>5633000</v>
      </c>
      <c r="F29" s="37">
        <v>5650000</v>
      </c>
      <c r="G29" s="4">
        <v>5250000</v>
      </c>
    </row>
    <row r="30" spans="1:12" x14ac:dyDescent="0.2">
      <c r="A30" t="s">
        <v>54</v>
      </c>
      <c r="B30" s="3"/>
      <c r="C30" s="3">
        <v>4690000</v>
      </c>
      <c r="D30" s="37">
        <v>4590000</v>
      </c>
      <c r="E30" s="3">
        <v>4445000</v>
      </c>
      <c r="F30" s="37">
        <v>4590000</v>
      </c>
      <c r="G30" s="34">
        <v>4550000</v>
      </c>
    </row>
    <row r="31" spans="1:12" x14ac:dyDescent="0.2">
      <c r="A31" t="s">
        <v>55</v>
      </c>
      <c r="B31" s="3"/>
      <c r="C31" s="3">
        <v>3390000</v>
      </c>
      <c r="D31" s="37">
        <v>3290000</v>
      </c>
      <c r="E31" s="3">
        <v>3190000</v>
      </c>
      <c r="F31" s="37">
        <v>3290000</v>
      </c>
      <c r="G31" s="34">
        <v>3290000</v>
      </c>
    </row>
    <row r="32" spans="1:12" x14ac:dyDescent="0.2">
      <c r="A32" t="s">
        <v>175</v>
      </c>
      <c r="B32" s="3"/>
      <c r="C32" s="25">
        <v>17490000</v>
      </c>
      <c r="D32" s="38">
        <v>16990000</v>
      </c>
      <c r="E32" s="36"/>
      <c r="F32" s="38">
        <v>17190000</v>
      </c>
      <c r="G32" s="3">
        <v>16490000</v>
      </c>
    </row>
    <row r="33" spans="1:7" x14ac:dyDescent="0.2">
      <c r="A33" t="s">
        <v>186</v>
      </c>
      <c r="B33" s="25"/>
      <c r="C33" s="3">
        <v>21290000</v>
      </c>
      <c r="D33" s="3">
        <v>21490000</v>
      </c>
      <c r="E33" s="36"/>
      <c r="F33" s="34">
        <v>21190000</v>
      </c>
      <c r="G33" s="4">
        <v>20990000</v>
      </c>
    </row>
    <row r="34" spans="1:7" x14ac:dyDescent="0.2">
      <c r="A34" t="s">
        <v>232</v>
      </c>
      <c r="B34" s="3"/>
      <c r="C34" s="41">
        <v>24690000</v>
      </c>
      <c r="D34" s="38">
        <v>24990000</v>
      </c>
      <c r="E34" s="36"/>
      <c r="F34" s="38">
        <v>24690000</v>
      </c>
      <c r="G34" s="4">
        <v>25290000</v>
      </c>
    </row>
    <row r="35" spans="1:7" x14ac:dyDescent="0.2">
      <c r="A35" t="s">
        <v>59</v>
      </c>
      <c r="B35" s="3"/>
      <c r="C35" s="42">
        <v>26990000</v>
      </c>
      <c r="D35" s="38">
        <v>26690000</v>
      </c>
      <c r="E35" s="36"/>
      <c r="F35" s="38">
        <v>26290000</v>
      </c>
      <c r="G35" s="34">
        <v>26290000</v>
      </c>
    </row>
    <row r="36" spans="1:7" x14ac:dyDescent="0.2">
      <c r="A36" t="s">
        <v>61</v>
      </c>
      <c r="B36" s="25"/>
      <c r="C36" s="42">
        <v>29090000</v>
      </c>
      <c r="D36" s="25">
        <v>31890000</v>
      </c>
      <c r="E36" s="36"/>
      <c r="F36" s="38">
        <v>31990000</v>
      </c>
      <c r="G36" s="4">
        <v>31990000</v>
      </c>
    </row>
    <row r="37" spans="1:7" x14ac:dyDescent="0.2">
      <c r="A37" t="s">
        <v>187</v>
      </c>
      <c r="B37" s="25"/>
      <c r="C37" s="25">
        <v>39990000</v>
      </c>
      <c r="D37" s="25">
        <v>39590000</v>
      </c>
      <c r="E37" s="36"/>
      <c r="F37" s="39">
        <v>39390000</v>
      </c>
      <c r="G37" s="38">
        <v>39390000</v>
      </c>
    </row>
  </sheetData>
  <pageMargins left="0.7" right="0.7" top="0.75" bottom="0.75" header="0.3" footer="0.3"/>
  <pageSetup paperSize="9" orientation="portrait" horizontalDpi="0" verticalDpi="0"/>
  <legacyDrawing r:id="rId1"/>
</worksheet>
</file>

<file path=xl/worksheets/sheet5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dimension ref="A1:L37"/>
  <sheetViews>
    <sheetView zoomScale="120" zoomScaleNormal="120" workbookViewId="0">
      <pane xSplit="2" ySplit="1" topLeftCell="C16" activePane="bottomRight" state="frozen"/>
      <selection pane="topRight" activeCell="C1" sqref="C1"/>
      <selection pane="bottomLeft" activeCell="A2" sqref="A2"/>
      <selection pane="bottomRight" activeCell="C1" sqref="C1"/>
    </sheetView>
  </sheetViews>
  <sheetFormatPr baseColWidth="10" defaultColWidth="11" defaultRowHeight="16" x14ac:dyDescent="0.2"/>
  <cols>
    <col min="1" max="1" width="27.5" bestFit="1" customWidth="1"/>
    <col min="2" max="2" width="0" hidden="1"/>
    <col min="7" max="7" width="13" customWidth="1"/>
  </cols>
  <sheetData>
    <row r="1" spans="1:12" x14ac:dyDescent="0.2">
      <c r="B1" s="46" t="s">
        <v>0</v>
      </c>
      <c r="C1" s="46" t="s">
        <v>1</v>
      </c>
      <c r="D1" s="46" t="s">
        <v>2</v>
      </c>
      <c r="E1" s="81" t="s">
        <v>3</v>
      </c>
      <c r="F1" s="81" t="s">
        <v>4</v>
      </c>
      <c r="G1" s="81" t="s">
        <v>5</v>
      </c>
    </row>
    <row r="2" spans="1:12" x14ac:dyDescent="0.2">
      <c r="A2" t="s">
        <v>21</v>
      </c>
      <c r="B2" s="46"/>
      <c r="C2" s="47">
        <v>16190000</v>
      </c>
      <c r="D2" s="47">
        <v>16190000</v>
      </c>
      <c r="E2" s="39">
        <v>16127000</v>
      </c>
      <c r="F2" s="39">
        <v>16190000</v>
      </c>
      <c r="G2" s="39">
        <v>15990000</v>
      </c>
    </row>
    <row r="3" spans="1:12" x14ac:dyDescent="0.2">
      <c r="A3" t="s">
        <v>181</v>
      </c>
      <c r="B3" s="25"/>
      <c r="C3" s="25">
        <v>19090000</v>
      </c>
      <c r="D3" s="41">
        <v>18990000</v>
      </c>
      <c r="E3" s="39">
        <v>18490000</v>
      </c>
      <c r="F3" s="39">
        <v>18890000</v>
      </c>
      <c r="G3" s="39">
        <v>18790000</v>
      </c>
    </row>
    <row r="4" spans="1:12" x14ac:dyDescent="0.2">
      <c r="A4" t="s">
        <v>24</v>
      </c>
      <c r="B4" s="3"/>
      <c r="C4" s="25">
        <v>22290000</v>
      </c>
      <c r="D4" s="41">
        <v>22190000</v>
      </c>
      <c r="E4" s="39">
        <v>21690000</v>
      </c>
      <c r="F4" s="39">
        <v>22190000</v>
      </c>
      <c r="G4" s="39">
        <v>21990000</v>
      </c>
    </row>
    <row r="5" spans="1:12" x14ac:dyDescent="0.2">
      <c r="A5" t="s">
        <v>182</v>
      </c>
      <c r="B5" s="25"/>
      <c r="C5" s="25">
        <v>25290000</v>
      </c>
      <c r="D5" s="42">
        <v>25190000</v>
      </c>
      <c r="E5" s="39">
        <v>24290000</v>
      </c>
      <c r="F5" s="39">
        <v>24990000</v>
      </c>
      <c r="G5" s="39">
        <v>24690000</v>
      </c>
    </row>
    <row r="6" spans="1:12" x14ac:dyDescent="0.2">
      <c r="A6" t="s">
        <v>183</v>
      </c>
      <c r="B6" s="3"/>
      <c r="C6" s="3">
        <v>30590000</v>
      </c>
      <c r="D6" s="41">
        <v>30490000</v>
      </c>
      <c r="E6" s="39">
        <v>29990000</v>
      </c>
      <c r="F6" s="37">
        <v>30490000</v>
      </c>
      <c r="G6" s="39">
        <v>30090000</v>
      </c>
    </row>
    <row r="7" spans="1:12" x14ac:dyDescent="0.2">
      <c r="A7" t="s">
        <v>25</v>
      </c>
      <c r="B7" s="25"/>
      <c r="C7" s="3">
        <v>15890000</v>
      </c>
      <c r="D7" s="41">
        <v>15790000</v>
      </c>
      <c r="E7" s="39">
        <v>15490000</v>
      </c>
      <c r="F7" s="37">
        <v>15590000</v>
      </c>
      <c r="G7" s="39">
        <v>15490000</v>
      </c>
    </row>
    <row r="8" spans="1:12" x14ac:dyDescent="0.2">
      <c r="A8" t="s">
        <v>26</v>
      </c>
      <c r="B8" s="25"/>
      <c r="C8" s="3">
        <v>19390000</v>
      </c>
      <c r="D8" s="42">
        <v>19490000</v>
      </c>
      <c r="E8" s="39">
        <v>18990000</v>
      </c>
      <c r="F8" s="37">
        <v>19390000</v>
      </c>
      <c r="G8" s="39">
        <v>18990000</v>
      </c>
    </row>
    <row r="9" spans="1:12" x14ac:dyDescent="0.2">
      <c r="A9" t="s">
        <v>158</v>
      </c>
      <c r="B9" s="3"/>
      <c r="C9" s="25">
        <v>29990000</v>
      </c>
      <c r="D9" s="25">
        <v>28490000</v>
      </c>
      <c r="E9" s="39" t="s">
        <v>22</v>
      </c>
      <c r="F9" s="39">
        <v>28450000</v>
      </c>
      <c r="G9" s="39">
        <v>27990000</v>
      </c>
    </row>
    <row r="10" spans="1:12" x14ac:dyDescent="0.2">
      <c r="A10" t="s">
        <v>92</v>
      </c>
      <c r="B10" s="3"/>
      <c r="C10" s="42" t="s">
        <v>22</v>
      </c>
      <c r="D10" s="25">
        <v>18490000</v>
      </c>
      <c r="E10" s="39">
        <v>18990000</v>
      </c>
      <c r="F10" s="42" t="s">
        <v>22</v>
      </c>
      <c r="G10" s="4">
        <v>17290000</v>
      </c>
    </row>
    <row r="11" spans="1:12" x14ac:dyDescent="0.2">
      <c r="A11" t="s">
        <v>27</v>
      </c>
      <c r="B11" s="25"/>
      <c r="C11" s="3">
        <v>12790000</v>
      </c>
      <c r="D11" s="39">
        <v>12790000</v>
      </c>
      <c r="E11" s="39">
        <v>12690000</v>
      </c>
      <c r="F11" s="34">
        <v>12790000</v>
      </c>
      <c r="G11" s="4">
        <v>12290000</v>
      </c>
    </row>
    <row r="12" spans="1:12" x14ac:dyDescent="0.2">
      <c r="A12" t="s">
        <v>28</v>
      </c>
      <c r="B12" s="3"/>
      <c r="C12" s="25">
        <v>11790000</v>
      </c>
      <c r="D12" s="38">
        <v>11690000</v>
      </c>
      <c r="E12" s="3">
        <v>11390000</v>
      </c>
      <c r="F12" s="38">
        <v>11590000</v>
      </c>
      <c r="G12" s="4">
        <v>11590000</v>
      </c>
    </row>
    <row r="13" spans="1:12" x14ac:dyDescent="0.2">
      <c r="A13" t="s">
        <v>98</v>
      </c>
      <c r="B13" s="25"/>
      <c r="C13" s="25">
        <v>9990000</v>
      </c>
      <c r="D13" s="25" t="s">
        <v>22</v>
      </c>
      <c r="E13" s="25" t="s">
        <v>22</v>
      </c>
      <c r="F13" s="25" t="s">
        <v>22</v>
      </c>
      <c r="G13" s="4" t="s">
        <v>22</v>
      </c>
    </row>
    <row r="14" spans="1:12" x14ac:dyDescent="0.2">
      <c r="A14" t="s">
        <v>29</v>
      </c>
      <c r="B14" s="25"/>
      <c r="C14" s="42">
        <v>11790000</v>
      </c>
      <c r="D14" s="25">
        <v>13890000</v>
      </c>
      <c r="E14" s="39">
        <v>13652000</v>
      </c>
      <c r="F14" s="34">
        <v>13290000</v>
      </c>
      <c r="G14" s="4">
        <v>13690000</v>
      </c>
    </row>
    <row r="15" spans="1:12" x14ac:dyDescent="0.2">
      <c r="A15" t="s">
        <v>30</v>
      </c>
      <c r="B15" s="3"/>
      <c r="C15" s="42" t="s">
        <v>22</v>
      </c>
      <c r="D15" s="25">
        <v>8490000</v>
      </c>
      <c r="E15" s="39">
        <v>8405000</v>
      </c>
      <c r="F15" s="38">
        <v>8890000</v>
      </c>
      <c r="G15" s="4">
        <v>8390000</v>
      </c>
      <c r="J15" t="s">
        <v>31</v>
      </c>
      <c r="K15" t="s">
        <v>38</v>
      </c>
      <c r="L15" t="b">
        <v>1</v>
      </c>
    </row>
    <row r="16" spans="1:12" x14ac:dyDescent="0.2">
      <c r="A16" t="s">
        <v>33</v>
      </c>
      <c r="B16" s="3"/>
      <c r="C16" s="3">
        <v>16490000</v>
      </c>
      <c r="D16" s="25">
        <v>16690000</v>
      </c>
      <c r="E16" s="39">
        <v>16325000</v>
      </c>
      <c r="F16" s="34">
        <v>16490000</v>
      </c>
      <c r="G16" s="4">
        <v>16490000</v>
      </c>
      <c r="J16" t="s">
        <v>2</v>
      </c>
      <c r="K16" t="s">
        <v>198</v>
      </c>
      <c r="L16" t="b">
        <v>1</v>
      </c>
    </row>
    <row r="17" spans="1:12" x14ac:dyDescent="0.2">
      <c r="A17" t="s">
        <v>37</v>
      </c>
      <c r="B17" s="25"/>
      <c r="C17" s="25">
        <v>22490000</v>
      </c>
      <c r="D17" s="25">
        <v>22390000</v>
      </c>
      <c r="E17" s="39">
        <v>21290000</v>
      </c>
      <c r="F17" s="38">
        <v>21990000</v>
      </c>
      <c r="G17" s="4">
        <v>21790000</v>
      </c>
      <c r="J17" t="s">
        <v>3</v>
      </c>
      <c r="K17" t="s">
        <v>36</v>
      </c>
      <c r="L17" t="b">
        <v>1</v>
      </c>
    </row>
    <row r="18" spans="1:12" x14ac:dyDescent="0.2">
      <c r="A18" t="s">
        <v>184</v>
      </c>
      <c r="B18" s="25"/>
      <c r="C18" s="25">
        <v>25990000</v>
      </c>
      <c r="D18" s="25">
        <v>27490000</v>
      </c>
      <c r="E18" s="39">
        <v>26490000</v>
      </c>
      <c r="F18" s="38">
        <v>26690000</v>
      </c>
      <c r="G18" s="34">
        <v>26390000</v>
      </c>
      <c r="J18" t="s">
        <v>4</v>
      </c>
      <c r="K18" t="s">
        <v>34</v>
      </c>
      <c r="L18" t="b">
        <v>1</v>
      </c>
    </row>
    <row r="19" spans="1:12" x14ac:dyDescent="0.2">
      <c r="A19" t="s">
        <v>185</v>
      </c>
      <c r="B19" s="3"/>
      <c r="C19" s="25">
        <v>33990000</v>
      </c>
      <c r="D19" s="25">
        <v>36590000</v>
      </c>
      <c r="E19" s="39">
        <v>35990000</v>
      </c>
      <c r="F19" s="38">
        <v>36990000</v>
      </c>
      <c r="G19" s="4">
        <v>36390000</v>
      </c>
      <c r="J19" t="s">
        <v>41</v>
      </c>
      <c r="K19" t="s">
        <v>42</v>
      </c>
      <c r="L19" t="b">
        <v>1</v>
      </c>
    </row>
    <row r="20" spans="1:12" x14ac:dyDescent="0.2">
      <c r="A20" t="s">
        <v>227</v>
      </c>
      <c r="B20" s="25"/>
      <c r="C20" s="41">
        <v>5220000</v>
      </c>
      <c r="D20" s="3">
        <v>5090000</v>
      </c>
      <c r="E20" s="3">
        <v>4445000</v>
      </c>
      <c r="F20" s="34">
        <v>5190000</v>
      </c>
      <c r="G20" s="34">
        <v>5190000</v>
      </c>
    </row>
    <row r="21" spans="1:12" x14ac:dyDescent="0.2">
      <c r="A21" t="s">
        <v>228</v>
      </c>
      <c r="B21" s="25"/>
      <c r="C21" s="25">
        <v>7090000</v>
      </c>
      <c r="D21" s="25">
        <v>7090000</v>
      </c>
      <c r="E21" s="3">
        <v>6227000</v>
      </c>
      <c r="F21" s="38">
        <v>6690000</v>
      </c>
      <c r="G21" s="4">
        <v>6490000</v>
      </c>
    </row>
    <row r="22" spans="1:12" x14ac:dyDescent="0.2">
      <c r="A22" t="s">
        <v>229</v>
      </c>
      <c r="B22" s="25"/>
      <c r="C22" s="3">
        <v>5820000</v>
      </c>
      <c r="D22" s="3">
        <v>5790000</v>
      </c>
      <c r="E22" s="3">
        <v>5435000</v>
      </c>
      <c r="F22" s="34">
        <v>5890000</v>
      </c>
      <c r="G22" s="4">
        <v>5890000</v>
      </c>
    </row>
    <row r="23" spans="1:12" x14ac:dyDescent="0.2">
      <c r="A23" t="s">
        <v>230</v>
      </c>
      <c r="B23" s="25"/>
      <c r="C23" s="25">
        <v>7890000</v>
      </c>
      <c r="D23" s="25">
        <v>7890000</v>
      </c>
      <c r="E23" s="3">
        <v>6920000</v>
      </c>
      <c r="F23" s="34">
        <v>7690000</v>
      </c>
      <c r="G23" s="4">
        <v>7690000</v>
      </c>
    </row>
    <row r="24" spans="1:12" x14ac:dyDescent="0.2">
      <c r="A24" t="s">
        <v>213</v>
      </c>
      <c r="B24" s="25"/>
      <c r="C24" s="3">
        <v>8480000</v>
      </c>
      <c r="D24" s="3">
        <v>8390000</v>
      </c>
      <c r="E24" s="3">
        <v>8405000</v>
      </c>
      <c r="F24" s="34">
        <v>8450000</v>
      </c>
      <c r="G24" s="3">
        <v>8450000</v>
      </c>
    </row>
    <row r="25" spans="1:12" x14ac:dyDescent="0.2">
      <c r="A25" t="s">
        <v>214</v>
      </c>
      <c r="B25" s="25"/>
      <c r="C25" s="25">
        <v>13390000</v>
      </c>
      <c r="D25" s="25">
        <v>12690000</v>
      </c>
      <c r="E25" s="3">
        <v>11870000</v>
      </c>
      <c r="F25" s="34">
        <v>12890000</v>
      </c>
      <c r="G25" s="4">
        <v>12890000</v>
      </c>
    </row>
    <row r="26" spans="1:12" x14ac:dyDescent="0.2">
      <c r="A26" t="s">
        <v>215</v>
      </c>
      <c r="B26" s="25"/>
      <c r="C26" s="3">
        <v>9280000</v>
      </c>
      <c r="D26" s="3">
        <v>9490000</v>
      </c>
      <c r="E26" s="3">
        <v>8900000</v>
      </c>
      <c r="F26" s="38">
        <v>9490000</v>
      </c>
      <c r="G26" s="34">
        <v>9350000</v>
      </c>
    </row>
    <row r="27" spans="1:12" x14ac:dyDescent="0.2">
      <c r="A27" t="s">
        <v>217</v>
      </c>
      <c r="B27" s="3"/>
      <c r="C27" s="25">
        <v>13990000</v>
      </c>
      <c r="D27" s="25">
        <v>13690000</v>
      </c>
      <c r="E27" s="3">
        <v>12583000</v>
      </c>
      <c r="F27" s="38">
        <v>13890000</v>
      </c>
      <c r="G27" s="4">
        <v>13590000</v>
      </c>
    </row>
    <row r="28" spans="1:12" x14ac:dyDescent="0.2">
      <c r="A28" t="s">
        <v>172</v>
      </c>
      <c r="B28" s="25"/>
      <c r="C28" s="25">
        <v>22490000</v>
      </c>
      <c r="D28" s="3">
        <v>21990000</v>
      </c>
      <c r="E28" s="39">
        <v>21790000</v>
      </c>
      <c r="F28" s="39">
        <v>21990000</v>
      </c>
      <c r="G28" s="4">
        <v>22990000</v>
      </c>
    </row>
    <row r="29" spans="1:12" x14ac:dyDescent="0.2">
      <c r="A29" t="s">
        <v>53</v>
      </c>
      <c r="B29" s="3"/>
      <c r="C29" s="3">
        <v>5690000</v>
      </c>
      <c r="D29" s="38">
        <v>5390000</v>
      </c>
      <c r="E29" s="3">
        <v>5138000</v>
      </c>
      <c r="F29" s="37">
        <v>5390000</v>
      </c>
      <c r="G29" s="34">
        <v>5350000</v>
      </c>
    </row>
    <row r="30" spans="1:12" x14ac:dyDescent="0.2">
      <c r="A30" t="s">
        <v>54</v>
      </c>
      <c r="B30" s="3"/>
      <c r="C30" s="42" t="s">
        <v>22</v>
      </c>
      <c r="D30" s="37">
        <v>4390000</v>
      </c>
      <c r="E30" s="3">
        <v>4247000</v>
      </c>
      <c r="F30" s="37">
        <v>4390000</v>
      </c>
      <c r="G30" s="34">
        <v>4350000</v>
      </c>
    </row>
    <row r="31" spans="1:12" x14ac:dyDescent="0.2">
      <c r="A31" t="s">
        <v>55</v>
      </c>
      <c r="B31" s="3"/>
      <c r="C31" s="3">
        <v>3090000</v>
      </c>
      <c r="D31" s="37">
        <v>3090000</v>
      </c>
      <c r="E31" s="3">
        <v>2990000</v>
      </c>
      <c r="F31" s="37">
        <v>3090000</v>
      </c>
      <c r="G31" s="34">
        <v>3090000</v>
      </c>
    </row>
    <row r="32" spans="1:12" x14ac:dyDescent="0.2">
      <c r="A32" t="s">
        <v>175</v>
      </c>
      <c r="B32" s="3"/>
      <c r="C32" s="25">
        <v>17490000</v>
      </c>
      <c r="D32" s="38">
        <v>16990000</v>
      </c>
      <c r="E32" s="36"/>
      <c r="F32" s="38">
        <v>17190000</v>
      </c>
      <c r="G32" s="4">
        <v>16490000</v>
      </c>
    </row>
    <row r="33" spans="1:7" x14ac:dyDescent="0.2">
      <c r="A33" t="s">
        <v>186</v>
      </c>
      <c r="B33" s="25"/>
      <c r="C33" s="25">
        <v>21290000</v>
      </c>
      <c r="D33" s="25">
        <v>21490000</v>
      </c>
      <c r="E33" s="36"/>
      <c r="F33" s="34">
        <v>20190000</v>
      </c>
      <c r="G33" s="4">
        <v>20990000</v>
      </c>
    </row>
    <row r="34" spans="1:7" x14ac:dyDescent="0.2">
      <c r="A34" t="s">
        <v>232</v>
      </c>
      <c r="B34" s="3"/>
      <c r="C34" s="3">
        <v>24190000</v>
      </c>
      <c r="D34" s="34">
        <v>23990000</v>
      </c>
      <c r="E34" s="36"/>
      <c r="F34" s="38">
        <v>24690000</v>
      </c>
      <c r="G34" s="4">
        <v>25290000</v>
      </c>
    </row>
    <row r="35" spans="1:7" x14ac:dyDescent="0.2">
      <c r="A35" t="s">
        <v>59</v>
      </c>
      <c r="B35" s="3"/>
      <c r="C35" s="42">
        <v>26990000</v>
      </c>
      <c r="D35" s="38">
        <v>26690000</v>
      </c>
      <c r="E35" s="36"/>
      <c r="F35" s="38">
        <v>26290000</v>
      </c>
      <c r="G35" s="4">
        <v>26290000</v>
      </c>
    </row>
    <row r="36" spans="1:7" x14ac:dyDescent="0.2">
      <c r="A36" t="s">
        <v>61</v>
      </c>
      <c r="B36" s="25"/>
      <c r="C36" s="42">
        <v>29090000</v>
      </c>
      <c r="D36" s="25">
        <v>31890000</v>
      </c>
      <c r="E36" s="36"/>
      <c r="F36" s="38">
        <v>31890000</v>
      </c>
      <c r="G36" s="4">
        <v>31990000</v>
      </c>
    </row>
    <row r="37" spans="1:7" x14ac:dyDescent="0.2">
      <c r="A37" t="s">
        <v>187</v>
      </c>
      <c r="B37" s="25"/>
      <c r="C37" s="25">
        <v>39990000</v>
      </c>
      <c r="D37" s="25">
        <v>39590000</v>
      </c>
      <c r="E37" s="36"/>
      <c r="F37" s="39">
        <v>39290000</v>
      </c>
      <c r="G37" s="38">
        <v>39390000</v>
      </c>
    </row>
  </sheetData>
  <pageMargins left="0.7" right="0.7" top="0.75" bottom="0.75" header="0.3" footer="0.3"/>
  <pageSetup paperSize="9" orientation="portrait" horizontalDpi="0" verticalDpi="0"/>
  <legacyDrawing r:id="rId1"/>
</worksheet>
</file>

<file path=xl/worksheets/sheet5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dimension ref="A1:L37"/>
  <sheetViews>
    <sheetView zoomScale="120" zoomScaleNormal="120" workbookViewId="0">
      <pane xSplit="2" ySplit="1" topLeftCell="C8" activePane="bottomRight" state="frozen"/>
      <selection pane="topRight" activeCell="C1" sqref="C1"/>
      <selection pane="bottomLeft" activeCell="A2" sqref="A2"/>
      <selection pane="bottomRight" activeCell="C1" sqref="C1"/>
    </sheetView>
  </sheetViews>
  <sheetFormatPr baseColWidth="10" defaultColWidth="11" defaultRowHeight="16" x14ac:dyDescent="0.2"/>
  <cols>
    <col min="1" max="1" width="27.5" bestFit="1" customWidth="1"/>
    <col min="2" max="2" width="0" hidden="1"/>
    <col min="3" max="6" width="10.1640625" bestFit="1" customWidth="1"/>
    <col min="7" max="7" width="13" customWidth="1"/>
  </cols>
  <sheetData>
    <row r="1" spans="1:12" x14ac:dyDescent="0.2">
      <c r="B1" s="46" t="s">
        <v>0</v>
      </c>
      <c r="C1" s="46" t="s">
        <v>1</v>
      </c>
      <c r="D1" s="46" t="s">
        <v>2</v>
      </c>
      <c r="E1" s="81" t="s">
        <v>3</v>
      </c>
      <c r="F1" s="81" t="s">
        <v>4</v>
      </c>
      <c r="G1" s="81" t="s">
        <v>5</v>
      </c>
    </row>
    <row r="2" spans="1:12" x14ac:dyDescent="0.2">
      <c r="A2" t="s">
        <v>21</v>
      </c>
      <c r="B2" s="46"/>
      <c r="C2" s="47">
        <v>16190000</v>
      </c>
      <c r="D2" s="47">
        <v>16190000</v>
      </c>
      <c r="E2" s="39">
        <v>16127000</v>
      </c>
      <c r="F2" s="39">
        <v>16190000</v>
      </c>
      <c r="G2" s="39">
        <v>15990000</v>
      </c>
    </row>
    <row r="3" spans="1:12" x14ac:dyDescent="0.2">
      <c r="A3" t="s">
        <v>181</v>
      </c>
      <c r="B3" s="25"/>
      <c r="C3" s="25">
        <v>19090000</v>
      </c>
      <c r="D3" s="42">
        <v>18990000</v>
      </c>
      <c r="E3" s="39">
        <v>18490000</v>
      </c>
      <c r="F3" s="39">
        <v>18990000</v>
      </c>
      <c r="G3" s="39">
        <v>18790000</v>
      </c>
    </row>
    <row r="4" spans="1:12" x14ac:dyDescent="0.2">
      <c r="A4" t="s">
        <v>24</v>
      </c>
      <c r="B4" s="3"/>
      <c r="C4" s="3">
        <v>22190000</v>
      </c>
      <c r="D4" s="42">
        <v>22190000</v>
      </c>
      <c r="E4" s="39">
        <v>21690000</v>
      </c>
      <c r="F4" s="39">
        <v>22190000</v>
      </c>
      <c r="G4" s="39">
        <v>21990000</v>
      </c>
    </row>
    <row r="5" spans="1:12" x14ac:dyDescent="0.2">
      <c r="A5" t="s">
        <v>182</v>
      </c>
      <c r="B5" s="25"/>
      <c r="C5" s="3">
        <v>25090000</v>
      </c>
      <c r="D5" s="41">
        <v>25090000</v>
      </c>
      <c r="E5" s="39">
        <v>24290000</v>
      </c>
      <c r="F5" s="39">
        <v>24990000</v>
      </c>
      <c r="G5" s="39">
        <v>24690000</v>
      </c>
    </row>
    <row r="6" spans="1:12" x14ac:dyDescent="0.2">
      <c r="A6" t="s">
        <v>183</v>
      </c>
      <c r="B6" s="3"/>
      <c r="C6" s="25">
        <v>30590000</v>
      </c>
      <c r="D6" s="42">
        <v>30490000</v>
      </c>
      <c r="E6" s="39">
        <v>29990000</v>
      </c>
      <c r="F6" s="39">
        <v>30490000</v>
      </c>
      <c r="G6" s="39">
        <v>30090000</v>
      </c>
    </row>
    <row r="7" spans="1:12" x14ac:dyDescent="0.2">
      <c r="A7" t="s">
        <v>25</v>
      </c>
      <c r="B7" s="25"/>
      <c r="C7" s="25">
        <v>15890000</v>
      </c>
      <c r="D7" s="42">
        <v>15790000</v>
      </c>
      <c r="E7" s="39">
        <v>15490000</v>
      </c>
      <c r="F7" s="37">
        <v>15650000</v>
      </c>
      <c r="G7" s="39">
        <v>15490000</v>
      </c>
    </row>
    <row r="8" spans="1:12" x14ac:dyDescent="0.2">
      <c r="A8" t="s">
        <v>26</v>
      </c>
      <c r="B8" s="25"/>
      <c r="C8" s="25">
        <v>19390000</v>
      </c>
      <c r="D8" s="41">
        <v>19390000</v>
      </c>
      <c r="E8" s="39">
        <v>18990000</v>
      </c>
      <c r="F8" s="37">
        <v>19290000</v>
      </c>
      <c r="G8" s="39">
        <v>18990000</v>
      </c>
    </row>
    <row r="9" spans="1:12" x14ac:dyDescent="0.2">
      <c r="A9" t="s">
        <v>158</v>
      </c>
      <c r="B9" s="3"/>
      <c r="C9" s="25">
        <v>29990000</v>
      </c>
      <c r="D9" s="25">
        <v>28490000</v>
      </c>
      <c r="E9" s="39" t="s">
        <v>22</v>
      </c>
      <c r="F9" s="39">
        <v>28450000</v>
      </c>
      <c r="G9" s="39">
        <v>27990000</v>
      </c>
    </row>
    <row r="10" spans="1:12" x14ac:dyDescent="0.2">
      <c r="A10" t="s">
        <v>92</v>
      </c>
      <c r="B10" s="3"/>
      <c r="C10" s="42" t="s">
        <v>22</v>
      </c>
      <c r="D10" s="25">
        <v>18490000</v>
      </c>
      <c r="E10" s="39">
        <v>18990000</v>
      </c>
      <c r="F10" s="42" t="s">
        <v>22</v>
      </c>
      <c r="G10" s="4">
        <v>17290000</v>
      </c>
    </row>
    <row r="11" spans="1:12" x14ac:dyDescent="0.2">
      <c r="A11" t="s">
        <v>27</v>
      </c>
      <c r="B11" s="25"/>
      <c r="C11" s="3">
        <v>12690000</v>
      </c>
      <c r="D11" s="37">
        <v>12690000</v>
      </c>
      <c r="E11" s="39">
        <v>12690000</v>
      </c>
      <c r="F11" s="34">
        <v>12690000</v>
      </c>
      <c r="G11" s="4">
        <v>12290000</v>
      </c>
    </row>
    <row r="12" spans="1:12" x14ac:dyDescent="0.2">
      <c r="A12" t="s">
        <v>28</v>
      </c>
      <c r="B12" s="3"/>
      <c r="C12" s="3">
        <v>11690000</v>
      </c>
      <c r="D12" s="38">
        <v>11690000</v>
      </c>
      <c r="E12" s="39">
        <v>11390000</v>
      </c>
      <c r="F12" s="38">
        <v>11590000</v>
      </c>
      <c r="G12" s="4">
        <v>11590000</v>
      </c>
    </row>
    <row r="13" spans="1:12" x14ac:dyDescent="0.2">
      <c r="A13" t="s">
        <v>98</v>
      </c>
      <c r="B13" s="25"/>
      <c r="C13" s="25">
        <v>9990000</v>
      </c>
      <c r="D13" s="25" t="s">
        <v>22</v>
      </c>
      <c r="E13" s="25" t="s">
        <v>22</v>
      </c>
      <c r="F13" s="25" t="s">
        <v>22</v>
      </c>
      <c r="G13" s="4" t="s">
        <v>22</v>
      </c>
    </row>
    <row r="14" spans="1:12" x14ac:dyDescent="0.2">
      <c r="A14" t="s">
        <v>29</v>
      </c>
      <c r="B14" s="25"/>
      <c r="C14" s="41">
        <v>13790000</v>
      </c>
      <c r="D14" s="3">
        <v>13790000</v>
      </c>
      <c r="E14" s="39">
        <v>13652000</v>
      </c>
      <c r="F14" s="34">
        <v>13790000</v>
      </c>
      <c r="G14" s="4">
        <v>13690000</v>
      </c>
    </row>
    <row r="15" spans="1:12" x14ac:dyDescent="0.2">
      <c r="A15" t="s">
        <v>30</v>
      </c>
      <c r="B15" s="3"/>
      <c r="C15" s="42">
        <v>9990000</v>
      </c>
      <c r="D15" s="3">
        <v>9890000</v>
      </c>
      <c r="E15" s="34">
        <v>9395000</v>
      </c>
      <c r="F15" s="34">
        <v>9790000</v>
      </c>
      <c r="G15" s="34">
        <v>9590000</v>
      </c>
      <c r="J15" t="s">
        <v>31</v>
      </c>
      <c r="K15" t="s">
        <v>38</v>
      </c>
      <c r="L15" t="b">
        <v>1</v>
      </c>
    </row>
    <row r="16" spans="1:12" x14ac:dyDescent="0.2">
      <c r="A16" t="s">
        <v>33</v>
      </c>
      <c r="B16" s="3"/>
      <c r="C16" s="25">
        <v>16490000</v>
      </c>
      <c r="D16" s="3">
        <v>16590000</v>
      </c>
      <c r="E16" s="39">
        <v>16325000</v>
      </c>
      <c r="F16" s="34">
        <v>16390000</v>
      </c>
      <c r="G16" s="4">
        <v>16490000</v>
      </c>
      <c r="J16" t="s">
        <v>2</v>
      </c>
      <c r="K16" t="s">
        <v>198</v>
      </c>
      <c r="L16" t="b">
        <v>1</v>
      </c>
    </row>
    <row r="17" spans="1:12" x14ac:dyDescent="0.2">
      <c r="A17" t="s">
        <v>37</v>
      </c>
      <c r="B17" s="25"/>
      <c r="C17" s="25">
        <v>22490000</v>
      </c>
      <c r="D17" s="25">
        <v>22390000</v>
      </c>
      <c r="E17" s="39">
        <v>21290000</v>
      </c>
      <c r="F17" s="38">
        <v>21990000</v>
      </c>
      <c r="G17" s="4">
        <v>21790000</v>
      </c>
      <c r="J17" t="s">
        <v>3</v>
      </c>
      <c r="K17" t="s">
        <v>36</v>
      </c>
      <c r="L17" t="b">
        <v>1</v>
      </c>
    </row>
    <row r="18" spans="1:12" x14ac:dyDescent="0.2">
      <c r="A18" t="s">
        <v>184</v>
      </c>
      <c r="B18" s="25"/>
      <c r="C18" s="3">
        <v>27090000</v>
      </c>
      <c r="D18" s="3">
        <v>26990000</v>
      </c>
      <c r="E18" s="34">
        <v>26990000</v>
      </c>
      <c r="F18" s="34">
        <v>26890000</v>
      </c>
      <c r="G18" s="34">
        <v>26490000</v>
      </c>
      <c r="J18" t="s">
        <v>4</v>
      </c>
      <c r="K18" t="s">
        <v>34</v>
      </c>
      <c r="L18" t="b">
        <v>1</v>
      </c>
    </row>
    <row r="19" spans="1:12" x14ac:dyDescent="0.2">
      <c r="A19" t="s">
        <v>185</v>
      </c>
      <c r="B19" s="3"/>
      <c r="C19" s="3">
        <v>36590000</v>
      </c>
      <c r="D19" s="25">
        <v>36590000</v>
      </c>
      <c r="E19" s="39">
        <v>35990000</v>
      </c>
      <c r="F19" s="38">
        <v>36990000</v>
      </c>
      <c r="G19" s="4">
        <v>36390000</v>
      </c>
      <c r="J19" t="s">
        <v>41</v>
      </c>
      <c r="K19" t="s">
        <v>42</v>
      </c>
      <c r="L19" t="b">
        <v>1</v>
      </c>
    </row>
    <row r="20" spans="1:12" x14ac:dyDescent="0.2">
      <c r="A20" t="s">
        <v>227</v>
      </c>
      <c r="B20" s="25"/>
      <c r="C20" s="42">
        <v>5220000</v>
      </c>
      <c r="D20" s="25">
        <v>5090000</v>
      </c>
      <c r="E20" s="39">
        <v>4445000</v>
      </c>
      <c r="F20" s="38">
        <v>5190000</v>
      </c>
      <c r="G20" s="34">
        <v>5090000</v>
      </c>
    </row>
    <row r="21" spans="1:12" x14ac:dyDescent="0.2">
      <c r="A21" t="s">
        <v>228</v>
      </c>
      <c r="B21" s="25"/>
      <c r="C21" s="25">
        <v>7090000</v>
      </c>
      <c r="D21" s="25">
        <v>7090000</v>
      </c>
      <c r="E21" s="39">
        <v>6227000</v>
      </c>
      <c r="F21" s="38">
        <v>6690000</v>
      </c>
      <c r="G21" s="34">
        <v>6590000</v>
      </c>
    </row>
    <row r="22" spans="1:12" x14ac:dyDescent="0.2">
      <c r="A22" t="s">
        <v>229</v>
      </c>
      <c r="B22" s="25"/>
      <c r="C22" s="25">
        <v>5820000</v>
      </c>
      <c r="D22" s="25">
        <v>5790000</v>
      </c>
      <c r="E22" s="39">
        <v>5435000</v>
      </c>
      <c r="F22" s="38">
        <v>5890000</v>
      </c>
      <c r="G22" s="4">
        <v>5890000</v>
      </c>
    </row>
    <row r="23" spans="1:12" x14ac:dyDescent="0.2">
      <c r="A23" t="s">
        <v>230</v>
      </c>
      <c r="B23" s="25"/>
      <c r="C23" s="25">
        <v>7890000</v>
      </c>
      <c r="D23" s="25">
        <v>7890000</v>
      </c>
      <c r="E23" s="39">
        <v>6920000</v>
      </c>
      <c r="F23" s="38">
        <v>7690000</v>
      </c>
      <c r="G23" s="4">
        <v>7690000</v>
      </c>
    </row>
    <row r="24" spans="1:12" x14ac:dyDescent="0.2">
      <c r="A24" t="s">
        <v>213</v>
      </c>
      <c r="B24" s="25"/>
      <c r="C24" s="25">
        <v>8480000</v>
      </c>
      <c r="D24" s="25">
        <v>8390000</v>
      </c>
      <c r="E24" s="39">
        <v>8405000</v>
      </c>
      <c r="F24" s="38">
        <v>8450000</v>
      </c>
      <c r="G24" s="34">
        <v>8390000</v>
      </c>
    </row>
    <row r="25" spans="1:12" x14ac:dyDescent="0.2">
      <c r="A25" t="s">
        <v>214</v>
      </c>
      <c r="B25" s="25"/>
      <c r="C25" s="25">
        <v>13390000</v>
      </c>
      <c r="D25" s="25">
        <v>12690000</v>
      </c>
      <c r="E25" s="39">
        <v>11870000</v>
      </c>
      <c r="F25" s="38">
        <v>12990000</v>
      </c>
      <c r="G25" s="34">
        <v>12690000</v>
      </c>
    </row>
    <row r="26" spans="1:12" x14ac:dyDescent="0.2">
      <c r="A26" t="s">
        <v>215</v>
      </c>
      <c r="B26" s="25"/>
      <c r="C26" s="25">
        <v>9280000</v>
      </c>
      <c r="D26" s="25">
        <v>9490000</v>
      </c>
      <c r="E26" s="39">
        <v>8900000</v>
      </c>
      <c r="F26" s="38">
        <v>9490000</v>
      </c>
      <c r="G26" s="34">
        <v>9080000</v>
      </c>
    </row>
    <row r="27" spans="1:12" x14ac:dyDescent="0.2">
      <c r="A27" t="s">
        <v>217</v>
      </c>
      <c r="B27" s="3"/>
      <c r="C27" s="25">
        <v>13990000</v>
      </c>
      <c r="D27" s="25">
        <v>13690000</v>
      </c>
      <c r="E27" s="39">
        <v>12583000</v>
      </c>
      <c r="F27" s="38">
        <v>13890000</v>
      </c>
      <c r="G27" s="4">
        <v>13590000</v>
      </c>
    </row>
    <row r="28" spans="1:12" x14ac:dyDescent="0.2">
      <c r="A28" t="s">
        <v>172</v>
      </c>
      <c r="B28" s="25"/>
      <c r="C28" s="25">
        <v>22490000</v>
      </c>
      <c r="D28" s="25">
        <v>21990000</v>
      </c>
      <c r="E28" s="39">
        <v>21790000</v>
      </c>
      <c r="F28" s="39">
        <v>21990000</v>
      </c>
      <c r="G28" s="4">
        <v>22990000</v>
      </c>
    </row>
    <row r="29" spans="1:12" x14ac:dyDescent="0.2">
      <c r="A29" t="s">
        <v>53</v>
      </c>
      <c r="B29" s="3"/>
      <c r="C29" s="25">
        <v>5390000</v>
      </c>
      <c r="D29" s="38">
        <v>5390000</v>
      </c>
      <c r="E29" s="39">
        <v>5138000</v>
      </c>
      <c r="F29" s="39">
        <v>5390000</v>
      </c>
      <c r="G29" s="4">
        <v>5250000</v>
      </c>
    </row>
    <row r="30" spans="1:12" x14ac:dyDescent="0.2">
      <c r="A30" t="s">
        <v>54</v>
      </c>
      <c r="B30" s="3"/>
      <c r="C30" s="42">
        <v>4590000</v>
      </c>
      <c r="D30" s="39">
        <v>4390000</v>
      </c>
      <c r="E30" s="39">
        <v>4247000</v>
      </c>
      <c r="F30" s="39">
        <v>4390000</v>
      </c>
      <c r="G30" s="4">
        <v>4350000</v>
      </c>
    </row>
    <row r="31" spans="1:12" x14ac:dyDescent="0.2">
      <c r="A31" t="s">
        <v>55</v>
      </c>
      <c r="B31" s="3"/>
      <c r="C31" s="25">
        <v>3090000</v>
      </c>
      <c r="D31" s="39">
        <v>3090000</v>
      </c>
      <c r="E31" s="39">
        <v>2990000</v>
      </c>
      <c r="F31" s="39">
        <v>3090000</v>
      </c>
      <c r="G31" s="4">
        <v>3050000</v>
      </c>
    </row>
    <row r="32" spans="1:12" x14ac:dyDescent="0.2">
      <c r="A32" t="s">
        <v>175</v>
      </c>
      <c r="B32" s="3"/>
      <c r="C32" s="25">
        <v>17490000</v>
      </c>
      <c r="D32" s="38">
        <v>16990000</v>
      </c>
      <c r="E32" s="36"/>
      <c r="F32" s="38">
        <v>17190000</v>
      </c>
      <c r="G32" s="4">
        <v>16490000</v>
      </c>
    </row>
    <row r="33" spans="1:7" x14ac:dyDescent="0.2">
      <c r="A33" t="s">
        <v>186</v>
      </c>
      <c r="B33" s="25"/>
      <c r="C33" s="3">
        <v>21090000</v>
      </c>
      <c r="D33" s="3">
        <v>21190000</v>
      </c>
      <c r="E33" s="36"/>
      <c r="F33" s="34">
        <v>20890000</v>
      </c>
      <c r="G33" s="34">
        <v>20590000</v>
      </c>
    </row>
    <row r="34" spans="1:7" x14ac:dyDescent="0.2">
      <c r="A34" t="s">
        <v>232</v>
      </c>
      <c r="B34" s="3"/>
      <c r="C34" s="25">
        <v>24190000</v>
      </c>
      <c r="D34" s="38">
        <v>23990000</v>
      </c>
      <c r="E34" s="36"/>
      <c r="F34" s="38">
        <v>24690000</v>
      </c>
      <c r="G34" s="4">
        <v>25290000</v>
      </c>
    </row>
    <row r="35" spans="1:7" x14ac:dyDescent="0.2">
      <c r="A35" t="s">
        <v>59</v>
      </c>
      <c r="B35" s="3"/>
      <c r="C35" s="42">
        <v>26990000</v>
      </c>
      <c r="D35" s="38">
        <v>26690000</v>
      </c>
      <c r="E35" s="36"/>
      <c r="F35" s="34">
        <v>25990000</v>
      </c>
      <c r="G35" s="34">
        <v>25890000</v>
      </c>
    </row>
    <row r="36" spans="1:7" x14ac:dyDescent="0.2">
      <c r="A36" t="s">
        <v>61</v>
      </c>
      <c r="B36" s="25"/>
      <c r="C36" s="38">
        <v>31990000</v>
      </c>
      <c r="D36" s="25">
        <v>31890000</v>
      </c>
      <c r="E36" s="36"/>
      <c r="F36" s="38">
        <v>31990000</v>
      </c>
      <c r="G36" s="4">
        <v>31990000</v>
      </c>
    </row>
    <row r="37" spans="1:7" x14ac:dyDescent="0.2">
      <c r="A37" t="s">
        <v>187</v>
      </c>
      <c r="B37" s="25"/>
      <c r="C37" s="25">
        <v>39590000</v>
      </c>
      <c r="D37" s="25">
        <v>39590000</v>
      </c>
      <c r="E37" s="36"/>
      <c r="F37" s="39">
        <v>39290000</v>
      </c>
      <c r="G37" s="38">
        <v>39390000</v>
      </c>
    </row>
  </sheetData>
  <pageMargins left="0.7" right="0.7" top="0.75" bottom="0.75" header="0.3" footer="0.3"/>
  <pageSetup paperSize="9" orientation="portrait" horizontalDpi="0" verticalDpi="0"/>
  <legacyDrawing r:id="rId1"/>
</worksheet>
</file>

<file path=xl/worksheets/sheet5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dimension ref="A1:L37"/>
  <sheetViews>
    <sheetView zoomScale="125" zoomScaleNormal="120" workbookViewId="0">
      <pane xSplit="2" ySplit="1" topLeftCell="C2" activePane="bottomRight" state="frozen"/>
      <selection pane="topRight" activeCell="C1" sqref="C1"/>
      <selection pane="bottomLeft" activeCell="A2" sqref="A2"/>
      <selection pane="bottomRight" activeCell="C1" sqref="C1"/>
    </sheetView>
  </sheetViews>
  <sheetFormatPr baseColWidth="10" defaultColWidth="11" defaultRowHeight="16" x14ac:dyDescent="0.2"/>
  <cols>
    <col min="1" max="1" width="27.5" bestFit="1" customWidth="1"/>
    <col min="2" max="2" width="0" hidden="1"/>
    <col min="3" max="6" width="10.1640625" bestFit="1" customWidth="1"/>
    <col min="7" max="7" width="13" customWidth="1"/>
  </cols>
  <sheetData>
    <row r="1" spans="1:12" x14ac:dyDescent="0.2">
      <c r="B1" s="46" t="s">
        <v>0</v>
      </c>
      <c r="C1" s="46" t="s">
        <v>1</v>
      </c>
      <c r="D1" s="46" t="s">
        <v>2</v>
      </c>
      <c r="E1" s="81" t="s">
        <v>3</v>
      </c>
      <c r="F1" s="81" t="s">
        <v>4</v>
      </c>
      <c r="G1" s="81" t="s">
        <v>5</v>
      </c>
    </row>
    <row r="2" spans="1:12" x14ac:dyDescent="0.2">
      <c r="A2" t="s">
        <v>21</v>
      </c>
      <c r="B2" s="46"/>
      <c r="C2" s="47">
        <v>16190000</v>
      </c>
      <c r="D2" s="47">
        <v>16190000</v>
      </c>
      <c r="E2" s="39">
        <v>16127000</v>
      </c>
      <c r="F2" s="39">
        <v>16190000</v>
      </c>
      <c r="G2" s="39">
        <v>15990000</v>
      </c>
    </row>
    <row r="3" spans="1:12" x14ac:dyDescent="0.2">
      <c r="A3" t="s">
        <v>181</v>
      </c>
      <c r="B3" s="25"/>
      <c r="C3" s="25">
        <v>19090000</v>
      </c>
      <c r="D3" s="42">
        <v>18990000</v>
      </c>
      <c r="E3" s="39">
        <v>18490000</v>
      </c>
      <c r="F3" s="37">
        <v>18890000</v>
      </c>
      <c r="G3" s="37">
        <v>18690000</v>
      </c>
    </row>
    <row r="4" spans="1:12" x14ac:dyDescent="0.2">
      <c r="A4" t="s">
        <v>24</v>
      </c>
      <c r="B4" s="3"/>
      <c r="C4" s="25">
        <v>22190000</v>
      </c>
      <c r="D4" s="41">
        <v>22090000</v>
      </c>
      <c r="E4" s="39">
        <v>21690000</v>
      </c>
      <c r="F4" s="39">
        <v>22190000</v>
      </c>
      <c r="G4" s="37">
        <v>21890000</v>
      </c>
    </row>
    <row r="5" spans="1:12" x14ac:dyDescent="0.2">
      <c r="A5" t="s">
        <v>182</v>
      </c>
      <c r="B5" s="25"/>
      <c r="C5" s="25">
        <v>25090000</v>
      </c>
      <c r="D5" s="41">
        <v>24990000</v>
      </c>
      <c r="E5" s="39">
        <v>24290000</v>
      </c>
      <c r="F5" s="39">
        <v>24990000</v>
      </c>
      <c r="G5" s="39">
        <v>24690000</v>
      </c>
    </row>
    <row r="6" spans="1:12" x14ac:dyDescent="0.2">
      <c r="A6" t="s">
        <v>183</v>
      </c>
      <c r="B6" s="3"/>
      <c r="C6" s="25">
        <v>30590000</v>
      </c>
      <c r="D6" s="42">
        <v>30490000</v>
      </c>
      <c r="E6" s="39">
        <v>29990000</v>
      </c>
      <c r="F6" s="37">
        <v>30290000</v>
      </c>
      <c r="G6" s="37">
        <v>29990000</v>
      </c>
    </row>
    <row r="7" spans="1:12" x14ac:dyDescent="0.2">
      <c r="A7" t="s">
        <v>25</v>
      </c>
      <c r="B7" s="25"/>
      <c r="C7" s="25">
        <v>15890000</v>
      </c>
      <c r="D7" s="42">
        <v>15790000</v>
      </c>
      <c r="E7" s="39">
        <v>15490000</v>
      </c>
      <c r="F7" s="37">
        <v>15590000</v>
      </c>
      <c r="G7" s="37">
        <v>15390000</v>
      </c>
    </row>
    <row r="8" spans="1:12" x14ac:dyDescent="0.2">
      <c r="A8" t="s">
        <v>26</v>
      </c>
      <c r="B8" s="25"/>
      <c r="C8" s="25">
        <v>19390000</v>
      </c>
      <c r="D8" s="42">
        <v>19390000</v>
      </c>
      <c r="E8" s="39">
        <v>18990000</v>
      </c>
      <c r="F8" s="37">
        <v>19090000</v>
      </c>
      <c r="G8" s="39">
        <v>18990000</v>
      </c>
    </row>
    <row r="9" spans="1:12" x14ac:dyDescent="0.2">
      <c r="A9" t="s">
        <v>158</v>
      </c>
      <c r="B9" s="3"/>
      <c r="C9" s="25">
        <v>29990000</v>
      </c>
      <c r="D9" s="25">
        <v>28490000</v>
      </c>
      <c r="E9" s="39" t="s">
        <v>22</v>
      </c>
      <c r="F9" s="39">
        <v>28690000</v>
      </c>
      <c r="G9" s="39">
        <v>27990000</v>
      </c>
    </row>
    <row r="10" spans="1:12" x14ac:dyDescent="0.2">
      <c r="A10" t="s">
        <v>92</v>
      </c>
      <c r="B10" s="3"/>
      <c r="C10" s="42">
        <v>17990000</v>
      </c>
      <c r="D10" s="25">
        <v>18490000</v>
      </c>
      <c r="E10" s="39">
        <v>18990000</v>
      </c>
      <c r="F10" s="42" t="s">
        <v>22</v>
      </c>
      <c r="G10" s="4">
        <v>17490000</v>
      </c>
    </row>
    <row r="11" spans="1:12" x14ac:dyDescent="0.2">
      <c r="A11" t="s">
        <v>27</v>
      </c>
      <c r="B11" s="25"/>
      <c r="C11" s="25">
        <v>12690000</v>
      </c>
      <c r="D11" s="39">
        <v>12690000</v>
      </c>
      <c r="E11" s="39">
        <v>12690000</v>
      </c>
      <c r="F11" s="34">
        <v>12490000</v>
      </c>
      <c r="G11" s="4">
        <v>12490000</v>
      </c>
    </row>
    <row r="12" spans="1:12" x14ac:dyDescent="0.2">
      <c r="A12" t="s">
        <v>28</v>
      </c>
      <c r="B12" s="3"/>
      <c r="C12" s="25">
        <v>11690000</v>
      </c>
      <c r="D12" s="38">
        <v>11690000</v>
      </c>
      <c r="E12" s="39">
        <v>11390000</v>
      </c>
      <c r="F12" s="38">
        <v>11590000</v>
      </c>
      <c r="G12" s="4">
        <v>11590000</v>
      </c>
    </row>
    <row r="13" spans="1:12" x14ac:dyDescent="0.2">
      <c r="A13" t="s">
        <v>98</v>
      </c>
      <c r="B13" s="25"/>
      <c r="C13" s="25">
        <v>9990000</v>
      </c>
      <c r="D13" s="25" t="s">
        <v>22</v>
      </c>
      <c r="E13" s="25" t="s">
        <v>22</v>
      </c>
      <c r="F13" s="25" t="s">
        <v>22</v>
      </c>
      <c r="G13" s="4" t="s">
        <v>22</v>
      </c>
    </row>
    <row r="14" spans="1:12" x14ac:dyDescent="0.2">
      <c r="A14" t="s">
        <v>29</v>
      </c>
      <c r="B14" s="25"/>
      <c r="C14" s="42">
        <v>13790000</v>
      </c>
      <c r="D14" s="25">
        <v>13790000</v>
      </c>
      <c r="E14" s="39">
        <v>13652000</v>
      </c>
      <c r="F14" s="38">
        <v>13790000</v>
      </c>
      <c r="G14" s="4">
        <v>13690000</v>
      </c>
    </row>
    <row r="15" spans="1:12" x14ac:dyDescent="0.2">
      <c r="A15" t="s">
        <v>30</v>
      </c>
      <c r="B15" s="3"/>
      <c r="C15" s="42">
        <v>9990000</v>
      </c>
      <c r="D15" s="25">
        <v>9890000</v>
      </c>
      <c r="E15" s="38">
        <v>9395000</v>
      </c>
      <c r="F15" s="34">
        <v>9590000</v>
      </c>
      <c r="G15" s="4">
        <v>9590000</v>
      </c>
      <c r="J15" t="s">
        <v>31</v>
      </c>
      <c r="K15" t="s">
        <v>38</v>
      </c>
      <c r="L15" t="b">
        <v>1</v>
      </c>
    </row>
    <row r="16" spans="1:12" x14ac:dyDescent="0.2">
      <c r="A16" t="s">
        <v>33</v>
      </c>
      <c r="B16" s="3"/>
      <c r="C16" s="25">
        <v>16490000</v>
      </c>
      <c r="D16" s="25">
        <v>16590000</v>
      </c>
      <c r="E16" s="39">
        <v>16325000</v>
      </c>
      <c r="F16" s="34">
        <v>16290000</v>
      </c>
      <c r="G16" s="3">
        <v>16290000</v>
      </c>
      <c r="J16" t="s">
        <v>2</v>
      </c>
      <c r="K16" t="s">
        <v>198</v>
      </c>
      <c r="L16" t="b">
        <v>1</v>
      </c>
    </row>
    <row r="17" spans="1:12" x14ac:dyDescent="0.2">
      <c r="A17" t="s">
        <v>37</v>
      </c>
      <c r="B17" s="25"/>
      <c r="C17" s="25">
        <v>22490000</v>
      </c>
      <c r="D17" s="25">
        <v>22390000</v>
      </c>
      <c r="E17" s="39">
        <v>21290000</v>
      </c>
      <c r="F17" s="38">
        <v>21990000</v>
      </c>
      <c r="G17" s="4">
        <v>21790000</v>
      </c>
      <c r="J17" t="s">
        <v>3</v>
      </c>
      <c r="K17" t="s">
        <v>36</v>
      </c>
      <c r="L17" t="b">
        <v>1</v>
      </c>
    </row>
    <row r="18" spans="1:12" x14ac:dyDescent="0.2">
      <c r="A18" t="s">
        <v>184</v>
      </c>
      <c r="B18" s="25"/>
      <c r="C18" s="25">
        <v>27090000</v>
      </c>
      <c r="D18" s="25">
        <v>26990000</v>
      </c>
      <c r="E18" s="38">
        <v>26990000</v>
      </c>
      <c r="F18" s="38">
        <v>26890000</v>
      </c>
      <c r="G18" s="4">
        <v>26490000</v>
      </c>
      <c r="J18" t="s">
        <v>4</v>
      </c>
      <c r="K18" t="s">
        <v>34</v>
      </c>
      <c r="L18" t="b">
        <v>1</v>
      </c>
    </row>
    <row r="19" spans="1:12" x14ac:dyDescent="0.2">
      <c r="A19" t="s">
        <v>185</v>
      </c>
      <c r="B19" s="3"/>
      <c r="C19" s="25">
        <v>36590000</v>
      </c>
      <c r="D19" s="25">
        <v>36590000</v>
      </c>
      <c r="E19" s="39">
        <v>35990000</v>
      </c>
      <c r="F19" s="38">
        <v>36990000</v>
      </c>
      <c r="G19" s="4">
        <v>36390000</v>
      </c>
      <c r="J19" t="s">
        <v>41</v>
      </c>
      <c r="K19" t="s">
        <v>42</v>
      </c>
      <c r="L19" t="b">
        <v>1</v>
      </c>
    </row>
    <row r="20" spans="1:12" x14ac:dyDescent="0.2">
      <c r="A20" t="s">
        <v>227</v>
      </c>
      <c r="B20" s="25"/>
      <c r="C20" s="41">
        <v>5990000</v>
      </c>
      <c r="D20" s="3">
        <v>5790000</v>
      </c>
      <c r="E20" s="39">
        <v>5732000</v>
      </c>
      <c r="F20" s="34">
        <v>5790000</v>
      </c>
      <c r="G20" s="4">
        <v>5090000</v>
      </c>
    </row>
    <row r="21" spans="1:12" x14ac:dyDescent="0.2">
      <c r="A21" t="s">
        <v>228</v>
      </c>
      <c r="B21" s="25"/>
      <c r="C21" s="25">
        <v>7090000</v>
      </c>
      <c r="D21" s="25">
        <v>7090000</v>
      </c>
      <c r="E21" s="39">
        <v>5490000</v>
      </c>
      <c r="F21" s="38">
        <v>6690000</v>
      </c>
      <c r="G21" s="4">
        <v>6590000</v>
      </c>
    </row>
    <row r="22" spans="1:12" x14ac:dyDescent="0.2">
      <c r="A22" t="s">
        <v>229</v>
      </c>
      <c r="B22" s="25"/>
      <c r="C22" s="3">
        <v>6590000</v>
      </c>
      <c r="D22" s="3">
        <v>6590000</v>
      </c>
      <c r="E22" s="39">
        <v>6495000</v>
      </c>
      <c r="F22" s="38">
        <v>5890000</v>
      </c>
      <c r="G22" s="4">
        <v>5890000</v>
      </c>
    </row>
    <row r="23" spans="1:12" x14ac:dyDescent="0.2">
      <c r="A23" t="s">
        <v>230</v>
      </c>
      <c r="B23" s="25"/>
      <c r="C23" s="25">
        <v>7890000</v>
      </c>
      <c r="D23" s="25">
        <v>7890000</v>
      </c>
      <c r="E23" s="37">
        <v>7712000</v>
      </c>
      <c r="F23" s="38">
        <v>7690000</v>
      </c>
      <c r="G23" s="4">
        <v>7690000</v>
      </c>
    </row>
    <row r="24" spans="1:12" x14ac:dyDescent="0.2">
      <c r="A24" t="s">
        <v>213</v>
      </c>
      <c r="B24" s="25"/>
      <c r="C24" s="3">
        <v>10790000</v>
      </c>
      <c r="D24" s="3">
        <v>10690000</v>
      </c>
      <c r="E24" s="37">
        <v>10187000</v>
      </c>
      <c r="F24" s="34">
        <v>10390000</v>
      </c>
      <c r="G24" s="4">
        <v>8390000</v>
      </c>
    </row>
    <row r="25" spans="1:12" x14ac:dyDescent="0.2">
      <c r="A25" t="s">
        <v>214</v>
      </c>
      <c r="B25" s="25"/>
      <c r="C25" s="25">
        <v>13390000</v>
      </c>
      <c r="D25" s="25">
        <v>12690000</v>
      </c>
      <c r="E25" s="37">
        <v>12860000</v>
      </c>
      <c r="F25" s="38">
        <v>12990000</v>
      </c>
      <c r="G25" s="34">
        <v>12890000</v>
      </c>
    </row>
    <row r="26" spans="1:12" x14ac:dyDescent="0.2">
      <c r="A26" t="s">
        <v>215</v>
      </c>
      <c r="B26" s="25"/>
      <c r="C26" s="3">
        <v>11590000</v>
      </c>
      <c r="D26" s="3">
        <v>11490000</v>
      </c>
      <c r="E26" s="37">
        <v>10880000</v>
      </c>
      <c r="F26" s="34">
        <v>11590000</v>
      </c>
      <c r="G26" s="34">
        <v>9350000</v>
      </c>
    </row>
    <row r="27" spans="1:12" x14ac:dyDescent="0.2">
      <c r="A27" t="s">
        <v>217</v>
      </c>
      <c r="B27" s="3"/>
      <c r="C27" s="25">
        <v>13990000</v>
      </c>
      <c r="D27" s="25">
        <v>13690000</v>
      </c>
      <c r="E27" s="37">
        <v>13553000</v>
      </c>
      <c r="F27" s="38">
        <v>13890000</v>
      </c>
      <c r="G27" s="4">
        <v>13590000</v>
      </c>
    </row>
    <row r="28" spans="1:12" x14ac:dyDescent="0.2">
      <c r="A28" t="s">
        <v>172</v>
      </c>
      <c r="B28" s="25"/>
      <c r="C28" s="25">
        <v>22490000</v>
      </c>
      <c r="D28" s="25">
        <v>21990000</v>
      </c>
      <c r="E28" s="37">
        <v>21990000</v>
      </c>
      <c r="F28" s="39">
        <v>21990000</v>
      </c>
      <c r="G28" s="4">
        <v>22990000</v>
      </c>
    </row>
    <row r="29" spans="1:12" x14ac:dyDescent="0.2">
      <c r="A29" t="s">
        <v>53</v>
      </c>
      <c r="B29" s="3"/>
      <c r="C29" s="3">
        <v>5690000</v>
      </c>
      <c r="D29" s="34">
        <v>5590000</v>
      </c>
      <c r="E29" s="37">
        <v>5633000</v>
      </c>
      <c r="F29" s="37">
        <v>5690000</v>
      </c>
      <c r="G29" s="3">
        <v>5590000</v>
      </c>
    </row>
    <row r="30" spans="1:12" x14ac:dyDescent="0.2">
      <c r="A30" t="s">
        <v>54</v>
      </c>
      <c r="B30" s="3"/>
      <c r="C30" s="41">
        <v>4690000</v>
      </c>
      <c r="D30" s="37">
        <v>4490000</v>
      </c>
      <c r="E30" s="37">
        <v>4445000</v>
      </c>
      <c r="F30" s="37">
        <v>4590000</v>
      </c>
      <c r="G30" s="34">
        <v>4590000</v>
      </c>
    </row>
    <row r="31" spans="1:12" x14ac:dyDescent="0.2">
      <c r="A31" t="s">
        <v>55</v>
      </c>
      <c r="B31" s="3"/>
      <c r="C31" s="3">
        <v>3390000</v>
      </c>
      <c r="D31" s="37">
        <v>3190000</v>
      </c>
      <c r="E31" s="37">
        <v>3190000</v>
      </c>
      <c r="F31" s="37">
        <v>3290000</v>
      </c>
      <c r="G31" s="34">
        <v>3290000</v>
      </c>
    </row>
    <row r="32" spans="1:12" x14ac:dyDescent="0.2">
      <c r="A32" t="s">
        <v>175</v>
      </c>
      <c r="B32" s="3"/>
      <c r="C32" s="3">
        <v>17190000</v>
      </c>
      <c r="D32" s="38">
        <v>16990000</v>
      </c>
      <c r="E32" s="36"/>
      <c r="F32" s="38">
        <v>17190000</v>
      </c>
      <c r="G32" s="4">
        <v>16490000</v>
      </c>
    </row>
    <row r="33" spans="1:7" x14ac:dyDescent="0.2">
      <c r="A33" t="s">
        <v>186</v>
      </c>
      <c r="B33" s="25"/>
      <c r="C33" s="25">
        <v>21090000</v>
      </c>
      <c r="D33" s="3">
        <v>21090000</v>
      </c>
      <c r="E33" s="36"/>
      <c r="F33" s="38">
        <v>20890000</v>
      </c>
      <c r="G33" s="4">
        <v>20590000</v>
      </c>
    </row>
    <row r="34" spans="1:7" x14ac:dyDescent="0.2">
      <c r="A34" t="s">
        <v>232</v>
      </c>
      <c r="B34" s="3"/>
      <c r="C34" s="25">
        <v>24190000</v>
      </c>
      <c r="D34" s="38">
        <v>23990000</v>
      </c>
      <c r="E34" s="36"/>
      <c r="F34" s="38">
        <v>24690000</v>
      </c>
      <c r="G34" s="4">
        <v>25290000</v>
      </c>
    </row>
    <row r="35" spans="1:7" x14ac:dyDescent="0.2">
      <c r="A35" t="s">
        <v>59</v>
      </c>
      <c r="B35" s="3"/>
      <c r="C35" s="42">
        <v>26990000</v>
      </c>
      <c r="D35" s="38">
        <v>26690000</v>
      </c>
      <c r="E35" s="36"/>
      <c r="F35" s="34">
        <v>26490000</v>
      </c>
      <c r="G35" s="4">
        <v>25890000</v>
      </c>
    </row>
    <row r="36" spans="1:7" x14ac:dyDescent="0.2">
      <c r="A36" t="s">
        <v>61</v>
      </c>
      <c r="B36" s="25"/>
      <c r="C36" s="38">
        <v>31990000</v>
      </c>
      <c r="D36" s="25">
        <v>31890000</v>
      </c>
      <c r="E36" s="36"/>
      <c r="F36" s="38">
        <v>31990000</v>
      </c>
      <c r="G36" s="4">
        <v>31990000</v>
      </c>
    </row>
    <row r="37" spans="1:7" x14ac:dyDescent="0.2">
      <c r="A37" t="s">
        <v>187</v>
      </c>
      <c r="B37" s="25"/>
      <c r="C37" s="25">
        <v>39590000</v>
      </c>
      <c r="D37" s="25">
        <v>39590000</v>
      </c>
      <c r="E37" s="36"/>
      <c r="F37" s="39">
        <v>39290000</v>
      </c>
      <c r="G37" s="38">
        <v>39390000</v>
      </c>
    </row>
  </sheetData>
  <pageMargins left="0.7" right="0.7" top="0.75" bottom="0.75" header="0.3" footer="0.3"/>
  <pageSetup paperSize="9" orientation="portrait" horizontalDpi="0" verticalDpi="0"/>
  <legacyDrawing r:id="rId1"/>
</worksheet>
</file>

<file path=xl/worksheets/sheet5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dimension ref="A1:L37"/>
  <sheetViews>
    <sheetView zoomScale="120" zoomScaleNormal="120" workbookViewId="0">
      <pane xSplit="2" ySplit="1" topLeftCell="C2" activePane="bottomRight" state="frozen"/>
      <selection pane="topRight" activeCell="C1" sqref="C1"/>
      <selection pane="bottomLeft" activeCell="A2" sqref="A2"/>
      <selection pane="bottomRight" activeCell="C1" sqref="C1"/>
    </sheetView>
  </sheetViews>
  <sheetFormatPr baseColWidth="10" defaultColWidth="11" defaultRowHeight="16" x14ac:dyDescent="0.2"/>
  <cols>
    <col min="1" max="1" width="27.5" bestFit="1" customWidth="1"/>
    <col min="2" max="2" width="0" hidden="1"/>
    <col min="3" max="6" width="10.1640625" bestFit="1" customWidth="1"/>
    <col min="7" max="7" width="13" customWidth="1"/>
  </cols>
  <sheetData>
    <row r="1" spans="1:12" x14ac:dyDescent="0.2">
      <c r="B1" s="46" t="s">
        <v>0</v>
      </c>
      <c r="C1" s="46" t="s">
        <v>1</v>
      </c>
      <c r="D1" s="46" t="s">
        <v>2</v>
      </c>
      <c r="E1" s="81" t="s">
        <v>3</v>
      </c>
      <c r="F1" s="81" t="s">
        <v>4</v>
      </c>
      <c r="G1" s="81" t="s">
        <v>5</v>
      </c>
    </row>
    <row r="2" spans="1:12" x14ac:dyDescent="0.2">
      <c r="A2" t="s">
        <v>21</v>
      </c>
      <c r="B2" s="46"/>
      <c r="C2" s="47">
        <v>16190000</v>
      </c>
      <c r="D2" s="47">
        <v>16190000</v>
      </c>
      <c r="E2" s="39">
        <v>16127000</v>
      </c>
      <c r="F2" s="39">
        <v>16190000</v>
      </c>
      <c r="G2" s="39">
        <v>15990000</v>
      </c>
    </row>
    <row r="3" spans="1:12" x14ac:dyDescent="0.2">
      <c r="A3" t="s">
        <v>181</v>
      </c>
      <c r="B3" s="25"/>
      <c r="C3" s="25">
        <v>19090000</v>
      </c>
      <c r="D3" s="42">
        <v>18990000</v>
      </c>
      <c r="E3" s="39">
        <v>18490000</v>
      </c>
      <c r="F3" s="39">
        <v>18890000</v>
      </c>
      <c r="G3" s="39">
        <v>18690000</v>
      </c>
    </row>
    <row r="4" spans="1:12" x14ac:dyDescent="0.2">
      <c r="A4" t="s">
        <v>24</v>
      </c>
      <c r="B4" s="3"/>
      <c r="C4" s="25">
        <v>22190000</v>
      </c>
      <c r="D4" s="42">
        <v>22090000</v>
      </c>
      <c r="E4" s="39">
        <v>21690000</v>
      </c>
      <c r="F4" s="39">
        <v>22190000</v>
      </c>
      <c r="G4" s="39">
        <v>21890000</v>
      </c>
    </row>
    <row r="5" spans="1:12" x14ac:dyDescent="0.2">
      <c r="A5" t="s">
        <v>182</v>
      </c>
      <c r="B5" s="25"/>
      <c r="C5" s="25">
        <v>25090000</v>
      </c>
      <c r="D5" s="42">
        <v>24990000</v>
      </c>
      <c r="E5" s="39">
        <v>24290000</v>
      </c>
      <c r="F5" s="39">
        <v>24990000</v>
      </c>
      <c r="G5" s="39">
        <v>24690000</v>
      </c>
    </row>
    <row r="6" spans="1:12" x14ac:dyDescent="0.2">
      <c r="A6" t="s">
        <v>183</v>
      </c>
      <c r="B6" s="3"/>
      <c r="C6" s="25">
        <v>30590000</v>
      </c>
      <c r="D6" s="42">
        <v>30490000</v>
      </c>
      <c r="E6" s="39">
        <v>29990000</v>
      </c>
      <c r="F6" s="39">
        <v>30290000</v>
      </c>
      <c r="G6" s="39">
        <v>29990000</v>
      </c>
    </row>
    <row r="7" spans="1:12" x14ac:dyDescent="0.2">
      <c r="A7" t="s">
        <v>25</v>
      </c>
      <c r="B7" s="25"/>
      <c r="C7" s="25">
        <v>15890000</v>
      </c>
      <c r="D7" s="41">
        <v>15590000</v>
      </c>
      <c r="E7" s="39">
        <v>15490000</v>
      </c>
      <c r="F7" s="37">
        <v>15590000</v>
      </c>
      <c r="G7" s="39">
        <v>15390000</v>
      </c>
    </row>
    <row r="8" spans="1:12" x14ac:dyDescent="0.2">
      <c r="A8" t="s">
        <v>26</v>
      </c>
      <c r="B8" s="25"/>
      <c r="C8" s="25">
        <v>19390000</v>
      </c>
      <c r="D8" s="42">
        <v>19390000</v>
      </c>
      <c r="E8" s="39">
        <v>18990000</v>
      </c>
      <c r="F8" s="37">
        <v>19290000</v>
      </c>
      <c r="G8" s="39">
        <v>18990000</v>
      </c>
    </row>
    <row r="9" spans="1:12" x14ac:dyDescent="0.2">
      <c r="A9" t="s">
        <v>158</v>
      </c>
      <c r="B9" s="3"/>
      <c r="C9" s="25">
        <v>29990000</v>
      </c>
      <c r="D9" s="25">
        <v>28490000</v>
      </c>
      <c r="E9" s="39" t="s">
        <v>22</v>
      </c>
      <c r="F9" s="39">
        <v>28690000</v>
      </c>
      <c r="G9" s="39">
        <v>27990000</v>
      </c>
    </row>
    <row r="10" spans="1:12" x14ac:dyDescent="0.2">
      <c r="A10" t="s">
        <v>92</v>
      </c>
      <c r="B10" s="3"/>
      <c r="C10" s="39" t="s">
        <v>22</v>
      </c>
      <c r="D10" s="25">
        <v>18490000</v>
      </c>
      <c r="E10" s="39">
        <v>18990000</v>
      </c>
      <c r="F10" s="42" t="s">
        <v>22</v>
      </c>
      <c r="G10" s="4">
        <v>17490000</v>
      </c>
    </row>
    <row r="11" spans="1:12" x14ac:dyDescent="0.2">
      <c r="A11" t="s">
        <v>27</v>
      </c>
      <c r="B11" s="25"/>
      <c r="C11" s="3">
        <v>12790000</v>
      </c>
      <c r="D11" s="39">
        <v>12690000</v>
      </c>
      <c r="E11" s="39">
        <v>12690000</v>
      </c>
      <c r="F11" s="34">
        <v>12590000</v>
      </c>
      <c r="G11" s="4">
        <v>12490000</v>
      </c>
    </row>
    <row r="12" spans="1:12" x14ac:dyDescent="0.2">
      <c r="A12" t="s">
        <v>28</v>
      </c>
      <c r="B12" s="3"/>
      <c r="C12" s="3">
        <v>11790000</v>
      </c>
      <c r="D12" s="38">
        <v>11690000</v>
      </c>
      <c r="E12" s="39">
        <v>11390000</v>
      </c>
      <c r="F12" s="38">
        <v>11590000</v>
      </c>
      <c r="G12" s="4">
        <v>11590000</v>
      </c>
    </row>
    <row r="13" spans="1:12" x14ac:dyDescent="0.2">
      <c r="A13" t="s">
        <v>98</v>
      </c>
      <c r="B13" s="25"/>
      <c r="C13" s="25">
        <v>9990000</v>
      </c>
      <c r="D13" s="25" t="s">
        <v>22</v>
      </c>
      <c r="E13" s="25" t="s">
        <v>22</v>
      </c>
      <c r="F13" s="25" t="s">
        <v>22</v>
      </c>
      <c r="G13" s="4" t="s">
        <v>22</v>
      </c>
    </row>
    <row r="14" spans="1:12" x14ac:dyDescent="0.2">
      <c r="A14" t="s">
        <v>29</v>
      </c>
      <c r="B14" s="25"/>
      <c r="C14" s="41">
        <v>11790000</v>
      </c>
      <c r="D14" s="25">
        <v>13790000</v>
      </c>
      <c r="E14" s="39">
        <v>13652000</v>
      </c>
      <c r="F14" s="38">
        <v>13790000</v>
      </c>
      <c r="G14" s="4">
        <v>13690000</v>
      </c>
    </row>
    <row r="15" spans="1:12" x14ac:dyDescent="0.2">
      <c r="A15" t="s">
        <v>30</v>
      </c>
      <c r="B15" s="3"/>
      <c r="C15" s="41">
        <v>8690000</v>
      </c>
      <c r="D15" s="41">
        <v>8690000</v>
      </c>
      <c r="E15" s="37">
        <v>8405000</v>
      </c>
      <c r="F15" s="34">
        <v>8690000</v>
      </c>
      <c r="G15" s="3">
        <v>8390000</v>
      </c>
      <c r="J15" t="s">
        <v>31</v>
      </c>
      <c r="K15" t="s">
        <v>38</v>
      </c>
      <c r="L15" t="b">
        <v>1</v>
      </c>
    </row>
    <row r="16" spans="1:12" x14ac:dyDescent="0.2">
      <c r="A16" t="s">
        <v>33</v>
      </c>
      <c r="B16" s="3"/>
      <c r="C16" s="25">
        <v>16490000</v>
      </c>
      <c r="D16" s="41">
        <v>16490000</v>
      </c>
      <c r="E16" s="37">
        <v>16127000</v>
      </c>
      <c r="F16" s="38">
        <v>16290000</v>
      </c>
      <c r="G16" s="3">
        <v>16390000</v>
      </c>
      <c r="J16" t="s">
        <v>2</v>
      </c>
      <c r="K16" t="s">
        <v>198</v>
      </c>
      <c r="L16" t="b">
        <v>1</v>
      </c>
    </row>
    <row r="17" spans="1:12" x14ac:dyDescent="0.2">
      <c r="A17" t="s">
        <v>37</v>
      </c>
      <c r="B17" s="25"/>
      <c r="C17" s="25">
        <v>22490000</v>
      </c>
      <c r="D17" s="25">
        <v>22390000</v>
      </c>
      <c r="E17" s="39">
        <v>21290000</v>
      </c>
      <c r="F17" s="38">
        <v>21990000</v>
      </c>
      <c r="G17" s="4">
        <v>21790000</v>
      </c>
      <c r="J17" t="s">
        <v>3</v>
      </c>
      <c r="K17" t="s">
        <v>36</v>
      </c>
      <c r="L17" t="b">
        <v>1</v>
      </c>
    </row>
    <row r="18" spans="1:12" x14ac:dyDescent="0.2">
      <c r="A18" t="s">
        <v>184</v>
      </c>
      <c r="B18" s="25"/>
      <c r="C18" s="3">
        <v>24990000</v>
      </c>
      <c r="D18" s="41">
        <v>26690000</v>
      </c>
      <c r="E18" s="38">
        <v>26990000</v>
      </c>
      <c r="F18" s="38">
        <v>26890000</v>
      </c>
      <c r="G18" s="3">
        <v>26590000</v>
      </c>
      <c r="J18" t="s">
        <v>4</v>
      </c>
      <c r="K18" t="s">
        <v>34</v>
      </c>
      <c r="L18" t="b">
        <v>1</v>
      </c>
    </row>
    <row r="19" spans="1:12" x14ac:dyDescent="0.2">
      <c r="A19" t="s">
        <v>185</v>
      </c>
      <c r="B19" s="3"/>
      <c r="C19" s="3">
        <v>33990000</v>
      </c>
      <c r="D19" s="41">
        <v>36490000</v>
      </c>
      <c r="E19" s="39">
        <v>35990000</v>
      </c>
      <c r="F19" s="38">
        <v>36990000</v>
      </c>
      <c r="G19" s="4">
        <v>36390000</v>
      </c>
      <c r="J19" t="s">
        <v>41</v>
      </c>
      <c r="K19" t="s">
        <v>42</v>
      </c>
      <c r="L19" t="b">
        <v>1</v>
      </c>
    </row>
    <row r="20" spans="1:12" x14ac:dyDescent="0.2">
      <c r="A20" t="s">
        <v>227</v>
      </c>
      <c r="B20" s="25"/>
      <c r="C20" s="41">
        <v>5220000</v>
      </c>
      <c r="D20" s="3">
        <v>5090000</v>
      </c>
      <c r="E20" s="37">
        <v>4940000</v>
      </c>
      <c r="F20" s="34" t="s">
        <v>254</v>
      </c>
      <c r="G20" s="4">
        <v>5090000</v>
      </c>
    </row>
    <row r="21" spans="1:12" x14ac:dyDescent="0.2">
      <c r="A21" t="s">
        <v>228</v>
      </c>
      <c r="B21" s="25"/>
      <c r="C21" s="25">
        <v>7090000</v>
      </c>
      <c r="D21" s="25">
        <v>7090000</v>
      </c>
      <c r="E21" s="37">
        <v>6425000</v>
      </c>
      <c r="F21" s="38">
        <v>6690000</v>
      </c>
      <c r="G21" s="4">
        <v>6590000</v>
      </c>
    </row>
    <row r="22" spans="1:12" x14ac:dyDescent="0.2">
      <c r="A22" t="s">
        <v>229</v>
      </c>
      <c r="B22" s="25"/>
      <c r="C22" s="3">
        <v>5820000</v>
      </c>
      <c r="D22" s="3">
        <v>5790000</v>
      </c>
      <c r="E22" s="37">
        <v>5732000</v>
      </c>
      <c r="F22" s="38">
        <v>5990000</v>
      </c>
      <c r="G22" s="4">
        <v>5890000</v>
      </c>
    </row>
    <row r="23" spans="1:12" x14ac:dyDescent="0.2">
      <c r="A23" t="s">
        <v>230</v>
      </c>
      <c r="B23" s="25"/>
      <c r="C23" s="25">
        <v>7890000</v>
      </c>
      <c r="D23" s="25">
        <v>7890000</v>
      </c>
      <c r="E23" s="37">
        <v>7217000</v>
      </c>
      <c r="F23" s="38">
        <v>7790000</v>
      </c>
      <c r="G23" s="4">
        <v>7690000</v>
      </c>
    </row>
    <row r="24" spans="1:12" x14ac:dyDescent="0.2">
      <c r="A24" t="s">
        <v>213</v>
      </c>
      <c r="B24" s="25"/>
      <c r="C24" s="3">
        <v>8480000</v>
      </c>
      <c r="D24" s="3">
        <v>8390000</v>
      </c>
      <c r="E24" s="37">
        <v>8405000</v>
      </c>
      <c r="F24" s="34" t="s">
        <v>255</v>
      </c>
      <c r="G24" s="4">
        <v>8390000</v>
      </c>
    </row>
    <row r="25" spans="1:12" x14ac:dyDescent="0.2">
      <c r="A25" t="s">
        <v>214</v>
      </c>
      <c r="B25" s="25"/>
      <c r="C25" s="3">
        <v>13090000</v>
      </c>
      <c r="D25" s="25">
        <v>12690000</v>
      </c>
      <c r="E25" s="37">
        <v>11870000</v>
      </c>
      <c r="F25" s="38" t="s">
        <v>256</v>
      </c>
      <c r="G25" s="4">
        <v>12890000</v>
      </c>
    </row>
    <row r="26" spans="1:12" x14ac:dyDescent="0.2">
      <c r="A26" t="s">
        <v>215</v>
      </c>
      <c r="B26" s="25"/>
      <c r="C26" s="3">
        <v>9280000</v>
      </c>
      <c r="D26" s="3">
        <v>9490000</v>
      </c>
      <c r="E26" s="37">
        <v>8900000</v>
      </c>
      <c r="F26" s="34" t="s">
        <v>257</v>
      </c>
      <c r="G26" s="34">
        <v>9190000</v>
      </c>
    </row>
    <row r="27" spans="1:12" x14ac:dyDescent="0.2">
      <c r="A27" t="s">
        <v>217</v>
      </c>
      <c r="B27" s="3"/>
      <c r="C27" s="25">
        <v>13990000</v>
      </c>
      <c r="D27" s="25">
        <v>13690000</v>
      </c>
      <c r="E27" s="37">
        <v>12563000</v>
      </c>
      <c r="F27" s="38">
        <v>13890000</v>
      </c>
      <c r="G27" s="4">
        <v>13590000</v>
      </c>
    </row>
    <row r="28" spans="1:12" x14ac:dyDescent="0.2">
      <c r="A28" t="s">
        <v>172</v>
      </c>
      <c r="B28" s="25"/>
      <c r="C28" s="25">
        <v>22290000</v>
      </c>
      <c r="D28" s="25">
        <v>21990000</v>
      </c>
      <c r="E28" s="39">
        <v>21790000</v>
      </c>
      <c r="F28" s="39">
        <v>21990000</v>
      </c>
      <c r="G28" s="4">
        <v>22990000</v>
      </c>
    </row>
    <row r="29" spans="1:12" x14ac:dyDescent="0.2">
      <c r="A29" t="s">
        <v>53</v>
      </c>
      <c r="B29" s="3"/>
      <c r="C29" s="3">
        <v>5390000</v>
      </c>
      <c r="D29" s="34">
        <v>5390000</v>
      </c>
      <c r="E29" s="3">
        <v>5138000</v>
      </c>
      <c r="F29" s="37">
        <v>5390000</v>
      </c>
      <c r="G29" s="3">
        <v>5390000</v>
      </c>
    </row>
    <row r="30" spans="1:12" x14ac:dyDescent="0.2">
      <c r="A30" t="s">
        <v>54</v>
      </c>
      <c r="B30" s="3"/>
      <c r="C30" s="41">
        <v>4590000</v>
      </c>
      <c r="D30" s="37">
        <v>4390000</v>
      </c>
      <c r="E30" s="3">
        <v>4247000</v>
      </c>
      <c r="F30" s="37">
        <v>4390000</v>
      </c>
      <c r="G30" s="34">
        <v>4390000</v>
      </c>
    </row>
    <row r="31" spans="1:12" x14ac:dyDescent="0.2">
      <c r="A31" t="s">
        <v>55</v>
      </c>
      <c r="B31" s="3"/>
      <c r="C31" s="3">
        <v>3090000</v>
      </c>
      <c r="D31" s="37">
        <v>3090000</v>
      </c>
      <c r="E31" s="3">
        <v>2990000</v>
      </c>
      <c r="F31" s="37">
        <v>3090000</v>
      </c>
      <c r="G31" s="34">
        <v>3190000</v>
      </c>
    </row>
    <row r="32" spans="1:12" x14ac:dyDescent="0.2">
      <c r="A32" t="s">
        <v>175</v>
      </c>
      <c r="B32" s="3"/>
      <c r="C32" s="25">
        <v>17190000</v>
      </c>
      <c r="D32" s="38">
        <v>16990000</v>
      </c>
      <c r="E32" s="36"/>
      <c r="F32" s="38">
        <v>17190000</v>
      </c>
      <c r="G32" s="3">
        <v>16390000</v>
      </c>
    </row>
    <row r="33" spans="1:7" x14ac:dyDescent="0.2">
      <c r="A33" t="s">
        <v>186</v>
      </c>
      <c r="B33" s="25"/>
      <c r="C33" s="25">
        <v>21090000</v>
      </c>
      <c r="D33" s="25">
        <v>21090000</v>
      </c>
      <c r="E33" s="36"/>
      <c r="F33" s="38">
        <v>20890000</v>
      </c>
      <c r="G33" s="4">
        <v>20590000</v>
      </c>
    </row>
    <row r="34" spans="1:7" x14ac:dyDescent="0.2">
      <c r="A34" t="s">
        <v>232</v>
      </c>
      <c r="B34" s="3"/>
      <c r="C34" s="25">
        <v>24190000</v>
      </c>
      <c r="D34" s="38">
        <v>23990000</v>
      </c>
      <c r="E34" s="36"/>
      <c r="F34" s="38">
        <v>24690000</v>
      </c>
      <c r="G34" s="4">
        <v>25290000</v>
      </c>
    </row>
    <row r="35" spans="1:7" x14ac:dyDescent="0.2">
      <c r="A35" t="s">
        <v>59</v>
      </c>
      <c r="B35" s="3"/>
      <c r="C35" s="42">
        <v>26990000</v>
      </c>
      <c r="D35" s="37">
        <v>26490000</v>
      </c>
      <c r="E35" s="36"/>
      <c r="F35" s="34">
        <v>25990000</v>
      </c>
      <c r="G35" s="4">
        <v>25890000</v>
      </c>
    </row>
    <row r="36" spans="1:7" x14ac:dyDescent="0.2">
      <c r="A36" t="s">
        <v>61</v>
      </c>
      <c r="B36" s="25"/>
      <c r="C36" s="38">
        <v>31990000</v>
      </c>
      <c r="D36" s="25">
        <v>31890000</v>
      </c>
      <c r="E36" s="36"/>
      <c r="F36" s="38">
        <v>31990000</v>
      </c>
      <c r="G36" s="4">
        <v>31990000</v>
      </c>
    </row>
    <row r="37" spans="1:7" x14ac:dyDescent="0.2">
      <c r="A37" t="s">
        <v>187</v>
      </c>
      <c r="B37" s="25"/>
      <c r="C37" s="25">
        <v>39590000</v>
      </c>
      <c r="D37" s="25">
        <v>39590000</v>
      </c>
      <c r="E37" s="36"/>
      <c r="F37" s="39">
        <v>39290000</v>
      </c>
      <c r="G37" s="38">
        <v>39390000</v>
      </c>
    </row>
  </sheetData>
  <pageMargins left="0.7" right="0.7" top="0.75" bottom="0.75" header="0.3" footer="0.3"/>
  <pageSetup paperSize="9" orientation="portrait" horizontalDpi="0" verticalDpi="0"/>
  <legacyDrawing r:id="rId1"/>
</worksheet>
</file>

<file path=xl/worksheets/sheet6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0-000000000000}">
  <dimension ref="A1:L37"/>
  <sheetViews>
    <sheetView zoomScaleNormal="120" workbookViewId="0">
      <pane xSplit="2" ySplit="1" topLeftCell="C22" activePane="bottomRight" state="frozen"/>
      <selection pane="topRight" activeCell="C1" sqref="C1"/>
      <selection pane="bottomLeft" activeCell="A2" sqref="A2"/>
      <selection pane="bottomRight" activeCell="C1" sqref="C1"/>
    </sheetView>
  </sheetViews>
  <sheetFormatPr baseColWidth="10" defaultColWidth="11" defaultRowHeight="16" x14ac:dyDescent="0.2"/>
  <cols>
    <col min="1" max="1" width="27.5" bestFit="1" customWidth="1"/>
    <col min="2" max="2" width="0" hidden="1"/>
    <col min="3" max="6" width="10.1640625" bestFit="1" customWidth="1"/>
    <col min="7" max="7" width="13" customWidth="1"/>
    <col min="8" max="8" width="8.1640625" customWidth="1"/>
  </cols>
  <sheetData>
    <row r="1" spans="1:12" x14ac:dyDescent="0.2">
      <c r="B1" s="46" t="s">
        <v>0</v>
      </c>
      <c r="C1" s="46" t="s">
        <v>1</v>
      </c>
      <c r="D1" s="46" t="s">
        <v>2</v>
      </c>
      <c r="E1" s="81" t="s">
        <v>3</v>
      </c>
      <c r="F1" s="81" t="s">
        <v>4</v>
      </c>
      <c r="G1" s="81" t="s">
        <v>5</v>
      </c>
    </row>
    <row r="2" spans="1:12" x14ac:dyDescent="0.2">
      <c r="A2" t="s">
        <v>21</v>
      </c>
      <c r="B2" s="46"/>
      <c r="C2" s="47">
        <v>16190000</v>
      </c>
      <c r="D2" s="47">
        <v>16190000</v>
      </c>
      <c r="E2" s="39">
        <v>15990000</v>
      </c>
      <c r="F2" s="39">
        <v>16190000</v>
      </c>
      <c r="G2" s="39">
        <v>15990000</v>
      </c>
    </row>
    <row r="3" spans="1:12" x14ac:dyDescent="0.2">
      <c r="A3" t="s">
        <v>181</v>
      </c>
      <c r="B3" s="25"/>
      <c r="C3" s="25">
        <v>19090000</v>
      </c>
      <c r="D3" s="41">
        <v>18890000</v>
      </c>
      <c r="E3" s="39">
        <v>18490000</v>
      </c>
      <c r="F3" s="39">
        <v>18890000</v>
      </c>
      <c r="G3" s="39">
        <v>18690000</v>
      </c>
    </row>
    <row r="4" spans="1:12" x14ac:dyDescent="0.2">
      <c r="A4" t="s">
        <v>24</v>
      </c>
      <c r="B4" s="3"/>
      <c r="C4" s="34">
        <v>21990000</v>
      </c>
      <c r="D4" s="41">
        <v>21990000</v>
      </c>
      <c r="E4" s="39">
        <v>21690000</v>
      </c>
      <c r="F4" s="37">
        <v>21890000</v>
      </c>
      <c r="G4" s="39">
        <v>21890000</v>
      </c>
    </row>
    <row r="5" spans="1:12" x14ac:dyDescent="0.2">
      <c r="A5" t="s">
        <v>182</v>
      </c>
      <c r="B5" s="25"/>
      <c r="C5" s="25">
        <v>25090000</v>
      </c>
      <c r="D5" s="42">
        <v>24990000</v>
      </c>
      <c r="E5" s="39">
        <v>24290000</v>
      </c>
      <c r="F5" s="39">
        <v>24990000</v>
      </c>
      <c r="G5" s="39">
        <v>24690000</v>
      </c>
    </row>
    <row r="6" spans="1:12" x14ac:dyDescent="0.2">
      <c r="A6" t="s">
        <v>183</v>
      </c>
      <c r="B6" s="3"/>
      <c r="C6" s="25">
        <v>30590000</v>
      </c>
      <c r="D6" s="42">
        <v>30490000</v>
      </c>
      <c r="E6" s="39">
        <v>29990000</v>
      </c>
      <c r="F6" s="39">
        <v>30290000</v>
      </c>
      <c r="G6" s="39">
        <v>29990000</v>
      </c>
    </row>
    <row r="7" spans="1:12" x14ac:dyDescent="0.2">
      <c r="A7" t="s">
        <v>25</v>
      </c>
      <c r="B7" s="25"/>
      <c r="C7" s="25">
        <v>15890000</v>
      </c>
      <c r="D7" s="41">
        <v>15790000</v>
      </c>
      <c r="E7" s="39">
        <v>15490000</v>
      </c>
      <c r="F7" s="39">
        <v>15590000</v>
      </c>
      <c r="G7" s="37">
        <v>15490000</v>
      </c>
    </row>
    <row r="8" spans="1:12" x14ac:dyDescent="0.2">
      <c r="A8" t="s">
        <v>26</v>
      </c>
      <c r="B8" s="25"/>
      <c r="C8" s="25">
        <v>19390000</v>
      </c>
      <c r="D8" s="42">
        <v>19390000</v>
      </c>
      <c r="E8" s="39">
        <v>18990000</v>
      </c>
      <c r="F8" s="37">
        <v>19390000</v>
      </c>
      <c r="G8" s="37">
        <v>18890000</v>
      </c>
    </row>
    <row r="9" spans="1:12" x14ac:dyDescent="0.2">
      <c r="A9" t="s">
        <v>158</v>
      </c>
      <c r="B9" s="3"/>
      <c r="C9" s="25">
        <v>29990000</v>
      </c>
      <c r="D9" s="25">
        <v>28490000</v>
      </c>
      <c r="E9" s="39" t="s">
        <v>22</v>
      </c>
      <c r="F9" s="39">
        <v>28790000</v>
      </c>
      <c r="G9" s="39">
        <v>27990000</v>
      </c>
    </row>
    <row r="10" spans="1:12" x14ac:dyDescent="0.2">
      <c r="A10" t="s">
        <v>92</v>
      </c>
      <c r="B10" s="3"/>
      <c r="C10" s="39" t="s">
        <v>22</v>
      </c>
      <c r="D10" s="25">
        <v>18490000</v>
      </c>
      <c r="E10" s="39">
        <v>18990000</v>
      </c>
      <c r="F10" s="42" t="s">
        <v>22</v>
      </c>
      <c r="G10" s="3">
        <v>17390000</v>
      </c>
    </row>
    <row r="11" spans="1:12" x14ac:dyDescent="0.2">
      <c r="A11" t="s">
        <v>27</v>
      </c>
      <c r="B11" s="25"/>
      <c r="C11" s="38">
        <v>12790000</v>
      </c>
      <c r="D11" s="39">
        <v>12690000</v>
      </c>
      <c r="E11" s="39">
        <v>12690000</v>
      </c>
      <c r="F11" s="34">
        <v>12690000</v>
      </c>
      <c r="G11" s="3">
        <v>12590000</v>
      </c>
    </row>
    <row r="12" spans="1:12" x14ac:dyDescent="0.2">
      <c r="A12" t="s">
        <v>28</v>
      </c>
      <c r="B12" s="3"/>
      <c r="C12" s="38">
        <v>11790000</v>
      </c>
      <c r="D12" s="38">
        <v>11690000</v>
      </c>
      <c r="E12" s="39">
        <v>11390000</v>
      </c>
      <c r="F12" s="38">
        <v>11690000</v>
      </c>
      <c r="G12" s="4">
        <v>11590000</v>
      </c>
    </row>
    <row r="13" spans="1:12" x14ac:dyDescent="0.2">
      <c r="A13" t="s">
        <v>98</v>
      </c>
      <c r="B13" s="25"/>
      <c r="C13" s="25">
        <v>9990000</v>
      </c>
      <c r="D13" s="25" t="s">
        <v>22</v>
      </c>
      <c r="E13" s="25" t="s">
        <v>22</v>
      </c>
      <c r="F13" s="25" t="s">
        <v>22</v>
      </c>
      <c r="G13" s="4" t="s">
        <v>22</v>
      </c>
    </row>
    <row r="14" spans="1:12" x14ac:dyDescent="0.2">
      <c r="A14" t="s">
        <v>29</v>
      </c>
      <c r="B14" s="25"/>
      <c r="C14" s="39">
        <v>11790000</v>
      </c>
      <c r="D14" s="25">
        <v>13790000</v>
      </c>
      <c r="E14" s="39">
        <v>13652000</v>
      </c>
      <c r="F14" s="38">
        <v>13790000</v>
      </c>
      <c r="G14" s="4">
        <v>13690000</v>
      </c>
    </row>
    <row r="15" spans="1:12" x14ac:dyDescent="0.2">
      <c r="A15" t="s">
        <v>30</v>
      </c>
      <c r="B15" s="3"/>
      <c r="C15" s="39">
        <v>11790000</v>
      </c>
      <c r="D15" s="42">
        <v>8690000</v>
      </c>
      <c r="E15" s="25">
        <v>8405000</v>
      </c>
      <c r="F15" s="38">
        <v>8690000</v>
      </c>
      <c r="G15" s="4">
        <v>8390000</v>
      </c>
      <c r="J15" t="s">
        <v>31</v>
      </c>
      <c r="K15" t="s">
        <v>38</v>
      </c>
      <c r="L15" t="b">
        <v>1</v>
      </c>
    </row>
    <row r="16" spans="1:12" x14ac:dyDescent="0.2">
      <c r="A16" t="s">
        <v>33</v>
      </c>
      <c r="B16" s="3"/>
      <c r="C16" s="25">
        <v>16490000</v>
      </c>
      <c r="D16" s="42">
        <v>16490000</v>
      </c>
      <c r="E16" s="25">
        <v>16127000</v>
      </c>
      <c r="F16" s="34">
        <v>16590000</v>
      </c>
      <c r="G16" s="4">
        <v>16390000</v>
      </c>
      <c r="J16" t="s">
        <v>2</v>
      </c>
      <c r="K16" t="s">
        <v>198</v>
      </c>
      <c r="L16" t="b">
        <v>1</v>
      </c>
    </row>
    <row r="17" spans="1:12" x14ac:dyDescent="0.2">
      <c r="A17" t="s">
        <v>37</v>
      </c>
      <c r="B17" s="25"/>
      <c r="C17" s="25">
        <v>22490000</v>
      </c>
      <c r="D17" s="25">
        <v>22390000</v>
      </c>
      <c r="E17" s="25">
        <v>21290000</v>
      </c>
      <c r="F17" s="38">
        <v>21990000</v>
      </c>
      <c r="G17" s="4">
        <v>21790000</v>
      </c>
      <c r="J17" t="s">
        <v>3</v>
      </c>
      <c r="K17" t="s">
        <v>36</v>
      </c>
      <c r="L17" t="b">
        <v>1</v>
      </c>
    </row>
    <row r="18" spans="1:12" x14ac:dyDescent="0.2">
      <c r="A18" t="s">
        <v>184</v>
      </c>
      <c r="B18" s="25"/>
      <c r="C18" s="38">
        <v>24990000</v>
      </c>
      <c r="D18" s="42">
        <v>26690000</v>
      </c>
      <c r="E18" s="25">
        <v>26990000</v>
      </c>
      <c r="F18" s="34">
        <v>26990000</v>
      </c>
      <c r="G18" s="4">
        <v>26590000</v>
      </c>
      <c r="J18" t="s">
        <v>4</v>
      </c>
      <c r="K18" t="s">
        <v>34</v>
      </c>
      <c r="L18" t="b">
        <v>1</v>
      </c>
    </row>
    <row r="19" spans="1:12" x14ac:dyDescent="0.2">
      <c r="A19" t="s">
        <v>185</v>
      </c>
      <c r="B19" s="3"/>
      <c r="C19" s="38">
        <v>33990000</v>
      </c>
      <c r="D19" s="42">
        <v>36490000</v>
      </c>
      <c r="E19" s="25">
        <v>35990000</v>
      </c>
      <c r="F19" s="38">
        <v>36990000</v>
      </c>
      <c r="G19" s="4">
        <v>36390000</v>
      </c>
      <c r="J19" t="s">
        <v>41</v>
      </c>
      <c r="K19" t="s">
        <v>42</v>
      </c>
      <c r="L19" t="b">
        <v>1</v>
      </c>
    </row>
    <row r="20" spans="1:12" x14ac:dyDescent="0.2">
      <c r="A20" t="s">
        <v>227</v>
      </c>
      <c r="B20" s="25"/>
      <c r="C20" s="39">
        <v>5220000</v>
      </c>
      <c r="D20" s="25">
        <v>5090000</v>
      </c>
      <c r="E20" s="25">
        <v>4940000</v>
      </c>
      <c r="F20" s="38">
        <v>5090000</v>
      </c>
      <c r="G20" s="4">
        <v>5090000</v>
      </c>
    </row>
    <row r="21" spans="1:12" x14ac:dyDescent="0.2">
      <c r="A21" t="s">
        <v>228</v>
      </c>
      <c r="B21" s="25"/>
      <c r="C21" s="38">
        <v>7090000</v>
      </c>
      <c r="D21" s="3">
        <v>6690000</v>
      </c>
      <c r="E21" s="25">
        <v>6425000</v>
      </c>
      <c r="F21" s="38">
        <v>6690000</v>
      </c>
      <c r="G21" s="3">
        <v>7190000</v>
      </c>
    </row>
    <row r="22" spans="1:12" x14ac:dyDescent="0.2">
      <c r="A22" t="s">
        <v>229</v>
      </c>
      <c r="B22" s="25"/>
      <c r="C22" s="38">
        <v>5820000</v>
      </c>
      <c r="D22" s="25">
        <v>5790000</v>
      </c>
      <c r="E22" s="25">
        <v>5732000</v>
      </c>
      <c r="F22" s="34">
        <v>5820000</v>
      </c>
      <c r="G22" s="4">
        <v>5890000</v>
      </c>
    </row>
    <row r="23" spans="1:12" x14ac:dyDescent="0.2">
      <c r="A23" t="s">
        <v>230</v>
      </c>
      <c r="B23" s="25"/>
      <c r="C23" s="38">
        <v>7890000</v>
      </c>
      <c r="D23" s="25">
        <v>7890000</v>
      </c>
      <c r="E23" s="25">
        <v>7217000</v>
      </c>
      <c r="F23" s="38">
        <v>7790000</v>
      </c>
      <c r="G23" s="3">
        <v>7790000</v>
      </c>
    </row>
    <row r="24" spans="1:12" x14ac:dyDescent="0.2">
      <c r="A24" t="s">
        <v>213</v>
      </c>
      <c r="B24" s="25"/>
      <c r="C24" s="38">
        <v>8480000</v>
      </c>
      <c r="D24" s="25">
        <v>8390000</v>
      </c>
      <c r="E24" s="25">
        <v>8405000</v>
      </c>
      <c r="F24" s="38">
        <v>8490000</v>
      </c>
      <c r="G24" s="4">
        <v>8390000</v>
      </c>
    </row>
    <row r="25" spans="1:12" x14ac:dyDescent="0.2">
      <c r="A25" t="s">
        <v>214</v>
      </c>
      <c r="B25" s="25"/>
      <c r="C25" s="38">
        <v>13090000</v>
      </c>
      <c r="D25" s="25">
        <v>12690000</v>
      </c>
      <c r="E25" s="25">
        <v>11870000</v>
      </c>
      <c r="F25" s="38">
        <v>13190000</v>
      </c>
      <c r="G25" s="4">
        <v>12890000</v>
      </c>
    </row>
    <row r="26" spans="1:12" x14ac:dyDescent="0.2">
      <c r="A26" t="s">
        <v>215</v>
      </c>
      <c r="B26" s="25"/>
      <c r="C26" s="38">
        <v>9280000</v>
      </c>
      <c r="D26" s="3">
        <v>9290000</v>
      </c>
      <c r="E26" s="25">
        <v>8900000</v>
      </c>
      <c r="F26" s="38">
        <v>9490000</v>
      </c>
      <c r="G26" s="34">
        <v>9080000</v>
      </c>
    </row>
    <row r="27" spans="1:12" x14ac:dyDescent="0.2">
      <c r="A27" t="s">
        <v>217</v>
      </c>
      <c r="B27" s="3"/>
      <c r="C27" s="38">
        <v>13990000</v>
      </c>
      <c r="D27" s="25">
        <v>13690000</v>
      </c>
      <c r="E27" s="25">
        <v>12563000</v>
      </c>
      <c r="F27" s="38">
        <v>13890000</v>
      </c>
      <c r="G27" s="4">
        <v>13590000</v>
      </c>
    </row>
    <row r="28" spans="1:12" x14ac:dyDescent="0.2">
      <c r="A28" t="s">
        <v>172</v>
      </c>
      <c r="B28" s="25"/>
      <c r="C28" s="38">
        <v>22290000</v>
      </c>
      <c r="D28" s="25">
        <v>21990000</v>
      </c>
      <c r="E28" s="25">
        <v>21790000</v>
      </c>
      <c r="F28" s="39">
        <v>21990000</v>
      </c>
      <c r="G28" s="4">
        <v>22990000</v>
      </c>
    </row>
    <row r="29" spans="1:12" x14ac:dyDescent="0.2">
      <c r="A29" t="s">
        <v>53</v>
      </c>
      <c r="B29" s="3"/>
      <c r="C29" s="38">
        <v>5390000</v>
      </c>
      <c r="D29" s="34">
        <v>5290000</v>
      </c>
      <c r="E29" s="25">
        <v>5138000</v>
      </c>
      <c r="F29" s="37">
        <v>5299000</v>
      </c>
      <c r="G29" s="3">
        <v>5390000</v>
      </c>
    </row>
    <row r="30" spans="1:12" x14ac:dyDescent="0.2">
      <c r="A30" t="s">
        <v>54</v>
      </c>
      <c r="B30" s="3"/>
      <c r="C30" s="39">
        <v>4590000</v>
      </c>
      <c r="D30" s="37">
        <v>4290000</v>
      </c>
      <c r="E30" s="25">
        <v>4247000</v>
      </c>
      <c r="F30" s="37">
        <v>4290000</v>
      </c>
      <c r="G30" s="34">
        <v>4290000</v>
      </c>
    </row>
    <row r="31" spans="1:12" x14ac:dyDescent="0.2">
      <c r="A31" t="s">
        <v>55</v>
      </c>
      <c r="B31" s="3"/>
      <c r="C31" s="38">
        <v>3090000</v>
      </c>
      <c r="D31" s="37">
        <v>2990000</v>
      </c>
      <c r="E31" s="3">
        <v>2890000</v>
      </c>
      <c r="F31" s="37">
        <v>2990000</v>
      </c>
      <c r="G31" s="34">
        <v>2990000</v>
      </c>
    </row>
    <row r="32" spans="1:12" x14ac:dyDescent="0.2">
      <c r="A32" t="s">
        <v>175</v>
      </c>
      <c r="B32" s="3"/>
      <c r="C32" s="25">
        <v>17190000</v>
      </c>
      <c r="D32" s="38">
        <v>16990000</v>
      </c>
      <c r="E32" s="36"/>
      <c r="F32" s="38">
        <v>17190000</v>
      </c>
      <c r="G32" s="4">
        <v>16390000</v>
      </c>
    </row>
    <row r="33" spans="1:7" x14ac:dyDescent="0.2">
      <c r="A33" t="s">
        <v>186</v>
      </c>
      <c r="B33" s="25"/>
      <c r="C33" s="25">
        <v>21090000</v>
      </c>
      <c r="D33" s="3">
        <v>20990000</v>
      </c>
      <c r="E33" s="36"/>
      <c r="F33" s="34">
        <v>20790000</v>
      </c>
      <c r="G33" s="4">
        <v>20590000</v>
      </c>
    </row>
    <row r="34" spans="1:7" x14ac:dyDescent="0.2">
      <c r="A34" t="s">
        <v>232</v>
      </c>
      <c r="B34" s="3"/>
      <c r="C34" s="34">
        <v>24990000</v>
      </c>
      <c r="D34" s="38">
        <v>23990000</v>
      </c>
      <c r="E34" s="36"/>
      <c r="F34" s="38">
        <v>24690000</v>
      </c>
      <c r="G34" s="4">
        <v>25290000</v>
      </c>
    </row>
    <row r="35" spans="1:7" x14ac:dyDescent="0.2">
      <c r="A35" t="s">
        <v>59</v>
      </c>
      <c r="B35" s="3"/>
      <c r="C35" s="42">
        <v>26990000</v>
      </c>
      <c r="D35" s="39">
        <v>26490000</v>
      </c>
      <c r="E35" s="36"/>
      <c r="F35" s="38">
        <v>25990000</v>
      </c>
      <c r="G35" s="4">
        <v>25890000</v>
      </c>
    </row>
    <row r="36" spans="1:7" x14ac:dyDescent="0.2">
      <c r="A36" t="s">
        <v>61</v>
      </c>
      <c r="B36" s="25"/>
      <c r="C36" s="38">
        <v>31990000</v>
      </c>
      <c r="D36" s="25">
        <v>31890000</v>
      </c>
      <c r="E36" s="36"/>
      <c r="F36" s="38">
        <v>31990000</v>
      </c>
      <c r="G36" s="4">
        <v>31990000</v>
      </c>
    </row>
    <row r="37" spans="1:7" x14ac:dyDescent="0.2">
      <c r="A37" t="s">
        <v>187</v>
      </c>
      <c r="B37" s="25"/>
      <c r="C37" s="25">
        <v>39590000</v>
      </c>
      <c r="D37" s="25">
        <v>39590000</v>
      </c>
      <c r="E37" s="36"/>
      <c r="F37" s="39">
        <v>39290000</v>
      </c>
      <c r="G37" s="34">
        <v>38990000</v>
      </c>
    </row>
  </sheetData>
  <pageMargins left="0.7" right="0.7" top="0.75" bottom="0.75" header="0.3" footer="0.3"/>
  <pageSetup paperSize="9" orientation="portrait" horizontalDpi="0" verticalDpi="0"/>
  <legacyDrawing r:id="rId1"/>
</worksheet>
</file>

<file path=xl/worksheets/sheet6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C00-000000000000}">
  <dimension ref="A1:L37"/>
  <sheetViews>
    <sheetView zoomScale="107" zoomScaleNormal="120" workbookViewId="0">
      <pane xSplit="2" ySplit="1" topLeftCell="C2" activePane="bottomRight" state="frozen"/>
      <selection pane="topRight" activeCell="C1" sqref="C1"/>
      <selection pane="bottomLeft" activeCell="A2" sqref="A2"/>
      <selection pane="bottomRight" activeCell="C1" sqref="C1"/>
    </sheetView>
  </sheetViews>
  <sheetFormatPr baseColWidth="10" defaultColWidth="11" defaultRowHeight="16" x14ac:dyDescent="0.2"/>
  <cols>
    <col min="1" max="1" width="27.5" bestFit="1" customWidth="1"/>
    <col min="2" max="2" width="0" hidden="1"/>
    <col min="3" max="6" width="10.1640625" bestFit="1" customWidth="1"/>
    <col min="7" max="7" width="13" customWidth="1"/>
    <col min="8" max="8" width="8.1640625" customWidth="1"/>
  </cols>
  <sheetData>
    <row r="1" spans="1:12" x14ac:dyDescent="0.2">
      <c r="B1" s="46" t="s">
        <v>0</v>
      </c>
      <c r="C1" s="46" t="s">
        <v>1</v>
      </c>
      <c r="D1" s="46" t="s">
        <v>2</v>
      </c>
      <c r="E1" s="81" t="s">
        <v>3</v>
      </c>
      <c r="F1" s="81" t="s">
        <v>4</v>
      </c>
      <c r="G1" s="81" t="s">
        <v>5</v>
      </c>
    </row>
    <row r="2" spans="1:12" x14ac:dyDescent="0.2">
      <c r="A2" t="s">
        <v>21</v>
      </c>
      <c r="B2" s="46"/>
      <c r="C2" s="47">
        <v>16190000</v>
      </c>
      <c r="D2" s="47">
        <v>16190000</v>
      </c>
      <c r="E2" s="39">
        <v>15990000</v>
      </c>
      <c r="F2" s="39">
        <v>16190000</v>
      </c>
      <c r="G2" s="39">
        <v>15990000</v>
      </c>
    </row>
    <row r="3" spans="1:12" x14ac:dyDescent="0.2">
      <c r="A3" t="s">
        <v>181</v>
      </c>
      <c r="B3" s="25"/>
      <c r="C3" s="34">
        <v>18990000</v>
      </c>
      <c r="D3" s="42">
        <v>18890000</v>
      </c>
      <c r="E3" s="39">
        <v>18490000</v>
      </c>
      <c r="F3" s="37">
        <v>18790000</v>
      </c>
      <c r="G3" s="39">
        <v>18690000</v>
      </c>
    </row>
    <row r="4" spans="1:12" x14ac:dyDescent="0.2">
      <c r="A4" t="s">
        <v>24</v>
      </c>
      <c r="B4" s="3"/>
      <c r="C4" s="38">
        <v>21990000</v>
      </c>
      <c r="D4" s="42">
        <v>21990000</v>
      </c>
      <c r="E4" s="39">
        <v>21690000</v>
      </c>
      <c r="F4" s="39">
        <v>21890000</v>
      </c>
      <c r="G4" s="39">
        <v>21890000</v>
      </c>
    </row>
    <row r="5" spans="1:12" x14ac:dyDescent="0.2">
      <c r="A5" t="s">
        <v>182</v>
      </c>
      <c r="B5" s="25"/>
      <c r="C5" s="25">
        <v>25090000</v>
      </c>
      <c r="D5" s="42">
        <v>24990000</v>
      </c>
      <c r="E5" s="39">
        <v>24290000</v>
      </c>
      <c r="F5" s="39">
        <v>24990000</v>
      </c>
      <c r="G5" s="39">
        <v>24690000</v>
      </c>
    </row>
    <row r="6" spans="1:12" x14ac:dyDescent="0.2">
      <c r="A6" t="s">
        <v>183</v>
      </c>
      <c r="B6" s="3"/>
      <c r="C6" s="25">
        <v>30590000</v>
      </c>
      <c r="D6" s="42">
        <v>30490000</v>
      </c>
      <c r="E6" s="39">
        <v>29990000</v>
      </c>
      <c r="F6" s="37">
        <v>30390000</v>
      </c>
      <c r="G6" s="39">
        <v>29990000</v>
      </c>
    </row>
    <row r="7" spans="1:12" x14ac:dyDescent="0.2">
      <c r="A7" t="s">
        <v>25</v>
      </c>
      <c r="B7" s="25"/>
      <c r="C7" s="3">
        <v>15990000</v>
      </c>
      <c r="D7" s="42">
        <v>15790000</v>
      </c>
      <c r="E7" s="39">
        <v>15490000</v>
      </c>
      <c r="F7" s="37">
        <v>15690000</v>
      </c>
      <c r="G7" s="39">
        <v>15490000</v>
      </c>
    </row>
    <row r="8" spans="1:12" x14ac:dyDescent="0.2">
      <c r="A8" t="s">
        <v>26</v>
      </c>
      <c r="B8" s="25"/>
      <c r="C8" s="25">
        <v>19290000</v>
      </c>
      <c r="D8" s="42">
        <v>19390000</v>
      </c>
      <c r="E8" s="39">
        <v>18990000</v>
      </c>
      <c r="F8" s="37">
        <v>19290000</v>
      </c>
      <c r="G8" s="39">
        <v>18890000</v>
      </c>
    </row>
    <row r="9" spans="1:12" x14ac:dyDescent="0.2">
      <c r="A9" t="s">
        <v>158</v>
      </c>
      <c r="B9" s="3"/>
      <c r="C9" s="25">
        <v>29990000</v>
      </c>
      <c r="D9" s="25">
        <v>28490000</v>
      </c>
      <c r="E9" s="39" t="s">
        <v>22</v>
      </c>
      <c r="F9" s="37">
        <v>28690000</v>
      </c>
      <c r="G9" s="39">
        <v>27990000</v>
      </c>
    </row>
    <row r="10" spans="1:12" x14ac:dyDescent="0.2">
      <c r="A10" t="s">
        <v>92</v>
      </c>
      <c r="B10" s="3"/>
      <c r="C10" s="39" t="s">
        <v>22</v>
      </c>
      <c r="D10" s="25">
        <v>18490000</v>
      </c>
      <c r="E10" s="39">
        <v>18990000</v>
      </c>
      <c r="F10" s="42" t="s">
        <v>22</v>
      </c>
      <c r="G10" s="39">
        <v>17390000</v>
      </c>
    </row>
    <row r="11" spans="1:12" x14ac:dyDescent="0.2">
      <c r="A11" t="s">
        <v>27</v>
      </c>
      <c r="B11" s="25"/>
      <c r="C11" s="38">
        <v>12790000</v>
      </c>
      <c r="D11" s="39">
        <v>12690000</v>
      </c>
      <c r="E11" s="39">
        <v>12690000</v>
      </c>
      <c r="F11" s="38">
        <v>12690000</v>
      </c>
      <c r="G11" s="39">
        <v>12590000</v>
      </c>
    </row>
    <row r="12" spans="1:12" x14ac:dyDescent="0.2">
      <c r="A12" t="s">
        <v>28</v>
      </c>
      <c r="B12" s="3"/>
      <c r="C12" s="38">
        <v>11790000</v>
      </c>
      <c r="D12" s="38">
        <v>11690000</v>
      </c>
      <c r="E12" s="39">
        <v>11390000</v>
      </c>
      <c r="F12" s="38">
        <v>11690000</v>
      </c>
      <c r="G12" s="4">
        <v>11590000</v>
      </c>
    </row>
    <row r="13" spans="1:12" x14ac:dyDescent="0.2">
      <c r="A13" t="s">
        <v>98</v>
      </c>
      <c r="B13" s="25"/>
      <c r="C13" s="25">
        <v>9990000</v>
      </c>
      <c r="D13" s="25" t="s">
        <v>22</v>
      </c>
      <c r="E13" s="25" t="s">
        <v>22</v>
      </c>
      <c r="F13" s="25" t="s">
        <v>22</v>
      </c>
      <c r="G13" s="4" t="s">
        <v>22</v>
      </c>
    </row>
    <row r="14" spans="1:12" x14ac:dyDescent="0.2">
      <c r="A14" t="s">
        <v>29</v>
      </c>
      <c r="B14" s="25"/>
      <c r="C14" s="39">
        <v>11790000</v>
      </c>
      <c r="D14" s="25">
        <v>13790000</v>
      </c>
      <c r="E14" s="39">
        <v>13652000</v>
      </c>
      <c r="F14" s="38">
        <v>13790000</v>
      </c>
      <c r="G14" s="4">
        <v>13690000</v>
      </c>
    </row>
    <row r="15" spans="1:12" x14ac:dyDescent="0.2">
      <c r="A15" t="s">
        <v>30</v>
      </c>
      <c r="B15" s="3"/>
      <c r="C15" s="42">
        <v>8690000</v>
      </c>
      <c r="D15" s="42">
        <v>8690000</v>
      </c>
      <c r="E15" s="25">
        <v>8405000</v>
      </c>
      <c r="F15" s="34">
        <v>8490000</v>
      </c>
      <c r="G15" s="3">
        <v>8690000</v>
      </c>
      <c r="J15" t="s">
        <v>31</v>
      </c>
      <c r="K15" t="s">
        <v>38</v>
      </c>
      <c r="L15" t="b">
        <v>1</v>
      </c>
    </row>
    <row r="16" spans="1:12" x14ac:dyDescent="0.2">
      <c r="A16" t="s">
        <v>33</v>
      </c>
      <c r="B16" s="3"/>
      <c r="C16" s="25">
        <v>16490000</v>
      </c>
      <c r="D16" s="42">
        <v>16490000</v>
      </c>
      <c r="E16" s="25">
        <v>16127000</v>
      </c>
      <c r="F16" s="34">
        <v>16250000</v>
      </c>
      <c r="G16" s="3">
        <v>16050000</v>
      </c>
      <c r="J16" t="s">
        <v>2</v>
      </c>
      <c r="K16" t="s">
        <v>198</v>
      </c>
      <c r="L16" t="b">
        <v>1</v>
      </c>
    </row>
    <row r="17" spans="1:12" x14ac:dyDescent="0.2">
      <c r="A17" t="s">
        <v>37</v>
      </c>
      <c r="B17" s="25"/>
      <c r="C17" s="25">
        <v>22490000</v>
      </c>
      <c r="D17" s="25">
        <v>22390000</v>
      </c>
      <c r="E17" s="25">
        <v>21290000</v>
      </c>
      <c r="F17" s="38">
        <v>21990000</v>
      </c>
      <c r="G17" s="4">
        <v>21790000</v>
      </c>
      <c r="J17" t="s">
        <v>3</v>
      </c>
      <c r="K17" t="s">
        <v>36</v>
      </c>
      <c r="L17" t="b">
        <v>1</v>
      </c>
    </row>
    <row r="18" spans="1:12" x14ac:dyDescent="0.2">
      <c r="A18" t="s">
        <v>184</v>
      </c>
      <c r="B18" s="25"/>
      <c r="C18" s="38">
        <v>24990000</v>
      </c>
      <c r="D18" s="42">
        <v>26690000</v>
      </c>
      <c r="E18" s="25">
        <v>26990000</v>
      </c>
      <c r="F18" s="38">
        <v>26990000</v>
      </c>
      <c r="G18" s="4">
        <v>26590000</v>
      </c>
      <c r="J18" t="s">
        <v>4</v>
      </c>
      <c r="K18" t="s">
        <v>34</v>
      </c>
      <c r="L18" t="b">
        <v>1</v>
      </c>
    </row>
    <row r="19" spans="1:12" x14ac:dyDescent="0.2">
      <c r="A19" t="s">
        <v>185</v>
      </c>
      <c r="B19" s="3"/>
      <c r="C19" s="38">
        <v>33990000</v>
      </c>
      <c r="D19" s="42">
        <v>36490000</v>
      </c>
      <c r="E19" s="25">
        <v>35990000</v>
      </c>
      <c r="F19" s="34">
        <v>36490000</v>
      </c>
      <c r="G19" s="4">
        <v>36390000</v>
      </c>
      <c r="J19" t="s">
        <v>41</v>
      </c>
      <c r="K19" t="s">
        <v>42</v>
      </c>
      <c r="L19" t="b">
        <v>1</v>
      </c>
    </row>
    <row r="20" spans="1:12" x14ac:dyDescent="0.2">
      <c r="A20" t="s">
        <v>227</v>
      </c>
      <c r="B20" s="25"/>
      <c r="C20" s="37">
        <v>5990000</v>
      </c>
      <c r="D20" s="3">
        <v>5790000</v>
      </c>
      <c r="E20" s="3">
        <v>5732000</v>
      </c>
      <c r="F20" s="34">
        <v>5790000</v>
      </c>
      <c r="G20" s="3">
        <v>5790000</v>
      </c>
    </row>
    <row r="21" spans="1:12" x14ac:dyDescent="0.2">
      <c r="A21" t="s">
        <v>228</v>
      </c>
      <c r="B21" s="25"/>
      <c r="C21" s="38" t="s">
        <v>22</v>
      </c>
      <c r="D21" s="25">
        <v>6690000</v>
      </c>
      <c r="E21" s="3">
        <v>6920000</v>
      </c>
      <c r="F21" s="38">
        <v>6690000</v>
      </c>
      <c r="G21" s="4">
        <v>7190000</v>
      </c>
    </row>
    <row r="22" spans="1:12" x14ac:dyDescent="0.2">
      <c r="A22" t="s">
        <v>229</v>
      </c>
      <c r="B22" s="25"/>
      <c r="C22" s="34">
        <v>6590000</v>
      </c>
      <c r="D22" s="3">
        <v>6590000</v>
      </c>
      <c r="E22" s="3">
        <v>6425000</v>
      </c>
      <c r="F22" s="34">
        <v>6590000</v>
      </c>
      <c r="G22" s="3">
        <v>6590000</v>
      </c>
    </row>
    <row r="23" spans="1:12" x14ac:dyDescent="0.2">
      <c r="A23" t="s">
        <v>230</v>
      </c>
      <c r="B23" s="25"/>
      <c r="C23" s="38">
        <v>7890000</v>
      </c>
      <c r="D23" s="25">
        <v>7890000</v>
      </c>
      <c r="E23" s="3">
        <v>7712000</v>
      </c>
      <c r="F23" s="38">
        <v>7790000</v>
      </c>
      <c r="G23" s="3">
        <v>7690000</v>
      </c>
    </row>
    <row r="24" spans="1:12" x14ac:dyDescent="0.2">
      <c r="A24" t="s">
        <v>213</v>
      </c>
      <c r="B24" s="25"/>
      <c r="C24" s="34">
        <v>10790000</v>
      </c>
      <c r="D24" s="3">
        <v>10690000</v>
      </c>
      <c r="E24" s="3">
        <v>10187000</v>
      </c>
      <c r="F24" s="34" t="s">
        <v>250</v>
      </c>
      <c r="G24" s="3">
        <v>10590000</v>
      </c>
    </row>
    <row r="25" spans="1:12" x14ac:dyDescent="0.2">
      <c r="A25" t="s">
        <v>214</v>
      </c>
      <c r="B25" s="25"/>
      <c r="C25" s="38">
        <v>13090000</v>
      </c>
      <c r="D25" s="25">
        <v>12690000</v>
      </c>
      <c r="E25" s="3">
        <v>12860000</v>
      </c>
      <c r="F25" s="38">
        <v>13190000</v>
      </c>
      <c r="G25" s="4">
        <v>12890000</v>
      </c>
    </row>
    <row r="26" spans="1:12" x14ac:dyDescent="0.2">
      <c r="A26" t="s">
        <v>215</v>
      </c>
      <c r="B26" s="25"/>
      <c r="C26" s="34">
        <v>11590000</v>
      </c>
      <c r="D26" s="3">
        <v>11490000</v>
      </c>
      <c r="E26" s="3">
        <v>10880000</v>
      </c>
      <c r="F26" s="34">
        <v>11490000</v>
      </c>
      <c r="G26" s="34">
        <v>11290000</v>
      </c>
      <c r="H26" s="49"/>
      <c r="I26" s="26"/>
    </row>
    <row r="27" spans="1:12" x14ac:dyDescent="0.2">
      <c r="A27" t="s">
        <v>217</v>
      </c>
      <c r="B27" s="3"/>
      <c r="C27" s="38">
        <v>13990000</v>
      </c>
      <c r="D27" s="25">
        <v>13690000</v>
      </c>
      <c r="E27" s="3">
        <v>13553000</v>
      </c>
      <c r="F27" s="38">
        <v>13890000</v>
      </c>
      <c r="G27" s="4">
        <v>13590000</v>
      </c>
    </row>
    <row r="28" spans="1:12" x14ac:dyDescent="0.2">
      <c r="A28" t="s">
        <v>172</v>
      </c>
      <c r="B28" s="25"/>
      <c r="C28" s="38">
        <v>22290000</v>
      </c>
      <c r="D28" s="25">
        <v>21990000</v>
      </c>
      <c r="E28" s="25">
        <v>21790000</v>
      </c>
      <c r="F28" s="39">
        <v>21990000</v>
      </c>
      <c r="G28" s="4">
        <v>22990000</v>
      </c>
    </row>
    <row r="29" spans="1:12" x14ac:dyDescent="0.2">
      <c r="A29" t="s">
        <v>53</v>
      </c>
      <c r="B29" s="3"/>
      <c r="C29" s="34">
        <v>5690000</v>
      </c>
      <c r="D29" s="34">
        <v>5690000</v>
      </c>
      <c r="E29" s="3">
        <v>5633000</v>
      </c>
      <c r="F29" s="37">
        <v>5659000</v>
      </c>
      <c r="G29" s="3">
        <v>5650000</v>
      </c>
    </row>
    <row r="30" spans="1:12" x14ac:dyDescent="0.2">
      <c r="A30" t="s">
        <v>54</v>
      </c>
      <c r="B30" s="3"/>
      <c r="C30" s="37">
        <v>4690000</v>
      </c>
      <c r="D30" s="37">
        <v>4590000</v>
      </c>
      <c r="E30" s="3">
        <v>4445000</v>
      </c>
      <c r="F30" s="37">
        <v>4590000</v>
      </c>
      <c r="G30" s="34">
        <v>4590000</v>
      </c>
    </row>
    <row r="31" spans="1:12" x14ac:dyDescent="0.2">
      <c r="A31" t="s">
        <v>55</v>
      </c>
      <c r="B31" s="3"/>
      <c r="C31" s="34">
        <v>3390000</v>
      </c>
      <c r="D31" s="37">
        <v>3390000</v>
      </c>
      <c r="E31" s="3">
        <v>3190000</v>
      </c>
      <c r="F31" s="37">
        <v>3350000</v>
      </c>
      <c r="G31" s="34">
        <v>3350000</v>
      </c>
    </row>
    <row r="32" spans="1:12" x14ac:dyDescent="0.2">
      <c r="A32" t="s">
        <v>175</v>
      </c>
      <c r="B32" s="3"/>
      <c r="C32" s="25">
        <v>17190000</v>
      </c>
      <c r="D32" s="38">
        <v>16990000</v>
      </c>
      <c r="E32" s="36"/>
      <c r="F32" s="38">
        <v>17190000</v>
      </c>
      <c r="G32" s="3">
        <v>16490000</v>
      </c>
    </row>
    <row r="33" spans="1:7" x14ac:dyDescent="0.2">
      <c r="A33" t="s">
        <v>186</v>
      </c>
      <c r="B33" s="25"/>
      <c r="C33" s="25">
        <v>21090000</v>
      </c>
      <c r="D33" s="25">
        <v>20990000</v>
      </c>
      <c r="E33" s="36"/>
      <c r="F33" s="38">
        <v>20790000</v>
      </c>
      <c r="G33" s="4">
        <v>20590000</v>
      </c>
    </row>
    <row r="34" spans="1:7" x14ac:dyDescent="0.2">
      <c r="A34" t="s">
        <v>232</v>
      </c>
      <c r="B34" s="3"/>
      <c r="C34" s="38">
        <v>24990000</v>
      </c>
      <c r="D34" s="38">
        <v>23990000</v>
      </c>
      <c r="E34" s="36"/>
      <c r="F34" s="38">
        <v>24690000</v>
      </c>
      <c r="G34" s="4">
        <v>25290000</v>
      </c>
    </row>
    <row r="35" spans="1:7" x14ac:dyDescent="0.2">
      <c r="A35" t="s">
        <v>59</v>
      </c>
      <c r="B35" s="3"/>
      <c r="C35" s="42">
        <v>26990000</v>
      </c>
      <c r="D35" s="39">
        <v>26490000</v>
      </c>
      <c r="E35" s="36"/>
      <c r="F35" s="38">
        <v>25990000</v>
      </c>
      <c r="G35" s="4">
        <v>25890000</v>
      </c>
    </row>
    <row r="36" spans="1:7" x14ac:dyDescent="0.2">
      <c r="A36" t="s">
        <v>61</v>
      </c>
      <c r="B36" s="25"/>
      <c r="C36" s="38">
        <v>31990000</v>
      </c>
      <c r="D36" s="25">
        <v>31890000</v>
      </c>
      <c r="E36" s="36"/>
      <c r="F36" s="34">
        <v>31290000</v>
      </c>
      <c r="G36" s="3">
        <v>31290000</v>
      </c>
    </row>
    <row r="37" spans="1:7" x14ac:dyDescent="0.2">
      <c r="A37" t="s">
        <v>187</v>
      </c>
      <c r="B37" s="25"/>
      <c r="C37" s="25">
        <v>39590000</v>
      </c>
      <c r="D37" s="25">
        <v>39590000</v>
      </c>
      <c r="E37" s="36"/>
      <c r="F37" s="39">
        <v>39290000</v>
      </c>
      <c r="G37" s="4">
        <v>38990000</v>
      </c>
    </row>
  </sheetData>
  <pageMargins left="0.7" right="0.7" top="0.75" bottom="0.75" header="0.3" footer="0.3"/>
  <pageSetup paperSize="9" orientation="portrait" horizontalDpi="0" verticalDpi="0"/>
  <legacyDrawing r:id="rId1"/>
</worksheet>
</file>

<file path=xl/worksheets/sheet6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D00-000000000000}">
  <dimension ref="A1:L37"/>
  <sheetViews>
    <sheetView zoomScale="125" zoomScaleNormal="120" workbookViewId="0">
      <pane xSplit="2" ySplit="1" topLeftCell="C14" activePane="bottomRight" state="frozen"/>
      <selection pane="topRight" activeCell="C1" sqref="C1"/>
      <selection pane="bottomLeft" activeCell="A2" sqref="A2"/>
      <selection pane="bottomRight" activeCell="C1" sqref="C1"/>
    </sheetView>
  </sheetViews>
  <sheetFormatPr baseColWidth="10" defaultColWidth="11" defaultRowHeight="16" x14ac:dyDescent="0.2"/>
  <cols>
    <col min="1" max="1" width="27.5" bestFit="1" customWidth="1"/>
    <col min="2" max="2" width="0" hidden="1"/>
    <col min="3" max="6" width="10.1640625" bestFit="1" customWidth="1"/>
    <col min="7" max="7" width="13" customWidth="1"/>
    <col min="8" max="8" width="8.1640625" customWidth="1"/>
  </cols>
  <sheetData>
    <row r="1" spans="1:12" x14ac:dyDescent="0.2">
      <c r="B1" s="46" t="s">
        <v>0</v>
      </c>
      <c r="C1" s="46" t="s">
        <v>1</v>
      </c>
      <c r="D1" s="46" t="s">
        <v>2</v>
      </c>
      <c r="E1" s="81" t="s">
        <v>3</v>
      </c>
      <c r="F1" s="81" t="s">
        <v>4</v>
      </c>
      <c r="G1" s="81" t="s">
        <v>5</v>
      </c>
    </row>
    <row r="2" spans="1:12" x14ac:dyDescent="0.2">
      <c r="A2" t="s">
        <v>21</v>
      </c>
      <c r="B2" s="46"/>
      <c r="C2" s="47">
        <v>16190000</v>
      </c>
      <c r="D2" s="47">
        <v>16190000</v>
      </c>
      <c r="E2" s="39">
        <v>15990000</v>
      </c>
      <c r="F2" s="39">
        <v>16190000</v>
      </c>
      <c r="G2" s="39">
        <v>15990000</v>
      </c>
    </row>
    <row r="3" spans="1:12" x14ac:dyDescent="0.2">
      <c r="A3" t="s">
        <v>181</v>
      </c>
      <c r="B3" s="25"/>
      <c r="C3" s="38">
        <v>18990000</v>
      </c>
      <c r="D3" s="42">
        <v>18890000</v>
      </c>
      <c r="E3" s="39">
        <v>18490000</v>
      </c>
      <c r="F3" s="39">
        <v>18790000</v>
      </c>
      <c r="G3" s="39">
        <v>18690000</v>
      </c>
    </row>
    <row r="4" spans="1:12" x14ac:dyDescent="0.2">
      <c r="A4" t="s">
        <v>24</v>
      </c>
      <c r="B4" s="3"/>
      <c r="C4" s="38">
        <v>21990000</v>
      </c>
      <c r="D4" s="42">
        <v>21990000</v>
      </c>
      <c r="E4" s="39">
        <v>21690000</v>
      </c>
      <c r="F4" s="39">
        <v>21890000</v>
      </c>
      <c r="G4" s="39">
        <v>21890000</v>
      </c>
    </row>
    <row r="5" spans="1:12" x14ac:dyDescent="0.2">
      <c r="A5" t="s">
        <v>182</v>
      </c>
      <c r="B5" s="25"/>
      <c r="C5" s="25">
        <v>25090000</v>
      </c>
      <c r="D5" s="42">
        <v>24990000</v>
      </c>
      <c r="E5" s="39">
        <v>24290000</v>
      </c>
      <c r="F5" s="37">
        <v>24890000</v>
      </c>
      <c r="G5" s="39">
        <v>24690000</v>
      </c>
    </row>
    <row r="6" spans="1:12" x14ac:dyDescent="0.2">
      <c r="A6" t="s">
        <v>183</v>
      </c>
      <c r="B6" s="3"/>
      <c r="C6" s="3">
        <v>30490000</v>
      </c>
      <c r="D6" s="42">
        <v>30490000</v>
      </c>
      <c r="E6" s="39">
        <v>29990000</v>
      </c>
      <c r="F6" s="37">
        <v>30290000</v>
      </c>
      <c r="G6" s="37">
        <v>29890000</v>
      </c>
    </row>
    <row r="7" spans="1:12" x14ac:dyDescent="0.2">
      <c r="A7" t="s">
        <v>25</v>
      </c>
      <c r="B7" s="25"/>
      <c r="C7" s="3">
        <v>15790000</v>
      </c>
      <c r="D7" s="42">
        <v>15790000</v>
      </c>
      <c r="E7" s="39">
        <v>15490000</v>
      </c>
      <c r="F7" s="37">
        <v>15590000</v>
      </c>
      <c r="G7" s="39">
        <v>15490000</v>
      </c>
    </row>
    <row r="8" spans="1:12" x14ac:dyDescent="0.2">
      <c r="A8" t="s">
        <v>26</v>
      </c>
      <c r="B8" s="25"/>
      <c r="C8" s="25">
        <v>19290000</v>
      </c>
      <c r="D8" s="41">
        <v>19290000</v>
      </c>
      <c r="E8" s="39">
        <v>18990000</v>
      </c>
      <c r="F8" s="37">
        <v>19290000</v>
      </c>
      <c r="G8" s="39">
        <v>18890000</v>
      </c>
    </row>
    <row r="9" spans="1:12" x14ac:dyDescent="0.2">
      <c r="A9" t="s">
        <v>158</v>
      </c>
      <c r="B9" s="3"/>
      <c r="C9" s="25">
        <v>29990000</v>
      </c>
      <c r="D9" s="25">
        <v>28490000</v>
      </c>
      <c r="E9" s="39" t="s">
        <v>22</v>
      </c>
      <c r="F9" s="37">
        <v>28290000</v>
      </c>
      <c r="G9" s="39">
        <v>27890000</v>
      </c>
    </row>
    <row r="10" spans="1:12" x14ac:dyDescent="0.2">
      <c r="A10" t="s">
        <v>92</v>
      </c>
      <c r="B10" s="3"/>
      <c r="C10" s="39" t="s">
        <v>22</v>
      </c>
      <c r="D10" s="25">
        <v>18490000</v>
      </c>
      <c r="E10" s="39">
        <v>18990000</v>
      </c>
      <c r="F10" s="42" t="s">
        <v>22</v>
      </c>
      <c r="G10" s="39">
        <v>17390000</v>
      </c>
    </row>
    <row r="11" spans="1:12" x14ac:dyDescent="0.2">
      <c r="A11" t="s">
        <v>27</v>
      </c>
      <c r="B11" s="25"/>
      <c r="C11" s="38">
        <v>12790000</v>
      </c>
      <c r="D11" s="39">
        <v>12690000</v>
      </c>
      <c r="E11" s="39">
        <v>12690000</v>
      </c>
      <c r="F11" s="38">
        <v>12690000</v>
      </c>
      <c r="G11" s="39">
        <v>12590000</v>
      </c>
    </row>
    <row r="12" spans="1:12" x14ac:dyDescent="0.2">
      <c r="A12" t="s">
        <v>28</v>
      </c>
      <c r="B12" s="3"/>
      <c r="C12" s="38">
        <v>11790000</v>
      </c>
      <c r="D12" s="38">
        <v>11690000</v>
      </c>
      <c r="E12" s="39">
        <v>11390000</v>
      </c>
      <c r="F12" s="38">
        <v>11590000</v>
      </c>
      <c r="G12" s="4">
        <v>11590000</v>
      </c>
    </row>
    <row r="13" spans="1:12" x14ac:dyDescent="0.2">
      <c r="A13" t="s">
        <v>98</v>
      </c>
      <c r="B13" s="25"/>
      <c r="C13" s="25">
        <v>9990000</v>
      </c>
      <c r="D13" s="25" t="s">
        <v>22</v>
      </c>
      <c r="E13" s="25" t="s">
        <v>22</v>
      </c>
      <c r="F13" s="25" t="s">
        <v>22</v>
      </c>
      <c r="G13" s="4" t="s">
        <v>22</v>
      </c>
    </row>
    <row r="14" spans="1:12" x14ac:dyDescent="0.2">
      <c r="A14" t="s">
        <v>29</v>
      </c>
      <c r="B14" s="25"/>
      <c r="C14" s="37">
        <v>13790000</v>
      </c>
      <c r="D14" s="25">
        <v>13790000</v>
      </c>
      <c r="E14" s="39">
        <v>13652000</v>
      </c>
      <c r="F14" s="38">
        <v>13790000</v>
      </c>
      <c r="G14" s="4">
        <v>13690000</v>
      </c>
    </row>
    <row r="15" spans="1:12" x14ac:dyDescent="0.2">
      <c r="A15" t="s">
        <v>30</v>
      </c>
      <c r="B15" s="3"/>
      <c r="C15" s="41">
        <v>9990000</v>
      </c>
      <c r="D15" s="41">
        <v>9890000</v>
      </c>
      <c r="E15" s="25">
        <v>9395000</v>
      </c>
      <c r="F15" s="34" t="s">
        <v>258</v>
      </c>
      <c r="G15" s="3">
        <v>9590000</v>
      </c>
      <c r="J15" t="s">
        <v>31</v>
      </c>
      <c r="K15" t="s">
        <v>38</v>
      </c>
      <c r="L15" t="b">
        <v>1</v>
      </c>
    </row>
    <row r="16" spans="1:12" x14ac:dyDescent="0.2">
      <c r="A16" t="s">
        <v>33</v>
      </c>
      <c r="B16" s="3"/>
      <c r="C16" s="25">
        <v>16490000</v>
      </c>
      <c r="D16" s="42">
        <v>16490000</v>
      </c>
      <c r="E16" s="25">
        <v>16127000</v>
      </c>
      <c r="F16" s="38">
        <v>16250000</v>
      </c>
      <c r="G16" s="4">
        <v>16050000</v>
      </c>
      <c r="J16" t="s">
        <v>2</v>
      </c>
      <c r="K16" t="s">
        <v>198</v>
      </c>
      <c r="L16" t="b">
        <v>1</v>
      </c>
    </row>
    <row r="17" spans="1:12" x14ac:dyDescent="0.2">
      <c r="A17" t="s">
        <v>37</v>
      </c>
      <c r="B17" s="25"/>
      <c r="C17" s="25">
        <v>22490000</v>
      </c>
      <c r="D17" s="25">
        <v>22390000</v>
      </c>
      <c r="E17" s="25">
        <v>21290000</v>
      </c>
      <c r="F17" s="38">
        <v>21990000</v>
      </c>
      <c r="G17" s="4">
        <v>21790000</v>
      </c>
      <c r="J17" t="s">
        <v>3</v>
      </c>
      <c r="K17" t="s">
        <v>36</v>
      </c>
      <c r="L17" t="b">
        <v>1</v>
      </c>
    </row>
    <row r="18" spans="1:12" x14ac:dyDescent="0.2">
      <c r="A18" t="s">
        <v>184</v>
      </c>
      <c r="B18" s="25"/>
      <c r="C18" s="38">
        <v>24990000</v>
      </c>
      <c r="D18" s="41">
        <v>27690000</v>
      </c>
      <c r="E18" s="25">
        <v>26990000</v>
      </c>
      <c r="F18" s="34">
        <v>27990000</v>
      </c>
      <c r="G18" s="4">
        <v>26590000</v>
      </c>
      <c r="J18" t="s">
        <v>4</v>
      </c>
      <c r="K18" t="s">
        <v>34</v>
      </c>
      <c r="L18" t="b">
        <v>1</v>
      </c>
    </row>
    <row r="19" spans="1:12" x14ac:dyDescent="0.2">
      <c r="A19" t="s">
        <v>185</v>
      </c>
      <c r="B19" s="3"/>
      <c r="C19" s="38">
        <v>33990000</v>
      </c>
      <c r="D19" s="41">
        <v>36690000</v>
      </c>
      <c r="E19" s="25">
        <v>35990000</v>
      </c>
      <c r="F19" s="38">
        <v>36490000</v>
      </c>
      <c r="G19" s="4">
        <v>36390000</v>
      </c>
      <c r="J19" t="s">
        <v>41</v>
      </c>
      <c r="K19" t="s">
        <v>42</v>
      </c>
      <c r="L19" t="b">
        <v>1</v>
      </c>
    </row>
    <row r="20" spans="1:12" x14ac:dyDescent="0.2">
      <c r="A20" t="s">
        <v>227</v>
      </c>
      <c r="B20" s="25"/>
      <c r="C20" s="39">
        <v>5990000</v>
      </c>
      <c r="D20" s="25">
        <v>5790000</v>
      </c>
      <c r="E20" s="25">
        <v>5732000</v>
      </c>
      <c r="F20" s="38">
        <v>5790000</v>
      </c>
      <c r="G20" s="4">
        <v>5790000</v>
      </c>
    </row>
    <row r="21" spans="1:12" x14ac:dyDescent="0.2">
      <c r="A21" t="s">
        <v>228</v>
      </c>
      <c r="B21" s="25"/>
      <c r="C21" s="38" t="s">
        <v>22</v>
      </c>
      <c r="D21" s="25">
        <v>6690000</v>
      </c>
      <c r="E21" s="25">
        <v>6920000</v>
      </c>
      <c r="F21" s="38">
        <v>6690000</v>
      </c>
      <c r="G21" s="3">
        <v>6590000</v>
      </c>
    </row>
    <row r="22" spans="1:12" x14ac:dyDescent="0.2">
      <c r="A22" t="s">
        <v>229</v>
      </c>
      <c r="B22" s="25"/>
      <c r="C22" s="38">
        <v>6590000</v>
      </c>
      <c r="D22" s="25">
        <v>6590000</v>
      </c>
      <c r="E22" s="3">
        <v>6128000</v>
      </c>
      <c r="F22" s="38">
        <v>6590000</v>
      </c>
      <c r="G22" s="4">
        <v>6590000</v>
      </c>
    </row>
    <row r="23" spans="1:12" x14ac:dyDescent="0.2">
      <c r="A23" t="s">
        <v>230</v>
      </c>
      <c r="B23" s="25"/>
      <c r="C23" s="38">
        <v>7890000</v>
      </c>
      <c r="D23" s="25">
        <v>7890000</v>
      </c>
      <c r="E23" s="25">
        <v>7712000</v>
      </c>
      <c r="F23" s="38">
        <v>7790000</v>
      </c>
      <c r="G23" s="4">
        <v>7690000</v>
      </c>
    </row>
    <row r="24" spans="1:12" x14ac:dyDescent="0.2">
      <c r="A24" t="s">
        <v>213</v>
      </c>
      <c r="B24" s="25"/>
      <c r="C24" s="38">
        <v>10790000</v>
      </c>
      <c r="D24" s="25">
        <v>10690000</v>
      </c>
      <c r="E24" s="25">
        <v>10187000</v>
      </c>
      <c r="F24" s="38" t="s">
        <v>245</v>
      </c>
      <c r="G24" s="4">
        <v>10590000</v>
      </c>
    </row>
    <row r="25" spans="1:12" x14ac:dyDescent="0.2">
      <c r="A25" t="s">
        <v>214</v>
      </c>
      <c r="B25" s="25"/>
      <c r="C25" s="38">
        <v>13090000</v>
      </c>
      <c r="D25" s="25">
        <v>12690000</v>
      </c>
      <c r="E25" s="3">
        <v>12563000</v>
      </c>
      <c r="F25" s="38">
        <v>13190000</v>
      </c>
      <c r="G25" s="4">
        <v>12890000</v>
      </c>
    </row>
    <row r="26" spans="1:12" x14ac:dyDescent="0.2">
      <c r="A26" t="s">
        <v>215</v>
      </c>
      <c r="B26" s="25"/>
      <c r="C26" s="38">
        <v>11590000</v>
      </c>
      <c r="D26" s="25">
        <v>11490000</v>
      </c>
      <c r="E26" s="25">
        <v>10880000</v>
      </c>
      <c r="F26" s="38">
        <v>11490000</v>
      </c>
      <c r="G26" s="4">
        <v>11290000</v>
      </c>
      <c r="H26" s="49"/>
      <c r="I26" s="26"/>
    </row>
    <row r="27" spans="1:12" x14ac:dyDescent="0.2">
      <c r="A27" t="s">
        <v>217</v>
      </c>
      <c r="B27" s="3"/>
      <c r="C27" s="38">
        <v>13990000</v>
      </c>
      <c r="D27" s="25">
        <v>13690000</v>
      </c>
      <c r="E27" s="3">
        <v>13256000</v>
      </c>
      <c r="F27" s="38">
        <v>13890000</v>
      </c>
      <c r="G27" s="4">
        <v>13590000</v>
      </c>
    </row>
    <row r="28" spans="1:12" x14ac:dyDescent="0.2">
      <c r="A28" t="s">
        <v>172</v>
      </c>
      <c r="B28" s="25"/>
      <c r="C28" s="38">
        <v>22290000</v>
      </c>
      <c r="D28" s="25">
        <v>21990000</v>
      </c>
      <c r="E28" s="25">
        <v>21790000</v>
      </c>
      <c r="F28" s="39">
        <v>21990000</v>
      </c>
      <c r="G28" s="4">
        <v>22990000</v>
      </c>
    </row>
    <row r="29" spans="1:12" x14ac:dyDescent="0.2">
      <c r="A29" t="s">
        <v>53</v>
      </c>
      <c r="B29" s="3"/>
      <c r="C29" s="38">
        <v>5690000</v>
      </c>
      <c r="D29" s="34">
        <v>5640000</v>
      </c>
      <c r="E29" s="25">
        <v>5633000</v>
      </c>
      <c r="F29" s="37">
        <v>5599000</v>
      </c>
      <c r="G29" s="3">
        <v>5590000</v>
      </c>
    </row>
    <row r="30" spans="1:12" x14ac:dyDescent="0.2">
      <c r="A30" t="s">
        <v>54</v>
      </c>
      <c r="B30" s="3"/>
      <c r="C30" s="39">
        <v>4690000</v>
      </c>
      <c r="D30" s="37">
        <v>4540000</v>
      </c>
      <c r="E30" s="25">
        <v>4445000</v>
      </c>
      <c r="F30" s="37">
        <v>4550000</v>
      </c>
      <c r="G30" s="34">
        <v>4590000</v>
      </c>
    </row>
    <row r="31" spans="1:12" x14ac:dyDescent="0.2">
      <c r="A31" t="s">
        <v>55</v>
      </c>
      <c r="B31" s="3"/>
      <c r="C31" s="38">
        <v>3390000</v>
      </c>
      <c r="D31" s="37">
        <v>3290000</v>
      </c>
      <c r="E31" s="25">
        <v>3190000</v>
      </c>
      <c r="F31" s="37">
        <v>3290000</v>
      </c>
      <c r="G31" s="34">
        <v>3290000</v>
      </c>
    </row>
    <row r="32" spans="1:12" x14ac:dyDescent="0.2">
      <c r="A32" t="s">
        <v>175</v>
      </c>
      <c r="B32" s="3"/>
      <c r="C32" s="25">
        <v>17190000</v>
      </c>
      <c r="D32" s="38">
        <v>16990000</v>
      </c>
      <c r="E32" s="36"/>
      <c r="F32" s="38">
        <v>17190000</v>
      </c>
      <c r="G32" s="4">
        <v>16490000</v>
      </c>
    </row>
    <row r="33" spans="1:7" x14ac:dyDescent="0.2">
      <c r="A33" t="s">
        <v>186</v>
      </c>
      <c r="B33" s="25"/>
      <c r="C33" s="25">
        <v>21090000</v>
      </c>
      <c r="D33" s="3">
        <v>20790000</v>
      </c>
      <c r="E33" s="36"/>
      <c r="F33" s="38">
        <v>20790000</v>
      </c>
      <c r="G33" s="4">
        <v>20590000</v>
      </c>
    </row>
    <row r="34" spans="1:7" x14ac:dyDescent="0.2">
      <c r="A34" t="s">
        <v>232</v>
      </c>
      <c r="B34" s="3"/>
      <c r="C34" s="38">
        <v>24990000</v>
      </c>
      <c r="D34" s="38">
        <v>23990000</v>
      </c>
      <c r="E34" s="36"/>
      <c r="F34" s="38">
        <v>24690000</v>
      </c>
      <c r="G34" s="4">
        <v>25290000</v>
      </c>
    </row>
    <row r="35" spans="1:7" x14ac:dyDescent="0.2">
      <c r="A35" t="s">
        <v>59</v>
      </c>
      <c r="B35" s="3"/>
      <c r="C35" s="42">
        <v>26990000</v>
      </c>
      <c r="D35" s="37">
        <v>26290000</v>
      </c>
      <c r="E35" s="36"/>
      <c r="F35" s="34">
        <v>25890000</v>
      </c>
      <c r="G35" s="3">
        <v>25690000</v>
      </c>
    </row>
    <row r="36" spans="1:7" x14ac:dyDescent="0.2">
      <c r="A36" t="s">
        <v>61</v>
      </c>
      <c r="B36" s="25"/>
      <c r="C36" s="38">
        <v>31990000</v>
      </c>
      <c r="D36" s="25">
        <v>31890000</v>
      </c>
      <c r="E36" s="36"/>
      <c r="F36" s="38">
        <v>31290000</v>
      </c>
      <c r="G36" s="4">
        <v>31290000</v>
      </c>
    </row>
    <row r="37" spans="1:7" x14ac:dyDescent="0.2">
      <c r="A37" t="s">
        <v>187</v>
      </c>
      <c r="B37" s="25"/>
      <c r="C37" s="25">
        <v>39590000</v>
      </c>
      <c r="D37" s="25">
        <v>39590000</v>
      </c>
      <c r="E37" s="36"/>
      <c r="F37" s="39">
        <v>39290000</v>
      </c>
      <c r="G37" s="4">
        <v>38990000</v>
      </c>
    </row>
  </sheetData>
  <pageMargins left="0.7" right="0.7" top="0.75" bottom="0.75" header="0.3" footer="0.3"/>
  <pageSetup paperSize="9" orientation="portrait" horizontalDpi="0" verticalDpi="0"/>
  <legacyDrawing r:id="rId1"/>
</worksheet>
</file>

<file path=xl/worksheets/sheet6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E00-000000000000}">
  <dimension ref="A1:L37"/>
  <sheetViews>
    <sheetView zoomScale="114" zoomScaleNormal="130" workbookViewId="0">
      <pane xSplit="2" ySplit="1" topLeftCell="C7" activePane="bottomRight" state="frozen"/>
      <selection pane="topRight" activeCell="C1" sqref="C1"/>
      <selection pane="bottomLeft" activeCell="A2" sqref="A2"/>
      <selection pane="bottomRight" activeCell="C1" sqref="C1"/>
    </sheetView>
  </sheetViews>
  <sheetFormatPr baseColWidth="10" defaultColWidth="11" defaultRowHeight="16" x14ac:dyDescent="0.2"/>
  <cols>
    <col min="1" max="1" width="27.5" bestFit="1" customWidth="1"/>
    <col min="2" max="2" width="0" hidden="1"/>
    <col min="3" max="6" width="10.1640625" bestFit="1" customWidth="1"/>
    <col min="7" max="7" width="13" customWidth="1"/>
    <col min="8" max="8" width="8.1640625" customWidth="1"/>
  </cols>
  <sheetData>
    <row r="1" spans="1:12" x14ac:dyDescent="0.2">
      <c r="B1" s="46" t="s">
        <v>0</v>
      </c>
      <c r="C1" s="46" t="s">
        <v>1</v>
      </c>
      <c r="D1" s="46" t="s">
        <v>2</v>
      </c>
      <c r="E1" s="81" t="s">
        <v>3</v>
      </c>
      <c r="F1" s="81" t="s">
        <v>4</v>
      </c>
      <c r="G1" s="81" t="s">
        <v>5</v>
      </c>
    </row>
    <row r="2" spans="1:12" x14ac:dyDescent="0.2">
      <c r="A2" t="s">
        <v>21</v>
      </c>
      <c r="B2" s="46"/>
      <c r="C2" s="50">
        <v>16190000</v>
      </c>
      <c r="D2" s="47">
        <v>16190000</v>
      </c>
      <c r="E2" s="39">
        <v>15990000</v>
      </c>
      <c r="F2" s="39">
        <v>16190000</v>
      </c>
      <c r="G2" s="39">
        <v>15990000</v>
      </c>
    </row>
    <row r="3" spans="1:12" x14ac:dyDescent="0.2">
      <c r="A3" t="s">
        <v>181</v>
      </c>
      <c r="B3" s="25"/>
      <c r="C3" s="52">
        <v>18990000</v>
      </c>
      <c r="D3" s="42">
        <v>18890000</v>
      </c>
      <c r="E3" s="39">
        <v>18490000</v>
      </c>
      <c r="F3" s="37">
        <v>18690000</v>
      </c>
      <c r="G3" s="39">
        <v>18690000</v>
      </c>
    </row>
    <row r="4" spans="1:12" x14ac:dyDescent="0.2">
      <c r="A4" t="s">
        <v>24</v>
      </c>
      <c r="B4" s="3"/>
      <c r="C4" s="52">
        <v>21990000</v>
      </c>
      <c r="D4" s="42">
        <v>21990000</v>
      </c>
      <c r="E4" s="39">
        <v>21690000</v>
      </c>
      <c r="F4" s="37">
        <v>21990000</v>
      </c>
      <c r="G4" s="39">
        <v>21890000</v>
      </c>
    </row>
    <row r="5" spans="1:12" x14ac:dyDescent="0.2">
      <c r="A5" t="s">
        <v>182</v>
      </c>
      <c r="B5" s="25"/>
      <c r="C5" s="52">
        <v>25090000</v>
      </c>
      <c r="D5" s="41">
        <v>25090000</v>
      </c>
      <c r="E5" s="39">
        <v>24290000</v>
      </c>
      <c r="F5" s="37">
        <v>24790000</v>
      </c>
      <c r="G5" s="37">
        <v>24450000</v>
      </c>
    </row>
    <row r="6" spans="1:12" x14ac:dyDescent="0.2">
      <c r="A6" t="s">
        <v>183</v>
      </c>
      <c r="B6" s="3"/>
      <c r="C6" s="53">
        <v>30290000</v>
      </c>
      <c r="D6" s="41">
        <v>30290000</v>
      </c>
      <c r="E6" s="39">
        <v>29990000</v>
      </c>
      <c r="F6" s="37">
        <v>30090000</v>
      </c>
      <c r="G6" s="39">
        <v>29890000</v>
      </c>
    </row>
    <row r="7" spans="1:12" x14ac:dyDescent="0.2">
      <c r="A7" t="s">
        <v>25</v>
      </c>
      <c r="B7" s="25"/>
      <c r="C7" s="53">
        <v>15590000</v>
      </c>
      <c r="D7" s="41">
        <v>15590000</v>
      </c>
      <c r="E7" s="39">
        <v>15490000</v>
      </c>
      <c r="F7" s="37">
        <v>15390000</v>
      </c>
      <c r="G7" s="37">
        <v>15290000</v>
      </c>
    </row>
    <row r="8" spans="1:12" x14ac:dyDescent="0.2">
      <c r="A8" t="s">
        <v>26</v>
      </c>
      <c r="B8" s="25"/>
      <c r="C8" s="52">
        <v>19290000</v>
      </c>
      <c r="D8" s="42">
        <v>19290000</v>
      </c>
      <c r="E8" s="39">
        <v>18990000</v>
      </c>
      <c r="F8" s="37">
        <v>19190000</v>
      </c>
      <c r="G8" s="39">
        <v>18890000</v>
      </c>
    </row>
    <row r="9" spans="1:12" x14ac:dyDescent="0.2">
      <c r="A9" t="s">
        <v>158</v>
      </c>
      <c r="B9" s="3"/>
      <c r="C9" s="53">
        <v>29390000</v>
      </c>
      <c r="D9" s="25">
        <v>28490000</v>
      </c>
      <c r="E9" s="39" t="s">
        <v>22</v>
      </c>
      <c r="F9" s="37">
        <v>28650000</v>
      </c>
      <c r="G9" s="39">
        <v>27890000</v>
      </c>
    </row>
    <row r="10" spans="1:12" x14ac:dyDescent="0.2">
      <c r="A10" t="s">
        <v>92</v>
      </c>
      <c r="B10" s="3"/>
      <c r="C10" s="51" t="s">
        <v>22</v>
      </c>
      <c r="D10" s="25" t="s">
        <v>22</v>
      </c>
      <c r="E10" s="39">
        <v>18990000</v>
      </c>
      <c r="F10" s="42" t="s">
        <v>22</v>
      </c>
      <c r="G10" s="39">
        <v>17490000</v>
      </c>
    </row>
    <row r="11" spans="1:12" x14ac:dyDescent="0.2">
      <c r="A11" t="s">
        <v>27</v>
      </c>
      <c r="B11" s="25"/>
      <c r="C11" s="53">
        <v>12890000</v>
      </c>
      <c r="D11" s="37">
        <v>12790000</v>
      </c>
      <c r="E11" s="39">
        <v>12690000</v>
      </c>
      <c r="F11" s="38">
        <v>12590000</v>
      </c>
      <c r="G11" s="37">
        <v>12490000</v>
      </c>
    </row>
    <row r="12" spans="1:12" x14ac:dyDescent="0.2">
      <c r="A12" t="s">
        <v>28</v>
      </c>
      <c r="B12" s="3"/>
      <c r="C12" s="53">
        <v>11690000</v>
      </c>
      <c r="D12" s="38">
        <v>11690000</v>
      </c>
      <c r="E12" s="39">
        <v>11390000</v>
      </c>
      <c r="F12" s="38">
        <v>11550000</v>
      </c>
      <c r="G12" s="4">
        <v>11590000</v>
      </c>
    </row>
    <row r="13" spans="1:12" x14ac:dyDescent="0.2">
      <c r="A13" t="s">
        <v>98</v>
      </c>
      <c r="B13" s="25"/>
      <c r="C13" s="51" t="s">
        <v>22</v>
      </c>
      <c r="D13" s="25" t="s">
        <v>22</v>
      </c>
      <c r="E13" s="25" t="s">
        <v>22</v>
      </c>
      <c r="F13" s="25" t="s">
        <v>22</v>
      </c>
      <c r="G13" s="4" t="s">
        <v>22</v>
      </c>
    </row>
    <row r="14" spans="1:12" x14ac:dyDescent="0.2">
      <c r="A14" t="s">
        <v>29</v>
      </c>
      <c r="B14" s="25"/>
      <c r="C14" s="53">
        <v>13590000</v>
      </c>
      <c r="D14" s="25" t="s">
        <v>22</v>
      </c>
      <c r="E14" s="39">
        <v>13652000</v>
      </c>
      <c r="F14" s="38">
        <v>13790000</v>
      </c>
      <c r="G14" s="4">
        <v>13690000</v>
      </c>
    </row>
    <row r="15" spans="1:12" x14ac:dyDescent="0.2">
      <c r="A15" t="s">
        <v>30</v>
      </c>
      <c r="B15" s="3"/>
      <c r="C15" s="53">
        <v>9790000</v>
      </c>
      <c r="D15" s="41">
        <v>9750000</v>
      </c>
      <c r="E15" s="25">
        <v>9395000</v>
      </c>
      <c r="F15" s="38" t="s">
        <v>258</v>
      </c>
      <c r="G15" s="4">
        <v>9590000</v>
      </c>
      <c r="J15" t="s">
        <v>31</v>
      </c>
      <c r="K15" t="s">
        <v>38</v>
      </c>
      <c r="L15" t="b">
        <v>1</v>
      </c>
    </row>
    <row r="16" spans="1:12" x14ac:dyDescent="0.2">
      <c r="A16" t="s">
        <v>33</v>
      </c>
      <c r="B16" s="3"/>
      <c r="C16" s="52">
        <v>16490000</v>
      </c>
      <c r="D16" s="42">
        <v>16490000</v>
      </c>
      <c r="E16" s="25">
        <v>16127000</v>
      </c>
      <c r="F16" s="38">
        <v>16250000</v>
      </c>
      <c r="G16" s="3">
        <v>16190000</v>
      </c>
      <c r="J16" t="s">
        <v>2</v>
      </c>
      <c r="K16" t="s">
        <v>198</v>
      </c>
      <c r="L16" t="b">
        <v>1</v>
      </c>
    </row>
    <row r="17" spans="1:12" x14ac:dyDescent="0.2">
      <c r="A17" t="s">
        <v>37</v>
      </c>
      <c r="B17" s="25"/>
      <c r="C17" s="53">
        <v>22090000</v>
      </c>
      <c r="D17" s="41">
        <v>21990000</v>
      </c>
      <c r="E17" s="25">
        <v>21290000</v>
      </c>
      <c r="F17" s="38">
        <v>21990000</v>
      </c>
      <c r="G17" s="4">
        <v>21790000</v>
      </c>
      <c r="J17" t="s">
        <v>3</v>
      </c>
      <c r="K17" t="s">
        <v>36</v>
      </c>
      <c r="L17" t="b">
        <v>1</v>
      </c>
    </row>
    <row r="18" spans="1:12" x14ac:dyDescent="0.2">
      <c r="A18" t="s">
        <v>184</v>
      </c>
      <c r="B18" s="25"/>
      <c r="C18" s="53">
        <v>27490000</v>
      </c>
      <c r="D18" s="41">
        <v>27490000</v>
      </c>
      <c r="E18" s="25">
        <v>26990000</v>
      </c>
      <c r="F18" s="34">
        <v>27690000</v>
      </c>
      <c r="G18" s="4">
        <v>26590000</v>
      </c>
      <c r="J18" t="s">
        <v>4</v>
      </c>
      <c r="K18" t="s">
        <v>34</v>
      </c>
      <c r="L18" t="b">
        <v>1</v>
      </c>
    </row>
    <row r="19" spans="1:12" x14ac:dyDescent="0.2">
      <c r="A19" t="s">
        <v>185</v>
      </c>
      <c r="B19" s="3"/>
      <c r="C19" s="53">
        <v>36290000</v>
      </c>
      <c r="D19" s="41">
        <v>36290000</v>
      </c>
      <c r="E19" s="25">
        <v>35990000</v>
      </c>
      <c r="F19" s="38">
        <v>36490000</v>
      </c>
      <c r="G19" s="4">
        <v>36390000</v>
      </c>
      <c r="J19" t="s">
        <v>41</v>
      </c>
      <c r="K19" t="s">
        <v>42</v>
      </c>
      <c r="L19" t="b">
        <v>1</v>
      </c>
    </row>
    <row r="20" spans="1:12" x14ac:dyDescent="0.2">
      <c r="A20" t="s">
        <v>227</v>
      </c>
      <c r="B20" s="25"/>
      <c r="C20" s="53">
        <v>5890000</v>
      </c>
      <c r="D20" s="41">
        <v>5850000</v>
      </c>
      <c r="E20" s="25">
        <v>5732000</v>
      </c>
      <c r="F20" s="38">
        <v>5790000</v>
      </c>
      <c r="G20" s="4">
        <v>5790000</v>
      </c>
    </row>
    <row r="21" spans="1:12" x14ac:dyDescent="0.2">
      <c r="A21" t="s">
        <v>228</v>
      </c>
      <c r="B21" s="25"/>
      <c r="C21" s="51" t="s">
        <v>22</v>
      </c>
      <c r="D21" s="41">
        <v>6990000</v>
      </c>
      <c r="E21" s="25">
        <v>6920000</v>
      </c>
      <c r="F21" s="34">
        <v>6590000</v>
      </c>
      <c r="G21" s="4">
        <v>6590000</v>
      </c>
    </row>
    <row r="22" spans="1:12" x14ac:dyDescent="0.2">
      <c r="A22" t="s">
        <v>229</v>
      </c>
      <c r="B22" s="25"/>
      <c r="C22" s="53">
        <v>6490000</v>
      </c>
      <c r="D22" s="41">
        <v>6490000</v>
      </c>
      <c r="E22" s="25">
        <v>6128000</v>
      </c>
      <c r="F22" s="38">
        <v>6590000</v>
      </c>
      <c r="G22" s="4">
        <v>6590000</v>
      </c>
    </row>
    <row r="23" spans="1:12" x14ac:dyDescent="0.2">
      <c r="A23" t="s">
        <v>230</v>
      </c>
      <c r="B23" s="25"/>
      <c r="C23" s="53">
        <v>7790000</v>
      </c>
      <c r="D23" s="41">
        <v>7790000</v>
      </c>
      <c r="E23" s="25">
        <v>7712000</v>
      </c>
      <c r="F23" s="38">
        <v>7790000</v>
      </c>
      <c r="G23" s="4">
        <v>7690000</v>
      </c>
    </row>
    <row r="24" spans="1:12" x14ac:dyDescent="0.2">
      <c r="A24" t="s">
        <v>213</v>
      </c>
      <c r="B24" s="25"/>
      <c r="C24" s="53">
        <v>10590000</v>
      </c>
      <c r="D24" s="41">
        <v>10590000</v>
      </c>
      <c r="E24" s="25">
        <v>10187000</v>
      </c>
      <c r="F24" s="34" t="s">
        <v>250</v>
      </c>
      <c r="G24" s="4">
        <v>10590000</v>
      </c>
    </row>
    <row r="25" spans="1:12" x14ac:dyDescent="0.2">
      <c r="A25" t="s">
        <v>214</v>
      </c>
      <c r="B25" s="25"/>
      <c r="C25" s="53">
        <v>12790000</v>
      </c>
      <c r="D25" s="41">
        <v>12790000</v>
      </c>
      <c r="E25" s="3">
        <v>12860000</v>
      </c>
      <c r="F25" s="38">
        <v>13190000</v>
      </c>
      <c r="G25" s="4">
        <v>12890000</v>
      </c>
    </row>
    <row r="26" spans="1:12" x14ac:dyDescent="0.2">
      <c r="A26" t="s">
        <v>215</v>
      </c>
      <c r="B26" s="25"/>
      <c r="C26" s="53">
        <v>11390000</v>
      </c>
      <c r="D26" s="41">
        <v>11390000</v>
      </c>
      <c r="E26" s="25">
        <v>10880000</v>
      </c>
      <c r="F26" s="38">
        <v>11490000</v>
      </c>
      <c r="G26" s="4">
        <v>11290000</v>
      </c>
      <c r="H26" s="49"/>
      <c r="I26" s="26"/>
    </row>
    <row r="27" spans="1:12" x14ac:dyDescent="0.2">
      <c r="A27" t="s">
        <v>217</v>
      </c>
      <c r="B27" s="3"/>
      <c r="C27" s="53">
        <v>13890000</v>
      </c>
      <c r="D27" s="25">
        <v>13690000</v>
      </c>
      <c r="E27" s="3">
        <v>13553000</v>
      </c>
      <c r="F27" s="38">
        <v>13890000</v>
      </c>
      <c r="G27" s="4">
        <v>13590000</v>
      </c>
    </row>
    <row r="28" spans="1:12" x14ac:dyDescent="0.2">
      <c r="A28" t="s">
        <v>172</v>
      </c>
      <c r="B28" s="25"/>
      <c r="C28" s="52">
        <v>22290000</v>
      </c>
      <c r="D28" s="41">
        <v>21890000</v>
      </c>
      <c r="E28" s="25">
        <v>21790000</v>
      </c>
      <c r="F28" s="39">
        <v>21990000</v>
      </c>
      <c r="G28" s="4">
        <v>22990000</v>
      </c>
    </row>
    <row r="29" spans="1:12" x14ac:dyDescent="0.2">
      <c r="A29" t="s">
        <v>53</v>
      </c>
      <c r="B29" s="3"/>
      <c r="C29" s="53">
        <v>5580000</v>
      </c>
      <c r="D29" s="34">
        <v>5500000</v>
      </c>
      <c r="E29" s="25">
        <v>5633000</v>
      </c>
      <c r="F29" s="39">
        <v>5599000</v>
      </c>
      <c r="G29" s="4">
        <v>5590000</v>
      </c>
    </row>
    <row r="30" spans="1:12" x14ac:dyDescent="0.2">
      <c r="A30" t="s">
        <v>54</v>
      </c>
      <c r="B30" s="3"/>
      <c r="C30" s="53">
        <v>4590000</v>
      </c>
      <c r="D30" s="39">
        <v>4540000</v>
      </c>
      <c r="E30" s="25">
        <v>4445000</v>
      </c>
      <c r="F30" s="39">
        <v>4550000</v>
      </c>
      <c r="G30" s="4">
        <v>4590000</v>
      </c>
    </row>
    <row r="31" spans="1:12" x14ac:dyDescent="0.2">
      <c r="A31" t="s">
        <v>55</v>
      </c>
      <c r="B31" s="3"/>
      <c r="C31" s="53">
        <v>3290000</v>
      </c>
      <c r="D31" s="39">
        <v>3290000</v>
      </c>
      <c r="E31" s="3">
        <v>3290000</v>
      </c>
      <c r="F31" s="39">
        <v>3290000</v>
      </c>
      <c r="G31" s="4">
        <v>3290000</v>
      </c>
    </row>
    <row r="32" spans="1:12" x14ac:dyDescent="0.2">
      <c r="A32" t="s">
        <v>175</v>
      </c>
      <c r="B32" s="3"/>
      <c r="C32" s="53">
        <v>17090000</v>
      </c>
      <c r="D32" s="38">
        <v>16990000</v>
      </c>
      <c r="E32" s="36"/>
      <c r="F32" s="38">
        <v>17190000</v>
      </c>
      <c r="G32" s="4">
        <v>16490000</v>
      </c>
    </row>
    <row r="33" spans="1:7" x14ac:dyDescent="0.2">
      <c r="A33" t="s">
        <v>186</v>
      </c>
      <c r="B33" s="25"/>
      <c r="C33" s="53">
        <v>20090000</v>
      </c>
      <c r="D33" s="3">
        <v>20090000</v>
      </c>
      <c r="E33" s="36"/>
      <c r="F33" s="34">
        <v>20290000</v>
      </c>
      <c r="G33" s="4">
        <v>20590000</v>
      </c>
    </row>
    <row r="34" spans="1:7" x14ac:dyDescent="0.2">
      <c r="A34" t="s">
        <v>232</v>
      </c>
      <c r="B34" s="3"/>
      <c r="C34" s="51" t="s">
        <v>22</v>
      </c>
      <c r="D34" s="38">
        <v>23990000</v>
      </c>
      <c r="E34" s="36"/>
      <c r="F34" s="38">
        <v>24690000</v>
      </c>
      <c r="G34" s="4">
        <v>25290000</v>
      </c>
    </row>
    <row r="35" spans="1:7" x14ac:dyDescent="0.2">
      <c r="A35" t="s">
        <v>59</v>
      </c>
      <c r="B35" s="3"/>
      <c r="C35" s="53">
        <v>25790000</v>
      </c>
      <c r="D35" s="37">
        <v>25790000</v>
      </c>
      <c r="E35" s="36"/>
      <c r="F35" s="38">
        <v>25890000</v>
      </c>
      <c r="G35" s="4">
        <v>25690000</v>
      </c>
    </row>
    <row r="36" spans="1:7" x14ac:dyDescent="0.2">
      <c r="A36" t="s">
        <v>61</v>
      </c>
      <c r="B36" s="25"/>
      <c r="C36" s="51" t="s">
        <v>22</v>
      </c>
      <c r="D36" s="41">
        <v>31290000</v>
      </c>
      <c r="E36" s="36"/>
      <c r="F36" s="38">
        <v>31290000</v>
      </c>
      <c r="G36" s="4">
        <v>31290000</v>
      </c>
    </row>
    <row r="37" spans="1:7" x14ac:dyDescent="0.2">
      <c r="A37" t="s">
        <v>187</v>
      </c>
      <c r="B37" s="25"/>
      <c r="C37" s="53">
        <v>38890000</v>
      </c>
      <c r="D37" s="41">
        <v>38990000</v>
      </c>
      <c r="E37" s="36"/>
      <c r="F37" s="39">
        <v>39290000</v>
      </c>
      <c r="G37" s="4">
        <v>38990000</v>
      </c>
    </row>
  </sheetData>
  <pageMargins left="0.7" right="0.7" top="0.75" bottom="0.75" header="0.3" footer="0.3"/>
  <pageSetup paperSize="9" orientation="portrait" horizontalDpi="0" verticalDpi="0"/>
  <legacyDrawing r:id="rId1"/>
</worksheet>
</file>

<file path=xl/worksheets/sheet6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F00-000000000000}">
  <dimension ref="A1:L37"/>
  <sheetViews>
    <sheetView zoomScale="114" zoomScaleNormal="130" workbookViewId="0">
      <pane xSplit="2" ySplit="1" topLeftCell="C13" activePane="bottomRight" state="frozen"/>
      <selection pane="topRight" activeCell="C1" sqref="C1"/>
      <selection pane="bottomLeft" activeCell="A2" sqref="A2"/>
      <selection pane="bottomRight" activeCell="C1" sqref="C1"/>
    </sheetView>
  </sheetViews>
  <sheetFormatPr baseColWidth="10" defaultColWidth="11" defaultRowHeight="16" x14ac:dyDescent="0.2"/>
  <cols>
    <col min="1" max="1" width="27.5" bestFit="1" customWidth="1"/>
    <col min="2" max="2" width="0" hidden="1"/>
    <col min="3" max="6" width="10.1640625" bestFit="1" customWidth="1"/>
    <col min="7" max="7" width="13" customWidth="1"/>
    <col min="8" max="8" width="8.1640625" customWidth="1"/>
  </cols>
  <sheetData>
    <row r="1" spans="1:12" x14ac:dyDescent="0.2">
      <c r="B1" s="46" t="s">
        <v>0</v>
      </c>
      <c r="C1" s="46" t="s">
        <v>1</v>
      </c>
      <c r="D1" s="46" t="s">
        <v>2</v>
      </c>
      <c r="E1" s="81" t="s">
        <v>3</v>
      </c>
      <c r="F1" s="81" t="s">
        <v>4</v>
      </c>
      <c r="G1" s="81" t="s">
        <v>5</v>
      </c>
    </row>
    <row r="2" spans="1:12" x14ac:dyDescent="0.2">
      <c r="A2" t="s">
        <v>21</v>
      </c>
      <c r="B2" s="46"/>
      <c r="C2" s="54">
        <v>16290000</v>
      </c>
      <c r="D2" s="47">
        <v>16190000</v>
      </c>
      <c r="E2" s="39">
        <v>15990000</v>
      </c>
      <c r="F2" s="37">
        <v>15590000</v>
      </c>
      <c r="G2" s="39">
        <v>15990000</v>
      </c>
    </row>
    <row r="3" spans="1:12" x14ac:dyDescent="0.2">
      <c r="A3" t="s">
        <v>181</v>
      </c>
      <c r="B3" s="25"/>
      <c r="C3" s="52">
        <v>18990000</v>
      </c>
      <c r="D3" s="42">
        <v>18890000</v>
      </c>
      <c r="E3" s="39">
        <v>18490000</v>
      </c>
      <c r="F3" s="37">
        <v>18590000</v>
      </c>
      <c r="G3" s="37">
        <v>18590000</v>
      </c>
      <c r="H3">
        <v>-100</v>
      </c>
    </row>
    <row r="4" spans="1:12" x14ac:dyDescent="0.2">
      <c r="A4" t="s">
        <v>24</v>
      </c>
      <c r="B4" s="3"/>
      <c r="C4" s="53">
        <v>22190000</v>
      </c>
      <c r="D4" s="42">
        <v>21990000</v>
      </c>
      <c r="E4" s="39">
        <v>21690000</v>
      </c>
      <c r="F4" s="37">
        <v>21890000</v>
      </c>
      <c r="G4" s="39">
        <v>21890000</v>
      </c>
    </row>
    <row r="5" spans="1:12" x14ac:dyDescent="0.2">
      <c r="A5" t="s">
        <v>182</v>
      </c>
      <c r="B5" s="25"/>
      <c r="C5" s="52">
        <v>25090000</v>
      </c>
      <c r="D5" s="42">
        <v>25090000</v>
      </c>
      <c r="E5" s="39">
        <v>24290000</v>
      </c>
      <c r="F5" s="39">
        <v>24790000</v>
      </c>
      <c r="G5" s="39">
        <v>24450000</v>
      </c>
    </row>
    <row r="6" spans="1:12" x14ac:dyDescent="0.2">
      <c r="A6" t="s">
        <v>183</v>
      </c>
      <c r="B6" s="3"/>
      <c r="C6" s="52">
        <v>30290000</v>
      </c>
      <c r="D6" s="42">
        <v>30290000</v>
      </c>
      <c r="E6" s="39">
        <v>29990000</v>
      </c>
      <c r="F6" s="37">
        <v>29950000</v>
      </c>
      <c r="G6" s="37">
        <v>29750000</v>
      </c>
      <c r="H6">
        <v>-200</v>
      </c>
    </row>
    <row r="7" spans="1:12" x14ac:dyDescent="0.2">
      <c r="A7" t="s">
        <v>25</v>
      </c>
      <c r="B7" s="25"/>
      <c r="C7" s="53">
        <v>15490000</v>
      </c>
      <c r="D7" s="42">
        <v>15590000</v>
      </c>
      <c r="E7" s="39">
        <v>15490000</v>
      </c>
      <c r="F7" s="39">
        <v>15390000</v>
      </c>
      <c r="G7" s="39">
        <v>15290000</v>
      </c>
    </row>
    <row r="8" spans="1:12" x14ac:dyDescent="0.2">
      <c r="A8" t="s">
        <v>26</v>
      </c>
      <c r="B8" s="25"/>
      <c r="C8" s="52">
        <v>19290000</v>
      </c>
      <c r="D8" s="42">
        <v>19290000</v>
      </c>
      <c r="E8" s="39">
        <v>18990000</v>
      </c>
      <c r="F8" s="37">
        <v>18990000</v>
      </c>
      <c r="G8" s="39">
        <v>18890000</v>
      </c>
    </row>
    <row r="9" spans="1:12" x14ac:dyDescent="0.2">
      <c r="A9" t="s">
        <v>158</v>
      </c>
      <c r="B9" s="3"/>
      <c r="C9" s="52">
        <v>29390000</v>
      </c>
      <c r="D9" s="25">
        <v>28490000</v>
      </c>
      <c r="E9" s="39" t="s">
        <v>22</v>
      </c>
      <c r="F9" s="37">
        <v>28290000</v>
      </c>
      <c r="G9" s="39">
        <v>27890000</v>
      </c>
    </row>
    <row r="10" spans="1:12" x14ac:dyDescent="0.2">
      <c r="A10" t="s">
        <v>92</v>
      </c>
      <c r="B10" s="3"/>
      <c r="C10" s="51" t="s">
        <v>22</v>
      </c>
      <c r="D10" s="25" t="s">
        <v>22</v>
      </c>
      <c r="E10" s="39">
        <v>18990000</v>
      </c>
      <c r="F10" s="42" t="s">
        <v>22</v>
      </c>
      <c r="G10" s="39">
        <v>17490000</v>
      </c>
    </row>
    <row r="11" spans="1:12" x14ac:dyDescent="0.2">
      <c r="A11" t="s">
        <v>27</v>
      </c>
      <c r="B11" s="25"/>
      <c r="C11" s="53">
        <v>12790000</v>
      </c>
      <c r="D11" s="37">
        <v>12890000</v>
      </c>
      <c r="E11" s="39">
        <v>12690000</v>
      </c>
      <c r="F11" s="38">
        <v>12490000</v>
      </c>
      <c r="G11" s="39">
        <v>12490000</v>
      </c>
    </row>
    <row r="12" spans="1:12" x14ac:dyDescent="0.2">
      <c r="A12" t="s">
        <v>28</v>
      </c>
      <c r="B12" s="3"/>
      <c r="C12" s="52">
        <v>11690000</v>
      </c>
      <c r="D12" s="38">
        <v>11690000</v>
      </c>
      <c r="E12" s="39">
        <v>11390000</v>
      </c>
      <c r="F12" s="38">
        <v>11490000</v>
      </c>
      <c r="G12" s="34">
        <v>11490000</v>
      </c>
      <c r="H12">
        <v>-100</v>
      </c>
    </row>
    <row r="13" spans="1:12" x14ac:dyDescent="0.2">
      <c r="A13" t="s">
        <v>98</v>
      </c>
      <c r="B13" s="25"/>
      <c r="C13" s="51" t="s">
        <v>22</v>
      </c>
      <c r="D13" s="25" t="s">
        <v>22</v>
      </c>
      <c r="E13" s="25" t="s">
        <v>22</v>
      </c>
      <c r="F13" s="25" t="s">
        <v>22</v>
      </c>
      <c r="G13" s="4" t="s">
        <v>22</v>
      </c>
    </row>
    <row r="14" spans="1:12" x14ac:dyDescent="0.2">
      <c r="A14" t="s">
        <v>29</v>
      </c>
      <c r="B14" s="25"/>
      <c r="C14" s="52">
        <v>13590000</v>
      </c>
      <c r="D14" s="25">
        <v>13590000</v>
      </c>
      <c r="E14" s="39">
        <v>13652000</v>
      </c>
      <c r="F14" s="34">
        <v>13590000</v>
      </c>
      <c r="G14" s="4">
        <v>13690000</v>
      </c>
    </row>
    <row r="15" spans="1:12" x14ac:dyDescent="0.2">
      <c r="A15" t="s">
        <v>30</v>
      </c>
      <c r="B15" s="3"/>
      <c r="C15" s="52">
        <v>9790000</v>
      </c>
      <c r="D15" s="42">
        <v>9750000</v>
      </c>
      <c r="E15" s="25">
        <v>9395000</v>
      </c>
      <c r="F15" s="38">
        <v>9590000</v>
      </c>
      <c r="G15" s="34">
        <v>9490000</v>
      </c>
      <c r="H15">
        <v>-100</v>
      </c>
      <c r="J15" t="s">
        <v>31</v>
      </c>
      <c r="K15" t="s">
        <v>38</v>
      </c>
      <c r="L15" t="b">
        <v>1</v>
      </c>
    </row>
    <row r="16" spans="1:12" x14ac:dyDescent="0.2">
      <c r="A16" t="s">
        <v>33</v>
      </c>
      <c r="B16" s="3"/>
      <c r="C16" s="52">
        <v>16490000</v>
      </c>
      <c r="D16" s="42">
        <v>16490000</v>
      </c>
      <c r="E16" s="3">
        <v>16028000</v>
      </c>
      <c r="F16" s="38">
        <v>15990000</v>
      </c>
      <c r="G16" s="3">
        <v>15990000</v>
      </c>
      <c r="H16">
        <v>-200</v>
      </c>
      <c r="J16" t="s">
        <v>2</v>
      </c>
      <c r="K16" t="s">
        <v>198</v>
      </c>
      <c r="L16" t="b">
        <v>1</v>
      </c>
    </row>
    <row r="17" spans="1:12" x14ac:dyDescent="0.2">
      <c r="A17" t="s">
        <v>37</v>
      </c>
      <c r="B17" s="25"/>
      <c r="C17" s="53">
        <v>21990000</v>
      </c>
      <c r="D17" s="42">
        <v>21990000</v>
      </c>
      <c r="E17" s="25">
        <v>21290000</v>
      </c>
      <c r="F17" s="34">
        <v>21490000</v>
      </c>
      <c r="G17" s="4">
        <v>21790000</v>
      </c>
      <c r="J17" t="s">
        <v>3</v>
      </c>
      <c r="K17" t="s">
        <v>36</v>
      </c>
      <c r="L17" t="b">
        <v>1</v>
      </c>
    </row>
    <row r="18" spans="1:12" x14ac:dyDescent="0.2">
      <c r="A18" t="s">
        <v>184</v>
      </c>
      <c r="B18" s="25"/>
      <c r="C18" s="52">
        <v>27490000</v>
      </c>
      <c r="D18" s="42">
        <v>27490000</v>
      </c>
      <c r="E18" s="25">
        <v>26990000</v>
      </c>
      <c r="F18" s="38">
        <v>27690000</v>
      </c>
      <c r="G18" s="34">
        <v>27290000</v>
      </c>
      <c r="H18">
        <v>700</v>
      </c>
      <c r="J18" t="s">
        <v>4</v>
      </c>
      <c r="K18" t="s">
        <v>34</v>
      </c>
      <c r="L18" t="b">
        <v>1</v>
      </c>
    </row>
    <row r="19" spans="1:12" x14ac:dyDescent="0.2">
      <c r="A19" t="s">
        <v>185</v>
      </c>
      <c r="B19" s="3"/>
      <c r="C19" s="52">
        <v>36290000</v>
      </c>
      <c r="D19" s="42">
        <v>36290000</v>
      </c>
      <c r="E19" s="25">
        <v>35990000</v>
      </c>
      <c r="F19" s="38">
        <v>36490000</v>
      </c>
      <c r="G19" s="4">
        <v>36390000</v>
      </c>
      <c r="J19" t="s">
        <v>41</v>
      </c>
      <c r="K19" t="s">
        <v>42</v>
      </c>
      <c r="L19" t="b">
        <v>1</v>
      </c>
    </row>
    <row r="20" spans="1:12" x14ac:dyDescent="0.2">
      <c r="A20" t="s">
        <v>227</v>
      </c>
      <c r="B20" s="25"/>
      <c r="C20" s="53">
        <v>5190000</v>
      </c>
      <c r="D20" s="41">
        <v>4990000</v>
      </c>
      <c r="E20" s="3">
        <v>4940000</v>
      </c>
      <c r="F20" s="34">
        <v>5090000</v>
      </c>
      <c r="G20" s="34">
        <v>5090000</v>
      </c>
      <c r="H20">
        <v>-700</v>
      </c>
    </row>
    <row r="21" spans="1:12" x14ac:dyDescent="0.2">
      <c r="A21" t="s">
        <v>228</v>
      </c>
      <c r="B21" s="25"/>
      <c r="C21" s="52">
        <v>6990000</v>
      </c>
      <c r="D21" s="42">
        <v>6990000</v>
      </c>
      <c r="E21" s="25">
        <v>6920000</v>
      </c>
      <c r="F21" s="34">
        <v>6690000</v>
      </c>
      <c r="G21" s="4">
        <v>6590000</v>
      </c>
    </row>
    <row r="22" spans="1:12" x14ac:dyDescent="0.2">
      <c r="A22" t="s">
        <v>229</v>
      </c>
      <c r="B22" s="25"/>
      <c r="C22" s="53">
        <v>5790000</v>
      </c>
      <c r="D22" s="41">
        <v>5790000</v>
      </c>
      <c r="E22" s="3">
        <v>5732000</v>
      </c>
      <c r="F22" s="34">
        <v>5790000</v>
      </c>
      <c r="G22" s="34">
        <v>5950000</v>
      </c>
      <c r="H22">
        <v>-600</v>
      </c>
    </row>
    <row r="23" spans="1:12" x14ac:dyDescent="0.2">
      <c r="A23" t="s">
        <v>230</v>
      </c>
      <c r="B23" s="25"/>
      <c r="C23" s="51" t="s">
        <v>22</v>
      </c>
      <c r="D23" s="42">
        <v>7790000</v>
      </c>
      <c r="E23" s="25">
        <v>7712000</v>
      </c>
      <c r="F23" s="38">
        <v>7790000</v>
      </c>
      <c r="G23" s="4">
        <v>7690000</v>
      </c>
    </row>
    <row r="24" spans="1:12" x14ac:dyDescent="0.2">
      <c r="A24" t="s">
        <v>213</v>
      </c>
      <c r="B24" s="25"/>
      <c r="C24" s="53">
        <v>8390000</v>
      </c>
      <c r="D24" s="41">
        <v>8390000</v>
      </c>
      <c r="E24" s="3">
        <v>8207000</v>
      </c>
      <c r="F24" s="34">
        <v>8390000</v>
      </c>
      <c r="G24" s="4">
        <v>8350000</v>
      </c>
      <c r="H24">
        <v>-2240</v>
      </c>
    </row>
    <row r="25" spans="1:12" x14ac:dyDescent="0.2">
      <c r="A25" t="s">
        <v>214</v>
      </c>
      <c r="B25" s="25"/>
      <c r="C25" s="52">
        <v>12790000</v>
      </c>
      <c r="D25" s="42">
        <v>12790000</v>
      </c>
      <c r="E25" s="25">
        <v>12860000</v>
      </c>
      <c r="F25" s="38">
        <v>13190000</v>
      </c>
      <c r="G25" s="4">
        <v>12890000</v>
      </c>
    </row>
    <row r="26" spans="1:12" x14ac:dyDescent="0.2">
      <c r="A26" t="s">
        <v>215</v>
      </c>
      <c r="B26" s="25"/>
      <c r="C26" s="53">
        <v>9190000</v>
      </c>
      <c r="D26" s="41">
        <v>9190000</v>
      </c>
      <c r="E26" s="3">
        <v>8900000</v>
      </c>
      <c r="F26" s="34">
        <v>9190000</v>
      </c>
      <c r="G26" s="4">
        <v>8890000</v>
      </c>
      <c r="H26" s="49">
        <v>-2400</v>
      </c>
      <c r="I26" s="26"/>
    </row>
    <row r="27" spans="1:12" x14ac:dyDescent="0.2">
      <c r="A27" t="s">
        <v>217</v>
      </c>
      <c r="B27" s="3"/>
      <c r="C27" s="53">
        <v>13690000</v>
      </c>
      <c r="D27" s="25">
        <v>13690000</v>
      </c>
      <c r="E27" s="25">
        <v>13553000</v>
      </c>
      <c r="F27" s="38">
        <v>13890000</v>
      </c>
      <c r="G27" s="4">
        <v>13590000</v>
      </c>
    </row>
    <row r="28" spans="1:12" x14ac:dyDescent="0.2">
      <c r="A28" t="s">
        <v>172</v>
      </c>
      <c r="B28" s="25"/>
      <c r="C28" s="53">
        <v>21890000</v>
      </c>
      <c r="D28" s="42">
        <v>21890000</v>
      </c>
      <c r="E28" s="25">
        <v>21790000</v>
      </c>
      <c r="F28" s="37">
        <v>21590000</v>
      </c>
      <c r="G28" s="4">
        <v>22990000</v>
      </c>
    </row>
    <row r="29" spans="1:12" x14ac:dyDescent="0.2">
      <c r="A29" t="s">
        <v>53</v>
      </c>
      <c r="B29" s="3"/>
      <c r="C29" s="53">
        <v>5390000</v>
      </c>
      <c r="D29" s="34">
        <v>5350000</v>
      </c>
      <c r="E29" s="3">
        <v>5138000</v>
      </c>
      <c r="F29" s="37">
        <v>5499000</v>
      </c>
      <c r="G29" s="34">
        <v>5390000</v>
      </c>
      <c r="H29">
        <v>-200</v>
      </c>
    </row>
    <row r="30" spans="1:12" x14ac:dyDescent="0.2">
      <c r="A30" t="s">
        <v>54</v>
      </c>
      <c r="B30" s="3"/>
      <c r="C30" s="53">
        <v>4490000</v>
      </c>
      <c r="D30" s="37">
        <v>4450000</v>
      </c>
      <c r="E30" s="3">
        <v>4247000</v>
      </c>
      <c r="F30" s="39">
        <v>4550000</v>
      </c>
      <c r="G30" s="34">
        <v>4490000</v>
      </c>
      <c r="H30">
        <v>-100</v>
      </c>
    </row>
    <row r="31" spans="1:12" x14ac:dyDescent="0.2">
      <c r="A31" t="s">
        <v>55</v>
      </c>
      <c r="B31" s="3"/>
      <c r="C31" s="53">
        <v>3090000</v>
      </c>
      <c r="D31" s="37">
        <v>3090000</v>
      </c>
      <c r="E31" s="3">
        <v>2990000</v>
      </c>
      <c r="F31" s="37">
        <v>3190000</v>
      </c>
      <c r="G31" s="34">
        <v>3150000</v>
      </c>
      <c r="H31">
        <v>-100</v>
      </c>
    </row>
    <row r="32" spans="1:12" x14ac:dyDescent="0.2">
      <c r="A32" t="s">
        <v>175</v>
      </c>
      <c r="B32" s="3"/>
      <c r="C32" s="52">
        <v>17090000</v>
      </c>
      <c r="D32" s="38">
        <v>16990000</v>
      </c>
      <c r="E32" s="36"/>
      <c r="F32" s="38">
        <v>17190000</v>
      </c>
      <c r="G32" s="34">
        <v>16890000</v>
      </c>
      <c r="H32">
        <v>400</v>
      </c>
    </row>
    <row r="33" spans="1:8" x14ac:dyDescent="0.2">
      <c r="A33" t="s">
        <v>186</v>
      </c>
      <c r="B33" s="25"/>
      <c r="C33" s="53">
        <v>19890000</v>
      </c>
      <c r="D33" s="3">
        <v>19800000</v>
      </c>
      <c r="E33" s="36"/>
      <c r="F33" s="34">
        <v>19790000</v>
      </c>
      <c r="G33" s="4">
        <v>19790000</v>
      </c>
      <c r="H33">
        <v>-800</v>
      </c>
    </row>
    <row r="34" spans="1:8" x14ac:dyDescent="0.2">
      <c r="A34" t="s">
        <v>232</v>
      </c>
      <c r="B34" s="3"/>
      <c r="C34" s="51" t="s">
        <v>22</v>
      </c>
      <c r="D34" s="38">
        <v>23990000</v>
      </c>
      <c r="E34" s="36"/>
      <c r="F34" s="38">
        <v>24690000</v>
      </c>
      <c r="G34" s="4">
        <v>25290000</v>
      </c>
    </row>
    <row r="35" spans="1:8" x14ac:dyDescent="0.2">
      <c r="A35" t="s">
        <v>59</v>
      </c>
      <c r="B35" s="3"/>
      <c r="C35" s="52">
        <v>25790000</v>
      </c>
      <c r="D35" s="39">
        <v>25790000</v>
      </c>
      <c r="E35" s="36"/>
      <c r="F35" s="34">
        <v>25590000</v>
      </c>
      <c r="G35" s="34">
        <v>25490000</v>
      </c>
      <c r="H35">
        <v>-200</v>
      </c>
    </row>
    <row r="36" spans="1:8" x14ac:dyDescent="0.2">
      <c r="A36" t="s">
        <v>61</v>
      </c>
      <c r="B36" s="25"/>
      <c r="C36" s="51" t="s">
        <v>22</v>
      </c>
      <c r="D36" s="42">
        <v>31290000</v>
      </c>
      <c r="E36" s="36"/>
      <c r="F36" s="38">
        <v>31390000</v>
      </c>
      <c r="G36" s="34">
        <v>30990000</v>
      </c>
    </row>
    <row r="37" spans="1:8" x14ac:dyDescent="0.2">
      <c r="A37" t="s">
        <v>187</v>
      </c>
      <c r="B37" s="25"/>
      <c r="C37" s="52">
        <v>38890000</v>
      </c>
      <c r="D37" s="41">
        <v>38890000</v>
      </c>
      <c r="E37" s="36"/>
      <c r="F37" s="37">
        <v>38990000</v>
      </c>
      <c r="G37" s="34">
        <v>38590000</v>
      </c>
      <c r="H37">
        <v>-500</v>
      </c>
    </row>
  </sheetData>
  <pageMargins left="0.7" right="0.7" top="0.75" bottom="0.75" header="0.3" footer="0.3"/>
  <pageSetup paperSize="9" orientation="portrait" horizontalDpi="0" verticalDpi="0"/>
  <legacyDrawing r:id="rId1"/>
</worksheet>
</file>

<file path=xl/worksheets/sheet6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000-000000000000}">
  <dimension ref="A1:L37"/>
  <sheetViews>
    <sheetView zoomScale="119" zoomScaleNormal="130" workbookViewId="0">
      <pane xSplit="2" ySplit="1" topLeftCell="C8" activePane="bottomRight" state="frozen"/>
      <selection pane="topRight" activeCell="C1" sqref="C1"/>
      <selection pane="bottomLeft" activeCell="A2" sqref="A2"/>
      <selection pane="bottomRight" activeCell="C1" sqref="C1"/>
    </sheetView>
  </sheetViews>
  <sheetFormatPr baseColWidth="10" defaultColWidth="11" defaultRowHeight="16" x14ac:dyDescent="0.2"/>
  <cols>
    <col min="1" max="1" width="27.5" bestFit="1" customWidth="1"/>
    <col min="2" max="2" width="0" hidden="1"/>
    <col min="3" max="6" width="10.1640625" bestFit="1" customWidth="1"/>
    <col min="7" max="7" width="13" customWidth="1"/>
    <col min="8" max="8" width="8.1640625" customWidth="1"/>
  </cols>
  <sheetData>
    <row r="1" spans="1:12" x14ac:dyDescent="0.2">
      <c r="B1" s="46" t="s">
        <v>0</v>
      </c>
      <c r="C1" s="46" t="s">
        <v>1</v>
      </c>
      <c r="D1" s="46" t="s">
        <v>2</v>
      </c>
      <c r="E1" s="81" t="s">
        <v>3</v>
      </c>
      <c r="F1" s="81" t="s">
        <v>4</v>
      </c>
      <c r="G1" s="81" t="s">
        <v>5</v>
      </c>
    </row>
    <row r="2" spans="1:12" x14ac:dyDescent="0.2">
      <c r="A2" t="s">
        <v>21</v>
      </c>
      <c r="B2" s="46"/>
      <c r="C2" s="54">
        <v>16090000</v>
      </c>
      <c r="D2" s="48">
        <v>16090000</v>
      </c>
      <c r="E2" s="39">
        <v>15990000</v>
      </c>
      <c r="F2" s="39">
        <v>15590000</v>
      </c>
      <c r="G2" s="39">
        <v>15990000</v>
      </c>
    </row>
    <row r="3" spans="1:12" x14ac:dyDescent="0.2">
      <c r="A3" t="s">
        <v>181</v>
      </c>
      <c r="B3" s="25"/>
      <c r="C3" s="52">
        <v>18990000</v>
      </c>
      <c r="D3" s="41">
        <v>18990000</v>
      </c>
      <c r="E3" s="39">
        <v>18490000</v>
      </c>
      <c r="F3" s="39">
        <v>18590000</v>
      </c>
      <c r="G3" s="37">
        <v>18590000</v>
      </c>
    </row>
    <row r="4" spans="1:12" x14ac:dyDescent="0.2">
      <c r="A4" t="s">
        <v>24</v>
      </c>
      <c r="B4" s="3"/>
      <c r="C4" s="52">
        <v>22190000</v>
      </c>
      <c r="D4" s="42">
        <v>21990000</v>
      </c>
      <c r="E4" s="39">
        <v>21690000</v>
      </c>
      <c r="F4" s="39">
        <v>21890000</v>
      </c>
      <c r="G4" s="39">
        <v>21890000</v>
      </c>
    </row>
    <row r="5" spans="1:12" x14ac:dyDescent="0.2">
      <c r="A5" t="s">
        <v>182</v>
      </c>
      <c r="B5" s="25"/>
      <c r="C5" s="52">
        <v>25090000</v>
      </c>
      <c r="D5" s="42">
        <v>25090000</v>
      </c>
      <c r="E5" s="39">
        <v>24290000</v>
      </c>
      <c r="F5" s="39">
        <v>24790000</v>
      </c>
      <c r="G5" s="39">
        <v>24450000</v>
      </c>
    </row>
    <row r="6" spans="1:12" x14ac:dyDescent="0.2">
      <c r="A6" t="s">
        <v>183</v>
      </c>
      <c r="B6" s="3"/>
      <c r="C6" s="53">
        <v>30090000</v>
      </c>
      <c r="D6" s="41">
        <v>30090000</v>
      </c>
      <c r="E6" s="39">
        <v>29990000</v>
      </c>
      <c r="F6" s="37">
        <v>29890000</v>
      </c>
      <c r="G6" s="37">
        <v>29650000</v>
      </c>
      <c r="H6">
        <v>-100</v>
      </c>
    </row>
    <row r="7" spans="1:12" x14ac:dyDescent="0.2">
      <c r="A7" t="s">
        <v>25</v>
      </c>
      <c r="B7" s="25"/>
      <c r="C7" s="52">
        <v>15490000</v>
      </c>
      <c r="D7" s="41">
        <v>15490000</v>
      </c>
      <c r="E7" s="39">
        <v>15490000</v>
      </c>
      <c r="F7" s="37">
        <v>15290000</v>
      </c>
      <c r="G7" s="39">
        <v>15290000</v>
      </c>
    </row>
    <row r="8" spans="1:12" x14ac:dyDescent="0.2">
      <c r="A8" t="s">
        <v>26</v>
      </c>
      <c r="B8" s="25"/>
      <c r="C8" s="53">
        <v>19090000</v>
      </c>
      <c r="D8" s="41">
        <v>19090000</v>
      </c>
      <c r="E8" s="39">
        <v>18990000</v>
      </c>
      <c r="F8" s="37">
        <v>19190000</v>
      </c>
      <c r="G8" s="39">
        <v>18890000</v>
      </c>
    </row>
    <row r="9" spans="1:12" x14ac:dyDescent="0.2">
      <c r="A9" t="s">
        <v>158</v>
      </c>
      <c r="B9" s="3"/>
      <c r="C9" s="52">
        <v>29390000</v>
      </c>
      <c r="D9" s="25">
        <v>28490000</v>
      </c>
      <c r="E9" s="39" t="s">
        <v>22</v>
      </c>
      <c r="F9" s="37">
        <v>28650000</v>
      </c>
      <c r="G9" s="39">
        <v>27890000</v>
      </c>
    </row>
    <row r="10" spans="1:12" x14ac:dyDescent="0.2">
      <c r="A10" t="s">
        <v>92</v>
      </c>
      <c r="B10" s="3"/>
      <c r="C10" s="51" t="s">
        <v>22</v>
      </c>
      <c r="D10" s="25" t="s">
        <v>22</v>
      </c>
      <c r="E10" s="3">
        <v>16990000</v>
      </c>
      <c r="F10" s="42" t="s">
        <v>22</v>
      </c>
      <c r="G10" s="39">
        <v>17490000</v>
      </c>
    </row>
    <row r="11" spans="1:12" x14ac:dyDescent="0.2">
      <c r="A11" t="s">
        <v>27</v>
      </c>
      <c r="B11" s="25"/>
      <c r="C11" s="52">
        <v>12790000</v>
      </c>
      <c r="D11" s="37">
        <v>12790000</v>
      </c>
      <c r="E11" s="39">
        <v>12690000</v>
      </c>
      <c r="F11" s="38">
        <v>12490000</v>
      </c>
      <c r="G11" s="39">
        <v>12490000</v>
      </c>
    </row>
    <row r="12" spans="1:12" x14ac:dyDescent="0.2">
      <c r="A12" t="s">
        <v>28</v>
      </c>
      <c r="B12" s="3"/>
      <c r="C12" s="52">
        <v>11690000</v>
      </c>
      <c r="D12" s="38">
        <v>11690000</v>
      </c>
      <c r="E12" s="39">
        <v>11390000</v>
      </c>
      <c r="F12" s="38">
        <v>11590000</v>
      </c>
      <c r="G12" s="39">
        <v>11490000</v>
      </c>
    </row>
    <row r="13" spans="1:12" x14ac:dyDescent="0.2">
      <c r="A13" t="s">
        <v>98</v>
      </c>
      <c r="B13" s="25"/>
      <c r="C13" s="51" t="s">
        <v>22</v>
      </c>
      <c r="D13" s="25" t="s">
        <v>22</v>
      </c>
      <c r="E13" s="25" t="s">
        <v>22</v>
      </c>
      <c r="F13" s="25" t="s">
        <v>22</v>
      </c>
      <c r="G13" s="4" t="s">
        <v>22</v>
      </c>
    </row>
    <row r="14" spans="1:12" x14ac:dyDescent="0.2">
      <c r="A14" t="s">
        <v>29</v>
      </c>
      <c r="B14" s="25"/>
      <c r="C14" s="53">
        <v>11790000</v>
      </c>
      <c r="D14" s="3">
        <v>11790000</v>
      </c>
      <c r="E14" s="39">
        <v>13652000</v>
      </c>
      <c r="F14" s="34">
        <v>11790000</v>
      </c>
      <c r="G14" s="34">
        <v>11490000</v>
      </c>
      <c r="H14">
        <v>-2200</v>
      </c>
    </row>
    <row r="15" spans="1:12" x14ac:dyDescent="0.2">
      <c r="A15" t="s">
        <v>30</v>
      </c>
      <c r="B15" s="3"/>
      <c r="C15" s="53">
        <v>8980000</v>
      </c>
      <c r="D15" s="41">
        <v>8490000</v>
      </c>
      <c r="E15" s="3">
        <v>8801000</v>
      </c>
      <c r="F15" s="34">
        <v>8990000</v>
      </c>
      <c r="G15" s="34">
        <v>8690000</v>
      </c>
      <c r="H15">
        <v>-800</v>
      </c>
      <c r="J15" t="s">
        <v>31</v>
      </c>
      <c r="K15" t="s">
        <v>38</v>
      </c>
      <c r="L15" t="b">
        <v>1</v>
      </c>
    </row>
    <row r="16" spans="1:12" x14ac:dyDescent="0.2">
      <c r="A16" t="s">
        <v>33</v>
      </c>
      <c r="B16" s="3"/>
      <c r="C16" s="53">
        <v>15090000</v>
      </c>
      <c r="D16" s="41">
        <v>15090000</v>
      </c>
      <c r="E16" s="3">
        <v>14543000</v>
      </c>
      <c r="F16" s="34">
        <v>14890000</v>
      </c>
      <c r="G16" s="3">
        <v>14790000</v>
      </c>
      <c r="H16">
        <v>-700</v>
      </c>
      <c r="J16" t="s">
        <v>2</v>
      </c>
      <c r="K16" t="s">
        <v>198</v>
      </c>
      <c r="L16" t="b">
        <v>1</v>
      </c>
    </row>
    <row r="17" spans="1:12" x14ac:dyDescent="0.2">
      <c r="A17" t="s">
        <v>37</v>
      </c>
      <c r="B17" s="25"/>
      <c r="C17" s="53">
        <v>20790000</v>
      </c>
      <c r="D17" s="41">
        <v>21290000</v>
      </c>
      <c r="E17" s="25">
        <v>21290000</v>
      </c>
      <c r="F17" s="34">
        <v>20290000</v>
      </c>
      <c r="G17" s="4">
        <v>21790000</v>
      </c>
      <c r="J17" t="s">
        <v>3</v>
      </c>
      <c r="K17" t="s">
        <v>36</v>
      </c>
      <c r="L17" t="b">
        <v>1</v>
      </c>
    </row>
    <row r="18" spans="1:12" x14ac:dyDescent="0.2">
      <c r="A18" t="s">
        <v>184</v>
      </c>
      <c r="B18" s="25"/>
      <c r="C18" s="53">
        <v>26590000</v>
      </c>
      <c r="D18" s="41">
        <v>26890000</v>
      </c>
      <c r="E18" s="25">
        <v>26990000</v>
      </c>
      <c r="F18" s="38">
        <v>26690000</v>
      </c>
      <c r="G18" s="34">
        <v>26690000</v>
      </c>
      <c r="H18">
        <v>-700</v>
      </c>
      <c r="J18" t="s">
        <v>4</v>
      </c>
      <c r="K18" t="s">
        <v>34</v>
      </c>
      <c r="L18" t="b">
        <v>1</v>
      </c>
    </row>
    <row r="19" spans="1:12" x14ac:dyDescent="0.2">
      <c r="A19" t="s">
        <v>185</v>
      </c>
      <c r="B19" s="3"/>
      <c r="C19" s="53">
        <v>33990000</v>
      </c>
      <c r="D19" s="41">
        <v>33990000</v>
      </c>
      <c r="E19" s="25">
        <v>35990000</v>
      </c>
      <c r="F19" s="38">
        <v>36490000</v>
      </c>
      <c r="G19" s="4">
        <v>36490000</v>
      </c>
      <c r="J19" t="s">
        <v>41</v>
      </c>
      <c r="K19" t="s">
        <v>42</v>
      </c>
      <c r="L19" t="b">
        <v>1</v>
      </c>
    </row>
    <row r="20" spans="1:12" x14ac:dyDescent="0.2">
      <c r="A20" t="s">
        <v>227</v>
      </c>
      <c r="B20" s="25"/>
      <c r="C20" s="52">
        <v>5190000</v>
      </c>
      <c r="D20" s="41">
        <v>5190000</v>
      </c>
      <c r="E20" s="25">
        <v>4940000</v>
      </c>
      <c r="F20" s="38">
        <v>5090000</v>
      </c>
      <c r="G20" s="4">
        <v>5090000</v>
      </c>
    </row>
    <row r="21" spans="1:12" x14ac:dyDescent="0.2">
      <c r="A21" t="s">
        <v>228</v>
      </c>
      <c r="B21" s="25"/>
      <c r="C21" s="52">
        <v>6990000</v>
      </c>
      <c r="D21" s="42">
        <v>6990000</v>
      </c>
      <c r="E21" s="25">
        <v>6920000</v>
      </c>
      <c r="F21" s="38">
        <v>6690000</v>
      </c>
      <c r="G21" s="4">
        <v>6590000</v>
      </c>
    </row>
    <row r="22" spans="1:12" x14ac:dyDescent="0.2">
      <c r="A22" t="s">
        <v>229</v>
      </c>
      <c r="B22" s="25"/>
      <c r="C22" s="52">
        <v>5790000</v>
      </c>
      <c r="D22" s="42">
        <v>5790000</v>
      </c>
      <c r="E22" s="25">
        <v>5732000</v>
      </c>
      <c r="F22" s="38">
        <v>5790000</v>
      </c>
      <c r="G22" s="4">
        <v>5950000</v>
      </c>
    </row>
    <row r="23" spans="1:12" x14ac:dyDescent="0.2">
      <c r="A23" t="s">
        <v>230</v>
      </c>
      <c r="B23" s="25"/>
      <c r="C23" s="51" t="s">
        <v>22</v>
      </c>
      <c r="D23" s="42">
        <v>7790000</v>
      </c>
      <c r="E23" s="25">
        <v>7712000</v>
      </c>
      <c r="F23" s="38">
        <v>7790000</v>
      </c>
      <c r="G23" s="4">
        <v>7690000</v>
      </c>
    </row>
    <row r="24" spans="1:12" x14ac:dyDescent="0.2">
      <c r="A24" t="s">
        <v>213</v>
      </c>
      <c r="B24" s="25"/>
      <c r="C24" s="53">
        <v>8590000</v>
      </c>
      <c r="D24" s="42">
        <v>8390000</v>
      </c>
      <c r="E24" s="25">
        <v>8207000</v>
      </c>
      <c r="F24" s="34">
        <v>8590000</v>
      </c>
      <c r="G24" s="4">
        <v>8350000</v>
      </c>
    </row>
    <row r="25" spans="1:12" x14ac:dyDescent="0.2">
      <c r="A25" t="s">
        <v>214</v>
      </c>
      <c r="B25" s="25"/>
      <c r="C25" s="52">
        <v>12790000</v>
      </c>
      <c r="D25" s="42">
        <v>12790000</v>
      </c>
      <c r="E25" s="25">
        <v>12860000</v>
      </c>
      <c r="F25" s="38">
        <v>13190000</v>
      </c>
      <c r="G25" s="4">
        <v>12890000</v>
      </c>
    </row>
    <row r="26" spans="1:12" x14ac:dyDescent="0.2">
      <c r="A26" t="s">
        <v>215</v>
      </c>
      <c r="B26" s="25"/>
      <c r="C26" s="52">
        <v>9190000</v>
      </c>
      <c r="D26" s="42">
        <v>9190000</v>
      </c>
      <c r="E26" s="25">
        <v>8900000</v>
      </c>
      <c r="F26" s="34">
        <v>8990000</v>
      </c>
      <c r="G26" s="4">
        <v>8890000</v>
      </c>
      <c r="I26" s="26"/>
    </row>
    <row r="27" spans="1:12" x14ac:dyDescent="0.2">
      <c r="A27" t="s">
        <v>217</v>
      </c>
      <c r="B27" s="3"/>
      <c r="C27" s="52">
        <v>13690000</v>
      </c>
      <c r="D27" s="25">
        <v>13690000</v>
      </c>
      <c r="E27" s="25">
        <v>13553000</v>
      </c>
      <c r="F27" s="38">
        <v>13890000</v>
      </c>
      <c r="G27" s="4">
        <v>13590000</v>
      </c>
    </row>
    <row r="28" spans="1:12" x14ac:dyDescent="0.2">
      <c r="A28" t="s">
        <v>172</v>
      </c>
      <c r="B28" s="25"/>
      <c r="C28" s="52">
        <v>21890000</v>
      </c>
      <c r="D28" s="42">
        <v>21890000</v>
      </c>
      <c r="E28" s="25">
        <v>21790000</v>
      </c>
      <c r="F28" s="39">
        <v>21590000</v>
      </c>
      <c r="G28" s="4">
        <v>22990000</v>
      </c>
    </row>
    <row r="29" spans="1:12" x14ac:dyDescent="0.2">
      <c r="A29" t="s">
        <v>53</v>
      </c>
      <c r="B29" s="3"/>
      <c r="C29" s="52">
        <v>5390000</v>
      </c>
      <c r="D29" s="38">
        <v>5350000</v>
      </c>
      <c r="E29" s="25">
        <v>5138000</v>
      </c>
      <c r="F29" s="37">
        <v>5299000</v>
      </c>
      <c r="G29" s="4">
        <v>5390000</v>
      </c>
    </row>
    <row r="30" spans="1:12" x14ac:dyDescent="0.2">
      <c r="A30" t="s">
        <v>54</v>
      </c>
      <c r="B30" s="3"/>
      <c r="C30" s="52">
        <v>4490000</v>
      </c>
      <c r="D30" s="39">
        <v>4450000</v>
      </c>
      <c r="E30" s="25">
        <v>4247000</v>
      </c>
      <c r="F30" s="39">
        <v>4550000</v>
      </c>
      <c r="G30" s="4">
        <v>4490000</v>
      </c>
    </row>
    <row r="31" spans="1:12" x14ac:dyDescent="0.2">
      <c r="A31" t="s">
        <v>55</v>
      </c>
      <c r="B31" s="3"/>
      <c r="C31" s="52">
        <v>3090000</v>
      </c>
      <c r="D31" s="39">
        <v>3090000</v>
      </c>
      <c r="E31" s="25">
        <v>2990000</v>
      </c>
      <c r="F31" s="39">
        <v>3190000</v>
      </c>
      <c r="G31" s="4">
        <v>3150000</v>
      </c>
    </row>
    <row r="32" spans="1:12" x14ac:dyDescent="0.2">
      <c r="A32" t="s">
        <v>175</v>
      </c>
      <c r="B32" s="3"/>
      <c r="C32" s="53">
        <v>16990000</v>
      </c>
      <c r="D32" s="38">
        <v>16990000</v>
      </c>
      <c r="E32" s="36"/>
      <c r="F32" s="38">
        <v>17190000</v>
      </c>
      <c r="G32" s="4">
        <v>16890000</v>
      </c>
    </row>
    <row r="33" spans="1:8" x14ac:dyDescent="0.2">
      <c r="A33" t="s">
        <v>186</v>
      </c>
      <c r="B33" s="25"/>
      <c r="C33" s="52">
        <v>19890000</v>
      </c>
      <c r="D33" s="3">
        <v>19890000</v>
      </c>
      <c r="E33" s="36"/>
      <c r="F33" s="34">
        <v>19990000</v>
      </c>
      <c r="G33" s="4">
        <v>19790000</v>
      </c>
    </row>
    <row r="34" spans="1:8" x14ac:dyDescent="0.2">
      <c r="A34" t="s">
        <v>232</v>
      </c>
      <c r="B34" s="3"/>
      <c r="C34" s="51" t="s">
        <v>22</v>
      </c>
      <c r="D34" s="38">
        <v>23990000</v>
      </c>
      <c r="E34" s="36"/>
      <c r="F34" s="34">
        <v>24790000</v>
      </c>
      <c r="G34" s="4">
        <v>25290000</v>
      </c>
    </row>
    <row r="35" spans="1:8" x14ac:dyDescent="0.2">
      <c r="A35" t="s">
        <v>59</v>
      </c>
      <c r="B35" s="3"/>
      <c r="C35" s="52">
        <v>25790000</v>
      </c>
      <c r="D35" s="37">
        <v>25490000</v>
      </c>
      <c r="E35" s="36"/>
      <c r="F35" s="34">
        <v>24990000</v>
      </c>
      <c r="G35" s="34">
        <v>24990000</v>
      </c>
      <c r="H35">
        <v>-500</v>
      </c>
    </row>
    <row r="36" spans="1:8" x14ac:dyDescent="0.2">
      <c r="A36" t="s">
        <v>61</v>
      </c>
      <c r="B36" s="25"/>
      <c r="C36" s="51" t="s">
        <v>22</v>
      </c>
      <c r="D36" s="41">
        <v>29990000</v>
      </c>
      <c r="E36" s="36"/>
      <c r="F36" s="34">
        <v>29490000</v>
      </c>
      <c r="G36" s="34">
        <v>29490000</v>
      </c>
      <c r="H36">
        <v>-1500</v>
      </c>
    </row>
    <row r="37" spans="1:8" x14ac:dyDescent="0.2">
      <c r="A37" t="s">
        <v>187</v>
      </c>
      <c r="B37" s="25"/>
      <c r="C37" s="52">
        <v>38890000</v>
      </c>
      <c r="D37" s="42">
        <v>38890000</v>
      </c>
      <c r="E37" s="36"/>
      <c r="F37" s="37">
        <v>38690000</v>
      </c>
      <c r="G37" s="4">
        <v>38590000</v>
      </c>
    </row>
  </sheetData>
  <pageMargins left="0.7" right="0.7" top="0.75" bottom="0.75" header="0.3" footer="0.3"/>
  <pageSetup paperSize="9" orientation="portrait" horizontalDpi="0" verticalDpi="0"/>
  <legacyDrawing r:id="rId1"/>
</worksheet>
</file>

<file path=xl/worksheets/sheet6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100-000000000000}">
  <dimension ref="A1:L36"/>
  <sheetViews>
    <sheetView zoomScale="75" zoomScaleNormal="130" workbookViewId="0">
      <pane xSplit="2" ySplit="1" topLeftCell="C2" activePane="bottomRight" state="frozen"/>
      <selection pane="topRight" activeCell="C1" sqref="C1"/>
      <selection pane="bottomLeft" activeCell="A2" sqref="A2"/>
      <selection pane="bottomRight" activeCell="C1" sqref="C1"/>
    </sheetView>
  </sheetViews>
  <sheetFormatPr baseColWidth="10" defaultColWidth="11" defaultRowHeight="16" x14ac:dyDescent="0.2"/>
  <cols>
    <col min="1" max="1" width="27.5" bestFit="1" customWidth="1"/>
    <col min="2" max="2" width="0" hidden="1"/>
    <col min="3" max="6" width="10.1640625" bestFit="1" customWidth="1"/>
    <col min="7" max="7" width="13" customWidth="1"/>
    <col min="8" max="8" width="8.1640625" customWidth="1"/>
  </cols>
  <sheetData>
    <row r="1" spans="1:12" x14ac:dyDescent="0.2">
      <c r="B1" s="46" t="s">
        <v>0</v>
      </c>
      <c r="C1" s="46" t="s">
        <v>1</v>
      </c>
      <c r="D1" s="46" t="s">
        <v>2</v>
      </c>
      <c r="E1" s="81" t="s">
        <v>3</v>
      </c>
      <c r="F1" s="81" t="s">
        <v>4</v>
      </c>
      <c r="G1" s="81" t="s">
        <v>5</v>
      </c>
    </row>
    <row r="2" spans="1:12" x14ac:dyDescent="0.2">
      <c r="A2" t="s">
        <v>21</v>
      </c>
      <c r="B2" s="46"/>
      <c r="C2" s="54">
        <v>16290000</v>
      </c>
      <c r="D2" s="47">
        <v>16090000</v>
      </c>
      <c r="E2" s="39">
        <v>15990000</v>
      </c>
      <c r="F2" s="39">
        <v>15590000</v>
      </c>
      <c r="G2" s="39">
        <v>15990000</v>
      </c>
    </row>
    <row r="3" spans="1:12" x14ac:dyDescent="0.2">
      <c r="A3" t="s">
        <v>181</v>
      </c>
      <c r="B3" s="25"/>
      <c r="C3" s="53">
        <v>19090000</v>
      </c>
      <c r="D3" s="42">
        <v>18990000</v>
      </c>
      <c r="E3" s="39">
        <v>18490000</v>
      </c>
      <c r="F3" s="39">
        <v>18590000</v>
      </c>
      <c r="G3" s="39">
        <v>18590000</v>
      </c>
    </row>
    <row r="4" spans="1:12" x14ac:dyDescent="0.2">
      <c r="A4" t="s">
        <v>24</v>
      </c>
      <c r="B4" s="3"/>
      <c r="C4" s="52">
        <v>22190000</v>
      </c>
      <c r="D4" s="42">
        <v>21990000</v>
      </c>
      <c r="E4" s="39">
        <v>21690000</v>
      </c>
      <c r="F4" s="39">
        <v>21890000</v>
      </c>
      <c r="G4" s="37">
        <v>21690000</v>
      </c>
      <c r="H4">
        <v>-200</v>
      </c>
    </row>
    <row r="5" spans="1:12" x14ac:dyDescent="0.2">
      <c r="A5" t="s">
        <v>182</v>
      </c>
      <c r="B5" s="25"/>
      <c r="C5" s="52">
        <v>25090000</v>
      </c>
      <c r="D5" s="42">
        <v>25090000</v>
      </c>
      <c r="E5" s="39">
        <v>24290000</v>
      </c>
      <c r="F5" s="37">
        <v>24890000</v>
      </c>
      <c r="G5" s="39">
        <v>24450000</v>
      </c>
    </row>
    <row r="6" spans="1:12" x14ac:dyDescent="0.2">
      <c r="A6" t="s">
        <v>183</v>
      </c>
      <c r="B6" s="3"/>
      <c r="C6" s="52">
        <v>30090000</v>
      </c>
      <c r="D6" s="42">
        <v>30090000</v>
      </c>
      <c r="E6" s="39">
        <v>29690000</v>
      </c>
      <c r="F6" s="37">
        <v>29690000</v>
      </c>
      <c r="G6" s="37">
        <v>29490000</v>
      </c>
      <c r="H6">
        <v>-200</v>
      </c>
    </row>
    <row r="7" spans="1:12" x14ac:dyDescent="0.2">
      <c r="A7" t="s">
        <v>25</v>
      </c>
      <c r="B7" s="25"/>
      <c r="C7" s="53">
        <v>15290000</v>
      </c>
      <c r="D7" s="41">
        <v>15290000</v>
      </c>
      <c r="E7" s="39">
        <v>15490000</v>
      </c>
      <c r="F7" s="37">
        <v>15190000</v>
      </c>
      <c r="G7" s="37">
        <v>15090000</v>
      </c>
      <c r="H7">
        <v>-200</v>
      </c>
    </row>
    <row r="8" spans="1:12" x14ac:dyDescent="0.2">
      <c r="A8" t="s">
        <v>26</v>
      </c>
      <c r="B8" s="25"/>
      <c r="C8" s="53">
        <v>19290000</v>
      </c>
      <c r="D8" s="42">
        <v>19090000</v>
      </c>
      <c r="E8" s="39">
        <v>18990000</v>
      </c>
      <c r="F8" s="37">
        <v>18990000</v>
      </c>
      <c r="G8" s="37">
        <v>18690000</v>
      </c>
      <c r="H8">
        <v>-200</v>
      </c>
    </row>
    <row r="9" spans="1:12" x14ac:dyDescent="0.2">
      <c r="A9" t="s">
        <v>158</v>
      </c>
      <c r="B9" s="3"/>
      <c r="C9" s="52">
        <v>29390000</v>
      </c>
      <c r="D9" s="25">
        <v>28490000</v>
      </c>
      <c r="E9" s="39" t="s">
        <v>22</v>
      </c>
      <c r="F9" s="39">
        <v>28650000</v>
      </c>
      <c r="G9" s="39">
        <v>27890000</v>
      </c>
    </row>
    <row r="10" spans="1:12" x14ac:dyDescent="0.2">
      <c r="A10" t="s">
        <v>92</v>
      </c>
      <c r="B10" s="3"/>
      <c r="C10" s="51" t="s">
        <v>22</v>
      </c>
      <c r="D10" s="25" t="s">
        <v>22</v>
      </c>
      <c r="E10" s="39">
        <v>16990000</v>
      </c>
      <c r="F10" s="42" t="s">
        <v>22</v>
      </c>
      <c r="G10" s="39">
        <v>17490000</v>
      </c>
    </row>
    <row r="11" spans="1:12" x14ac:dyDescent="0.2">
      <c r="A11" t="s">
        <v>27</v>
      </c>
      <c r="B11" s="25"/>
      <c r="C11" s="53">
        <v>12690000</v>
      </c>
      <c r="D11" s="37">
        <v>12690000</v>
      </c>
      <c r="E11" s="39">
        <v>12690000</v>
      </c>
      <c r="F11" s="38">
        <v>12490000</v>
      </c>
      <c r="G11" s="37">
        <v>12390000</v>
      </c>
      <c r="H11">
        <v>-100</v>
      </c>
    </row>
    <row r="12" spans="1:12" x14ac:dyDescent="0.2">
      <c r="A12" t="s">
        <v>28</v>
      </c>
      <c r="B12" s="3"/>
      <c r="C12" s="52">
        <v>11690000</v>
      </c>
      <c r="D12" s="34">
        <v>11490000</v>
      </c>
      <c r="E12" s="39">
        <v>11390000</v>
      </c>
      <c r="F12" s="38">
        <v>11390000</v>
      </c>
      <c r="G12" s="37">
        <v>11390000</v>
      </c>
      <c r="H12">
        <v>-100</v>
      </c>
    </row>
    <row r="13" spans="1:12" x14ac:dyDescent="0.2">
      <c r="A13" t="s">
        <v>29</v>
      </c>
      <c r="B13" s="25"/>
      <c r="C13" s="52">
        <v>11790000</v>
      </c>
      <c r="D13" s="25">
        <v>11790000</v>
      </c>
      <c r="E13" s="3">
        <v>11672000</v>
      </c>
      <c r="F13" s="38">
        <v>11790000</v>
      </c>
      <c r="G13" s="39">
        <v>11490000</v>
      </c>
    </row>
    <row r="14" spans="1:12" x14ac:dyDescent="0.2">
      <c r="A14" t="s">
        <v>30</v>
      </c>
      <c r="B14" s="3"/>
      <c r="C14" s="52">
        <v>8980000</v>
      </c>
      <c r="D14" s="41">
        <v>8990000</v>
      </c>
      <c r="E14" s="3">
        <v>8603000</v>
      </c>
      <c r="F14" s="34">
        <v>8790000</v>
      </c>
      <c r="G14" s="34">
        <v>8450000</v>
      </c>
      <c r="H14">
        <v>-250</v>
      </c>
      <c r="J14" t="s">
        <v>31</v>
      </c>
      <c r="K14" t="s">
        <v>38</v>
      </c>
      <c r="L14" t="b">
        <v>1</v>
      </c>
    </row>
    <row r="15" spans="1:12" x14ac:dyDescent="0.2">
      <c r="A15" t="s">
        <v>33</v>
      </c>
      <c r="B15" s="3"/>
      <c r="C15" s="52">
        <v>15090000</v>
      </c>
      <c r="D15" s="42">
        <v>15090000</v>
      </c>
      <c r="E15" s="3">
        <v>14246000</v>
      </c>
      <c r="F15" s="38">
        <v>14790000</v>
      </c>
      <c r="G15" s="3">
        <v>14590000</v>
      </c>
      <c r="H15">
        <v>-200</v>
      </c>
      <c r="J15" t="s">
        <v>2</v>
      </c>
      <c r="K15" t="s">
        <v>198</v>
      </c>
      <c r="L15" t="b">
        <v>1</v>
      </c>
    </row>
    <row r="16" spans="1:12" x14ac:dyDescent="0.2">
      <c r="A16" t="s">
        <v>37</v>
      </c>
      <c r="B16" s="25"/>
      <c r="C16" s="53">
        <v>20890000</v>
      </c>
      <c r="D16" s="42">
        <v>21290000</v>
      </c>
      <c r="E16" s="25">
        <v>21290000</v>
      </c>
      <c r="F16" s="34">
        <v>20790000</v>
      </c>
      <c r="G16" s="34">
        <v>20590000</v>
      </c>
      <c r="H16">
        <v>-1200</v>
      </c>
      <c r="J16" t="s">
        <v>3</v>
      </c>
      <c r="K16" t="s">
        <v>36</v>
      </c>
      <c r="L16" t="b">
        <v>1</v>
      </c>
    </row>
    <row r="17" spans="1:12" x14ac:dyDescent="0.2">
      <c r="A17" t="s">
        <v>184</v>
      </c>
      <c r="B17" s="25"/>
      <c r="C17" s="53">
        <v>26940000</v>
      </c>
      <c r="D17" s="41">
        <v>26490000</v>
      </c>
      <c r="E17" s="25">
        <v>26990000</v>
      </c>
      <c r="F17" s="34">
        <v>25990000</v>
      </c>
      <c r="G17" s="4">
        <v>26690000</v>
      </c>
      <c r="J17" t="s">
        <v>4</v>
      </c>
      <c r="K17" t="s">
        <v>34</v>
      </c>
      <c r="L17" t="b">
        <v>1</v>
      </c>
    </row>
    <row r="18" spans="1:12" x14ac:dyDescent="0.2">
      <c r="A18" t="s">
        <v>185</v>
      </c>
      <c r="B18" s="3"/>
      <c r="C18" s="52">
        <v>33990000</v>
      </c>
      <c r="D18" s="42">
        <v>33990000</v>
      </c>
      <c r="E18" s="25">
        <v>35990000</v>
      </c>
      <c r="F18" s="34">
        <v>33990000</v>
      </c>
      <c r="G18" s="34">
        <v>34990000</v>
      </c>
      <c r="H18">
        <v>-2000</v>
      </c>
      <c r="J18" t="s">
        <v>41</v>
      </c>
      <c r="K18" t="s">
        <v>42</v>
      </c>
      <c r="L18" t="b">
        <v>1</v>
      </c>
    </row>
    <row r="19" spans="1:12" x14ac:dyDescent="0.2">
      <c r="A19" t="s">
        <v>227</v>
      </c>
      <c r="B19" s="25"/>
      <c r="C19" s="52">
        <v>5190000</v>
      </c>
      <c r="D19" s="41">
        <v>4990000</v>
      </c>
      <c r="E19" s="25">
        <v>4940000</v>
      </c>
      <c r="F19" s="34">
        <v>4990000</v>
      </c>
      <c r="G19" s="4">
        <v>5090000</v>
      </c>
    </row>
    <row r="20" spans="1:12" x14ac:dyDescent="0.2">
      <c r="A20" t="s">
        <v>228</v>
      </c>
      <c r="B20" s="25"/>
      <c r="C20" s="52">
        <v>6990000</v>
      </c>
      <c r="D20" s="42">
        <v>6990000</v>
      </c>
      <c r="E20" s="25">
        <v>6920000</v>
      </c>
      <c r="F20" s="38">
        <v>6690000</v>
      </c>
      <c r="G20" s="4">
        <v>6590000</v>
      </c>
    </row>
    <row r="21" spans="1:12" x14ac:dyDescent="0.2">
      <c r="A21" t="s">
        <v>229</v>
      </c>
      <c r="B21" s="25"/>
      <c r="C21" s="52">
        <v>5790000</v>
      </c>
      <c r="D21" s="42">
        <v>5790000</v>
      </c>
      <c r="E21" s="3">
        <v>5435000</v>
      </c>
      <c r="F21" s="38">
        <v>5790000</v>
      </c>
      <c r="G21" s="4">
        <v>5950000</v>
      </c>
    </row>
    <row r="22" spans="1:12" x14ac:dyDescent="0.2">
      <c r="A22" t="s">
        <v>230</v>
      </c>
      <c r="B22" s="25"/>
      <c r="C22" s="51" t="s">
        <v>22</v>
      </c>
      <c r="D22" s="42">
        <v>7790000</v>
      </c>
      <c r="E22" s="25">
        <v>7712000</v>
      </c>
      <c r="F22" s="38">
        <v>7790000</v>
      </c>
      <c r="G22" s="4">
        <v>7690000</v>
      </c>
    </row>
    <row r="23" spans="1:12" x14ac:dyDescent="0.2">
      <c r="A23" t="s">
        <v>213</v>
      </c>
      <c r="B23" s="25"/>
      <c r="C23" s="53">
        <v>8390000</v>
      </c>
      <c r="D23" s="42">
        <v>8390000</v>
      </c>
      <c r="E23" s="25">
        <v>8207000</v>
      </c>
      <c r="F23" s="34">
        <v>8390000</v>
      </c>
      <c r="G23" s="4">
        <v>8350000</v>
      </c>
    </row>
    <row r="24" spans="1:12" x14ac:dyDescent="0.2">
      <c r="A24" t="s">
        <v>214</v>
      </c>
      <c r="B24" s="25"/>
      <c r="C24" s="52">
        <v>12790000</v>
      </c>
      <c r="D24" s="42">
        <v>12790000</v>
      </c>
      <c r="E24" s="3">
        <v>12464000</v>
      </c>
      <c r="F24" s="38">
        <v>13190000</v>
      </c>
      <c r="G24" s="4">
        <v>12890000</v>
      </c>
    </row>
    <row r="25" spans="1:12" x14ac:dyDescent="0.2">
      <c r="A25" t="s">
        <v>215</v>
      </c>
      <c r="B25" s="25"/>
      <c r="C25" s="52">
        <v>9190000</v>
      </c>
      <c r="D25" s="42">
        <v>9190000</v>
      </c>
      <c r="E25" s="25">
        <v>8900000</v>
      </c>
      <c r="F25" s="34">
        <v>9190000</v>
      </c>
      <c r="G25" s="4">
        <v>8890000</v>
      </c>
      <c r="I25" s="26"/>
    </row>
    <row r="26" spans="1:12" x14ac:dyDescent="0.2">
      <c r="A26" t="s">
        <v>217</v>
      </c>
      <c r="B26" s="3"/>
      <c r="C26" s="53">
        <v>13890000</v>
      </c>
      <c r="D26" s="3">
        <v>13990000</v>
      </c>
      <c r="E26" s="25">
        <v>13553000</v>
      </c>
      <c r="F26" s="38">
        <v>13890000</v>
      </c>
      <c r="G26" s="4">
        <v>13590000</v>
      </c>
    </row>
    <row r="27" spans="1:12" x14ac:dyDescent="0.2">
      <c r="A27" t="s">
        <v>172</v>
      </c>
      <c r="B27" s="25"/>
      <c r="C27" s="52">
        <v>21890000</v>
      </c>
      <c r="D27" s="42">
        <v>21890000</v>
      </c>
      <c r="E27" s="25">
        <v>21790000</v>
      </c>
      <c r="F27" s="37">
        <v>21790000</v>
      </c>
      <c r="G27" s="4">
        <v>22990000</v>
      </c>
    </row>
    <row r="28" spans="1:12" x14ac:dyDescent="0.2">
      <c r="A28" t="s">
        <v>53</v>
      </c>
      <c r="B28" s="3"/>
      <c r="C28" s="52">
        <v>5390000</v>
      </c>
      <c r="D28" s="38">
        <v>5350000</v>
      </c>
      <c r="E28" s="25">
        <v>5138000</v>
      </c>
      <c r="F28" s="39">
        <v>5290000</v>
      </c>
      <c r="G28" s="4">
        <v>5390000</v>
      </c>
    </row>
    <row r="29" spans="1:12" x14ac:dyDescent="0.2">
      <c r="A29" t="s">
        <v>54</v>
      </c>
      <c r="B29" s="3"/>
      <c r="C29" s="52">
        <v>4490000</v>
      </c>
      <c r="D29" s="39">
        <v>4450000</v>
      </c>
      <c r="E29" s="25">
        <v>4247000</v>
      </c>
      <c r="F29" s="39">
        <v>4490000</v>
      </c>
      <c r="G29" s="4">
        <v>4490000</v>
      </c>
    </row>
    <row r="30" spans="1:12" x14ac:dyDescent="0.2">
      <c r="A30" t="s">
        <v>55</v>
      </c>
      <c r="B30" s="3"/>
      <c r="C30" s="53">
        <v>3190000</v>
      </c>
      <c r="D30" s="39">
        <v>3090000</v>
      </c>
      <c r="E30" s="3">
        <v>2890000</v>
      </c>
      <c r="F30" s="37">
        <v>3090000</v>
      </c>
      <c r="G30" s="34">
        <v>3090000</v>
      </c>
      <c r="H30">
        <v>-100</v>
      </c>
    </row>
    <row r="31" spans="1:12" x14ac:dyDescent="0.2">
      <c r="A31" t="s">
        <v>175</v>
      </c>
      <c r="B31" s="3"/>
      <c r="C31" s="52">
        <v>16990000</v>
      </c>
      <c r="D31" s="38">
        <v>16990000</v>
      </c>
      <c r="E31" s="36"/>
      <c r="F31" s="38">
        <v>17190000</v>
      </c>
      <c r="G31" s="4">
        <v>16890000</v>
      </c>
    </row>
    <row r="32" spans="1:12" x14ac:dyDescent="0.2">
      <c r="A32" t="s">
        <v>186</v>
      </c>
      <c r="B32" s="25"/>
      <c r="C32" s="52">
        <v>19890000</v>
      </c>
      <c r="D32" s="25">
        <v>19890000</v>
      </c>
      <c r="E32" s="36"/>
      <c r="F32" s="34">
        <v>19890000</v>
      </c>
      <c r="G32" s="34">
        <v>19590000</v>
      </c>
      <c r="H32">
        <v>-200</v>
      </c>
    </row>
    <row r="33" spans="1:8" x14ac:dyDescent="0.2">
      <c r="A33" t="s">
        <v>232</v>
      </c>
      <c r="B33" s="3"/>
      <c r="C33" s="51" t="s">
        <v>22</v>
      </c>
      <c r="D33" s="38">
        <v>23990000</v>
      </c>
      <c r="E33" s="36"/>
      <c r="F33" s="38">
        <v>24790000</v>
      </c>
      <c r="G33" s="4">
        <v>25290000</v>
      </c>
    </row>
    <row r="34" spans="1:8" x14ac:dyDescent="0.2">
      <c r="A34" t="s">
        <v>59</v>
      </c>
      <c r="B34" s="3"/>
      <c r="C34" s="53">
        <v>25590000</v>
      </c>
      <c r="D34" s="37">
        <v>24990000</v>
      </c>
      <c r="E34" s="36"/>
      <c r="F34" s="38">
        <v>24990000</v>
      </c>
      <c r="G34" s="34">
        <v>24890000</v>
      </c>
      <c r="H34">
        <v>-100</v>
      </c>
    </row>
    <row r="35" spans="1:8" x14ac:dyDescent="0.2">
      <c r="A35" t="s">
        <v>61</v>
      </c>
      <c r="B35" s="25"/>
      <c r="C35" s="52">
        <v>29990000</v>
      </c>
      <c r="D35" s="42">
        <v>29990000</v>
      </c>
      <c r="E35" s="36"/>
      <c r="F35" s="38">
        <v>29490000</v>
      </c>
      <c r="G35" s="34">
        <v>29290000</v>
      </c>
      <c r="H35">
        <v>-200</v>
      </c>
    </row>
    <row r="36" spans="1:8" x14ac:dyDescent="0.2">
      <c r="A36" t="s">
        <v>187</v>
      </c>
      <c r="B36" s="25"/>
      <c r="C36" s="53">
        <v>38790000</v>
      </c>
      <c r="D36" s="41">
        <v>38490000</v>
      </c>
      <c r="E36" s="36"/>
      <c r="F36" s="37">
        <v>38890000</v>
      </c>
      <c r="G36" s="4">
        <v>38590000</v>
      </c>
    </row>
  </sheetData>
  <pageMargins left="0.7" right="0.7" top="0.75" bottom="0.75" header="0.3" footer="0.3"/>
  <pageSetup paperSize="9" orientation="portrait" horizontalDpi="0" verticalDpi="0"/>
  <legacyDrawing r:id="rId1"/>
</worksheet>
</file>

<file path=xl/worksheets/sheet6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200-000000000000}">
  <dimension ref="A1:L150"/>
  <sheetViews>
    <sheetView zoomScale="117" zoomScaleNormal="130" workbookViewId="0">
      <pane xSplit="2" ySplit="1" topLeftCell="C6" activePane="bottomRight" state="frozen"/>
      <selection pane="topRight" activeCell="C1" sqref="C1"/>
      <selection pane="bottomLeft" activeCell="A2" sqref="A2"/>
      <selection pane="bottomRight" activeCell="C1" sqref="C1"/>
    </sheetView>
  </sheetViews>
  <sheetFormatPr baseColWidth="10" defaultColWidth="11" defaultRowHeight="16" x14ac:dyDescent="0.2"/>
  <cols>
    <col min="1" max="1" width="27.5" bestFit="1" customWidth="1"/>
    <col min="2" max="2" width="0" hidden="1"/>
    <col min="3" max="6" width="10.1640625" bestFit="1" customWidth="1"/>
    <col min="7" max="7" width="13" customWidth="1"/>
    <col min="8" max="8" width="8.1640625" customWidth="1"/>
  </cols>
  <sheetData>
    <row r="1" spans="1:12" x14ac:dyDescent="0.2">
      <c r="B1" s="46" t="s">
        <v>0</v>
      </c>
      <c r="C1" s="46" t="s">
        <v>1</v>
      </c>
      <c r="D1" s="46" t="s">
        <v>2</v>
      </c>
      <c r="E1" s="81" t="s">
        <v>3</v>
      </c>
      <c r="F1" s="81" t="s">
        <v>4</v>
      </c>
      <c r="G1" s="81" t="s">
        <v>5</v>
      </c>
    </row>
    <row r="2" spans="1:12" x14ac:dyDescent="0.2">
      <c r="A2" t="s">
        <v>21</v>
      </c>
      <c r="B2" s="46"/>
      <c r="C2" s="50">
        <v>16290000</v>
      </c>
      <c r="D2" s="55">
        <v>15790000</v>
      </c>
      <c r="E2" s="39">
        <v>15990000</v>
      </c>
      <c r="F2" s="37">
        <v>15790000</v>
      </c>
      <c r="G2" s="39">
        <v>15990000</v>
      </c>
    </row>
    <row r="3" spans="1:12" x14ac:dyDescent="0.2">
      <c r="A3" t="s">
        <v>181</v>
      </c>
      <c r="B3" s="25"/>
      <c r="C3" s="52">
        <v>19090000</v>
      </c>
      <c r="D3" s="56">
        <v>18890000</v>
      </c>
      <c r="E3" s="39">
        <v>18490000</v>
      </c>
      <c r="F3" s="37">
        <v>18890000</v>
      </c>
      <c r="G3" s="39">
        <v>18590000</v>
      </c>
    </row>
    <row r="4" spans="1:12" x14ac:dyDescent="0.2">
      <c r="A4" t="s">
        <v>24</v>
      </c>
      <c r="B4" s="3"/>
      <c r="C4" s="52">
        <v>22190000</v>
      </c>
      <c r="D4" s="58">
        <v>21990000</v>
      </c>
      <c r="E4" s="39">
        <v>21690000</v>
      </c>
      <c r="F4" s="39">
        <v>21890000</v>
      </c>
      <c r="G4" s="39">
        <v>21690000</v>
      </c>
    </row>
    <row r="5" spans="1:12" x14ac:dyDescent="0.2">
      <c r="A5" t="s">
        <v>182</v>
      </c>
      <c r="B5" s="25"/>
      <c r="C5" s="52">
        <v>25090000</v>
      </c>
      <c r="D5" s="58">
        <v>25090000</v>
      </c>
      <c r="E5" s="39">
        <v>24290000</v>
      </c>
      <c r="F5" s="37">
        <v>25090000</v>
      </c>
      <c r="G5" s="39">
        <v>24450000</v>
      </c>
    </row>
    <row r="6" spans="1:12" x14ac:dyDescent="0.2">
      <c r="A6" t="s">
        <v>183</v>
      </c>
      <c r="B6" s="3"/>
      <c r="C6" s="52">
        <v>30090000</v>
      </c>
      <c r="D6" s="56">
        <v>29990000</v>
      </c>
      <c r="E6" s="39">
        <v>29690000</v>
      </c>
      <c r="F6" s="37">
        <v>29990000</v>
      </c>
      <c r="G6" s="39">
        <v>29490000</v>
      </c>
    </row>
    <row r="7" spans="1:12" x14ac:dyDescent="0.2">
      <c r="A7" t="s">
        <v>25</v>
      </c>
      <c r="B7" s="25"/>
      <c r="C7" s="53">
        <v>15390000</v>
      </c>
      <c r="D7" s="58">
        <v>15290000</v>
      </c>
      <c r="E7" s="3">
        <v>15190000</v>
      </c>
      <c r="F7" s="37">
        <v>15390000</v>
      </c>
      <c r="G7" s="39">
        <v>15090000</v>
      </c>
    </row>
    <row r="8" spans="1:12" x14ac:dyDescent="0.2">
      <c r="A8" t="s">
        <v>26</v>
      </c>
      <c r="B8" s="25"/>
      <c r="C8" s="52">
        <v>19290000</v>
      </c>
      <c r="D8" s="56">
        <v>18990000</v>
      </c>
      <c r="E8" s="3">
        <v>18790000</v>
      </c>
      <c r="F8" s="39">
        <v>18990000</v>
      </c>
      <c r="G8" s="39">
        <v>18690000</v>
      </c>
    </row>
    <row r="9" spans="1:12" x14ac:dyDescent="0.2">
      <c r="A9" t="s">
        <v>158</v>
      </c>
      <c r="B9" s="3"/>
      <c r="C9" s="53">
        <v>27690000</v>
      </c>
      <c r="D9" s="58">
        <v>28490000</v>
      </c>
      <c r="E9" s="39" t="s">
        <v>22</v>
      </c>
      <c r="F9" s="37">
        <v>27690000</v>
      </c>
      <c r="G9" s="37">
        <v>27690000</v>
      </c>
    </row>
    <row r="10" spans="1:12" x14ac:dyDescent="0.2">
      <c r="A10" t="s">
        <v>92</v>
      </c>
      <c r="B10" s="3"/>
      <c r="C10" s="51" t="s">
        <v>22</v>
      </c>
      <c r="D10" s="57" t="s">
        <v>22</v>
      </c>
      <c r="E10" s="42" t="s">
        <v>22</v>
      </c>
      <c r="F10" s="42" t="s">
        <v>22</v>
      </c>
      <c r="G10" s="39">
        <v>17490000</v>
      </c>
    </row>
    <row r="11" spans="1:12" x14ac:dyDescent="0.2">
      <c r="A11" t="s">
        <v>27</v>
      </c>
      <c r="B11" s="25"/>
      <c r="C11" s="52">
        <v>12690000</v>
      </c>
      <c r="D11" s="58">
        <v>12690000</v>
      </c>
      <c r="E11" s="39">
        <v>12690000</v>
      </c>
      <c r="F11" s="34">
        <v>12590000</v>
      </c>
      <c r="G11" s="39">
        <v>12390000</v>
      </c>
    </row>
    <row r="12" spans="1:12" x14ac:dyDescent="0.2">
      <c r="A12" t="s">
        <v>28</v>
      </c>
      <c r="B12" s="3"/>
      <c r="C12" s="52">
        <v>11690000</v>
      </c>
      <c r="D12" s="56">
        <v>11190000</v>
      </c>
      <c r="E12" s="39">
        <v>11390000</v>
      </c>
      <c r="F12" s="34">
        <v>11190000</v>
      </c>
      <c r="G12" s="39">
        <v>11390000</v>
      </c>
    </row>
    <row r="13" spans="1:12" x14ac:dyDescent="0.2">
      <c r="A13" t="s">
        <v>29</v>
      </c>
      <c r="B13" s="25"/>
      <c r="C13" s="52">
        <v>11790000</v>
      </c>
      <c r="D13" s="58">
        <v>11790000</v>
      </c>
      <c r="E13" s="39">
        <v>11672000</v>
      </c>
      <c r="F13" s="38">
        <v>11790000</v>
      </c>
      <c r="G13" s="39">
        <v>11490000</v>
      </c>
    </row>
    <row r="14" spans="1:12" x14ac:dyDescent="0.2">
      <c r="A14" t="s">
        <v>30</v>
      </c>
      <c r="B14" s="3"/>
      <c r="C14" s="53">
        <v>8890000</v>
      </c>
      <c r="D14" s="56">
        <v>8690000</v>
      </c>
      <c r="E14" s="3">
        <v>8801000</v>
      </c>
      <c r="F14" s="34">
        <v>8690000</v>
      </c>
      <c r="G14" s="39">
        <v>8450000</v>
      </c>
      <c r="J14" t="s">
        <v>31</v>
      </c>
      <c r="K14" t="s">
        <v>38</v>
      </c>
      <c r="L14" t="b">
        <v>1</v>
      </c>
    </row>
    <row r="15" spans="1:12" x14ac:dyDescent="0.2">
      <c r="A15" t="s">
        <v>33</v>
      </c>
      <c r="B15" s="3"/>
      <c r="C15" s="53">
        <v>14790000</v>
      </c>
      <c r="D15" s="56">
        <v>14790000</v>
      </c>
      <c r="E15" s="3">
        <v>14543000</v>
      </c>
      <c r="F15" s="38">
        <v>14790000</v>
      </c>
      <c r="G15" s="39">
        <v>14590000</v>
      </c>
      <c r="J15" t="s">
        <v>2</v>
      </c>
      <c r="K15" t="s">
        <v>198</v>
      </c>
      <c r="L15" t="b">
        <v>1</v>
      </c>
    </row>
    <row r="16" spans="1:12" x14ac:dyDescent="0.2">
      <c r="A16" t="s">
        <v>37</v>
      </c>
      <c r="B16" s="25"/>
      <c r="C16" s="52">
        <v>20890000</v>
      </c>
      <c r="D16" s="56">
        <v>20990000</v>
      </c>
      <c r="E16" s="3">
        <v>20490000</v>
      </c>
      <c r="F16" s="34">
        <v>20590000</v>
      </c>
      <c r="G16" s="39">
        <v>20590000</v>
      </c>
      <c r="J16" t="s">
        <v>3</v>
      </c>
      <c r="K16" t="s">
        <v>36</v>
      </c>
      <c r="L16" t="b">
        <v>1</v>
      </c>
    </row>
    <row r="17" spans="1:12" x14ac:dyDescent="0.2">
      <c r="A17" t="s">
        <v>184</v>
      </c>
      <c r="B17" s="25"/>
      <c r="C17" s="53">
        <v>25990000</v>
      </c>
      <c r="D17" s="56">
        <v>26390000</v>
      </c>
      <c r="E17" s="3">
        <v>26490000</v>
      </c>
      <c r="F17" s="38">
        <v>25990000</v>
      </c>
      <c r="G17" s="34">
        <v>25890000</v>
      </c>
      <c r="J17" t="s">
        <v>4</v>
      </c>
      <c r="K17" t="s">
        <v>34</v>
      </c>
      <c r="L17" t="b">
        <v>1</v>
      </c>
    </row>
    <row r="18" spans="1:12" x14ac:dyDescent="0.2">
      <c r="A18" t="s">
        <v>185</v>
      </c>
      <c r="B18" s="3"/>
      <c r="C18" s="52">
        <v>33990000</v>
      </c>
      <c r="D18" s="58">
        <v>33990000</v>
      </c>
      <c r="E18" s="3">
        <v>35490000</v>
      </c>
      <c r="F18" s="38">
        <v>33990000</v>
      </c>
      <c r="G18" s="4">
        <v>34990000</v>
      </c>
      <c r="J18" t="s">
        <v>41</v>
      </c>
      <c r="K18" t="s">
        <v>42</v>
      </c>
      <c r="L18" t="b">
        <v>1</v>
      </c>
    </row>
    <row r="19" spans="1:12" x14ac:dyDescent="0.2">
      <c r="A19" t="s">
        <v>227</v>
      </c>
      <c r="B19" s="25"/>
      <c r="C19" s="53">
        <v>5890000</v>
      </c>
      <c r="D19" s="56">
        <v>5690000</v>
      </c>
      <c r="E19" s="3">
        <v>5732000</v>
      </c>
      <c r="F19" s="34">
        <v>5690000</v>
      </c>
      <c r="G19" s="4">
        <v>5090000</v>
      </c>
    </row>
    <row r="20" spans="1:12" x14ac:dyDescent="0.2">
      <c r="A20" t="s">
        <v>228</v>
      </c>
      <c r="B20" s="25"/>
      <c r="C20" s="52">
        <v>6990000</v>
      </c>
      <c r="D20" s="58">
        <v>6990000</v>
      </c>
      <c r="E20" s="25">
        <v>6920000</v>
      </c>
      <c r="F20" s="38">
        <v>6690000</v>
      </c>
      <c r="G20" s="4">
        <v>6590000</v>
      </c>
    </row>
    <row r="21" spans="1:12" x14ac:dyDescent="0.2">
      <c r="A21" t="s">
        <v>229</v>
      </c>
      <c r="B21" s="25"/>
      <c r="C21" s="53">
        <v>6490000</v>
      </c>
      <c r="D21" s="56">
        <v>6490000</v>
      </c>
      <c r="E21" s="3">
        <v>6128000</v>
      </c>
      <c r="F21" s="34">
        <v>6490000</v>
      </c>
      <c r="G21" s="34">
        <v>6490000</v>
      </c>
    </row>
    <row r="22" spans="1:12" x14ac:dyDescent="0.2">
      <c r="A22" t="s">
        <v>230</v>
      </c>
      <c r="B22" s="25"/>
      <c r="C22" s="51" t="s">
        <v>22</v>
      </c>
      <c r="D22" s="58">
        <v>7790000</v>
      </c>
      <c r="E22" s="25">
        <v>7712000</v>
      </c>
      <c r="F22" s="38">
        <v>7790000</v>
      </c>
      <c r="G22" s="4">
        <v>7690000</v>
      </c>
    </row>
    <row r="23" spans="1:12" x14ac:dyDescent="0.2">
      <c r="A23" t="s">
        <v>213</v>
      </c>
      <c r="B23" s="25"/>
      <c r="C23" s="53">
        <v>10590000</v>
      </c>
      <c r="D23" s="56">
        <v>10490000</v>
      </c>
      <c r="E23" s="3">
        <v>10187000</v>
      </c>
      <c r="F23" s="34">
        <v>10590000</v>
      </c>
      <c r="G23" s="34">
        <v>10490000</v>
      </c>
    </row>
    <row r="24" spans="1:12" x14ac:dyDescent="0.2">
      <c r="A24" t="s">
        <v>214</v>
      </c>
      <c r="B24" s="25"/>
      <c r="C24" s="52">
        <v>12790000</v>
      </c>
      <c r="D24" s="58">
        <v>12790000</v>
      </c>
      <c r="E24" s="3">
        <v>12860000</v>
      </c>
      <c r="F24" s="34">
        <v>12990000</v>
      </c>
      <c r="G24" s="4">
        <v>12890000</v>
      </c>
    </row>
    <row r="25" spans="1:12" x14ac:dyDescent="0.2">
      <c r="A25" t="s">
        <v>215</v>
      </c>
      <c r="B25" s="25"/>
      <c r="C25" s="53">
        <v>11390000</v>
      </c>
      <c r="D25" s="56">
        <v>11290000</v>
      </c>
      <c r="E25" s="3">
        <v>10880000</v>
      </c>
      <c r="F25" s="34">
        <v>11390000</v>
      </c>
      <c r="G25" s="34">
        <v>11290000</v>
      </c>
      <c r="I25" s="26"/>
    </row>
    <row r="26" spans="1:12" x14ac:dyDescent="0.2">
      <c r="A26" t="s">
        <v>217</v>
      </c>
      <c r="B26" s="3"/>
      <c r="C26" s="52">
        <v>13890000</v>
      </c>
      <c r="D26" s="56">
        <v>13690000</v>
      </c>
      <c r="E26" s="25">
        <v>13553000</v>
      </c>
      <c r="F26" s="38">
        <v>13890000</v>
      </c>
      <c r="G26" s="4">
        <v>13590000</v>
      </c>
    </row>
    <row r="27" spans="1:12" x14ac:dyDescent="0.2">
      <c r="A27" t="s">
        <v>172</v>
      </c>
      <c r="B27" s="25"/>
      <c r="C27" s="52">
        <v>21890000</v>
      </c>
      <c r="D27" s="58">
        <v>21890000</v>
      </c>
      <c r="E27" s="25">
        <v>21790000</v>
      </c>
      <c r="F27" s="39">
        <v>21590000</v>
      </c>
      <c r="G27" s="4">
        <v>22990000</v>
      </c>
    </row>
    <row r="28" spans="1:12" x14ac:dyDescent="0.2">
      <c r="A28" t="s">
        <v>53</v>
      </c>
      <c r="B28" s="3"/>
      <c r="C28" s="53">
        <v>5590000</v>
      </c>
      <c r="D28" s="56">
        <v>5550000</v>
      </c>
      <c r="E28" s="3">
        <v>5534000</v>
      </c>
      <c r="F28" s="37">
        <v>5590000</v>
      </c>
      <c r="G28" s="34">
        <v>5590000</v>
      </c>
    </row>
    <row r="29" spans="1:12" x14ac:dyDescent="0.2">
      <c r="A29" t="s">
        <v>54</v>
      </c>
      <c r="B29" s="3"/>
      <c r="C29" s="53">
        <v>4590000</v>
      </c>
      <c r="D29" s="58">
        <v>4450000</v>
      </c>
      <c r="E29" s="3">
        <v>4346000</v>
      </c>
      <c r="F29" s="39">
        <v>4490000</v>
      </c>
      <c r="G29" s="4">
        <v>4490000</v>
      </c>
    </row>
    <row r="30" spans="1:12" x14ac:dyDescent="0.2">
      <c r="A30" t="s">
        <v>55</v>
      </c>
      <c r="B30" s="3"/>
      <c r="C30" s="53">
        <v>3150000</v>
      </c>
      <c r="D30" s="56">
        <v>3190000</v>
      </c>
      <c r="E30" s="3">
        <v>3190000</v>
      </c>
      <c r="F30" s="37">
        <v>3190000</v>
      </c>
      <c r="G30" s="34">
        <v>3190000</v>
      </c>
    </row>
    <row r="31" spans="1:12" x14ac:dyDescent="0.2">
      <c r="A31" t="s">
        <v>175</v>
      </c>
      <c r="B31" s="3"/>
      <c r="C31" s="52">
        <v>16990000</v>
      </c>
      <c r="D31" s="58">
        <v>16990000</v>
      </c>
      <c r="E31" s="36"/>
      <c r="F31" s="38">
        <v>17190000</v>
      </c>
      <c r="G31" s="4">
        <v>16890000</v>
      </c>
    </row>
    <row r="32" spans="1:12" x14ac:dyDescent="0.2">
      <c r="A32" t="s">
        <v>186</v>
      </c>
      <c r="B32" s="25"/>
      <c r="C32" s="52">
        <v>19890000</v>
      </c>
      <c r="D32" s="56">
        <v>19690000</v>
      </c>
      <c r="E32" s="36"/>
      <c r="F32" s="34">
        <v>19690000</v>
      </c>
      <c r="G32" s="4">
        <v>19490000</v>
      </c>
    </row>
    <row r="33" spans="1:7" x14ac:dyDescent="0.2">
      <c r="A33" t="s">
        <v>232</v>
      </c>
      <c r="B33" s="3"/>
      <c r="C33" s="51" t="s">
        <v>22</v>
      </c>
      <c r="D33" s="58">
        <v>23990000</v>
      </c>
      <c r="E33" s="36"/>
      <c r="F33" s="38" t="s">
        <v>22</v>
      </c>
      <c r="G33" s="4">
        <v>25290000</v>
      </c>
    </row>
    <row r="34" spans="1:7" x14ac:dyDescent="0.2">
      <c r="A34" t="s">
        <v>59</v>
      </c>
      <c r="B34" s="3"/>
      <c r="C34" s="53">
        <v>25190000</v>
      </c>
      <c r="D34" s="58">
        <v>24790000</v>
      </c>
      <c r="E34" s="36"/>
      <c r="F34" s="34">
        <v>24790000</v>
      </c>
      <c r="G34" s="34">
        <v>24690000</v>
      </c>
    </row>
    <row r="35" spans="1:7" x14ac:dyDescent="0.2">
      <c r="A35" t="s">
        <v>61</v>
      </c>
      <c r="B35" s="25"/>
      <c r="C35" s="53">
        <v>29790000</v>
      </c>
      <c r="D35" s="56">
        <v>29790000</v>
      </c>
      <c r="E35" s="36"/>
      <c r="F35" s="34">
        <v>30090000</v>
      </c>
      <c r="G35" s="4">
        <v>29290000</v>
      </c>
    </row>
    <row r="36" spans="1:7" x14ac:dyDescent="0.2">
      <c r="A36" t="s">
        <v>187</v>
      </c>
      <c r="B36" s="25"/>
      <c r="C36" s="52">
        <v>38790000</v>
      </c>
      <c r="D36" s="56">
        <v>37990000</v>
      </c>
      <c r="E36" s="36"/>
      <c r="F36" s="37">
        <v>37990000</v>
      </c>
      <c r="G36" s="34">
        <v>38290000</v>
      </c>
    </row>
    <row r="37" spans="1:7" x14ac:dyDescent="0.2">
      <c r="C37" s="59"/>
      <c r="D37" s="59"/>
    </row>
    <row r="38" spans="1:7" x14ac:dyDescent="0.2">
      <c r="C38" s="59"/>
      <c r="D38" s="59"/>
    </row>
    <row r="39" spans="1:7" x14ac:dyDescent="0.2">
      <c r="C39" s="59"/>
      <c r="D39" s="59"/>
    </row>
    <row r="40" spans="1:7" x14ac:dyDescent="0.2">
      <c r="C40" s="59"/>
      <c r="D40" s="59"/>
    </row>
    <row r="41" spans="1:7" x14ac:dyDescent="0.2">
      <c r="C41" s="59"/>
      <c r="D41" s="59"/>
    </row>
    <row r="42" spans="1:7" x14ac:dyDescent="0.2">
      <c r="C42" s="59"/>
      <c r="D42" s="59"/>
    </row>
    <row r="43" spans="1:7" x14ac:dyDescent="0.2">
      <c r="C43" s="59"/>
      <c r="D43" s="59"/>
    </row>
    <row r="44" spans="1:7" x14ac:dyDescent="0.2">
      <c r="C44" s="59"/>
      <c r="D44" s="59"/>
    </row>
    <row r="45" spans="1:7" x14ac:dyDescent="0.2">
      <c r="C45" s="59"/>
      <c r="D45" s="59"/>
    </row>
    <row r="46" spans="1:7" x14ac:dyDescent="0.2">
      <c r="C46" s="59"/>
      <c r="D46" s="59"/>
    </row>
    <row r="47" spans="1:7" x14ac:dyDescent="0.2">
      <c r="C47" s="59"/>
      <c r="D47" s="59"/>
    </row>
    <row r="48" spans="1:7" x14ac:dyDescent="0.2">
      <c r="C48" s="59"/>
      <c r="D48" s="59"/>
    </row>
    <row r="49" spans="3:4" x14ac:dyDescent="0.2">
      <c r="C49" s="59"/>
      <c r="D49" s="59"/>
    </row>
    <row r="50" spans="3:4" x14ac:dyDescent="0.2">
      <c r="C50" s="59"/>
      <c r="D50" s="59"/>
    </row>
    <row r="51" spans="3:4" x14ac:dyDescent="0.2">
      <c r="C51" s="59"/>
      <c r="D51" s="59"/>
    </row>
    <row r="52" spans="3:4" x14ac:dyDescent="0.2">
      <c r="C52" s="59"/>
      <c r="D52" s="59"/>
    </row>
    <row r="53" spans="3:4" x14ac:dyDescent="0.2">
      <c r="C53" s="59"/>
      <c r="D53" s="59"/>
    </row>
    <row r="54" spans="3:4" x14ac:dyDescent="0.2">
      <c r="C54" s="59"/>
      <c r="D54" s="59"/>
    </row>
    <row r="55" spans="3:4" x14ac:dyDescent="0.2">
      <c r="C55" s="59"/>
      <c r="D55" s="59"/>
    </row>
    <row r="56" spans="3:4" x14ac:dyDescent="0.2">
      <c r="C56" s="59"/>
      <c r="D56" s="59"/>
    </row>
    <row r="57" spans="3:4" x14ac:dyDescent="0.2">
      <c r="C57" s="59"/>
      <c r="D57" s="59"/>
    </row>
    <row r="58" spans="3:4" x14ac:dyDescent="0.2">
      <c r="C58" s="59"/>
      <c r="D58" s="59"/>
    </row>
    <row r="59" spans="3:4" x14ac:dyDescent="0.2">
      <c r="C59" s="59"/>
      <c r="D59" s="59"/>
    </row>
    <row r="60" spans="3:4" x14ac:dyDescent="0.2">
      <c r="C60" s="59"/>
      <c r="D60" s="59"/>
    </row>
    <row r="61" spans="3:4" x14ac:dyDescent="0.2">
      <c r="C61" s="59"/>
      <c r="D61" s="59"/>
    </row>
    <row r="62" spans="3:4" x14ac:dyDescent="0.2">
      <c r="C62" s="59"/>
      <c r="D62" s="59"/>
    </row>
    <row r="63" spans="3:4" x14ac:dyDescent="0.2">
      <c r="C63" s="59"/>
      <c r="D63" s="59"/>
    </row>
    <row r="64" spans="3:4" x14ac:dyDescent="0.2">
      <c r="C64" s="59"/>
      <c r="D64" s="59"/>
    </row>
    <row r="65" spans="3:4" x14ac:dyDescent="0.2">
      <c r="C65" s="59"/>
      <c r="D65" s="59"/>
    </row>
    <row r="66" spans="3:4" x14ac:dyDescent="0.2">
      <c r="C66" s="59"/>
      <c r="D66" s="59"/>
    </row>
    <row r="67" spans="3:4" x14ac:dyDescent="0.2">
      <c r="C67" s="59"/>
      <c r="D67" s="59"/>
    </row>
    <row r="68" spans="3:4" x14ac:dyDescent="0.2">
      <c r="C68" s="59"/>
      <c r="D68" s="59"/>
    </row>
    <row r="69" spans="3:4" x14ac:dyDescent="0.2">
      <c r="C69" s="59"/>
      <c r="D69" s="59"/>
    </row>
    <row r="70" spans="3:4" x14ac:dyDescent="0.2">
      <c r="C70" s="59"/>
      <c r="D70" s="59"/>
    </row>
    <row r="71" spans="3:4" x14ac:dyDescent="0.2">
      <c r="C71" s="59"/>
      <c r="D71" s="59"/>
    </row>
    <row r="72" spans="3:4" x14ac:dyDescent="0.2">
      <c r="C72" s="59"/>
      <c r="D72" s="59"/>
    </row>
    <row r="73" spans="3:4" x14ac:dyDescent="0.2">
      <c r="C73" s="59"/>
      <c r="D73" s="59"/>
    </row>
    <row r="74" spans="3:4" x14ac:dyDescent="0.2">
      <c r="C74" s="59"/>
      <c r="D74" s="59"/>
    </row>
    <row r="75" spans="3:4" x14ac:dyDescent="0.2">
      <c r="C75" s="59"/>
      <c r="D75" s="59"/>
    </row>
    <row r="76" spans="3:4" x14ac:dyDescent="0.2">
      <c r="C76" s="59"/>
      <c r="D76" s="59"/>
    </row>
    <row r="77" spans="3:4" x14ac:dyDescent="0.2">
      <c r="C77" s="59"/>
      <c r="D77" s="59"/>
    </row>
    <row r="78" spans="3:4" x14ac:dyDescent="0.2">
      <c r="C78" s="59"/>
      <c r="D78" s="59"/>
    </row>
    <row r="79" spans="3:4" x14ac:dyDescent="0.2">
      <c r="C79" s="59"/>
      <c r="D79" s="59"/>
    </row>
    <row r="80" spans="3:4" x14ac:dyDescent="0.2">
      <c r="C80" s="59"/>
      <c r="D80" s="59"/>
    </row>
    <row r="81" spans="3:4" x14ac:dyDescent="0.2">
      <c r="C81" s="59"/>
      <c r="D81" s="59"/>
    </row>
    <row r="82" spans="3:4" x14ac:dyDescent="0.2">
      <c r="C82" s="59"/>
      <c r="D82" s="59"/>
    </row>
    <row r="83" spans="3:4" x14ac:dyDescent="0.2">
      <c r="C83" s="59"/>
      <c r="D83" s="59"/>
    </row>
    <row r="84" spans="3:4" x14ac:dyDescent="0.2">
      <c r="C84" s="59"/>
      <c r="D84" s="59"/>
    </row>
    <row r="85" spans="3:4" x14ac:dyDescent="0.2">
      <c r="C85" s="59"/>
      <c r="D85" s="59"/>
    </row>
    <row r="86" spans="3:4" x14ac:dyDescent="0.2">
      <c r="C86" s="59"/>
      <c r="D86" s="59"/>
    </row>
    <row r="87" spans="3:4" x14ac:dyDescent="0.2">
      <c r="C87" s="59"/>
      <c r="D87" s="59"/>
    </row>
    <row r="88" spans="3:4" x14ac:dyDescent="0.2">
      <c r="C88" s="59"/>
      <c r="D88" s="59"/>
    </row>
    <row r="89" spans="3:4" x14ac:dyDescent="0.2">
      <c r="C89" s="59"/>
      <c r="D89" s="59"/>
    </row>
    <row r="90" spans="3:4" x14ac:dyDescent="0.2">
      <c r="C90" s="59"/>
      <c r="D90" s="59"/>
    </row>
    <row r="91" spans="3:4" x14ac:dyDescent="0.2">
      <c r="C91" s="59"/>
      <c r="D91" s="59"/>
    </row>
    <row r="92" spans="3:4" x14ac:dyDescent="0.2">
      <c r="C92" s="59"/>
      <c r="D92" s="59"/>
    </row>
    <row r="93" spans="3:4" x14ac:dyDescent="0.2">
      <c r="C93" s="59"/>
      <c r="D93" s="59"/>
    </row>
    <row r="94" spans="3:4" x14ac:dyDescent="0.2">
      <c r="C94" s="59"/>
      <c r="D94" s="59"/>
    </row>
    <row r="95" spans="3:4" x14ac:dyDescent="0.2">
      <c r="C95" s="59"/>
      <c r="D95" s="59"/>
    </row>
    <row r="96" spans="3:4" x14ac:dyDescent="0.2">
      <c r="C96" s="59"/>
      <c r="D96" s="59"/>
    </row>
    <row r="97" spans="3:4" x14ac:dyDescent="0.2">
      <c r="C97" s="59"/>
      <c r="D97" s="59"/>
    </row>
    <row r="98" spans="3:4" x14ac:dyDescent="0.2">
      <c r="C98" s="59"/>
      <c r="D98" s="59"/>
    </row>
    <row r="99" spans="3:4" x14ac:dyDescent="0.2">
      <c r="C99" s="59"/>
      <c r="D99" s="59"/>
    </row>
    <row r="100" spans="3:4" x14ac:dyDescent="0.2">
      <c r="C100" s="59"/>
      <c r="D100" s="59"/>
    </row>
    <row r="101" spans="3:4" x14ac:dyDescent="0.2">
      <c r="C101" s="59"/>
      <c r="D101" s="59"/>
    </row>
    <row r="102" spans="3:4" x14ac:dyDescent="0.2">
      <c r="C102" s="59"/>
      <c r="D102" s="59"/>
    </row>
    <row r="103" spans="3:4" x14ac:dyDescent="0.2">
      <c r="C103" s="59"/>
      <c r="D103" s="59"/>
    </row>
    <row r="104" spans="3:4" x14ac:dyDescent="0.2">
      <c r="C104" s="59"/>
      <c r="D104" s="59"/>
    </row>
    <row r="105" spans="3:4" x14ac:dyDescent="0.2">
      <c r="C105" s="59"/>
      <c r="D105" s="59"/>
    </row>
    <row r="106" spans="3:4" x14ac:dyDescent="0.2">
      <c r="C106" s="59"/>
      <c r="D106" s="59"/>
    </row>
    <row r="107" spans="3:4" x14ac:dyDescent="0.2">
      <c r="C107" s="59"/>
      <c r="D107" s="59"/>
    </row>
    <row r="108" spans="3:4" x14ac:dyDescent="0.2">
      <c r="C108" s="59"/>
      <c r="D108" s="59"/>
    </row>
    <row r="109" spans="3:4" x14ac:dyDescent="0.2">
      <c r="C109" s="59"/>
      <c r="D109" s="59"/>
    </row>
    <row r="110" spans="3:4" x14ac:dyDescent="0.2">
      <c r="C110" s="59"/>
      <c r="D110" s="59"/>
    </row>
    <row r="111" spans="3:4" x14ac:dyDescent="0.2">
      <c r="C111" s="59"/>
      <c r="D111" s="59"/>
    </row>
    <row r="112" spans="3:4" x14ac:dyDescent="0.2">
      <c r="C112" s="59"/>
      <c r="D112" s="59"/>
    </row>
    <row r="113" spans="3:4" x14ac:dyDescent="0.2">
      <c r="C113" s="59"/>
      <c r="D113" s="59"/>
    </row>
    <row r="114" spans="3:4" x14ac:dyDescent="0.2">
      <c r="C114" s="59"/>
      <c r="D114" s="59"/>
    </row>
    <row r="115" spans="3:4" x14ac:dyDescent="0.2">
      <c r="C115" s="59"/>
      <c r="D115" s="59"/>
    </row>
    <row r="116" spans="3:4" x14ac:dyDescent="0.2">
      <c r="C116" s="59"/>
      <c r="D116" s="59"/>
    </row>
    <row r="117" spans="3:4" x14ac:dyDescent="0.2">
      <c r="C117" s="59"/>
      <c r="D117" s="59"/>
    </row>
    <row r="118" spans="3:4" x14ac:dyDescent="0.2">
      <c r="C118" s="59"/>
      <c r="D118" s="59"/>
    </row>
    <row r="119" spans="3:4" x14ac:dyDescent="0.2">
      <c r="C119" s="59"/>
      <c r="D119" s="59"/>
    </row>
    <row r="120" spans="3:4" x14ac:dyDescent="0.2">
      <c r="C120" s="59"/>
      <c r="D120" s="59"/>
    </row>
    <row r="121" spans="3:4" x14ac:dyDescent="0.2">
      <c r="C121" s="59"/>
      <c r="D121" s="59"/>
    </row>
    <row r="122" spans="3:4" x14ac:dyDescent="0.2">
      <c r="C122" s="59"/>
      <c r="D122" s="59"/>
    </row>
    <row r="123" spans="3:4" x14ac:dyDescent="0.2">
      <c r="C123" s="59"/>
      <c r="D123" s="59"/>
    </row>
    <row r="124" spans="3:4" x14ac:dyDescent="0.2">
      <c r="C124" s="59"/>
      <c r="D124" s="59"/>
    </row>
    <row r="125" spans="3:4" x14ac:dyDescent="0.2">
      <c r="C125" s="59"/>
      <c r="D125" s="59"/>
    </row>
    <row r="126" spans="3:4" x14ac:dyDescent="0.2">
      <c r="C126" s="59"/>
      <c r="D126" s="59"/>
    </row>
    <row r="127" spans="3:4" x14ac:dyDescent="0.2">
      <c r="C127" s="59"/>
      <c r="D127" s="59"/>
    </row>
    <row r="128" spans="3:4" x14ac:dyDescent="0.2">
      <c r="C128" s="59"/>
      <c r="D128" s="59"/>
    </row>
    <row r="129" spans="3:4" x14ac:dyDescent="0.2">
      <c r="C129" s="59"/>
      <c r="D129" s="59"/>
    </row>
    <row r="130" spans="3:4" x14ac:dyDescent="0.2">
      <c r="C130" s="59"/>
      <c r="D130" s="59"/>
    </row>
    <row r="131" spans="3:4" x14ac:dyDescent="0.2">
      <c r="C131" s="59"/>
      <c r="D131" s="59"/>
    </row>
    <row r="132" spans="3:4" x14ac:dyDescent="0.2">
      <c r="C132" s="59"/>
      <c r="D132" s="59"/>
    </row>
    <row r="133" spans="3:4" x14ac:dyDescent="0.2">
      <c r="C133" s="59"/>
      <c r="D133" s="59"/>
    </row>
    <row r="134" spans="3:4" x14ac:dyDescent="0.2">
      <c r="C134" s="59"/>
      <c r="D134" s="59"/>
    </row>
    <row r="135" spans="3:4" x14ac:dyDescent="0.2">
      <c r="C135" s="59"/>
      <c r="D135" s="59"/>
    </row>
    <row r="136" spans="3:4" x14ac:dyDescent="0.2">
      <c r="C136" s="59"/>
      <c r="D136" s="59"/>
    </row>
    <row r="137" spans="3:4" x14ac:dyDescent="0.2">
      <c r="C137" s="59"/>
      <c r="D137" s="59"/>
    </row>
    <row r="138" spans="3:4" x14ac:dyDescent="0.2">
      <c r="C138" s="59"/>
      <c r="D138" s="59"/>
    </row>
    <row r="139" spans="3:4" x14ac:dyDescent="0.2">
      <c r="C139" s="59"/>
      <c r="D139" s="59"/>
    </row>
    <row r="140" spans="3:4" x14ac:dyDescent="0.2">
      <c r="C140" s="59"/>
      <c r="D140" s="59"/>
    </row>
    <row r="141" spans="3:4" x14ac:dyDescent="0.2">
      <c r="C141" s="59"/>
      <c r="D141" s="59"/>
    </row>
    <row r="142" spans="3:4" x14ac:dyDescent="0.2">
      <c r="C142" s="59"/>
      <c r="D142" s="59"/>
    </row>
    <row r="143" spans="3:4" x14ac:dyDescent="0.2">
      <c r="C143" s="59"/>
      <c r="D143" s="59"/>
    </row>
    <row r="144" spans="3:4" x14ac:dyDescent="0.2">
      <c r="C144" s="59"/>
      <c r="D144" s="59"/>
    </row>
    <row r="145" spans="3:4" x14ac:dyDescent="0.2">
      <c r="C145" s="59"/>
      <c r="D145" s="59"/>
    </row>
    <row r="146" spans="3:4" x14ac:dyDescent="0.2">
      <c r="C146" s="59"/>
      <c r="D146" s="59"/>
    </row>
    <row r="147" spans="3:4" x14ac:dyDescent="0.2">
      <c r="C147" s="59"/>
      <c r="D147" s="59"/>
    </row>
    <row r="148" spans="3:4" x14ac:dyDescent="0.2">
      <c r="C148" s="59"/>
      <c r="D148" s="59"/>
    </row>
    <row r="149" spans="3:4" x14ac:dyDescent="0.2">
      <c r="C149" s="59"/>
      <c r="D149" s="59"/>
    </row>
    <row r="150" spans="3:4" x14ac:dyDescent="0.2">
      <c r="C150" s="59"/>
      <c r="D150" s="59"/>
    </row>
  </sheetData>
  <pageMargins left="0.7" right="0.7" top="0.75" bottom="0.75" header="0.3" footer="0.3"/>
  <pageSetup paperSize="9" orientation="portrait" horizontalDpi="0" verticalDpi="0"/>
  <legacyDrawing r:id="rId1"/>
</worksheet>
</file>

<file path=xl/worksheets/sheet6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300-000000000000}">
  <dimension ref="A1:L150"/>
  <sheetViews>
    <sheetView zoomScale="118" zoomScaleNormal="150" workbookViewId="0">
      <pane xSplit="2" ySplit="1" topLeftCell="C2" activePane="bottomRight" state="frozen"/>
      <selection pane="topRight" activeCell="C1" sqref="C1"/>
      <selection pane="bottomLeft" activeCell="A2" sqref="A2"/>
      <selection pane="bottomRight" activeCell="C1" sqref="C1"/>
    </sheetView>
  </sheetViews>
  <sheetFormatPr baseColWidth="10" defaultColWidth="11" defaultRowHeight="16" x14ac:dyDescent="0.2"/>
  <cols>
    <col min="1" max="1" width="27.5" bestFit="1" customWidth="1"/>
    <col min="2" max="2" width="0" hidden="1"/>
    <col min="3" max="6" width="10.1640625" bestFit="1" customWidth="1"/>
    <col min="7" max="7" width="13" customWidth="1"/>
    <col min="8" max="8" width="11" customWidth="1"/>
  </cols>
  <sheetData>
    <row r="1" spans="1:12" x14ac:dyDescent="0.2">
      <c r="B1" s="46" t="s">
        <v>0</v>
      </c>
      <c r="C1" s="46" t="s">
        <v>1</v>
      </c>
      <c r="D1" s="46" t="s">
        <v>2</v>
      </c>
      <c r="E1" s="81" t="s">
        <v>3</v>
      </c>
      <c r="F1" s="81" t="s">
        <v>4</v>
      </c>
      <c r="G1" s="81" t="s">
        <v>5</v>
      </c>
    </row>
    <row r="2" spans="1:12" x14ac:dyDescent="0.2">
      <c r="A2" t="s">
        <v>21</v>
      </c>
      <c r="B2" s="46"/>
      <c r="C2" s="50">
        <v>16290000</v>
      </c>
      <c r="D2" s="60">
        <v>15990000</v>
      </c>
      <c r="E2" s="39">
        <v>15990000</v>
      </c>
      <c r="F2" s="37">
        <v>15590000</v>
      </c>
      <c r="G2" s="39">
        <v>15990000</v>
      </c>
    </row>
    <row r="3" spans="1:12" x14ac:dyDescent="0.2">
      <c r="A3" t="s">
        <v>181</v>
      </c>
      <c r="B3" s="25"/>
      <c r="C3" s="52">
        <v>19090000</v>
      </c>
      <c r="D3" s="61">
        <v>18990000</v>
      </c>
      <c r="E3" s="39">
        <v>18490000</v>
      </c>
      <c r="F3" s="39">
        <v>18890000</v>
      </c>
      <c r="G3" s="39">
        <v>18590000</v>
      </c>
    </row>
    <row r="4" spans="1:12" x14ac:dyDescent="0.2">
      <c r="A4" t="s">
        <v>24</v>
      </c>
      <c r="B4" s="3"/>
      <c r="C4" s="52">
        <v>22190000</v>
      </c>
      <c r="D4" s="63">
        <v>21990000</v>
      </c>
      <c r="E4" s="39">
        <v>21690000</v>
      </c>
      <c r="F4" s="39">
        <v>21890000</v>
      </c>
      <c r="G4" s="39">
        <v>21690000</v>
      </c>
    </row>
    <row r="5" spans="1:12" x14ac:dyDescent="0.2">
      <c r="A5" t="s">
        <v>182</v>
      </c>
      <c r="B5" s="25"/>
      <c r="C5" s="52">
        <v>25090000</v>
      </c>
      <c r="D5" s="63">
        <v>25090000</v>
      </c>
      <c r="E5" s="39">
        <v>24290000</v>
      </c>
      <c r="F5" s="37">
        <v>24990000</v>
      </c>
      <c r="G5" s="39">
        <v>24450000</v>
      </c>
    </row>
    <row r="6" spans="1:12" x14ac:dyDescent="0.2">
      <c r="A6" t="s">
        <v>183</v>
      </c>
      <c r="B6" s="3"/>
      <c r="C6" s="52">
        <v>30090000</v>
      </c>
      <c r="D6" s="63">
        <v>29990000</v>
      </c>
      <c r="E6" s="39">
        <v>29690000</v>
      </c>
      <c r="F6" s="37">
        <v>29690000</v>
      </c>
      <c r="G6" s="39">
        <v>29490000</v>
      </c>
    </row>
    <row r="7" spans="1:12" x14ac:dyDescent="0.2">
      <c r="A7" t="s">
        <v>25</v>
      </c>
      <c r="B7" s="25"/>
      <c r="C7" s="53">
        <v>15590000</v>
      </c>
      <c r="D7" s="61">
        <v>15590000</v>
      </c>
      <c r="E7" s="25">
        <v>15190000</v>
      </c>
      <c r="F7" s="37">
        <v>15290000</v>
      </c>
      <c r="G7" s="39">
        <v>15090000</v>
      </c>
    </row>
    <row r="8" spans="1:12" x14ac:dyDescent="0.2">
      <c r="A8" t="s">
        <v>26</v>
      </c>
      <c r="B8" s="25"/>
      <c r="C8" s="52">
        <v>19290000</v>
      </c>
      <c r="D8" s="61">
        <v>19190000</v>
      </c>
      <c r="E8" s="25">
        <v>18790000</v>
      </c>
      <c r="F8" s="37">
        <v>19190000</v>
      </c>
      <c r="G8" s="39">
        <v>18690000</v>
      </c>
    </row>
    <row r="9" spans="1:12" x14ac:dyDescent="0.2">
      <c r="A9" t="s">
        <v>158</v>
      </c>
      <c r="B9" s="3"/>
      <c r="C9" s="53">
        <v>27390000</v>
      </c>
      <c r="D9" s="63">
        <v>28490000</v>
      </c>
      <c r="E9" s="39" t="s">
        <v>22</v>
      </c>
      <c r="F9" s="39">
        <v>27690000</v>
      </c>
      <c r="G9" s="39">
        <v>27690000</v>
      </c>
    </row>
    <row r="10" spans="1:12" x14ac:dyDescent="0.2">
      <c r="A10" t="s">
        <v>92</v>
      </c>
      <c r="B10" s="3"/>
      <c r="C10" s="51" t="s">
        <v>22</v>
      </c>
      <c r="D10" s="62" t="s">
        <v>22</v>
      </c>
      <c r="E10" s="42" t="s">
        <v>22</v>
      </c>
      <c r="F10" s="42" t="s">
        <v>22</v>
      </c>
      <c r="G10" s="39">
        <v>17490000</v>
      </c>
    </row>
    <row r="11" spans="1:12" x14ac:dyDescent="0.2">
      <c r="A11" t="s">
        <v>27</v>
      </c>
      <c r="B11" s="25"/>
      <c r="C11" s="52">
        <v>12690000</v>
      </c>
      <c r="D11" s="63">
        <v>12690000</v>
      </c>
      <c r="E11" s="39">
        <v>12690000</v>
      </c>
      <c r="F11" s="34">
        <v>12490000</v>
      </c>
      <c r="G11" s="39">
        <v>12390000</v>
      </c>
    </row>
    <row r="12" spans="1:12" x14ac:dyDescent="0.2">
      <c r="A12" t="s">
        <v>28</v>
      </c>
      <c r="B12" s="3"/>
      <c r="C12" s="52">
        <v>11690000</v>
      </c>
      <c r="D12" s="61">
        <v>11390000</v>
      </c>
      <c r="E12" s="39">
        <v>11390000</v>
      </c>
      <c r="F12" s="38">
        <v>11290000</v>
      </c>
      <c r="G12" s="39">
        <v>11390000</v>
      </c>
    </row>
    <row r="13" spans="1:12" x14ac:dyDescent="0.2">
      <c r="A13" t="s">
        <v>29</v>
      </c>
      <c r="B13" s="25"/>
      <c r="C13" s="53">
        <v>13590000</v>
      </c>
      <c r="D13" s="61">
        <v>13590000</v>
      </c>
      <c r="E13" s="3">
        <v>13652000</v>
      </c>
      <c r="F13" s="38">
        <v>11790000</v>
      </c>
      <c r="G13" s="39">
        <v>11490000</v>
      </c>
    </row>
    <row r="14" spans="1:12" x14ac:dyDescent="0.2">
      <c r="A14" t="s">
        <v>30</v>
      </c>
      <c r="B14" s="3"/>
      <c r="C14" s="53">
        <v>9790000</v>
      </c>
      <c r="D14" s="61">
        <v>9690000</v>
      </c>
      <c r="E14" s="3">
        <v>9296000</v>
      </c>
      <c r="F14" s="34">
        <v>9690000</v>
      </c>
      <c r="G14" s="37" t="s">
        <v>257</v>
      </c>
      <c r="H14" s="26"/>
      <c r="J14" t="s">
        <v>31</v>
      </c>
      <c r="K14" t="s">
        <v>38</v>
      </c>
      <c r="L14" t="b">
        <v>1</v>
      </c>
    </row>
    <row r="15" spans="1:12" x14ac:dyDescent="0.2">
      <c r="A15" t="s">
        <v>33</v>
      </c>
      <c r="B15" s="3"/>
      <c r="C15" s="53">
        <v>16190000</v>
      </c>
      <c r="D15" s="61">
        <v>16190000</v>
      </c>
      <c r="E15" s="3">
        <v>15830000</v>
      </c>
      <c r="F15" s="34">
        <v>16290000</v>
      </c>
      <c r="G15" s="37">
        <v>16490000</v>
      </c>
      <c r="J15" t="s">
        <v>2</v>
      </c>
      <c r="K15" t="s">
        <v>198</v>
      </c>
      <c r="L15" t="b">
        <v>1</v>
      </c>
    </row>
    <row r="16" spans="1:12" x14ac:dyDescent="0.2">
      <c r="A16" t="s">
        <v>37</v>
      </c>
      <c r="B16" s="25"/>
      <c r="C16" s="53">
        <v>21790000</v>
      </c>
      <c r="D16" s="61">
        <v>21690000</v>
      </c>
      <c r="E16" s="25">
        <v>20490000</v>
      </c>
      <c r="F16" s="34">
        <v>21690000</v>
      </c>
      <c r="G16" s="39">
        <v>20590000</v>
      </c>
      <c r="J16" t="s">
        <v>3</v>
      </c>
      <c r="K16" t="s">
        <v>36</v>
      </c>
      <c r="L16" t="b">
        <v>1</v>
      </c>
    </row>
    <row r="17" spans="1:12" x14ac:dyDescent="0.2">
      <c r="A17" t="s">
        <v>184</v>
      </c>
      <c r="B17" s="25"/>
      <c r="C17" s="53">
        <v>27490000</v>
      </c>
      <c r="D17" s="61">
        <v>27290000</v>
      </c>
      <c r="E17" s="25">
        <v>26490000</v>
      </c>
      <c r="F17" s="34">
        <v>27290000</v>
      </c>
      <c r="G17" s="39">
        <v>25890000</v>
      </c>
      <c r="J17" t="s">
        <v>4</v>
      </c>
      <c r="K17" t="s">
        <v>34</v>
      </c>
      <c r="L17" t="b">
        <v>1</v>
      </c>
    </row>
    <row r="18" spans="1:12" x14ac:dyDescent="0.2">
      <c r="A18" t="s">
        <v>185</v>
      </c>
      <c r="B18" s="3"/>
      <c r="C18" s="53">
        <v>36290000</v>
      </c>
      <c r="D18" s="61">
        <v>35990000</v>
      </c>
      <c r="E18" s="25">
        <v>35490000</v>
      </c>
      <c r="F18" s="34">
        <v>35990000</v>
      </c>
      <c r="G18" s="3">
        <v>35990000</v>
      </c>
      <c r="J18" t="s">
        <v>41</v>
      </c>
      <c r="K18" t="s">
        <v>42</v>
      </c>
      <c r="L18" t="b">
        <v>1</v>
      </c>
    </row>
    <row r="19" spans="1:12" x14ac:dyDescent="0.2">
      <c r="A19" t="s">
        <v>227</v>
      </c>
      <c r="B19" s="25"/>
      <c r="C19" s="52">
        <v>5890000</v>
      </c>
      <c r="D19" s="63">
        <v>5690000</v>
      </c>
      <c r="E19" s="25">
        <v>5732000</v>
      </c>
      <c r="F19" s="38">
        <v>5690000</v>
      </c>
      <c r="G19" s="4">
        <v>5090000</v>
      </c>
    </row>
    <row r="20" spans="1:12" x14ac:dyDescent="0.2">
      <c r="A20" t="s">
        <v>228</v>
      </c>
      <c r="B20" s="25"/>
      <c r="C20" s="52">
        <v>6990000</v>
      </c>
      <c r="D20" s="63">
        <v>6990000</v>
      </c>
      <c r="E20" s="25">
        <v>6920000</v>
      </c>
      <c r="F20" s="38">
        <v>6990000</v>
      </c>
      <c r="G20" s="4">
        <v>6590000</v>
      </c>
    </row>
    <row r="21" spans="1:12" x14ac:dyDescent="0.2">
      <c r="A21" t="s">
        <v>229</v>
      </c>
      <c r="B21" s="25"/>
      <c r="C21" s="52">
        <v>6490000</v>
      </c>
      <c r="D21" s="63">
        <v>6490000</v>
      </c>
      <c r="E21" s="25">
        <v>6128000</v>
      </c>
      <c r="F21" s="38">
        <v>6490000</v>
      </c>
      <c r="G21" s="4">
        <v>6490000</v>
      </c>
    </row>
    <row r="22" spans="1:12" x14ac:dyDescent="0.2">
      <c r="A22" t="s">
        <v>230</v>
      </c>
      <c r="B22" s="25"/>
      <c r="C22" s="51" t="s">
        <v>22</v>
      </c>
      <c r="D22" s="63">
        <v>7790000</v>
      </c>
      <c r="E22" s="25">
        <v>7712000</v>
      </c>
      <c r="F22" s="38">
        <v>7790000</v>
      </c>
      <c r="G22" s="4">
        <v>7690000</v>
      </c>
    </row>
    <row r="23" spans="1:12" x14ac:dyDescent="0.2">
      <c r="A23" t="s">
        <v>213</v>
      </c>
      <c r="B23" s="25"/>
      <c r="C23" s="52">
        <v>10590000</v>
      </c>
      <c r="D23" s="63">
        <v>10490000</v>
      </c>
      <c r="E23" s="25">
        <v>10187000</v>
      </c>
      <c r="F23" s="38">
        <v>10590000</v>
      </c>
      <c r="G23" s="4">
        <v>10490000</v>
      </c>
    </row>
    <row r="24" spans="1:12" x14ac:dyDescent="0.2">
      <c r="A24" t="s">
        <v>214</v>
      </c>
      <c r="B24" s="25"/>
      <c r="C24" s="52">
        <v>12790000</v>
      </c>
      <c r="D24" s="63">
        <v>12790000</v>
      </c>
      <c r="E24" s="25">
        <v>12860000</v>
      </c>
      <c r="F24" s="38">
        <v>12990000</v>
      </c>
      <c r="G24" s="4">
        <v>12890000</v>
      </c>
    </row>
    <row r="25" spans="1:12" x14ac:dyDescent="0.2">
      <c r="A25" t="s">
        <v>215</v>
      </c>
      <c r="B25" s="25"/>
      <c r="C25" s="52">
        <v>11390000</v>
      </c>
      <c r="D25" s="63">
        <v>11290000</v>
      </c>
      <c r="E25" s="25">
        <v>10880000</v>
      </c>
      <c r="F25" s="38">
        <v>11390000</v>
      </c>
      <c r="G25" s="4">
        <v>11290000</v>
      </c>
      <c r="I25" s="26"/>
    </row>
    <row r="26" spans="1:12" x14ac:dyDescent="0.2">
      <c r="A26" t="s">
        <v>217</v>
      </c>
      <c r="B26" s="3"/>
      <c r="C26" s="52">
        <v>13890000</v>
      </c>
      <c r="D26" s="63">
        <v>13690000</v>
      </c>
      <c r="E26" s="25">
        <v>13553000</v>
      </c>
      <c r="F26" s="38">
        <v>13890000</v>
      </c>
      <c r="G26" s="4">
        <v>13590000</v>
      </c>
    </row>
    <row r="27" spans="1:12" x14ac:dyDescent="0.2">
      <c r="A27" t="s">
        <v>172</v>
      </c>
      <c r="B27" s="25"/>
      <c r="C27" s="52">
        <v>21890000</v>
      </c>
      <c r="D27" s="63">
        <v>21890000</v>
      </c>
      <c r="E27" s="25">
        <v>21790000</v>
      </c>
      <c r="F27" s="39">
        <v>21590000</v>
      </c>
      <c r="G27" s="4">
        <v>22990000</v>
      </c>
    </row>
    <row r="28" spans="1:12" x14ac:dyDescent="0.2">
      <c r="A28" t="s">
        <v>53</v>
      </c>
      <c r="B28" s="3"/>
      <c r="C28" s="52">
        <v>5590000</v>
      </c>
      <c r="D28" s="61">
        <v>5350000</v>
      </c>
      <c r="E28" s="25">
        <v>5534000</v>
      </c>
      <c r="F28" s="39">
        <v>5590000</v>
      </c>
      <c r="G28" s="4">
        <v>5590000</v>
      </c>
    </row>
    <row r="29" spans="1:12" x14ac:dyDescent="0.2">
      <c r="A29" t="s">
        <v>54</v>
      </c>
      <c r="B29" s="3"/>
      <c r="C29" s="52">
        <v>4590000</v>
      </c>
      <c r="D29" s="63">
        <v>4450000</v>
      </c>
      <c r="E29" s="25">
        <v>4346000</v>
      </c>
      <c r="F29" s="39">
        <v>4490000</v>
      </c>
      <c r="G29" s="4">
        <v>4490000</v>
      </c>
    </row>
    <row r="30" spans="1:12" x14ac:dyDescent="0.2">
      <c r="A30" t="s">
        <v>55</v>
      </c>
      <c r="B30" s="3"/>
      <c r="C30" s="53">
        <v>3290000</v>
      </c>
      <c r="D30" s="61">
        <v>3050000</v>
      </c>
      <c r="E30" s="25">
        <v>3190000</v>
      </c>
      <c r="F30" s="39">
        <v>3190000</v>
      </c>
      <c r="G30" s="4">
        <v>3190000</v>
      </c>
    </row>
    <row r="31" spans="1:12" x14ac:dyDescent="0.2">
      <c r="A31" t="s">
        <v>175</v>
      </c>
      <c r="B31" s="3"/>
      <c r="C31" s="52">
        <v>16990000</v>
      </c>
      <c r="D31" s="63">
        <v>16990000</v>
      </c>
      <c r="E31" s="36"/>
      <c r="F31" s="38">
        <v>17190000</v>
      </c>
      <c r="G31" s="4">
        <v>16890000</v>
      </c>
    </row>
    <row r="32" spans="1:12" x14ac:dyDescent="0.2">
      <c r="A32" t="s">
        <v>186</v>
      </c>
      <c r="B32" s="25"/>
      <c r="C32" s="53">
        <v>19790000</v>
      </c>
      <c r="D32" s="63">
        <v>19690000</v>
      </c>
      <c r="E32" s="36"/>
      <c r="F32" s="38">
        <v>19690000</v>
      </c>
      <c r="G32" s="4">
        <v>19490000</v>
      </c>
    </row>
    <row r="33" spans="1:7" x14ac:dyDescent="0.2">
      <c r="A33" t="s">
        <v>232</v>
      </c>
      <c r="B33" s="3"/>
      <c r="C33" s="51" t="s">
        <v>22</v>
      </c>
      <c r="D33" s="63">
        <v>23990000</v>
      </c>
      <c r="E33" s="36"/>
      <c r="F33" s="38" t="s">
        <v>22</v>
      </c>
      <c r="G33" s="4">
        <v>25290000</v>
      </c>
    </row>
    <row r="34" spans="1:7" x14ac:dyDescent="0.2">
      <c r="A34" t="s">
        <v>59</v>
      </c>
      <c r="B34" s="3"/>
      <c r="C34" s="53">
        <v>25290000</v>
      </c>
      <c r="D34" s="61">
        <v>25290000</v>
      </c>
      <c r="E34" s="36"/>
      <c r="F34" s="34">
        <v>25190000</v>
      </c>
      <c r="G34" s="3">
        <v>24990000</v>
      </c>
    </row>
    <row r="35" spans="1:7" x14ac:dyDescent="0.2">
      <c r="A35" t="s">
        <v>61</v>
      </c>
      <c r="B35" s="25"/>
      <c r="C35" s="53">
        <v>30790000</v>
      </c>
      <c r="D35" s="61">
        <v>30690000</v>
      </c>
      <c r="E35" s="36"/>
      <c r="F35" s="34">
        <v>30490000</v>
      </c>
      <c r="G35" s="3">
        <v>31990000</v>
      </c>
    </row>
    <row r="36" spans="1:7" x14ac:dyDescent="0.2">
      <c r="A36" t="s">
        <v>187</v>
      </c>
      <c r="B36" s="25"/>
      <c r="C36" s="52">
        <v>38790000</v>
      </c>
      <c r="D36" s="61">
        <v>38190000</v>
      </c>
      <c r="E36" s="36"/>
      <c r="F36" s="37">
        <v>38290000</v>
      </c>
      <c r="G36" s="4">
        <v>38290000</v>
      </c>
    </row>
    <row r="37" spans="1:7" x14ac:dyDescent="0.2">
      <c r="C37" s="59"/>
      <c r="D37" s="59"/>
    </row>
    <row r="38" spans="1:7" x14ac:dyDescent="0.2">
      <c r="C38" s="59"/>
      <c r="D38" s="59"/>
    </row>
    <row r="39" spans="1:7" x14ac:dyDescent="0.2">
      <c r="C39" s="59"/>
      <c r="D39" s="59"/>
    </row>
    <row r="40" spans="1:7" x14ac:dyDescent="0.2">
      <c r="C40" s="59"/>
      <c r="D40" s="59"/>
    </row>
    <row r="41" spans="1:7" x14ac:dyDescent="0.2">
      <c r="C41" s="59"/>
      <c r="D41" s="59"/>
    </row>
    <row r="42" spans="1:7" x14ac:dyDescent="0.2">
      <c r="C42" s="59"/>
      <c r="D42" s="59"/>
    </row>
    <row r="43" spans="1:7" x14ac:dyDescent="0.2">
      <c r="C43" s="59"/>
      <c r="D43" s="59"/>
    </row>
    <row r="44" spans="1:7" x14ac:dyDescent="0.2">
      <c r="C44" s="59"/>
      <c r="D44" s="59"/>
    </row>
    <row r="45" spans="1:7" x14ac:dyDescent="0.2">
      <c r="C45" s="59"/>
      <c r="D45" s="59"/>
    </row>
    <row r="46" spans="1:7" x14ac:dyDescent="0.2">
      <c r="C46" s="59"/>
      <c r="D46" s="59"/>
    </row>
    <row r="47" spans="1:7" x14ac:dyDescent="0.2">
      <c r="C47" s="59"/>
      <c r="D47" s="59"/>
    </row>
    <row r="48" spans="1:7" x14ac:dyDescent="0.2">
      <c r="C48" s="59"/>
      <c r="D48" s="59"/>
    </row>
    <row r="49" spans="3:4" x14ac:dyDescent="0.2">
      <c r="C49" s="59"/>
      <c r="D49" s="59"/>
    </row>
    <row r="50" spans="3:4" x14ac:dyDescent="0.2">
      <c r="C50" s="59"/>
      <c r="D50" s="59"/>
    </row>
    <row r="51" spans="3:4" x14ac:dyDescent="0.2">
      <c r="C51" s="59"/>
      <c r="D51" s="59"/>
    </row>
    <row r="52" spans="3:4" x14ac:dyDescent="0.2">
      <c r="C52" s="59"/>
      <c r="D52" s="59"/>
    </row>
    <row r="53" spans="3:4" x14ac:dyDescent="0.2">
      <c r="C53" s="59"/>
      <c r="D53" s="59"/>
    </row>
    <row r="54" spans="3:4" x14ac:dyDescent="0.2">
      <c r="C54" s="59"/>
      <c r="D54" s="59"/>
    </row>
    <row r="55" spans="3:4" x14ac:dyDescent="0.2">
      <c r="C55" s="59"/>
      <c r="D55" s="59"/>
    </row>
    <row r="56" spans="3:4" x14ac:dyDescent="0.2">
      <c r="C56" s="59"/>
      <c r="D56" s="59"/>
    </row>
    <row r="57" spans="3:4" x14ac:dyDescent="0.2">
      <c r="C57" s="59"/>
      <c r="D57" s="59"/>
    </row>
    <row r="58" spans="3:4" x14ac:dyDescent="0.2">
      <c r="C58" s="59"/>
      <c r="D58" s="59"/>
    </row>
    <row r="59" spans="3:4" x14ac:dyDescent="0.2">
      <c r="C59" s="59"/>
      <c r="D59" s="59"/>
    </row>
    <row r="60" spans="3:4" x14ac:dyDescent="0.2">
      <c r="C60" s="59"/>
      <c r="D60" s="59"/>
    </row>
    <row r="61" spans="3:4" x14ac:dyDescent="0.2">
      <c r="C61" s="59"/>
      <c r="D61" s="59"/>
    </row>
    <row r="62" spans="3:4" x14ac:dyDescent="0.2">
      <c r="C62" s="59"/>
      <c r="D62" s="59"/>
    </row>
    <row r="63" spans="3:4" x14ac:dyDescent="0.2">
      <c r="C63" s="59"/>
      <c r="D63" s="59"/>
    </row>
    <row r="64" spans="3:4" x14ac:dyDescent="0.2">
      <c r="C64" s="59"/>
      <c r="D64" s="59"/>
    </row>
    <row r="65" spans="3:4" x14ac:dyDescent="0.2">
      <c r="C65" s="59"/>
      <c r="D65" s="59"/>
    </row>
    <row r="66" spans="3:4" x14ac:dyDescent="0.2">
      <c r="C66" s="59"/>
      <c r="D66" s="59"/>
    </row>
    <row r="67" spans="3:4" x14ac:dyDescent="0.2">
      <c r="C67" s="59"/>
      <c r="D67" s="59"/>
    </row>
    <row r="68" spans="3:4" x14ac:dyDescent="0.2">
      <c r="C68" s="59"/>
      <c r="D68" s="59"/>
    </row>
    <row r="69" spans="3:4" x14ac:dyDescent="0.2">
      <c r="C69" s="59"/>
      <c r="D69" s="59"/>
    </row>
    <row r="70" spans="3:4" x14ac:dyDescent="0.2">
      <c r="C70" s="59"/>
      <c r="D70" s="59"/>
    </row>
    <row r="71" spans="3:4" x14ac:dyDescent="0.2">
      <c r="C71" s="59"/>
      <c r="D71" s="59"/>
    </row>
    <row r="72" spans="3:4" x14ac:dyDescent="0.2">
      <c r="C72" s="59"/>
      <c r="D72" s="59"/>
    </row>
    <row r="73" spans="3:4" x14ac:dyDescent="0.2">
      <c r="C73" s="59"/>
      <c r="D73" s="59"/>
    </row>
    <row r="74" spans="3:4" x14ac:dyDescent="0.2">
      <c r="C74" s="59"/>
      <c r="D74" s="59"/>
    </row>
    <row r="75" spans="3:4" x14ac:dyDescent="0.2">
      <c r="C75" s="59"/>
      <c r="D75" s="59"/>
    </row>
    <row r="76" spans="3:4" x14ac:dyDescent="0.2">
      <c r="C76" s="59"/>
      <c r="D76" s="59"/>
    </row>
    <row r="77" spans="3:4" x14ac:dyDescent="0.2">
      <c r="C77" s="59"/>
      <c r="D77" s="59"/>
    </row>
    <row r="78" spans="3:4" x14ac:dyDescent="0.2">
      <c r="C78" s="59"/>
      <c r="D78" s="59"/>
    </row>
    <row r="79" spans="3:4" x14ac:dyDescent="0.2">
      <c r="C79" s="59"/>
      <c r="D79" s="59"/>
    </row>
    <row r="80" spans="3:4" x14ac:dyDescent="0.2">
      <c r="C80" s="59"/>
      <c r="D80" s="59"/>
    </row>
    <row r="81" spans="3:4" x14ac:dyDescent="0.2">
      <c r="C81" s="59"/>
      <c r="D81" s="59"/>
    </row>
    <row r="82" spans="3:4" x14ac:dyDescent="0.2">
      <c r="C82" s="59"/>
      <c r="D82" s="59"/>
    </row>
    <row r="83" spans="3:4" x14ac:dyDescent="0.2">
      <c r="C83" s="59"/>
      <c r="D83" s="59"/>
    </row>
    <row r="84" spans="3:4" x14ac:dyDescent="0.2">
      <c r="C84" s="59"/>
      <c r="D84" s="59"/>
    </row>
    <row r="85" spans="3:4" x14ac:dyDescent="0.2">
      <c r="C85" s="59"/>
      <c r="D85" s="59"/>
    </row>
    <row r="86" spans="3:4" x14ac:dyDescent="0.2">
      <c r="C86" s="59"/>
      <c r="D86" s="59"/>
    </row>
    <row r="87" spans="3:4" x14ac:dyDescent="0.2">
      <c r="C87" s="59"/>
      <c r="D87" s="59"/>
    </row>
    <row r="88" spans="3:4" x14ac:dyDescent="0.2">
      <c r="C88" s="59"/>
      <c r="D88" s="59"/>
    </row>
    <row r="89" spans="3:4" x14ac:dyDescent="0.2">
      <c r="C89" s="59"/>
      <c r="D89" s="59"/>
    </row>
    <row r="90" spans="3:4" x14ac:dyDescent="0.2">
      <c r="C90" s="59"/>
      <c r="D90" s="59"/>
    </row>
    <row r="91" spans="3:4" x14ac:dyDescent="0.2">
      <c r="C91" s="59"/>
      <c r="D91" s="59"/>
    </row>
    <row r="92" spans="3:4" x14ac:dyDescent="0.2">
      <c r="C92" s="59"/>
      <c r="D92" s="59"/>
    </row>
    <row r="93" spans="3:4" x14ac:dyDescent="0.2">
      <c r="C93" s="59"/>
      <c r="D93" s="59"/>
    </row>
    <row r="94" spans="3:4" x14ac:dyDescent="0.2">
      <c r="C94" s="59"/>
      <c r="D94" s="59"/>
    </row>
    <row r="95" spans="3:4" x14ac:dyDescent="0.2">
      <c r="C95" s="59"/>
      <c r="D95" s="59"/>
    </row>
    <row r="96" spans="3:4" x14ac:dyDescent="0.2">
      <c r="C96" s="59"/>
      <c r="D96" s="59"/>
    </row>
    <row r="97" spans="3:4" x14ac:dyDescent="0.2">
      <c r="C97" s="59"/>
      <c r="D97" s="59"/>
    </row>
    <row r="98" spans="3:4" x14ac:dyDescent="0.2">
      <c r="C98" s="59"/>
      <c r="D98" s="59"/>
    </row>
    <row r="99" spans="3:4" x14ac:dyDescent="0.2">
      <c r="C99" s="59"/>
      <c r="D99" s="59"/>
    </row>
    <row r="100" spans="3:4" x14ac:dyDescent="0.2">
      <c r="C100" s="59"/>
      <c r="D100" s="59"/>
    </row>
    <row r="101" spans="3:4" x14ac:dyDescent="0.2">
      <c r="C101" s="59"/>
      <c r="D101" s="59"/>
    </row>
    <row r="102" spans="3:4" x14ac:dyDescent="0.2">
      <c r="C102" s="59"/>
      <c r="D102" s="59"/>
    </row>
    <row r="103" spans="3:4" x14ac:dyDescent="0.2">
      <c r="C103" s="59"/>
      <c r="D103" s="59"/>
    </row>
    <row r="104" spans="3:4" x14ac:dyDescent="0.2">
      <c r="C104" s="59"/>
      <c r="D104" s="59"/>
    </row>
    <row r="105" spans="3:4" x14ac:dyDescent="0.2">
      <c r="C105" s="59"/>
      <c r="D105" s="59"/>
    </row>
    <row r="106" spans="3:4" x14ac:dyDescent="0.2">
      <c r="C106" s="59"/>
      <c r="D106" s="59"/>
    </row>
    <row r="107" spans="3:4" x14ac:dyDescent="0.2">
      <c r="C107" s="59"/>
      <c r="D107" s="59"/>
    </row>
    <row r="108" spans="3:4" x14ac:dyDescent="0.2">
      <c r="C108" s="59"/>
      <c r="D108" s="59"/>
    </row>
    <row r="109" spans="3:4" x14ac:dyDescent="0.2">
      <c r="C109" s="59"/>
      <c r="D109" s="59"/>
    </row>
    <row r="110" spans="3:4" x14ac:dyDescent="0.2">
      <c r="C110" s="59"/>
      <c r="D110" s="59"/>
    </row>
    <row r="111" spans="3:4" x14ac:dyDescent="0.2">
      <c r="C111" s="59"/>
      <c r="D111" s="59"/>
    </row>
    <row r="112" spans="3:4" x14ac:dyDescent="0.2">
      <c r="C112" s="59"/>
      <c r="D112" s="59"/>
    </row>
    <row r="113" spans="3:4" x14ac:dyDescent="0.2">
      <c r="C113" s="59"/>
      <c r="D113" s="59"/>
    </row>
    <row r="114" spans="3:4" x14ac:dyDescent="0.2">
      <c r="C114" s="59"/>
      <c r="D114" s="59"/>
    </row>
    <row r="115" spans="3:4" x14ac:dyDescent="0.2">
      <c r="C115" s="59"/>
      <c r="D115" s="59"/>
    </row>
    <row r="116" spans="3:4" x14ac:dyDescent="0.2">
      <c r="C116" s="59"/>
      <c r="D116" s="59"/>
    </row>
    <row r="117" spans="3:4" x14ac:dyDescent="0.2">
      <c r="C117" s="59"/>
      <c r="D117" s="59"/>
    </row>
    <row r="118" spans="3:4" x14ac:dyDescent="0.2">
      <c r="C118" s="59"/>
      <c r="D118" s="59"/>
    </row>
    <row r="119" spans="3:4" x14ac:dyDescent="0.2">
      <c r="C119" s="59"/>
      <c r="D119" s="59"/>
    </row>
    <row r="120" spans="3:4" x14ac:dyDescent="0.2">
      <c r="C120" s="59"/>
      <c r="D120" s="59"/>
    </row>
    <row r="121" spans="3:4" x14ac:dyDescent="0.2">
      <c r="C121" s="59"/>
      <c r="D121" s="59"/>
    </row>
    <row r="122" spans="3:4" x14ac:dyDescent="0.2">
      <c r="C122" s="59"/>
      <c r="D122" s="59"/>
    </row>
    <row r="123" spans="3:4" x14ac:dyDescent="0.2">
      <c r="C123" s="59"/>
      <c r="D123" s="59"/>
    </row>
    <row r="124" spans="3:4" x14ac:dyDescent="0.2">
      <c r="C124" s="59"/>
      <c r="D124" s="59"/>
    </row>
    <row r="125" spans="3:4" x14ac:dyDescent="0.2">
      <c r="C125" s="59"/>
      <c r="D125" s="59"/>
    </row>
    <row r="126" spans="3:4" x14ac:dyDescent="0.2">
      <c r="C126" s="59"/>
      <c r="D126" s="59"/>
    </row>
    <row r="127" spans="3:4" x14ac:dyDescent="0.2">
      <c r="C127" s="59"/>
      <c r="D127" s="59"/>
    </row>
    <row r="128" spans="3:4" x14ac:dyDescent="0.2">
      <c r="C128" s="59"/>
      <c r="D128" s="59"/>
    </row>
    <row r="129" spans="3:4" x14ac:dyDescent="0.2">
      <c r="C129" s="59"/>
      <c r="D129" s="59"/>
    </row>
    <row r="130" spans="3:4" x14ac:dyDescent="0.2">
      <c r="C130" s="59"/>
      <c r="D130" s="59"/>
    </row>
    <row r="131" spans="3:4" x14ac:dyDescent="0.2">
      <c r="C131" s="59"/>
      <c r="D131" s="59"/>
    </row>
    <row r="132" spans="3:4" x14ac:dyDescent="0.2">
      <c r="C132" s="59"/>
      <c r="D132" s="59"/>
    </row>
    <row r="133" spans="3:4" x14ac:dyDescent="0.2">
      <c r="C133" s="59"/>
      <c r="D133" s="59"/>
    </row>
    <row r="134" spans="3:4" x14ac:dyDescent="0.2">
      <c r="C134" s="59"/>
      <c r="D134" s="59"/>
    </row>
    <row r="135" spans="3:4" x14ac:dyDescent="0.2">
      <c r="C135" s="59"/>
      <c r="D135" s="59"/>
    </row>
    <row r="136" spans="3:4" x14ac:dyDescent="0.2">
      <c r="C136" s="59"/>
      <c r="D136" s="59"/>
    </row>
    <row r="137" spans="3:4" x14ac:dyDescent="0.2">
      <c r="C137" s="59"/>
      <c r="D137" s="59"/>
    </row>
    <row r="138" spans="3:4" x14ac:dyDescent="0.2">
      <c r="C138" s="59"/>
      <c r="D138" s="59"/>
    </row>
    <row r="139" spans="3:4" x14ac:dyDescent="0.2">
      <c r="C139" s="59"/>
      <c r="D139" s="59"/>
    </row>
    <row r="140" spans="3:4" x14ac:dyDescent="0.2">
      <c r="C140" s="59"/>
      <c r="D140" s="59"/>
    </row>
    <row r="141" spans="3:4" x14ac:dyDescent="0.2">
      <c r="C141" s="59"/>
      <c r="D141" s="59"/>
    </row>
    <row r="142" spans="3:4" x14ac:dyDescent="0.2">
      <c r="C142" s="59"/>
      <c r="D142" s="59"/>
    </row>
    <row r="143" spans="3:4" x14ac:dyDescent="0.2">
      <c r="C143" s="59"/>
      <c r="D143" s="59"/>
    </row>
    <row r="144" spans="3:4" x14ac:dyDescent="0.2">
      <c r="C144" s="59"/>
      <c r="D144" s="59"/>
    </row>
    <row r="145" spans="3:4" x14ac:dyDescent="0.2">
      <c r="C145" s="59"/>
      <c r="D145" s="59"/>
    </row>
    <row r="146" spans="3:4" x14ac:dyDescent="0.2">
      <c r="C146" s="59"/>
      <c r="D146" s="59"/>
    </row>
    <row r="147" spans="3:4" x14ac:dyDescent="0.2">
      <c r="C147" s="59"/>
      <c r="D147" s="59"/>
    </row>
    <row r="148" spans="3:4" x14ac:dyDescent="0.2">
      <c r="C148" s="59"/>
      <c r="D148" s="59"/>
    </row>
    <row r="149" spans="3:4" x14ac:dyDescent="0.2">
      <c r="C149" s="59"/>
      <c r="D149" s="59"/>
    </row>
    <row r="150" spans="3:4" x14ac:dyDescent="0.2">
      <c r="C150" s="59"/>
      <c r="D150" s="59"/>
    </row>
  </sheetData>
  <pageMargins left="0.7" right="0.7" top="0.75" bottom="0.75" header="0.3" footer="0.3"/>
  <pageSetup paperSize="9" orientation="portrait" horizontalDpi="0" verticalDpi="0"/>
  <legacyDrawing r:id="rId1"/>
</worksheet>
</file>

<file path=xl/worksheets/sheet6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400-000000000000}">
  <dimension ref="A1:L150"/>
  <sheetViews>
    <sheetView zoomScale="130" zoomScaleNormal="130" workbookViewId="0">
      <pane xSplit="2" ySplit="1" topLeftCell="C7" activePane="bottomRight" state="frozen"/>
      <selection pane="topRight" activeCell="C1" sqref="C1"/>
      <selection pane="bottomLeft" activeCell="A2" sqref="A2"/>
      <selection pane="bottomRight" activeCell="C1" sqref="C1"/>
    </sheetView>
  </sheetViews>
  <sheetFormatPr baseColWidth="10" defaultColWidth="11" defaultRowHeight="16" x14ac:dyDescent="0.2"/>
  <cols>
    <col min="1" max="1" width="27.5" bestFit="1" customWidth="1"/>
    <col min="2" max="2" width="0" hidden="1"/>
    <col min="3" max="6" width="10.1640625" bestFit="1" customWidth="1"/>
    <col min="7" max="7" width="13" customWidth="1"/>
    <col min="8" max="8" width="4.1640625" bestFit="1" customWidth="1"/>
  </cols>
  <sheetData>
    <row r="1" spans="1:12" x14ac:dyDescent="0.2">
      <c r="B1" s="46" t="s">
        <v>0</v>
      </c>
      <c r="C1" s="46" t="s">
        <v>1</v>
      </c>
      <c r="D1" s="46" t="s">
        <v>2</v>
      </c>
      <c r="E1" s="81" t="s">
        <v>3</v>
      </c>
      <c r="F1" s="81" t="s">
        <v>4</v>
      </c>
      <c r="G1" s="81" t="s">
        <v>5</v>
      </c>
    </row>
    <row r="2" spans="1:12" x14ac:dyDescent="0.2">
      <c r="A2" t="s">
        <v>21</v>
      </c>
      <c r="B2" s="46"/>
      <c r="C2" s="54">
        <v>15290000</v>
      </c>
      <c r="D2" s="60">
        <v>15990000</v>
      </c>
      <c r="E2" s="39">
        <v>15990000</v>
      </c>
      <c r="F2" s="37">
        <v>15490000</v>
      </c>
      <c r="G2" s="39">
        <v>15990000</v>
      </c>
    </row>
    <row r="3" spans="1:12" x14ac:dyDescent="0.2">
      <c r="A3" t="s">
        <v>181</v>
      </c>
      <c r="B3" s="25"/>
      <c r="C3" s="52">
        <v>19090000</v>
      </c>
      <c r="D3" s="61">
        <v>18890000</v>
      </c>
      <c r="E3" s="39">
        <v>18490000</v>
      </c>
      <c r="F3" s="37">
        <v>18790000</v>
      </c>
      <c r="G3" s="39">
        <v>18590000</v>
      </c>
    </row>
    <row r="4" spans="1:12" x14ac:dyDescent="0.2">
      <c r="A4" t="s">
        <v>24</v>
      </c>
      <c r="B4" s="3"/>
      <c r="C4" s="52">
        <v>22190000</v>
      </c>
      <c r="D4" s="63">
        <v>21990000</v>
      </c>
      <c r="E4" s="39">
        <v>21690000</v>
      </c>
      <c r="F4" s="37">
        <v>21990000</v>
      </c>
      <c r="G4" s="39">
        <v>21690000</v>
      </c>
      <c r="H4" s="43"/>
    </row>
    <row r="5" spans="1:12" x14ac:dyDescent="0.2">
      <c r="A5" t="s">
        <v>182</v>
      </c>
      <c r="B5" s="25"/>
      <c r="C5" s="52">
        <v>25090000</v>
      </c>
      <c r="D5" s="63">
        <v>25090000</v>
      </c>
      <c r="E5" s="39">
        <v>24290000</v>
      </c>
      <c r="F5" s="37">
        <v>24790000</v>
      </c>
      <c r="G5" s="37">
        <v>24390000</v>
      </c>
    </row>
    <row r="6" spans="1:12" x14ac:dyDescent="0.2">
      <c r="A6" t="s">
        <v>183</v>
      </c>
      <c r="B6" s="3"/>
      <c r="C6" s="52">
        <v>30090000</v>
      </c>
      <c r="D6" s="63">
        <v>29990000</v>
      </c>
      <c r="E6" s="39">
        <v>29690000</v>
      </c>
      <c r="F6" s="37">
        <v>29690000</v>
      </c>
      <c r="G6" s="39">
        <v>29490000</v>
      </c>
    </row>
    <row r="7" spans="1:12" x14ac:dyDescent="0.2">
      <c r="A7" t="s">
        <v>25</v>
      </c>
      <c r="B7" s="25"/>
      <c r="C7" s="53">
        <v>15490000</v>
      </c>
      <c r="D7" s="61">
        <v>15390000</v>
      </c>
      <c r="E7" s="25">
        <v>15190000</v>
      </c>
      <c r="F7" s="37">
        <v>15190000</v>
      </c>
      <c r="G7" s="39">
        <v>15090000</v>
      </c>
    </row>
    <row r="8" spans="1:12" x14ac:dyDescent="0.2">
      <c r="A8" t="s">
        <v>26</v>
      </c>
      <c r="B8" s="25"/>
      <c r="C8" s="52">
        <v>19290000</v>
      </c>
      <c r="D8" s="61">
        <v>18990000</v>
      </c>
      <c r="E8" s="25">
        <v>18790000</v>
      </c>
      <c r="F8" s="37">
        <v>18990000</v>
      </c>
      <c r="G8" s="39">
        <v>18690000</v>
      </c>
    </row>
    <row r="9" spans="1:12" x14ac:dyDescent="0.2">
      <c r="A9" t="s">
        <v>158</v>
      </c>
      <c r="B9" s="3"/>
      <c r="C9" s="52">
        <v>27390000</v>
      </c>
      <c r="D9" s="61" t="s">
        <v>259</v>
      </c>
      <c r="E9" s="39" t="s">
        <v>22</v>
      </c>
      <c r="F9" s="39" t="s">
        <v>22</v>
      </c>
      <c r="G9" s="37">
        <v>26990000</v>
      </c>
    </row>
    <row r="10" spans="1:12" x14ac:dyDescent="0.2">
      <c r="A10" t="s">
        <v>92</v>
      </c>
      <c r="B10" s="3"/>
      <c r="C10" s="51" t="s">
        <v>22</v>
      </c>
      <c r="D10" s="62" t="s">
        <v>22</v>
      </c>
      <c r="E10" s="42" t="s">
        <v>22</v>
      </c>
      <c r="F10" s="42" t="s">
        <v>22</v>
      </c>
      <c r="G10" s="39">
        <v>17490000</v>
      </c>
    </row>
    <row r="11" spans="1:12" x14ac:dyDescent="0.2">
      <c r="A11" t="s">
        <v>27</v>
      </c>
      <c r="B11" s="25"/>
      <c r="C11" s="53">
        <v>13190000</v>
      </c>
      <c r="D11" s="61">
        <v>12590000</v>
      </c>
      <c r="E11" s="39">
        <v>12690000</v>
      </c>
      <c r="F11" s="38">
        <v>12490000</v>
      </c>
      <c r="G11" s="37">
        <v>12390000</v>
      </c>
    </row>
    <row r="12" spans="1:12" x14ac:dyDescent="0.2">
      <c r="A12" t="s">
        <v>28</v>
      </c>
      <c r="B12" s="3"/>
      <c r="C12" s="52">
        <v>11690000</v>
      </c>
      <c r="D12" s="52">
        <v>11390000</v>
      </c>
      <c r="E12" s="39">
        <v>11390000</v>
      </c>
      <c r="F12" s="34" t="s">
        <v>247</v>
      </c>
      <c r="G12" s="37">
        <v>11390000</v>
      </c>
    </row>
    <row r="13" spans="1:12" x14ac:dyDescent="0.2">
      <c r="A13" t="s">
        <v>29</v>
      </c>
      <c r="B13" s="25"/>
      <c r="C13" s="52">
        <v>13590000</v>
      </c>
      <c r="D13" s="63">
        <v>13590000</v>
      </c>
      <c r="E13" s="25">
        <v>13652000</v>
      </c>
      <c r="F13" s="38">
        <v>11790000</v>
      </c>
      <c r="G13" s="39">
        <v>11490000</v>
      </c>
    </row>
    <row r="14" spans="1:12" x14ac:dyDescent="0.2">
      <c r="A14" t="s">
        <v>30</v>
      </c>
      <c r="B14" s="3"/>
      <c r="C14" s="53">
        <v>9590000</v>
      </c>
      <c r="D14" s="63">
        <v>9690000</v>
      </c>
      <c r="E14" s="25">
        <v>9296000</v>
      </c>
      <c r="F14" s="34">
        <v>9290000</v>
      </c>
      <c r="G14" s="37" t="s">
        <v>260</v>
      </c>
      <c r="H14" s="26"/>
      <c r="J14" t="s">
        <v>31</v>
      </c>
      <c r="K14" t="s">
        <v>38</v>
      </c>
      <c r="L14" t="b">
        <v>1</v>
      </c>
    </row>
    <row r="15" spans="1:12" x14ac:dyDescent="0.2">
      <c r="A15" t="s">
        <v>33</v>
      </c>
      <c r="B15" s="3"/>
      <c r="C15" s="53">
        <v>15890000</v>
      </c>
      <c r="D15" s="63">
        <v>16190000</v>
      </c>
      <c r="E15" s="25">
        <v>15830000</v>
      </c>
      <c r="F15" s="34">
        <v>15990000</v>
      </c>
      <c r="G15" s="37">
        <v>15990000</v>
      </c>
      <c r="J15" t="s">
        <v>2</v>
      </c>
      <c r="K15" t="s">
        <v>198</v>
      </c>
      <c r="L15" t="b">
        <v>1</v>
      </c>
    </row>
    <row r="16" spans="1:12" x14ac:dyDescent="0.2">
      <c r="A16" t="s">
        <v>37</v>
      </c>
      <c r="B16" s="25"/>
      <c r="C16" s="53">
        <v>21590000</v>
      </c>
      <c r="D16" s="63">
        <v>21690000</v>
      </c>
      <c r="E16" s="25">
        <v>20490000</v>
      </c>
      <c r="F16" s="38">
        <v>21690000</v>
      </c>
      <c r="G16" s="37">
        <v>21590000</v>
      </c>
      <c r="J16" t="s">
        <v>3</v>
      </c>
      <c r="K16" t="s">
        <v>36</v>
      </c>
      <c r="L16" t="b">
        <v>1</v>
      </c>
    </row>
    <row r="17" spans="1:12" x14ac:dyDescent="0.2">
      <c r="A17" t="s">
        <v>184</v>
      </c>
      <c r="B17" s="25"/>
      <c r="C17" s="53">
        <v>26990000</v>
      </c>
      <c r="D17" s="63">
        <v>27290000</v>
      </c>
      <c r="E17" s="25">
        <v>26490000</v>
      </c>
      <c r="F17" s="34">
        <v>26890000</v>
      </c>
      <c r="G17" s="39">
        <v>25890000</v>
      </c>
      <c r="J17" t="s">
        <v>4</v>
      </c>
      <c r="K17" t="s">
        <v>34</v>
      </c>
      <c r="L17" t="b">
        <v>1</v>
      </c>
    </row>
    <row r="18" spans="1:12" x14ac:dyDescent="0.2">
      <c r="A18" t="s">
        <v>185</v>
      </c>
      <c r="B18" s="3"/>
      <c r="C18" s="53">
        <v>35790000</v>
      </c>
      <c r="D18" s="63">
        <v>35990000</v>
      </c>
      <c r="E18" s="25">
        <v>35490000</v>
      </c>
      <c r="F18" s="38">
        <v>35990000</v>
      </c>
      <c r="G18" s="39">
        <v>35990000</v>
      </c>
      <c r="J18" t="s">
        <v>41</v>
      </c>
      <c r="K18" t="s">
        <v>42</v>
      </c>
      <c r="L18" t="b">
        <v>1</v>
      </c>
    </row>
    <row r="19" spans="1:12" x14ac:dyDescent="0.2">
      <c r="A19" t="s">
        <v>227</v>
      </c>
      <c r="B19" s="25"/>
      <c r="C19" s="53">
        <v>5190000</v>
      </c>
      <c r="D19" s="61">
        <v>4990000</v>
      </c>
      <c r="E19" s="3">
        <v>4940000</v>
      </c>
      <c r="F19" s="34">
        <v>4990000</v>
      </c>
      <c r="G19" s="4">
        <v>5090000</v>
      </c>
    </row>
    <row r="20" spans="1:12" x14ac:dyDescent="0.2">
      <c r="A20" t="s">
        <v>228</v>
      </c>
      <c r="B20" s="25"/>
      <c r="C20" s="52">
        <v>6990000</v>
      </c>
      <c r="D20" s="63">
        <v>6990000</v>
      </c>
      <c r="E20" s="25">
        <v>6920000</v>
      </c>
      <c r="F20" s="38">
        <v>6990000</v>
      </c>
      <c r="G20" s="4">
        <v>6590000</v>
      </c>
    </row>
    <row r="21" spans="1:12" x14ac:dyDescent="0.2">
      <c r="A21" t="s">
        <v>229</v>
      </c>
      <c r="B21" s="25"/>
      <c r="C21" s="53">
        <v>5790000</v>
      </c>
      <c r="D21" s="61">
        <v>5790000</v>
      </c>
      <c r="E21" s="3">
        <v>5732000</v>
      </c>
      <c r="F21" s="34">
        <v>5790000</v>
      </c>
      <c r="G21" s="3">
        <v>5890000</v>
      </c>
    </row>
    <row r="22" spans="1:12" x14ac:dyDescent="0.2">
      <c r="A22" t="s">
        <v>230</v>
      </c>
      <c r="B22" s="25"/>
      <c r="C22" s="51" t="s">
        <v>22</v>
      </c>
      <c r="D22" s="61">
        <v>7590000</v>
      </c>
      <c r="E22" s="25">
        <v>7712000</v>
      </c>
      <c r="F22" s="38">
        <v>7790000</v>
      </c>
      <c r="G22" s="4">
        <v>7690000</v>
      </c>
    </row>
    <row r="23" spans="1:12" x14ac:dyDescent="0.2">
      <c r="A23" t="s">
        <v>213</v>
      </c>
      <c r="B23" s="25"/>
      <c r="C23" s="53">
        <v>8390000</v>
      </c>
      <c r="D23" s="61">
        <v>8390000</v>
      </c>
      <c r="E23" s="3">
        <v>8207000</v>
      </c>
      <c r="F23" s="34">
        <v>8290000</v>
      </c>
      <c r="G23" s="3">
        <v>8390000</v>
      </c>
      <c r="H23" s="26"/>
    </row>
    <row r="24" spans="1:12" x14ac:dyDescent="0.2">
      <c r="A24" t="s">
        <v>214</v>
      </c>
      <c r="B24" s="25"/>
      <c r="C24" s="63" t="s">
        <v>22</v>
      </c>
      <c r="D24" s="63" t="s">
        <v>22</v>
      </c>
      <c r="E24" s="25">
        <v>12860000</v>
      </c>
      <c r="F24" s="38">
        <v>12990000</v>
      </c>
      <c r="G24" s="4">
        <v>12890000</v>
      </c>
    </row>
    <row r="25" spans="1:12" x14ac:dyDescent="0.2">
      <c r="A25" t="s">
        <v>215</v>
      </c>
      <c r="B25" s="25"/>
      <c r="C25" s="53">
        <v>9190000</v>
      </c>
      <c r="D25" s="61">
        <v>9190000</v>
      </c>
      <c r="E25" s="3">
        <v>8900000</v>
      </c>
      <c r="F25" s="34">
        <v>9190000</v>
      </c>
      <c r="G25" s="3">
        <v>8990000</v>
      </c>
      <c r="H25" s="26"/>
      <c r="I25" s="26"/>
      <c r="K25" s="43"/>
    </row>
    <row r="26" spans="1:12" x14ac:dyDescent="0.2">
      <c r="A26" t="s">
        <v>217</v>
      </c>
      <c r="B26" s="3"/>
      <c r="C26" s="53">
        <v>13690000</v>
      </c>
      <c r="D26" s="63">
        <v>13690000</v>
      </c>
      <c r="E26" s="25">
        <v>13553000</v>
      </c>
      <c r="F26" s="38">
        <v>13890000</v>
      </c>
      <c r="G26" s="4">
        <v>13590000</v>
      </c>
    </row>
    <row r="27" spans="1:12" x14ac:dyDescent="0.2">
      <c r="A27" t="s">
        <v>172</v>
      </c>
      <c r="B27" s="25"/>
      <c r="C27" s="52">
        <v>21890000</v>
      </c>
      <c r="D27" s="63">
        <v>21890000</v>
      </c>
      <c r="E27" s="25">
        <v>21790000</v>
      </c>
      <c r="F27" s="39">
        <v>21590000</v>
      </c>
      <c r="G27" s="4">
        <v>22990000</v>
      </c>
    </row>
    <row r="28" spans="1:12" x14ac:dyDescent="0.2">
      <c r="A28" t="s">
        <v>53</v>
      </c>
      <c r="B28" s="3"/>
      <c r="C28" s="53">
        <v>5390000</v>
      </c>
      <c r="D28" s="63">
        <v>5350000</v>
      </c>
      <c r="E28" s="3">
        <v>5039000</v>
      </c>
      <c r="F28" s="37">
        <v>5290000</v>
      </c>
      <c r="G28" s="3">
        <v>5390000</v>
      </c>
    </row>
    <row r="29" spans="1:12" x14ac:dyDescent="0.2">
      <c r="A29" t="s">
        <v>54</v>
      </c>
      <c r="B29" s="3"/>
      <c r="C29" s="53">
        <v>4490000</v>
      </c>
      <c r="D29" s="63">
        <v>4450000</v>
      </c>
      <c r="E29" s="3">
        <v>4247000</v>
      </c>
      <c r="F29" s="37">
        <v>4390000</v>
      </c>
      <c r="G29" s="3">
        <v>4390000</v>
      </c>
    </row>
    <row r="30" spans="1:12" x14ac:dyDescent="0.2">
      <c r="A30" t="s">
        <v>55</v>
      </c>
      <c r="B30" s="3"/>
      <c r="C30" s="53">
        <v>3190000</v>
      </c>
      <c r="D30" s="63">
        <v>3050000</v>
      </c>
      <c r="E30" s="3">
        <v>2890000</v>
      </c>
      <c r="F30" s="37">
        <v>2990000</v>
      </c>
      <c r="G30" s="3">
        <v>2990000</v>
      </c>
    </row>
    <row r="31" spans="1:12" x14ac:dyDescent="0.2">
      <c r="A31" t="s">
        <v>175</v>
      </c>
      <c r="B31" s="3"/>
      <c r="C31" s="53">
        <v>17190000</v>
      </c>
      <c r="D31" s="63" t="s">
        <v>22</v>
      </c>
      <c r="E31" s="36"/>
      <c r="F31" s="38">
        <v>17190000</v>
      </c>
      <c r="G31" s="4">
        <v>16890000</v>
      </c>
    </row>
    <row r="32" spans="1:12" x14ac:dyDescent="0.2">
      <c r="A32" t="s">
        <v>186</v>
      </c>
      <c r="B32" s="25"/>
      <c r="C32" s="53">
        <v>19590000</v>
      </c>
      <c r="D32" s="61">
        <v>20990000</v>
      </c>
      <c r="E32" s="36"/>
      <c r="F32" s="34">
        <v>19590000</v>
      </c>
      <c r="G32" s="4">
        <v>19490000</v>
      </c>
    </row>
    <row r="33" spans="1:7" x14ac:dyDescent="0.2">
      <c r="A33" t="s">
        <v>232</v>
      </c>
      <c r="B33" s="3"/>
      <c r="C33" s="51" t="s">
        <v>22</v>
      </c>
      <c r="D33" s="63">
        <v>23990000</v>
      </c>
      <c r="E33" s="36"/>
      <c r="F33" s="38" t="s">
        <v>22</v>
      </c>
      <c r="G33" s="4">
        <v>25290000</v>
      </c>
    </row>
    <row r="34" spans="1:7" x14ac:dyDescent="0.2">
      <c r="A34" t="s">
        <v>59</v>
      </c>
      <c r="B34" s="3"/>
      <c r="C34" s="53">
        <v>25090000</v>
      </c>
      <c r="D34" s="63">
        <v>25190000</v>
      </c>
      <c r="E34" s="36"/>
      <c r="F34" s="34">
        <v>24990000</v>
      </c>
      <c r="G34" s="4">
        <v>24990000</v>
      </c>
    </row>
    <row r="35" spans="1:7" x14ac:dyDescent="0.2">
      <c r="A35" t="s">
        <v>61</v>
      </c>
      <c r="B35" s="25"/>
      <c r="C35" s="52">
        <v>30790000</v>
      </c>
      <c r="D35" s="63">
        <v>30690000</v>
      </c>
      <c r="E35" s="36"/>
      <c r="F35" s="38">
        <v>30490000</v>
      </c>
      <c r="G35" s="4">
        <v>31990000</v>
      </c>
    </row>
    <row r="36" spans="1:7" x14ac:dyDescent="0.2">
      <c r="A36" t="s">
        <v>187</v>
      </c>
      <c r="B36" s="25"/>
      <c r="C36" s="53">
        <v>38290000</v>
      </c>
      <c r="D36" s="63">
        <v>38190000</v>
      </c>
      <c r="E36" s="36"/>
      <c r="F36" s="37">
        <v>36990000</v>
      </c>
      <c r="G36" s="4">
        <v>38290000</v>
      </c>
    </row>
    <row r="37" spans="1:7" x14ac:dyDescent="0.2">
      <c r="C37" s="59"/>
      <c r="D37" s="59"/>
    </row>
    <row r="38" spans="1:7" x14ac:dyDescent="0.2">
      <c r="C38" s="59"/>
      <c r="D38" s="59"/>
    </row>
    <row r="39" spans="1:7" x14ac:dyDescent="0.2">
      <c r="C39" s="59"/>
      <c r="D39" s="59"/>
    </row>
    <row r="40" spans="1:7" x14ac:dyDescent="0.2">
      <c r="C40" s="59"/>
      <c r="D40" s="59"/>
    </row>
    <row r="41" spans="1:7" x14ac:dyDescent="0.2">
      <c r="C41" s="59"/>
      <c r="D41" s="59"/>
    </row>
    <row r="42" spans="1:7" x14ac:dyDescent="0.2">
      <c r="C42" s="59"/>
      <c r="D42" s="59"/>
    </row>
    <row r="43" spans="1:7" x14ac:dyDescent="0.2">
      <c r="C43" s="59"/>
      <c r="D43" s="59"/>
    </row>
    <row r="44" spans="1:7" x14ac:dyDescent="0.2">
      <c r="C44" s="59"/>
      <c r="D44" s="59"/>
    </row>
    <row r="45" spans="1:7" x14ac:dyDescent="0.2">
      <c r="C45" s="59"/>
      <c r="D45" s="59"/>
    </row>
    <row r="46" spans="1:7" x14ac:dyDescent="0.2">
      <c r="C46" s="59"/>
      <c r="D46" s="59"/>
    </row>
    <row r="47" spans="1:7" x14ac:dyDescent="0.2">
      <c r="C47" s="59"/>
      <c r="D47" s="59"/>
    </row>
    <row r="48" spans="1:7" x14ac:dyDescent="0.2">
      <c r="C48" s="59"/>
      <c r="D48" s="59"/>
    </row>
    <row r="49" spans="3:4" x14ac:dyDescent="0.2">
      <c r="C49" s="59"/>
      <c r="D49" s="59"/>
    </row>
    <row r="50" spans="3:4" x14ac:dyDescent="0.2">
      <c r="C50" s="59"/>
      <c r="D50" s="59"/>
    </row>
    <row r="51" spans="3:4" x14ac:dyDescent="0.2">
      <c r="C51" s="59"/>
      <c r="D51" s="59"/>
    </row>
    <row r="52" spans="3:4" x14ac:dyDescent="0.2">
      <c r="C52" s="59"/>
      <c r="D52" s="59"/>
    </row>
    <row r="53" spans="3:4" x14ac:dyDescent="0.2">
      <c r="C53" s="59"/>
      <c r="D53" s="59"/>
    </row>
    <row r="54" spans="3:4" x14ac:dyDescent="0.2">
      <c r="C54" s="59"/>
      <c r="D54" s="59"/>
    </row>
    <row r="55" spans="3:4" x14ac:dyDescent="0.2">
      <c r="C55" s="59"/>
      <c r="D55" s="59"/>
    </row>
    <row r="56" spans="3:4" x14ac:dyDescent="0.2">
      <c r="C56" s="59"/>
      <c r="D56" s="59"/>
    </row>
    <row r="57" spans="3:4" x14ac:dyDescent="0.2">
      <c r="C57" s="59"/>
      <c r="D57" s="59"/>
    </row>
    <row r="58" spans="3:4" x14ac:dyDescent="0.2">
      <c r="C58" s="59"/>
      <c r="D58" s="59"/>
    </row>
    <row r="59" spans="3:4" x14ac:dyDescent="0.2">
      <c r="C59" s="59"/>
      <c r="D59" s="59"/>
    </row>
    <row r="60" spans="3:4" x14ac:dyDescent="0.2">
      <c r="C60" s="59"/>
      <c r="D60" s="59"/>
    </row>
    <row r="61" spans="3:4" x14ac:dyDescent="0.2">
      <c r="C61" s="59"/>
      <c r="D61" s="59"/>
    </row>
    <row r="62" spans="3:4" x14ac:dyDescent="0.2">
      <c r="C62" s="59"/>
      <c r="D62" s="59"/>
    </row>
    <row r="63" spans="3:4" x14ac:dyDescent="0.2">
      <c r="C63" s="59"/>
      <c r="D63" s="59"/>
    </row>
    <row r="64" spans="3:4" x14ac:dyDescent="0.2">
      <c r="C64" s="59"/>
      <c r="D64" s="59"/>
    </row>
    <row r="65" spans="3:4" x14ac:dyDescent="0.2">
      <c r="C65" s="59"/>
      <c r="D65" s="59"/>
    </row>
    <row r="66" spans="3:4" x14ac:dyDescent="0.2">
      <c r="C66" s="59"/>
      <c r="D66" s="59"/>
    </row>
    <row r="67" spans="3:4" x14ac:dyDescent="0.2">
      <c r="C67" s="59"/>
      <c r="D67" s="59"/>
    </row>
    <row r="68" spans="3:4" x14ac:dyDescent="0.2">
      <c r="C68" s="59"/>
      <c r="D68" s="59"/>
    </row>
    <row r="69" spans="3:4" x14ac:dyDescent="0.2">
      <c r="C69" s="59"/>
      <c r="D69" s="59"/>
    </row>
    <row r="70" spans="3:4" x14ac:dyDescent="0.2">
      <c r="C70" s="59"/>
      <c r="D70" s="59"/>
    </row>
    <row r="71" spans="3:4" x14ac:dyDescent="0.2">
      <c r="C71" s="59"/>
      <c r="D71" s="59"/>
    </row>
    <row r="72" spans="3:4" x14ac:dyDescent="0.2">
      <c r="C72" s="59"/>
      <c r="D72" s="59"/>
    </row>
    <row r="73" spans="3:4" x14ac:dyDescent="0.2">
      <c r="C73" s="59"/>
      <c r="D73" s="59"/>
    </row>
    <row r="74" spans="3:4" x14ac:dyDescent="0.2">
      <c r="C74" s="59"/>
      <c r="D74" s="59"/>
    </row>
    <row r="75" spans="3:4" x14ac:dyDescent="0.2">
      <c r="C75" s="59"/>
      <c r="D75" s="59"/>
    </row>
    <row r="76" spans="3:4" x14ac:dyDescent="0.2">
      <c r="C76" s="59"/>
      <c r="D76" s="59"/>
    </row>
    <row r="77" spans="3:4" x14ac:dyDescent="0.2">
      <c r="C77" s="59"/>
      <c r="D77" s="59"/>
    </row>
    <row r="78" spans="3:4" x14ac:dyDescent="0.2">
      <c r="C78" s="59"/>
      <c r="D78" s="59"/>
    </row>
    <row r="79" spans="3:4" x14ac:dyDescent="0.2">
      <c r="C79" s="59"/>
      <c r="D79" s="59"/>
    </row>
    <row r="80" spans="3:4" x14ac:dyDescent="0.2">
      <c r="C80" s="59"/>
      <c r="D80" s="59"/>
    </row>
    <row r="81" spans="3:4" x14ac:dyDescent="0.2">
      <c r="C81" s="59"/>
      <c r="D81" s="59"/>
    </row>
    <row r="82" spans="3:4" x14ac:dyDescent="0.2">
      <c r="C82" s="59"/>
      <c r="D82" s="59"/>
    </row>
    <row r="83" spans="3:4" x14ac:dyDescent="0.2">
      <c r="C83" s="59"/>
      <c r="D83" s="59"/>
    </row>
    <row r="84" spans="3:4" x14ac:dyDescent="0.2">
      <c r="C84" s="59"/>
      <c r="D84" s="59"/>
    </row>
    <row r="85" spans="3:4" x14ac:dyDescent="0.2">
      <c r="C85" s="59"/>
      <c r="D85" s="59"/>
    </row>
    <row r="86" spans="3:4" x14ac:dyDescent="0.2">
      <c r="C86" s="59"/>
      <c r="D86" s="59"/>
    </row>
    <row r="87" spans="3:4" x14ac:dyDescent="0.2">
      <c r="C87" s="59"/>
      <c r="D87" s="59"/>
    </row>
    <row r="88" spans="3:4" x14ac:dyDescent="0.2">
      <c r="C88" s="59"/>
      <c r="D88" s="59"/>
    </row>
    <row r="89" spans="3:4" x14ac:dyDescent="0.2">
      <c r="C89" s="59"/>
      <c r="D89" s="59"/>
    </row>
    <row r="90" spans="3:4" x14ac:dyDescent="0.2">
      <c r="C90" s="59"/>
      <c r="D90" s="59"/>
    </row>
    <row r="91" spans="3:4" x14ac:dyDescent="0.2">
      <c r="C91" s="59"/>
      <c r="D91" s="59"/>
    </row>
    <row r="92" spans="3:4" x14ac:dyDescent="0.2">
      <c r="C92" s="59"/>
      <c r="D92" s="59"/>
    </row>
    <row r="93" spans="3:4" x14ac:dyDescent="0.2">
      <c r="C93" s="59"/>
      <c r="D93" s="59"/>
    </row>
    <row r="94" spans="3:4" x14ac:dyDescent="0.2">
      <c r="C94" s="59"/>
      <c r="D94" s="59"/>
    </row>
    <row r="95" spans="3:4" x14ac:dyDescent="0.2">
      <c r="C95" s="59"/>
      <c r="D95" s="59"/>
    </row>
    <row r="96" spans="3:4" x14ac:dyDescent="0.2">
      <c r="C96" s="59"/>
      <c r="D96" s="59"/>
    </row>
    <row r="97" spans="3:4" x14ac:dyDescent="0.2">
      <c r="C97" s="59"/>
      <c r="D97" s="59"/>
    </row>
    <row r="98" spans="3:4" x14ac:dyDescent="0.2">
      <c r="C98" s="59"/>
      <c r="D98" s="59"/>
    </row>
    <row r="99" spans="3:4" x14ac:dyDescent="0.2">
      <c r="C99" s="59"/>
      <c r="D99" s="59"/>
    </row>
    <row r="100" spans="3:4" x14ac:dyDescent="0.2">
      <c r="C100" s="59"/>
      <c r="D100" s="59"/>
    </row>
    <row r="101" spans="3:4" x14ac:dyDescent="0.2">
      <c r="C101" s="59"/>
      <c r="D101" s="59"/>
    </row>
    <row r="102" spans="3:4" x14ac:dyDescent="0.2">
      <c r="C102" s="59"/>
      <c r="D102" s="59"/>
    </row>
    <row r="103" spans="3:4" x14ac:dyDescent="0.2">
      <c r="C103" s="59"/>
      <c r="D103" s="59"/>
    </row>
    <row r="104" spans="3:4" x14ac:dyDescent="0.2">
      <c r="C104" s="59"/>
      <c r="D104" s="59"/>
    </row>
    <row r="105" spans="3:4" x14ac:dyDescent="0.2">
      <c r="C105" s="59"/>
      <c r="D105" s="59"/>
    </row>
    <row r="106" spans="3:4" x14ac:dyDescent="0.2">
      <c r="C106" s="59"/>
      <c r="D106" s="59"/>
    </row>
    <row r="107" spans="3:4" x14ac:dyDescent="0.2">
      <c r="C107" s="59"/>
      <c r="D107" s="59"/>
    </row>
    <row r="108" spans="3:4" x14ac:dyDescent="0.2">
      <c r="C108" s="59"/>
      <c r="D108" s="59"/>
    </row>
    <row r="109" spans="3:4" x14ac:dyDescent="0.2">
      <c r="C109" s="59"/>
      <c r="D109" s="59"/>
    </row>
    <row r="110" spans="3:4" x14ac:dyDescent="0.2">
      <c r="C110" s="59"/>
      <c r="D110" s="59"/>
    </row>
    <row r="111" spans="3:4" x14ac:dyDescent="0.2">
      <c r="C111" s="59"/>
      <c r="D111" s="59"/>
    </row>
    <row r="112" spans="3:4" x14ac:dyDescent="0.2">
      <c r="C112" s="59"/>
      <c r="D112" s="59"/>
    </row>
    <row r="113" spans="3:4" x14ac:dyDescent="0.2">
      <c r="C113" s="59"/>
      <c r="D113" s="59"/>
    </row>
    <row r="114" spans="3:4" x14ac:dyDescent="0.2">
      <c r="C114" s="59"/>
      <c r="D114" s="59"/>
    </row>
    <row r="115" spans="3:4" x14ac:dyDescent="0.2">
      <c r="C115" s="59"/>
      <c r="D115" s="59"/>
    </row>
    <row r="116" spans="3:4" x14ac:dyDescent="0.2">
      <c r="C116" s="59"/>
      <c r="D116" s="59"/>
    </row>
    <row r="117" spans="3:4" x14ac:dyDescent="0.2">
      <c r="C117" s="59"/>
      <c r="D117" s="59"/>
    </row>
    <row r="118" spans="3:4" x14ac:dyDescent="0.2">
      <c r="C118" s="59"/>
      <c r="D118" s="59"/>
    </row>
    <row r="119" spans="3:4" x14ac:dyDescent="0.2">
      <c r="C119" s="59"/>
      <c r="D119" s="59"/>
    </row>
    <row r="120" spans="3:4" x14ac:dyDescent="0.2">
      <c r="C120" s="59"/>
      <c r="D120" s="59"/>
    </row>
    <row r="121" spans="3:4" x14ac:dyDescent="0.2">
      <c r="C121" s="59"/>
      <c r="D121" s="59"/>
    </row>
    <row r="122" spans="3:4" x14ac:dyDescent="0.2">
      <c r="C122" s="59"/>
      <c r="D122" s="59"/>
    </row>
    <row r="123" spans="3:4" x14ac:dyDescent="0.2">
      <c r="C123" s="59"/>
      <c r="D123" s="59"/>
    </row>
    <row r="124" spans="3:4" x14ac:dyDescent="0.2">
      <c r="C124" s="59"/>
      <c r="D124" s="59"/>
    </row>
    <row r="125" spans="3:4" x14ac:dyDescent="0.2">
      <c r="C125" s="59"/>
      <c r="D125" s="59"/>
    </row>
    <row r="126" spans="3:4" x14ac:dyDescent="0.2">
      <c r="C126" s="59"/>
      <c r="D126" s="59"/>
    </row>
    <row r="127" spans="3:4" x14ac:dyDescent="0.2">
      <c r="C127" s="59"/>
      <c r="D127" s="59"/>
    </row>
    <row r="128" spans="3:4" x14ac:dyDescent="0.2">
      <c r="C128" s="59"/>
      <c r="D128" s="59"/>
    </row>
    <row r="129" spans="3:4" x14ac:dyDescent="0.2">
      <c r="C129" s="59"/>
      <c r="D129" s="59"/>
    </row>
    <row r="130" spans="3:4" x14ac:dyDescent="0.2">
      <c r="C130" s="59"/>
      <c r="D130" s="59"/>
    </row>
    <row r="131" spans="3:4" x14ac:dyDescent="0.2">
      <c r="C131" s="59"/>
      <c r="D131" s="59"/>
    </row>
    <row r="132" spans="3:4" x14ac:dyDescent="0.2">
      <c r="C132" s="59"/>
      <c r="D132" s="59"/>
    </row>
    <row r="133" spans="3:4" x14ac:dyDescent="0.2">
      <c r="C133" s="59"/>
      <c r="D133" s="59"/>
    </row>
    <row r="134" spans="3:4" x14ac:dyDescent="0.2">
      <c r="C134" s="59"/>
      <c r="D134" s="59"/>
    </row>
    <row r="135" spans="3:4" x14ac:dyDescent="0.2">
      <c r="C135" s="59"/>
      <c r="D135" s="59"/>
    </row>
    <row r="136" spans="3:4" x14ac:dyDescent="0.2">
      <c r="C136" s="59"/>
      <c r="D136" s="59"/>
    </row>
    <row r="137" spans="3:4" x14ac:dyDescent="0.2">
      <c r="C137" s="59"/>
      <c r="D137" s="59"/>
    </row>
    <row r="138" spans="3:4" x14ac:dyDescent="0.2">
      <c r="C138" s="59"/>
      <c r="D138" s="59"/>
    </row>
    <row r="139" spans="3:4" x14ac:dyDescent="0.2">
      <c r="C139" s="59"/>
      <c r="D139" s="59"/>
    </row>
    <row r="140" spans="3:4" x14ac:dyDescent="0.2">
      <c r="C140" s="59"/>
      <c r="D140" s="59"/>
    </row>
    <row r="141" spans="3:4" x14ac:dyDescent="0.2">
      <c r="C141" s="59"/>
      <c r="D141" s="59"/>
    </row>
    <row r="142" spans="3:4" x14ac:dyDescent="0.2">
      <c r="C142" s="59"/>
      <c r="D142" s="59"/>
    </row>
    <row r="143" spans="3:4" x14ac:dyDescent="0.2">
      <c r="C143" s="59"/>
      <c r="D143" s="59"/>
    </row>
    <row r="144" spans="3:4" x14ac:dyDescent="0.2">
      <c r="C144" s="59"/>
      <c r="D144" s="59"/>
    </row>
    <row r="145" spans="3:4" x14ac:dyDescent="0.2">
      <c r="C145" s="59"/>
      <c r="D145" s="59"/>
    </row>
    <row r="146" spans="3:4" x14ac:dyDescent="0.2">
      <c r="C146" s="59"/>
      <c r="D146" s="59"/>
    </row>
    <row r="147" spans="3:4" x14ac:dyDescent="0.2">
      <c r="C147" s="59"/>
      <c r="D147" s="59"/>
    </row>
    <row r="148" spans="3:4" x14ac:dyDescent="0.2">
      <c r="C148" s="59"/>
      <c r="D148" s="59"/>
    </row>
    <row r="149" spans="3:4" x14ac:dyDescent="0.2">
      <c r="C149" s="59"/>
      <c r="D149" s="59"/>
    </row>
    <row r="150" spans="3:4" x14ac:dyDescent="0.2">
      <c r="C150" s="59"/>
      <c r="D150" s="59"/>
    </row>
  </sheetData>
  <pageMargins left="0.7" right="0.7" top="0.75" bottom="0.75" header="0.3" footer="0.3"/>
  <pageSetup paperSize="9" orientation="portrait" horizontalDpi="0" verticalDpi="0"/>
  <legacyDrawing r:id="rId1"/>
</worksheet>
</file>

<file path=xl/worksheets/sheet7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500-000000000000}">
  <dimension ref="A1:L150"/>
  <sheetViews>
    <sheetView zoomScale="166" zoomScaleNormal="80" workbookViewId="0">
      <pane xSplit="2" ySplit="1" topLeftCell="E3" activePane="bottomRight" state="frozen"/>
      <selection pane="topRight" activeCell="C1" sqref="C1"/>
      <selection pane="bottomLeft" activeCell="A2" sqref="A2"/>
      <selection pane="bottomRight" activeCell="C1" sqref="C1"/>
    </sheetView>
  </sheetViews>
  <sheetFormatPr baseColWidth="10" defaultColWidth="11" defaultRowHeight="16" x14ac:dyDescent="0.2"/>
  <cols>
    <col min="1" max="1" width="27.5" bestFit="1" customWidth="1"/>
    <col min="2" max="2" width="0" hidden="1"/>
    <col min="3" max="6" width="10.1640625" bestFit="1" customWidth="1"/>
    <col min="7" max="7" width="13" customWidth="1"/>
    <col min="8" max="8" width="4.1640625" bestFit="1" customWidth="1"/>
  </cols>
  <sheetData>
    <row r="1" spans="1:12" x14ac:dyDescent="0.2">
      <c r="B1" s="46" t="s">
        <v>0</v>
      </c>
      <c r="C1" s="46" t="s">
        <v>1</v>
      </c>
      <c r="D1" s="46" t="s">
        <v>2</v>
      </c>
      <c r="E1" s="81" t="s">
        <v>3</v>
      </c>
      <c r="F1" s="81" t="s">
        <v>4</v>
      </c>
      <c r="G1" s="81" t="s">
        <v>5</v>
      </c>
    </row>
    <row r="2" spans="1:12" x14ac:dyDescent="0.2">
      <c r="A2" t="s">
        <v>21</v>
      </c>
      <c r="B2" s="46"/>
      <c r="C2" s="54">
        <v>14990000</v>
      </c>
      <c r="D2" s="64">
        <v>15990000</v>
      </c>
      <c r="E2" s="39">
        <v>15990000</v>
      </c>
      <c r="F2" s="37">
        <v>14990000</v>
      </c>
      <c r="G2" s="39">
        <v>15990000</v>
      </c>
    </row>
    <row r="3" spans="1:12" x14ac:dyDescent="0.2">
      <c r="A3" t="s">
        <v>181</v>
      </c>
      <c r="B3" s="25"/>
      <c r="C3" s="53">
        <v>18890000</v>
      </c>
      <c r="D3" s="63">
        <v>18890000</v>
      </c>
      <c r="E3" s="39">
        <v>18490000</v>
      </c>
      <c r="F3" s="39">
        <v>18790000</v>
      </c>
      <c r="G3" s="39">
        <v>18590000</v>
      </c>
    </row>
    <row r="4" spans="1:12" x14ac:dyDescent="0.2">
      <c r="A4" t="s">
        <v>24</v>
      </c>
      <c r="B4" s="3"/>
      <c r="C4" s="52">
        <v>22190000</v>
      </c>
      <c r="D4" s="63">
        <v>21990000</v>
      </c>
      <c r="E4" s="39">
        <v>21690000</v>
      </c>
      <c r="F4" s="37">
        <v>21890000</v>
      </c>
      <c r="G4" s="39">
        <v>21690000</v>
      </c>
      <c r="H4" s="43"/>
    </row>
    <row r="5" spans="1:12" x14ac:dyDescent="0.2">
      <c r="A5" t="s">
        <v>182</v>
      </c>
      <c r="B5" s="25"/>
      <c r="C5" s="52">
        <v>25090000</v>
      </c>
      <c r="D5" s="63">
        <v>25090000</v>
      </c>
      <c r="E5" s="39">
        <v>24290000</v>
      </c>
      <c r="F5" s="37">
        <v>24990000</v>
      </c>
      <c r="G5" s="37">
        <v>24590000</v>
      </c>
    </row>
    <row r="6" spans="1:12" x14ac:dyDescent="0.2">
      <c r="A6" t="s">
        <v>183</v>
      </c>
      <c r="B6" s="3"/>
      <c r="C6" s="52">
        <v>30090000</v>
      </c>
      <c r="D6" s="63">
        <v>29990000</v>
      </c>
      <c r="E6" s="39">
        <v>29690000</v>
      </c>
      <c r="F6" s="37">
        <v>29790000</v>
      </c>
      <c r="G6" s="37">
        <v>29550000</v>
      </c>
    </row>
    <row r="7" spans="1:12" x14ac:dyDescent="0.2">
      <c r="A7" t="s">
        <v>25</v>
      </c>
      <c r="B7" s="25"/>
      <c r="C7" s="53">
        <v>15290000</v>
      </c>
      <c r="D7" s="63">
        <v>15390000</v>
      </c>
      <c r="E7" s="25">
        <v>15190000</v>
      </c>
      <c r="F7" s="37">
        <v>15190000</v>
      </c>
      <c r="G7" s="39">
        <v>15090000</v>
      </c>
    </row>
    <row r="8" spans="1:12" x14ac:dyDescent="0.2">
      <c r="A8" t="s">
        <v>26</v>
      </c>
      <c r="B8" s="25"/>
      <c r="C8" s="53">
        <v>18590000</v>
      </c>
      <c r="D8" s="63">
        <v>18990000</v>
      </c>
      <c r="E8" s="25">
        <v>18790000</v>
      </c>
      <c r="F8" s="37">
        <v>18490000</v>
      </c>
      <c r="G8" s="37">
        <v>18490000</v>
      </c>
    </row>
    <row r="9" spans="1:12" x14ac:dyDescent="0.2">
      <c r="A9" t="s">
        <v>158</v>
      </c>
      <c r="B9" s="3"/>
      <c r="C9" s="53">
        <v>26890000</v>
      </c>
      <c r="D9" s="63">
        <v>26990000</v>
      </c>
      <c r="E9" s="39" t="s">
        <v>22</v>
      </c>
      <c r="F9" s="39" t="s">
        <v>22</v>
      </c>
      <c r="G9" s="39">
        <v>26990000</v>
      </c>
    </row>
    <row r="10" spans="1:12" x14ac:dyDescent="0.2">
      <c r="A10" t="s">
        <v>92</v>
      </c>
      <c r="B10" s="3"/>
      <c r="C10" s="51" t="s">
        <v>22</v>
      </c>
      <c r="D10" s="62" t="s">
        <v>22</v>
      </c>
      <c r="E10" s="42" t="s">
        <v>22</v>
      </c>
      <c r="F10" s="42" t="s">
        <v>22</v>
      </c>
      <c r="G10" s="39">
        <v>17490000</v>
      </c>
    </row>
    <row r="11" spans="1:12" x14ac:dyDescent="0.2">
      <c r="A11" t="s">
        <v>27</v>
      </c>
      <c r="B11" s="25"/>
      <c r="C11" s="53">
        <v>12690000</v>
      </c>
      <c r="D11" s="61">
        <v>12690000</v>
      </c>
      <c r="E11" s="39">
        <v>12690000</v>
      </c>
      <c r="F11" s="38">
        <v>12490000</v>
      </c>
      <c r="G11" s="37">
        <v>12190000</v>
      </c>
    </row>
    <row r="12" spans="1:12" x14ac:dyDescent="0.2">
      <c r="A12" t="s">
        <v>28</v>
      </c>
      <c r="B12" s="3"/>
      <c r="C12" s="52">
        <v>11690000</v>
      </c>
      <c r="D12" s="53">
        <v>11490000</v>
      </c>
      <c r="E12" s="39">
        <v>11390000</v>
      </c>
      <c r="F12" s="34">
        <v>11490000</v>
      </c>
      <c r="G12" s="37">
        <v>11390000</v>
      </c>
    </row>
    <row r="13" spans="1:12" x14ac:dyDescent="0.2">
      <c r="A13" t="s">
        <v>29</v>
      </c>
      <c r="B13" s="25"/>
      <c r="C13" s="53">
        <v>11790000</v>
      </c>
      <c r="D13" s="61">
        <v>13790000</v>
      </c>
      <c r="E13" s="3">
        <v>11870000</v>
      </c>
      <c r="F13" s="38">
        <v>11790000</v>
      </c>
      <c r="G13" s="39">
        <v>11390000</v>
      </c>
    </row>
    <row r="14" spans="1:12" x14ac:dyDescent="0.2">
      <c r="A14" t="s">
        <v>30</v>
      </c>
      <c r="B14" s="3"/>
      <c r="C14" s="53">
        <v>8790000</v>
      </c>
      <c r="D14" s="61">
        <v>8490000</v>
      </c>
      <c r="E14" s="3">
        <v>8801000</v>
      </c>
      <c r="F14" s="34">
        <v>8690000</v>
      </c>
      <c r="G14" s="37">
        <v>8590000</v>
      </c>
      <c r="H14" s="26"/>
      <c r="J14" t="s">
        <v>31</v>
      </c>
      <c r="K14" t="s">
        <v>38</v>
      </c>
      <c r="L14" t="b">
        <v>1</v>
      </c>
    </row>
    <row r="15" spans="1:12" x14ac:dyDescent="0.2">
      <c r="A15" t="s">
        <v>33</v>
      </c>
      <c r="B15" s="3"/>
      <c r="C15" s="53">
        <v>14490000</v>
      </c>
      <c r="D15" s="61">
        <v>14490000</v>
      </c>
      <c r="E15" s="3">
        <v>14543000</v>
      </c>
      <c r="F15" s="34">
        <v>14590000</v>
      </c>
      <c r="G15" s="37">
        <v>14590000</v>
      </c>
      <c r="J15" t="s">
        <v>2</v>
      </c>
      <c r="K15" t="s">
        <v>198</v>
      </c>
      <c r="L15" t="b">
        <v>1</v>
      </c>
    </row>
    <row r="16" spans="1:12" x14ac:dyDescent="0.2">
      <c r="A16" t="s">
        <v>37</v>
      </c>
      <c r="B16" s="25"/>
      <c r="C16" s="53">
        <v>20590000</v>
      </c>
      <c r="D16" s="61">
        <v>20590000</v>
      </c>
      <c r="E16" s="25">
        <v>20490000</v>
      </c>
      <c r="F16" s="38">
        <v>20790000</v>
      </c>
      <c r="G16" s="37">
        <v>20690000</v>
      </c>
      <c r="J16" t="s">
        <v>3</v>
      </c>
      <c r="K16" t="s">
        <v>36</v>
      </c>
      <c r="L16" t="b">
        <v>1</v>
      </c>
    </row>
    <row r="17" spans="1:12" x14ac:dyDescent="0.2">
      <c r="A17" t="s">
        <v>184</v>
      </c>
      <c r="B17" s="25"/>
      <c r="C17" s="53">
        <v>25890000</v>
      </c>
      <c r="D17" s="61">
        <v>25990000</v>
      </c>
      <c r="E17" s="25">
        <v>26490000</v>
      </c>
      <c r="F17" s="34">
        <v>25990000</v>
      </c>
      <c r="G17" s="39">
        <v>25890000</v>
      </c>
      <c r="J17" t="s">
        <v>4</v>
      </c>
      <c r="K17" t="s">
        <v>34</v>
      </c>
      <c r="L17" t="b">
        <v>1</v>
      </c>
    </row>
    <row r="18" spans="1:12" x14ac:dyDescent="0.2">
      <c r="A18" t="s">
        <v>185</v>
      </c>
      <c r="B18" s="3"/>
      <c r="C18" s="53">
        <v>33590000</v>
      </c>
      <c r="D18" s="61">
        <v>33590000</v>
      </c>
      <c r="E18" s="25">
        <v>35490000</v>
      </c>
      <c r="F18" s="34">
        <v>33690000</v>
      </c>
      <c r="G18" s="39">
        <v>35990000</v>
      </c>
      <c r="J18" t="s">
        <v>41</v>
      </c>
      <c r="K18" t="s">
        <v>42</v>
      </c>
      <c r="L18" t="b">
        <v>1</v>
      </c>
    </row>
    <row r="19" spans="1:12" x14ac:dyDescent="0.2">
      <c r="A19" t="s">
        <v>227</v>
      </c>
      <c r="B19" s="25"/>
      <c r="C19" s="52">
        <v>5190000</v>
      </c>
      <c r="D19" s="61">
        <v>5190000</v>
      </c>
      <c r="E19" s="25">
        <v>4940000</v>
      </c>
      <c r="F19" s="38">
        <v>4990000</v>
      </c>
      <c r="G19" s="4">
        <v>5090000</v>
      </c>
    </row>
    <row r="20" spans="1:12" x14ac:dyDescent="0.2">
      <c r="A20" t="s">
        <v>228</v>
      </c>
      <c r="B20" s="25"/>
      <c r="C20" s="52">
        <v>6990000</v>
      </c>
      <c r="D20" s="63">
        <v>6990000</v>
      </c>
      <c r="E20" s="25">
        <v>6920000</v>
      </c>
      <c r="F20" s="38">
        <v>6990000</v>
      </c>
      <c r="G20" s="39">
        <v>6590000</v>
      </c>
    </row>
    <row r="21" spans="1:12" x14ac:dyDescent="0.2">
      <c r="A21" t="s">
        <v>229</v>
      </c>
      <c r="B21" s="25"/>
      <c r="C21" s="52">
        <v>5790000</v>
      </c>
      <c r="D21" s="61">
        <v>5790000</v>
      </c>
      <c r="E21" s="25">
        <v>5732000</v>
      </c>
      <c r="F21" s="34">
        <v>5790000</v>
      </c>
      <c r="G21" s="39">
        <v>5890000</v>
      </c>
    </row>
    <row r="22" spans="1:12" x14ac:dyDescent="0.2">
      <c r="A22" t="s">
        <v>230</v>
      </c>
      <c r="B22" s="25"/>
      <c r="C22" s="51" t="s">
        <v>22</v>
      </c>
      <c r="D22" s="61">
        <v>7790000</v>
      </c>
      <c r="E22" s="25">
        <v>7712000</v>
      </c>
      <c r="F22" s="38">
        <v>7790000</v>
      </c>
      <c r="G22" s="39">
        <v>7690000</v>
      </c>
    </row>
    <row r="23" spans="1:12" x14ac:dyDescent="0.2">
      <c r="A23" t="s">
        <v>213</v>
      </c>
      <c r="B23" s="25"/>
      <c r="C23" s="52">
        <v>8390000</v>
      </c>
      <c r="D23" s="63">
        <v>8390000</v>
      </c>
      <c r="E23" s="25">
        <v>8207000</v>
      </c>
      <c r="F23" s="34">
        <v>8390000</v>
      </c>
      <c r="G23" s="39">
        <v>8390000</v>
      </c>
      <c r="H23" s="26"/>
    </row>
    <row r="24" spans="1:12" x14ac:dyDescent="0.2">
      <c r="A24" t="s">
        <v>214</v>
      </c>
      <c r="B24" s="25"/>
      <c r="C24" s="63" t="s">
        <v>22</v>
      </c>
      <c r="D24" s="63">
        <v>12790000</v>
      </c>
      <c r="E24" s="25">
        <v>12860000</v>
      </c>
      <c r="F24" s="38">
        <v>12990000</v>
      </c>
      <c r="G24" s="39">
        <v>12890000</v>
      </c>
    </row>
    <row r="25" spans="1:12" x14ac:dyDescent="0.2">
      <c r="A25" t="s">
        <v>215</v>
      </c>
      <c r="B25" s="25"/>
      <c r="C25" s="52">
        <v>9190000</v>
      </c>
      <c r="D25" s="63">
        <v>9190000</v>
      </c>
      <c r="E25" s="25">
        <v>8900000</v>
      </c>
      <c r="F25" s="38">
        <v>9190000</v>
      </c>
      <c r="G25" s="39">
        <v>8990000</v>
      </c>
      <c r="H25" s="26"/>
      <c r="I25" s="26"/>
    </row>
    <row r="26" spans="1:12" x14ac:dyDescent="0.2">
      <c r="A26" t="s">
        <v>217</v>
      </c>
      <c r="B26" s="3"/>
      <c r="C26" s="53">
        <v>13890000</v>
      </c>
      <c r="D26" s="63">
        <v>13690000</v>
      </c>
      <c r="E26" s="25">
        <v>13553000</v>
      </c>
      <c r="F26" s="38">
        <v>13890000</v>
      </c>
      <c r="G26" s="39">
        <v>13590000</v>
      </c>
    </row>
    <row r="27" spans="1:12" x14ac:dyDescent="0.2">
      <c r="A27" t="s">
        <v>172</v>
      </c>
      <c r="B27" s="25"/>
      <c r="C27" s="52">
        <v>21890000</v>
      </c>
      <c r="D27" s="63">
        <v>21890000</v>
      </c>
      <c r="E27" s="25">
        <v>21790000</v>
      </c>
      <c r="F27" s="39">
        <v>21590000</v>
      </c>
      <c r="G27" s="39">
        <v>22990000</v>
      </c>
    </row>
    <row r="28" spans="1:12" x14ac:dyDescent="0.2">
      <c r="A28" t="s">
        <v>53</v>
      </c>
      <c r="B28" s="3"/>
      <c r="C28" s="52">
        <v>5390000</v>
      </c>
      <c r="D28" s="63">
        <v>5350000</v>
      </c>
      <c r="E28" s="25">
        <v>5039000</v>
      </c>
      <c r="F28" s="39">
        <v>5290000</v>
      </c>
      <c r="G28" s="39">
        <v>5390000</v>
      </c>
    </row>
    <row r="29" spans="1:12" x14ac:dyDescent="0.2">
      <c r="A29" t="s">
        <v>54</v>
      </c>
      <c r="B29" s="3"/>
      <c r="C29" s="52">
        <v>4490000</v>
      </c>
      <c r="D29" s="61">
        <v>4350000</v>
      </c>
      <c r="E29" s="25">
        <v>4247000</v>
      </c>
      <c r="F29" s="39">
        <v>4390000</v>
      </c>
      <c r="G29" s="3">
        <v>4190000</v>
      </c>
    </row>
    <row r="30" spans="1:12" x14ac:dyDescent="0.2">
      <c r="A30" t="s">
        <v>55</v>
      </c>
      <c r="B30" s="3"/>
      <c r="C30" s="53">
        <v>3090000</v>
      </c>
      <c r="D30" s="63">
        <v>3050000</v>
      </c>
      <c r="E30" s="25">
        <v>2890000</v>
      </c>
      <c r="F30" s="39">
        <v>2990000</v>
      </c>
      <c r="G30" s="3">
        <v>2890000</v>
      </c>
    </row>
    <row r="31" spans="1:12" x14ac:dyDescent="0.2">
      <c r="A31" t="s">
        <v>175</v>
      </c>
      <c r="B31" s="3"/>
      <c r="C31" s="53">
        <v>16990000</v>
      </c>
      <c r="D31" s="63" t="s">
        <v>22</v>
      </c>
      <c r="E31" s="36"/>
      <c r="F31" s="38">
        <v>17190000</v>
      </c>
      <c r="G31" s="4">
        <v>16890000</v>
      </c>
    </row>
    <row r="32" spans="1:12" x14ac:dyDescent="0.2">
      <c r="A32" t="s">
        <v>186</v>
      </c>
      <c r="B32" s="25"/>
      <c r="C32" s="52">
        <v>19590000</v>
      </c>
      <c r="D32" s="61">
        <v>19590000</v>
      </c>
      <c r="E32" s="36"/>
      <c r="F32" s="38">
        <v>19590000</v>
      </c>
      <c r="G32" s="4">
        <v>19490000</v>
      </c>
    </row>
    <row r="33" spans="1:7" x14ac:dyDescent="0.2">
      <c r="A33" t="s">
        <v>232</v>
      </c>
      <c r="B33" s="3"/>
      <c r="C33" s="51" t="s">
        <v>22</v>
      </c>
      <c r="D33" s="63">
        <v>23990000</v>
      </c>
      <c r="E33" s="36"/>
      <c r="F33" s="38" t="s">
        <v>22</v>
      </c>
      <c r="G33" s="4">
        <v>25290000</v>
      </c>
    </row>
    <row r="34" spans="1:7" x14ac:dyDescent="0.2">
      <c r="A34" t="s">
        <v>59</v>
      </c>
      <c r="B34" s="3"/>
      <c r="C34" s="53">
        <v>24290000</v>
      </c>
      <c r="D34" s="61">
        <v>24290000</v>
      </c>
      <c r="E34" s="36"/>
      <c r="F34" s="34">
        <v>24290000</v>
      </c>
      <c r="G34" s="3">
        <v>24290000</v>
      </c>
    </row>
    <row r="35" spans="1:7" x14ac:dyDescent="0.2">
      <c r="A35" t="s">
        <v>61</v>
      </c>
      <c r="B35" s="25"/>
      <c r="C35" s="61">
        <v>29490000</v>
      </c>
      <c r="D35" s="61">
        <v>29490000</v>
      </c>
      <c r="E35" s="36"/>
      <c r="F35" s="38">
        <v>30490000</v>
      </c>
      <c r="G35" s="3">
        <v>29490000</v>
      </c>
    </row>
    <row r="36" spans="1:7" x14ac:dyDescent="0.2">
      <c r="A36" t="s">
        <v>187</v>
      </c>
      <c r="B36" s="25"/>
      <c r="C36" s="52">
        <v>38290000</v>
      </c>
      <c r="D36" s="63">
        <v>38190000</v>
      </c>
      <c r="E36" s="36"/>
      <c r="F36" s="37">
        <v>37590000</v>
      </c>
      <c r="G36" s="4">
        <v>38290000</v>
      </c>
    </row>
    <row r="37" spans="1:7" x14ac:dyDescent="0.2">
      <c r="C37" s="59"/>
      <c r="D37" s="59"/>
    </row>
    <row r="38" spans="1:7" x14ac:dyDescent="0.2">
      <c r="C38" s="59"/>
      <c r="D38" s="59"/>
    </row>
    <row r="39" spans="1:7" x14ac:dyDescent="0.2">
      <c r="C39" s="59"/>
      <c r="D39" s="59"/>
    </row>
    <row r="40" spans="1:7" x14ac:dyDescent="0.2">
      <c r="C40" s="59"/>
      <c r="D40" s="59"/>
    </row>
    <row r="41" spans="1:7" x14ac:dyDescent="0.2">
      <c r="C41" s="59"/>
      <c r="D41" s="59"/>
    </row>
    <row r="42" spans="1:7" x14ac:dyDescent="0.2">
      <c r="C42" s="59"/>
      <c r="D42" s="59"/>
    </row>
    <row r="43" spans="1:7" x14ac:dyDescent="0.2">
      <c r="C43" s="59"/>
      <c r="D43" s="59"/>
    </row>
    <row r="44" spans="1:7" x14ac:dyDescent="0.2">
      <c r="C44" s="59"/>
      <c r="D44" s="59"/>
    </row>
    <row r="45" spans="1:7" x14ac:dyDescent="0.2">
      <c r="C45" s="59"/>
      <c r="D45" s="59"/>
    </row>
    <row r="46" spans="1:7" x14ac:dyDescent="0.2">
      <c r="C46" s="59"/>
      <c r="D46" s="59"/>
    </row>
    <row r="47" spans="1:7" x14ac:dyDescent="0.2">
      <c r="C47" s="59"/>
      <c r="D47" s="59"/>
    </row>
    <row r="48" spans="1:7" x14ac:dyDescent="0.2">
      <c r="C48" s="59"/>
      <c r="D48" s="59"/>
    </row>
    <row r="49" spans="3:4" x14ac:dyDescent="0.2">
      <c r="C49" s="59"/>
      <c r="D49" s="59"/>
    </row>
    <row r="50" spans="3:4" x14ac:dyDescent="0.2">
      <c r="C50" s="59"/>
      <c r="D50" s="59"/>
    </row>
    <row r="51" spans="3:4" x14ac:dyDescent="0.2">
      <c r="C51" s="59"/>
      <c r="D51" s="59"/>
    </row>
    <row r="52" spans="3:4" x14ac:dyDescent="0.2">
      <c r="C52" s="59"/>
      <c r="D52" s="59"/>
    </row>
    <row r="53" spans="3:4" x14ac:dyDescent="0.2">
      <c r="C53" s="59"/>
      <c r="D53" s="59"/>
    </row>
    <row r="54" spans="3:4" x14ac:dyDescent="0.2">
      <c r="C54" s="59"/>
      <c r="D54" s="59"/>
    </row>
    <row r="55" spans="3:4" x14ac:dyDescent="0.2">
      <c r="C55" s="59"/>
      <c r="D55" s="59"/>
    </row>
    <row r="56" spans="3:4" x14ac:dyDescent="0.2">
      <c r="C56" s="59"/>
      <c r="D56" s="59"/>
    </row>
    <row r="57" spans="3:4" x14ac:dyDescent="0.2">
      <c r="C57" s="59"/>
      <c r="D57" s="59"/>
    </row>
    <row r="58" spans="3:4" x14ac:dyDescent="0.2">
      <c r="C58" s="59"/>
      <c r="D58" s="59"/>
    </row>
    <row r="59" spans="3:4" x14ac:dyDescent="0.2">
      <c r="C59" s="59"/>
      <c r="D59" s="59"/>
    </row>
    <row r="60" spans="3:4" x14ac:dyDescent="0.2">
      <c r="C60" s="59"/>
      <c r="D60" s="59"/>
    </row>
    <row r="61" spans="3:4" x14ac:dyDescent="0.2">
      <c r="C61" s="59"/>
      <c r="D61" s="59"/>
    </row>
    <row r="62" spans="3:4" x14ac:dyDescent="0.2">
      <c r="C62" s="59"/>
      <c r="D62" s="59"/>
    </row>
    <row r="63" spans="3:4" x14ac:dyDescent="0.2">
      <c r="C63" s="59"/>
      <c r="D63" s="59"/>
    </row>
    <row r="64" spans="3:4" x14ac:dyDescent="0.2">
      <c r="C64" s="59"/>
      <c r="D64" s="59"/>
    </row>
    <row r="65" spans="3:4" x14ac:dyDescent="0.2">
      <c r="C65" s="59"/>
      <c r="D65" s="59"/>
    </row>
    <row r="66" spans="3:4" x14ac:dyDescent="0.2">
      <c r="C66" s="59"/>
      <c r="D66" s="59"/>
    </row>
    <row r="67" spans="3:4" x14ac:dyDescent="0.2">
      <c r="C67" s="59"/>
      <c r="D67" s="59"/>
    </row>
    <row r="68" spans="3:4" x14ac:dyDescent="0.2">
      <c r="C68" s="59"/>
      <c r="D68" s="59"/>
    </row>
    <row r="69" spans="3:4" x14ac:dyDescent="0.2">
      <c r="C69" s="59"/>
      <c r="D69" s="59"/>
    </row>
    <row r="70" spans="3:4" x14ac:dyDescent="0.2">
      <c r="C70" s="59"/>
      <c r="D70" s="59"/>
    </row>
    <row r="71" spans="3:4" x14ac:dyDescent="0.2">
      <c r="C71" s="59"/>
      <c r="D71" s="59"/>
    </row>
    <row r="72" spans="3:4" x14ac:dyDescent="0.2">
      <c r="C72" s="59"/>
      <c r="D72" s="59"/>
    </row>
    <row r="73" spans="3:4" x14ac:dyDescent="0.2">
      <c r="C73" s="59"/>
      <c r="D73" s="59"/>
    </row>
    <row r="74" spans="3:4" x14ac:dyDescent="0.2">
      <c r="C74" s="59"/>
      <c r="D74" s="59"/>
    </row>
    <row r="75" spans="3:4" x14ac:dyDescent="0.2">
      <c r="C75" s="59"/>
      <c r="D75" s="59"/>
    </row>
    <row r="76" spans="3:4" x14ac:dyDescent="0.2">
      <c r="C76" s="59"/>
      <c r="D76" s="59"/>
    </row>
    <row r="77" spans="3:4" x14ac:dyDescent="0.2">
      <c r="C77" s="59"/>
      <c r="D77" s="59"/>
    </row>
    <row r="78" spans="3:4" x14ac:dyDescent="0.2">
      <c r="C78" s="59"/>
      <c r="D78" s="59"/>
    </row>
    <row r="79" spans="3:4" x14ac:dyDescent="0.2">
      <c r="C79" s="59"/>
      <c r="D79" s="59"/>
    </row>
    <row r="80" spans="3:4" x14ac:dyDescent="0.2">
      <c r="C80" s="59"/>
      <c r="D80" s="59"/>
    </row>
    <row r="81" spans="3:4" x14ac:dyDescent="0.2">
      <c r="C81" s="59"/>
      <c r="D81" s="59"/>
    </row>
    <row r="82" spans="3:4" x14ac:dyDescent="0.2">
      <c r="C82" s="59"/>
      <c r="D82" s="59"/>
    </row>
    <row r="83" spans="3:4" x14ac:dyDescent="0.2">
      <c r="C83" s="59"/>
      <c r="D83" s="59"/>
    </row>
    <row r="84" spans="3:4" x14ac:dyDescent="0.2">
      <c r="C84" s="59"/>
      <c r="D84" s="59"/>
    </row>
    <row r="85" spans="3:4" x14ac:dyDescent="0.2">
      <c r="C85" s="59"/>
      <c r="D85" s="59"/>
    </row>
    <row r="86" spans="3:4" x14ac:dyDescent="0.2">
      <c r="C86" s="59"/>
      <c r="D86" s="59"/>
    </row>
    <row r="87" spans="3:4" x14ac:dyDescent="0.2">
      <c r="C87" s="59"/>
      <c r="D87" s="59"/>
    </row>
    <row r="88" spans="3:4" x14ac:dyDescent="0.2">
      <c r="C88" s="59"/>
      <c r="D88" s="59"/>
    </row>
    <row r="89" spans="3:4" x14ac:dyDescent="0.2">
      <c r="C89" s="59"/>
      <c r="D89" s="59"/>
    </row>
    <row r="90" spans="3:4" x14ac:dyDescent="0.2">
      <c r="C90" s="59"/>
      <c r="D90" s="59"/>
    </row>
    <row r="91" spans="3:4" x14ac:dyDescent="0.2">
      <c r="C91" s="59"/>
      <c r="D91" s="59"/>
    </row>
    <row r="92" spans="3:4" x14ac:dyDescent="0.2">
      <c r="C92" s="59"/>
      <c r="D92" s="59"/>
    </row>
    <row r="93" spans="3:4" x14ac:dyDescent="0.2">
      <c r="C93" s="59"/>
      <c r="D93" s="59"/>
    </row>
    <row r="94" spans="3:4" x14ac:dyDescent="0.2">
      <c r="C94" s="59"/>
      <c r="D94" s="59"/>
    </row>
    <row r="95" spans="3:4" x14ac:dyDescent="0.2">
      <c r="C95" s="59"/>
      <c r="D95" s="59"/>
    </row>
    <row r="96" spans="3:4" x14ac:dyDescent="0.2">
      <c r="C96" s="59"/>
      <c r="D96" s="59"/>
    </row>
    <row r="97" spans="3:4" x14ac:dyDescent="0.2">
      <c r="C97" s="59"/>
      <c r="D97" s="59"/>
    </row>
    <row r="98" spans="3:4" x14ac:dyDescent="0.2">
      <c r="C98" s="59"/>
      <c r="D98" s="59"/>
    </row>
    <row r="99" spans="3:4" x14ac:dyDescent="0.2">
      <c r="C99" s="59"/>
      <c r="D99" s="59"/>
    </row>
    <row r="100" spans="3:4" x14ac:dyDescent="0.2">
      <c r="C100" s="59"/>
      <c r="D100" s="59"/>
    </row>
    <row r="101" spans="3:4" x14ac:dyDescent="0.2">
      <c r="C101" s="59"/>
      <c r="D101" s="59"/>
    </row>
    <row r="102" spans="3:4" x14ac:dyDescent="0.2">
      <c r="C102" s="59"/>
      <c r="D102" s="59"/>
    </row>
    <row r="103" spans="3:4" x14ac:dyDescent="0.2">
      <c r="C103" s="59"/>
      <c r="D103" s="59"/>
    </row>
    <row r="104" spans="3:4" x14ac:dyDescent="0.2">
      <c r="C104" s="59"/>
      <c r="D104" s="59"/>
    </row>
    <row r="105" spans="3:4" x14ac:dyDescent="0.2">
      <c r="C105" s="59"/>
      <c r="D105" s="59"/>
    </row>
    <row r="106" spans="3:4" x14ac:dyDescent="0.2">
      <c r="C106" s="59"/>
      <c r="D106" s="59"/>
    </row>
    <row r="107" spans="3:4" x14ac:dyDescent="0.2">
      <c r="C107" s="59"/>
      <c r="D107" s="59"/>
    </row>
    <row r="108" spans="3:4" x14ac:dyDescent="0.2">
      <c r="C108" s="59"/>
      <c r="D108" s="59"/>
    </row>
    <row r="109" spans="3:4" x14ac:dyDescent="0.2">
      <c r="C109" s="59"/>
      <c r="D109" s="59"/>
    </row>
    <row r="110" spans="3:4" x14ac:dyDescent="0.2">
      <c r="C110" s="59"/>
      <c r="D110" s="59"/>
    </row>
    <row r="111" spans="3:4" x14ac:dyDescent="0.2">
      <c r="C111" s="59"/>
      <c r="D111" s="59"/>
    </row>
    <row r="112" spans="3:4" x14ac:dyDescent="0.2">
      <c r="C112" s="59"/>
      <c r="D112" s="59"/>
    </row>
    <row r="113" spans="3:4" x14ac:dyDescent="0.2">
      <c r="C113" s="59"/>
      <c r="D113" s="59"/>
    </row>
    <row r="114" spans="3:4" x14ac:dyDescent="0.2">
      <c r="C114" s="59"/>
      <c r="D114" s="59"/>
    </row>
    <row r="115" spans="3:4" x14ac:dyDescent="0.2">
      <c r="C115" s="59"/>
      <c r="D115" s="59"/>
    </row>
    <row r="116" spans="3:4" x14ac:dyDescent="0.2">
      <c r="C116" s="59"/>
      <c r="D116" s="59"/>
    </row>
    <row r="117" spans="3:4" x14ac:dyDescent="0.2">
      <c r="C117" s="59"/>
      <c r="D117" s="59"/>
    </row>
    <row r="118" spans="3:4" x14ac:dyDescent="0.2">
      <c r="C118" s="59"/>
      <c r="D118" s="59"/>
    </row>
    <row r="119" spans="3:4" x14ac:dyDescent="0.2">
      <c r="C119" s="59"/>
      <c r="D119" s="59"/>
    </row>
    <row r="120" spans="3:4" x14ac:dyDescent="0.2">
      <c r="C120" s="59"/>
      <c r="D120" s="59"/>
    </row>
    <row r="121" spans="3:4" x14ac:dyDescent="0.2">
      <c r="C121" s="59"/>
      <c r="D121" s="59"/>
    </row>
    <row r="122" spans="3:4" x14ac:dyDescent="0.2">
      <c r="C122" s="59"/>
      <c r="D122" s="59"/>
    </row>
    <row r="123" spans="3:4" x14ac:dyDescent="0.2">
      <c r="C123" s="59"/>
      <c r="D123" s="59"/>
    </row>
    <row r="124" spans="3:4" x14ac:dyDescent="0.2">
      <c r="C124" s="59"/>
      <c r="D124" s="59"/>
    </row>
    <row r="125" spans="3:4" x14ac:dyDescent="0.2">
      <c r="C125" s="59"/>
      <c r="D125" s="59"/>
    </row>
    <row r="126" spans="3:4" x14ac:dyDescent="0.2">
      <c r="C126" s="59"/>
      <c r="D126" s="59"/>
    </row>
    <row r="127" spans="3:4" x14ac:dyDescent="0.2">
      <c r="C127" s="59"/>
      <c r="D127" s="59"/>
    </row>
    <row r="128" spans="3:4" x14ac:dyDescent="0.2">
      <c r="C128" s="59"/>
      <c r="D128" s="59"/>
    </row>
    <row r="129" spans="3:4" x14ac:dyDescent="0.2">
      <c r="C129" s="59"/>
      <c r="D129" s="59"/>
    </row>
    <row r="130" spans="3:4" x14ac:dyDescent="0.2">
      <c r="C130" s="59"/>
      <c r="D130" s="59"/>
    </row>
    <row r="131" spans="3:4" x14ac:dyDescent="0.2">
      <c r="C131" s="59"/>
      <c r="D131" s="59"/>
    </row>
    <row r="132" spans="3:4" x14ac:dyDescent="0.2">
      <c r="C132" s="59"/>
      <c r="D132" s="59"/>
    </row>
    <row r="133" spans="3:4" x14ac:dyDescent="0.2">
      <c r="C133" s="59"/>
      <c r="D133" s="59"/>
    </row>
    <row r="134" spans="3:4" x14ac:dyDescent="0.2">
      <c r="C134" s="59"/>
      <c r="D134" s="59"/>
    </row>
    <row r="135" spans="3:4" x14ac:dyDescent="0.2">
      <c r="C135" s="59"/>
      <c r="D135" s="59"/>
    </row>
    <row r="136" spans="3:4" x14ac:dyDescent="0.2">
      <c r="C136" s="59"/>
      <c r="D136" s="59"/>
    </row>
    <row r="137" spans="3:4" x14ac:dyDescent="0.2">
      <c r="C137" s="59"/>
      <c r="D137" s="59"/>
    </row>
    <row r="138" spans="3:4" x14ac:dyDescent="0.2">
      <c r="C138" s="59"/>
      <c r="D138" s="59"/>
    </row>
    <row r="139" spans="3:4" x14ac:dyDescent="0.2">
      <c r="C139" s="59"/>
      <c r="D139" s="59"/>
    </row>
    <row r="140" spans="3:4" x14ac:dyDescent="0.2">
      <c r="C140" s="59"/>
      <c r="D140" s="59"/>
    </row>
    <row r="141" spans="3:4" x14ac:dyDescent="0.2">
      <c r="C141" s="59"/>
      <c r="D141" s="59"/>
    </row>
    <row r="142" spans="3:4" x14ac:dyDescent="0.2">
      <c r="C142" s="59"/>
      <c r="D142" s="59"/>
    </row>
    <row r="143" spans="3:4" x14ac:dyDescent="0.2">
      <c r="C143" s="59"/>
      <c r="D143" s="59"/>
    </row>
    <row r="144" spans="3:4" x14ac:dyDescent="0.2">
      <c r="C144" s="59"/>
      <c r="D144" s="59"/>
    </row>
    <row r="145" spans="3:4" x14ac:dyDescent="0.2">
      <c r="C145" s="59"/>
      <c r="D145" s="59"/>
    </row>
    <row r="146" spans="3:4" x14ac:dyDescent="0.2">
      <c r="C146" s="59"/>
      <c r="D146" s="59"/>
    </row>
    <row r="147" spans="3:4" x14ac:dyDescent="0.2">
      <c r="C147" s="59"/>
      <c r="D147" s="59"/>
    </row>
    <row r="148" spans="3:4" x14ac:dyDescent="0.2">
      <c r="C148" s="59"/>
      <c r="D148" s="59"/>
    </row>
    <row r="149" spans="3:4" x14ac:dyDescent="0.2">
      <c r="C149" s="59"/>
      <c r="D149" s="59"/>
    </row>
    <row r="150" spans="3:4" x14ac:dyDescent="0.2">
      <c r="C150" s="59"/>
      <c r="D150" s="59"/>
    </row>
  </sheetData>
  <pageMargins left="0.7" right="0.7" top="0.75" bottom="0.75" header="0.3" footer="0.3"/>
  <pageSetup paperSize="9" orientation="portrait" horizontalDpi="0" verticalDpi="0"/>
  <legacyDrawing r:id="rId1"/>
</worksheet>
</file>

<file path=xl/worksheets/sheet7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600-000000000000}">
  <dimension ref="A1:L150"/>
  <sheetViews>
    <sheetView zoomScale="81" zoomScaleNormal="120" workbookViewId="0">
      <pane xSplit="2" ySplit="1" topLeftCell="C9" activePane="bottomRight" state="frozen"/>
      <selection pane="topRight" activeCell="C1" sqref="C1"/>
      <selection pane="bottomLeft" activeCell="A2" sqref="A2"/>
      <selection pane="bottomRight" activeCell="C1" sqref="C1"/>
    </sheetView>
  </sheetViews>
  <sheetFormatPr baseColWidth="10" defaultColWidth="11" defaultRowHeight="16" x14ac:dyDescent="0.2"/>
  <cols>
    <col min="1" max="1" width="27.5" bestFit="1" customWidth="1"/>
    <col min="2" max="2" width="0" hidden="1"/>
    <col min="3" max="6" width="10.1640625" bestFit="1" customWidth="1"/>
    <col min="7" max="7" width="13" customWidth="1"/>
    <col min="8" max="8" width="12.1640625" customWidth="1"/>
  </cols>
  <sheetData>
    <row r="1" spans="1:12" x14ac:dyDescent="0.2">
      <c r="B1" s="46" t="s">
        <v>0</v>
      </c>
      <c r="C1" s="46" t="s">
        <v>1</v>
      </c>
      <c r="D1" s="46" t="s">
        <v>2</v>
      </c>
      <c r="E1" s="81" t="s">
        <v>3</v>
      </c>
      <c r="F1" s="81" t="s">
        <v>4</v>
      </c>
      <c r="G1" s="81" t="s">
        <v>5</v>
      </c>
    </row>
    <row r="2" spans="1:12" x14ac:dyDescent="0.2">
      <c r="A2" t="s">
        <v>21</v>
      </c>
      <c r="B2" s="46"/>
      <c r="C2" s="50">
        <v>14990000</v>
      </c>
      <c r="D2" s="64">
        <v>15990000</v>
      </c>
      <c r="E2" s="39">
        <v>15990000</v>
      </c>
      <c r="F2" s="39">
        <v>14990000</v>
      </c>
      <c r="G2" s="39">
        <v>15990000</v>
      </c>
    </row>
    <row r="3" spans="1:12" x14ac:dyDescent="0.2">
      <c r="A3" t="s">
        <v>181</v>
      </c>
      <c r="B3" s="25"/>
      <c r="C3" s="52">
        <v>18890000</v>
      </c>
      <c r="D3" s="63">
        <v>18890000</v>
      </c>
      <c r="E3" s="39">
        <v>18490000</v>
      </c>
      <c r="F3" s="39">
        <v>18790000</v>
      </c>
      <c r="G3" s="39">
        <v>18590000</v>
      </c>
    </row>
    <row r="4" spans="1:12" x14ac:dyDescent="0.2">
      <c r="A4" t="s">
        <v>24</v>
      </c>
      <c r="B4" s="3"/>
      <c r="C4" s="53">
        <v>21990000</v>
      </c>
      <c r="D4" s="63">
        <v>21990000</v>
      </c>
      <c r="E4" s="39">
        <v>21690000</v>
      </c>
      <c r="F4" s="39">
        <v>21890000</v>
      </c>
      <c r="G4" s="39">
        <v>21690000</v>
      </c>
      <c r="H4" s="43"/>
    </row>
    <row r="5" spans="1:12" x14ac:dyDescent="0.2">
      <c r="A5" t="s">
        <v>182</v>
      </c>
      <c r="B5" s="25"/>
      <c r="C5" s="52">
        <v>25090000</v>
      </c>
      <c r="D5" s="63">
        <v>25090000</v>
      </c>
      <c r="E5" s="39">
        <v>24290000</v>
      </c>
      <c r="F5" s="39">
        <v>24990000</v>
      </c>
      <c r="G5" s="39">
        <v>24590000</v>
      </c>
    </row>
    <row r="6" spans="1:12" x14ac:dyDescent="0.2">
      <c r="A6" t="s">
        <v>183</v>
      </c>
      <c r="B6" s="3"/>
      <c r="C6" s="52">
        <v>30090000</v>
      </c>
      <c r="D6" s="63">
        <v>29990000</v>
      </c>
      <c r="E6" s="39">
        <v>29690000</v>
      </c>
      <c r="F6" s="39">
        <v>29790000</v>
      </c>
      <c r="G6" s="39">
        <v>29550000</v>
      </c>
    </row>
    <row r="7" spans="1:12" x14ac:dyDescent="0.2">
      <c r="A7" t="s">
        <v>25</v>
      </c>
      <c r="B7" s="25"/>
      <c r="C7" s="52">
        <v>15290000</v>
      </c>
      <c r="D7" s="61">
        <v>15290000</v>
      </c>
      <c r="E7" s="25">
        <v>15190000</v>
      </c>
      <c r="F7" s="39">
        <v>15190000</v>
      </c>
      <c r="G7" s="39">
        <v>15090000</v>
      </c>
    </row>
    <row r="8" spans="1:12" x14ac:dyDescent="0.2">
      <c r="A8" t="s">
        <v>26</v>
      </c>
      <c r="B8" s="25"/>
      <c r="C8" s="52">
        <v>18590000</v>
      </c>
      <c r="D8" s="61">
        <v>18590000</v>
      </c>
      <c r="E8" s="25">
        <v>18790000</v>
      </c>
      <c r="F8" s="39">
        <v>18490000</v>
      </c>
      <c r="G8" s="39">
        <v>18490000</v>
      </c>
    </row>
    <row r="9" spans="1:12" x14ac:dyDescent="0.2">
      <c r="A9" t="s">
        <v>158</v>
      </c>
      <c r="B9" s="3"/>
      <c r="C9" s="52">
        <v>26890000</v>
      </c>
      <c r="D9" s="63">
        <v>26990000</v>
      </c>
      <c r="E9" s="39" t="s">
        <v>22</v>
      </c>
      <c r="F9" s="39" t="s">
        <v>22</v>
      </c>
      <c r="G9" s="39">
        <v>26990000</v>
      </c>
    </row>
    <row r="10" spans="1:12" x14ac:dyDescent="0.2">
      <c r="A10" t="s">
        <v>92</v>
      </c>
      <c r="B10" s="3"/>
      <c r="C10" s="51" t="s">
        <v>22</v>
      </c>
      <c r="D10" s="62" t="s">
        <v>22</v>
      </c>
      <c r="E10" s="42" t="s">
        <v>22</v>
      </c>
      <c r="F10" s="42" t="s">
        <v>22</v>
      </c>
      <c r="G10" s="39">
        <v>17490000</v>
      </c>
    </row>
    <row r="11" spans="1:12" x14ac:dyDescent="0.2">
      <c r="A11" t="s">
        <v>27</v>
      </c>
      <c r="B11" s="25"/>
      <c r="C11" s="53">
        <v>12390000</v>
      </c>
      <c r="D11" s="63">
        <v>12690000</v>
      </c>
      <c r="E11" s="39">
        <v>12690000</v>
      </c>
      <c r="F11" s="38">
        <v>12490000</v>
      </c>
      <c r="G11" s="39">
        <v>12190000</v>
      </c>
    </row>
    <row r="12" spans="1:12" x14ac:dyDescent="0.2">
      <c r="A12" t="s">
        <v>28</v>
      </c>
      <c r="B12" s="3"/>
      <c r="C12" s="53">
        <v>11490000</v>
      </c>
      <c r="D12" s="52">
        <v>11490000</v>
      </c>
      <c r="E12" s="39">
        <v>11390000</v>
      </c>
      <c r="F12" s="34">
        <v>11390000</v>
      </c>
      <c r="G12" s="37">
        <v>11190000</v>
      </c>
      <c r="H12">
        <v>-200</v>
      </c>
    </row>
    <row r="13" spans="1:12" x14ac:dyDescent="0.2">
      <c r="A13" t="s">
        <v>29</v>
      </c>
      <c r="B13" s="25"/>
      <c r="C13" s="52">
        <v>11790000</v>
      </c>
      <c r="D13" s="61">
        <v>11790000</v>
      </c>
      <c r="E13" s="25">
        <v>11870000</v>
      </c>
      <c r="F13" s="38">
        <v>11790000</v>
      </c>
      <c r="G13" s="37">
        <v>11590000</v>
      </c>
      <c r="H13">
        <v>200</v>
      </c>
    </row>
    <row r="14" spans="1:12" x14ac:dyDescent="0.2">
      <c r="A14" t="s">
        <v>30</v>
      </c>
      <c r="B14" s="3"/>
      <c r="C14" s="52">
        <v>8790000</v>
      </c>
      <c r="D14" s="63">
        <v>8490000</v>
      </c>
      <c r="E14" s="25">
        <v>8801000</v>
      </c>
      <c r="F14" s="38">
        <v>8690000</v>
      </c>
      <c r="G14" s="39">
        <v>8590000</v>
      </c>
      <c r="H14" s="26"/>
      <c r="J14" t="s">
        <v>31</v>
      </c>
      <c r="K14" t="s">
        <v>38</v>
      </c>
      <c r="L14" t="b">
        <v>1</v>
      </c>
    </row>
    <row r="15" spans="1:12" x14ac:dyDescent="0.2">
      <c r="A15" t="s">
        <v>33</v>
      </c>
      <c r="B15" s="3"/>
      <c r="C15" s="53">
        <v>14690000</v>
      </c>
      <c r="D15" s="63">
        <v>14490000</v>
      </c>
      <c r="E15" s="25">
        <v>14543000</v>
      </c>
      <c r="F15" s="38">
        <v>14590000</v>
      </c>
      <c r="G15" s="39">
        <v>14590000</v>
      </c>
      <c r="J15" t="s">
        <v>2</v>
      </c>
      <c r="K15" t="s">
        <v>198</v>
      </c>
      <c r="L15" t="b">
        <v>1</v>
      </c>
    </row>
    <row r="16" spans="1:12" x14ac:dyDescent="0.2">
      <c r="A16" t="s">
        <v>37</v>
      </c>
      <c r="B16" s="25"/>
      <c r="C16" s="52">
        <v>20590000</v>
      </c>
      <c r="D16" s="63">
        <v>20590000</v>
      </c>
      <c r="E16" s="25">
        <v>20490000</v>
      </c>
      <c r="F16" s="38">
        <v>20790000</v>
      </c>
      <c r="G16" s="39">
        <v>20690000</v>
      </c>
      <c r="J16" t="s">
        <v>3</v>
      </c>
      <c r="K16" t="s">
        <v>36</v>
      </c>
      <c r="L16" t="b">
        <v>1</v>
      </c>
    </row>
    <row r="17" spans="1:12" x14ac:dyDescent="0.2">
      <c r="A17" t="s">
        <v>184</v>
      </c>
      <c r="B17" s="25"/>
      <c r="C17" s="52">
        <v>25890000</v>
      </c>
      <c r="D17" s="63">
        <v>25990000</v>
      </c>
      <c r="E17" s="25">
        <v>26490000</v>
      </c>
      <c r="F17" s="38">
        <v>25890000</v>
      </c>
      <c r="G17" s="39">
        <v>25890000</v>
      </c>
      <c r="J17" t="s">
        <v>4</v>
      </c>
      <c r="K17" t="s">
        <v>34</v>
      </c>
      <c r="L17" t="b">
        <v>1</v>
      </c>
    </row>
    <row r="18" spans="1:12" x14ac:dyDescent="0.2">
      <c r="A18" t="s">
        <v>185</v>
      </c>
      <c r="B18" s="3"/>
      <c r="C18" s="52">
        <v>33590000</v>
      </c>
      <c r="D18" s="63">
        <v>33590000</v>
      </c>
      <c r="E18" s="25">
        <v>35490000</v>
      </c>
      <c r="F18" s="34">
        <v>33590000</v>
      </c>
      <c r="G18" s="39">
        <v>35990000</v>
      </c>
      <c r="J18" t="s">
        <v>41</v>
      </c>
      <c r="K18" t="s">
        <v>42</v>
      </c>
      <c r="L18" t="b">
        <v>1</v>
      </c>
    </row>
    <row r="19" spans="1:12" x14ac:dyDescent="0.2">
      <c r="A19" t="s">
        <v>227</v>
      </c>
      <c r="B19" s="25"/>
      <c r="C19" s="52">
        <v>5190000</v>
      </c>
      <c r="D19" s="63">
        <v>5190000</v>
      </c>
      <c r="E19" s="25">
        <v>4940000</v>
      </c>
      <c r="F19" s="38">
        <v>4990000</v>
      </c>
      <c r="G19" s="4">
        <v>5090000</v>
      </c>
    </row>
    <row r="20" spans="1:12" x14ac:dyDescent="0.2">
      <c r="A20" t="s">
        <v>228</v>
      </c>
      <c r="B20" s="25"/>
      <c r="C20" s="52">
        <v>6990000</v>
      </c>
      <c r="D20" s="63">
        <v>6990000</v>
      </c>
      <c r="E20" s="25">
        <v>6920000</v>
      </c>
      <c r="F20" s="38">
        <v>6990000</v>
      </c>
      <c r="G20" s="39">
        <v>6590000</v>
      </c>
    </row>
    <row r="21" spans="1:12" x14ac:dyDescent="0.2">
      <c r="A21" t="s">
        <v>229</v>
      </c>
      <c r="B21" s="25"/>
      <c r="C21" s="52">
        <v>5790000</v>
      </c>
      <c r="D21" s="63">
        <v>5790000</v>
      </c>
      <c r="E21" s="25">
        <v>5732000</v>
      </c>
      <c r="F21" s="38">
        <v>5790000</v>
      </c>
      <c r="G21" s="39">
        <v>5890000</v>
      </c>
    </row>
    <row r="22" spans="1:12" x14ac:dyDescent="0.2">
      <c r="A22" t="s">
        <v>230</v>
      </c>
      <c r="B22" s="25"/>
      <c r="C22" s="51" t="s">
        <v>22</v>
      </c>
      <c r="D22" s="63">
        <v>7790000</v>
      </c>
      <c r="E22" s="25">
        <v>7712000</v>
      </c>
      <c r="F22" s="38">
        <v>7790000</v>
      </c>
      <c r="G22" s="39">
        <v>7690000</v>
      </c>
    </row>
    <row r="23" spans="1:12" x14ac:dyDescent="0.2">
      <c r="A23" t="s">
        <v>213</v>
      </c>
      <c r="B23" s="25"/>
      <c r="C23" s="52">
        <v>8390000</v>
      </c>
      <c r="D23" s="63">
        <v>8390000</v>
      </c>
      <c r="E23" s="25">
        <v>8207000</v>
      </c>
      <c r="F23" s="34">
        <v>8490000</v>
      </c>
      <c r="G23" s="39">
        <v>8390000</v>
      </c>
      <c r="H23" s="26"/>
    </row>
    <row r="24" spans="1:12" x14ac:dyDescent="0.2">
      <c r="A24" t="s">
        <v>214</v>
      </c>
      <c r="B24" s="25"/>
      <c r="C24" s="63" t="s">
        <v>22</v>
      </c>
      <c r="D24" s="63">
        <v>12790000</v>
      </c>
      <c r="E24" s="25">
        <v>12860000</v>
      </c>
      <c r="F24" s="38">
        <v>12990000</v>
      </c>
      <c r="G24" s="39">
        <v>12890000</v>
      </c>
    </row>
    <row r="25" spans="1:12" x14ac:dyDescent="0.2">
      <c r="A25" t="s">
        <v>215</v>
      </c>
      <c r="B25" s="25"/>
      <c r="C25" s="52">
        <v>9190000</v>
      </c>
      <c r="D25" s="63">
        <v>9190000</v>
      </c>
      <c r="E25" s="25">
        <v>8900000</v>
      </c>
      <c r="F25" s="38">
        <v>9190000</v>
      </c>
      <c r="G25" s="39">
        <v>8990000</v>
      </c>
      <c r="H25" s="26"/>
      <c r="I25" s="26"/>
    </row>
    <row r="26" spans="1:12" x14ac:dyDescent="0.2">
      <c r="A26" t="s">
        <v>217</v>
      </c>
      <c r="B26" s="3"/>
      <c r="C26" s="52">
        <v>13890000</v>
      </c>
      <c r="D26" s="63">
        <v>13690000</v>
      </c>
      <c r="E26" s="25">
        <v>13553000</v>
      </c>
      <c r="F26" s="38">
        <v>13890000</v>
      </c>
      <c r="G26" s="39">
        <v>13590000</v>
      </c>
    </row>
    <row r="27" spans="1:12" x14ac:dyDescent="0.2">
      <c r="A27" t="s">
        <v>172</v>
      </c>
      <c r="B27" s="25"/>
      <c r="C27" s="52">
        <v>21890000</v>
      </c>
      <c r="D27" s="63">
        <v>21890000</v>
      </c>
      <c r="E27" s="25">
        <v>21790000</v>
      </c>
      <c r="F27" s="37">
        <v>21990000</v>
      </c>
      <c r="G27" s="39">
        <v>22990000</v>
      </c>
    </row>
    <row r="28" spans="1:12" x14ac:dyDescent="0.2">
      <c r="A28" t="s">
        <v>53</v>
      </c>
      <c r="B28" s="3"/>
      <c r="C28" s="52">
        <v>5390000</v>
      </c>
      <c r="D28" s="63">
        <v>5350000</v>
      </c>
      <c r="E28" s="25">
        <v>5039000</v>
      </c>
      <c r="F28" s="39">
        <v>5290000</v>
      </c>
      <c r="G28" s="39">
        <v>5390000</v>
      </c>
    </row>
    <row r="29" spans="1:12" x14ac:dyDescent="0.2">
      <c r="A29" t="s">
        <v>54</v>
      </c>
      <c r="B29" s="3"/>
      <c r="C29" s="52">
        <v>4490000</v>
      </c>
      <c r="D29" s="63">
        <v>4350000</v>
      </c>
      <c r="E29" s="25">
        <v>4247000</v>
      </c>
      <c r="F29" s="39">
        <v>4390000</v>
      </c>
      <c r="G29" s="39">
        <v>4190000</v>
      </c>
    </row>
    <row r="30" spans="1:12" x14ac:dyDescent="0.2">
      <c r="A30" t="s">
        <v>55</v>
      </c>
      <c r="B30" s="3"/>
      <c r="C30" s="53">
        <v>3190000</v>
      </c>
      <c r="D30" s="63">
        <v>3050000</v>
      </c>
      <c r="E30" s="25">
        <v>2890000</v>
      </c>
      <c r="F30" s="39">
        <v>2990000</v>
      </c>
      <c r="G30" s="39">
        <v>2890000</v>
      </c>
    </row>
    <row r="31" spans="1:12" x14ac:dyDescent="0.2">
      <c r="A31" t="s">
        <v>175</v>
      </c>
      <c r="B31" s="3"/>
      <c r="C31" s="53">
        <v>17190000</v>
      </c>
      <c r="D31" s="63" t="s">
        <v>22</v>
      </c>
      <c r="E31" s="36"/>
      <c r="F31" s="38">
        <v>17190000</v>
      </c>
      <c r="G31" s="39">
        <v>16890000</v>
      </c>
    </row>
    <row r="32" spans="1:12" x14ac:dyDescent="0.2">
      <c r="A32" t="s">
        <v>186</v>
      </c>
      <c r="B32" s="25"/>
      <c r="C32" s="52">
        <v>19590000</v>
      </c>
      <c r="D32" s="63">
        <v>19590000</v>
      </c>
      <c r="E32" s="36"/>
      <c r="F32" s="38">
        <v>19590000</v>
      </c>
      <c r="G32" s="39">
        <v>19490000</v>
      </c>
    </row>
    <row r="33" spans="1:7" x14ac:dyDescent="0.2">
      <c r="A33" t="s">
        <v>232</v>
      </c>
      <c r="B33" s="3"/>
      <c r="C33" s="51" t="s">
        <v>22</v>
      </c>
      <c r="D33" s="63">
        <v>23990000</v>
      </c>
      <c r="E33" s="36"/>
      <c r="F33" s="38" t="s">
        <v>22</v>
      </c>
      <c r="G33" s="39">
        <v>25290000</v>
      </c>
    </row>
    <row r="34" spans="1:7" x14ac:dyDescent="0.2">
      <c r="A34" t="s">
        <v>59</v>
      </c>
      <c r="B34" s="3"/>
      <c r="C34" s="52">
        <v>24290000</v>
      </c>
      <c r="D34" s="63">
        <v>24290000</v>
      </c>
      <c r="E34" s="36"/>
      <c r="F34" s="38">
        <v>24290000</v>
      </c>
      <c r="G34" s="39">
        <v>24290000</v>
      </c>
    </row>
    <row r="35" spans="1:7" x14ac:dyDescent="0.2">
      <c r="A35" t="s">
        <v>61</v>
      </c>
      <c r="B35" s="25"/>
      <c r="C35" s="63">
        <v>29490000</v>
      </c>
      <c r="D35" s="63">
        <v>29490000</v>
      </c>
      <c r="E35" s="36"/>
      <c r="F35" s="34">
        <v>29490000</v>
      </c>
      <c r="G35" s="39">
        <v>29490000</v>
      </c>
    </row>
    <row r="36" spans="1:7" x14ac:dyDescent="0.2">
      <c r="A36" t="s">
        <v>187</v>
      </c>
      <c r="B36" s="25"/>
      <c r="C36" s="52">
        <v>38290000</v>
      </c>
      <c r="D36" s="63">
        <v>38190000</v>
      </c>
      <c r="E36" s="36"/>
      <c r="F36" s="39">
        <v>37590000</v>
      </c>
      <c r="G36" s="39">
        <v>38290000</v>
      </c>
    </row>
    <row r="37" spans="1:7" x14ac:dyDescent="0.2">
      <c r="C37" s="59"/>
      <c r="D37" s="59"/>
    </row>
    <row r="38" spans="1:7" x14ac:dyDescent="0.2">
      <c r="C38" s="59"/>
      <c r="D38" s="59"/>
    </row>
    <row r="39" spans="1:7" x14ac:dyDescent="0.2">
      <c r="C39" s="59"/>
      <c r="D39" s="59"/>
    </row>
    <row r="40" spans="1:7" x14ac:dyDescent="0.2">
      <c r="C40" s="59"/>
      <c r="D40" s="59"/>
    </row>
    <row r="41" spans="1:7" x14ac:dyDescent="0.2">
      <c r="C41" s="59"/>
      <c r="D41" s="59"/>
    </row>
    <row r="42" spans="1:7" x14ac:dyDescent="0.2">
      <c r="C42" s="59"/>
      <c r="D42" s="59"/>
    </row>
    <row r="43" spans="1:7" x14ac:dyDescent="0.2">
      <c r="C43" s="59"/>
      <c r="D43" s="59"/>
    </row>
    <row r="44" spans="1:7" x14ac:dyDescent="0.2">
      <c r="C44" s="59"/>
      <c r="D44" s="59"/>
    </row>
    <row r="45" spans="1:7" x14ac:dyDescent="0.2">
      <c r="C45" s="59"/>
      <c r="D45" s="59"/>
    </row>
    <row r="46" spans="1:7" x14ac:dyDescent="0.2">
      <c r="C46" s="59"/>
      <c r="D46" s="59"/>
    </row>
    <row r="47" spans="1:7" x14ac:dyDescent="0.2">
      <c r="C47" s="59"/>
      <c r="D47" s="59"/>
    </row>
    <row r="48" spans="1:7" x14ac:dyDescent="0.2">
      <c r="C48" s="59"/>
      <c r="D48" s="59"/>
    </row>
    <row r="49" spans="3:4" x14ac:dyDescent="0.2">
      <c r="C49" s="59"/>
      <c r="D49" s="59"/>
    </row>
    <row r="50" spans="3:4" x14ac:dyDescent="0.2">
      <c r="C50" s="59"/>
      <c r="D50" s="59"/>
    </row>
    <row r="51" spans="3:4" x14ac:dyDescent="0.2">
      <c r="C51" s="59"/>
      <c r="D51" s="59"/>
    </row>
    <row r="52" spans="3:4" x14ac:dyDescent="0.2">
      <c r="C52" s="59"/>
      <c r="D52" s="59"/>
    </row>
    <row r="53" spans="3:4" x14ac:dyDescent="0.2">
      <c r="C53" s="59"/>
      <c r="D53" s="59"/>
    </row>
    <row r="54" spans="3:4" x14ac:dyDescent="0.2">
      <c r="C54" s="59"/>
      <c r="D54" s="59"/>
    </row>
    <row r="55" spans="3:4" x14ac:dyDescent="0.2">
      <c r="C55" s="59"/>
      <c r="D55" s="59"/>
    </row>
    <row r="56" spans="3:4" x14ac:dyDescent="0.2">
      <c r="C56" s="59"/>
      <c r="D56" s="59"/>
    </row>
    <row r="57" spans="3:4" x14ac:dyDescent="0.2">
      <c r="C57" s="59"/>
      <c r="D57" s="59"/>
    </row>
    <row r="58" spans="3:4" x14ac:dyDescent="0.2">
      <c r="C58" s="59"/>
      <c r="D58" s="59"/>
    </row>
    <row r="59" spans="3:4" x14ac:dyDescent="0.2">
      <c r="C59" s="59"/>
      <c r="D59" s="59"/>
    </row>
    <row r="60" spans="3:4" x14ac:dyDescent="0.2">
      <c r="C60" s="59"/>
      <c r="D60" s="59"/>
    </row>
    <row r="61" spans="3:4" x14ac:dyDescent="0.2">
      <c r="C61" s="59"/>
      <c r="D61" s="59"/>
    </row>
    <row r="62" spans="3:4" x14ac:dyDescent="0.2">
      <c r="C62" s="59"/>
      <c r="D62" s="59"/>
    </row>
    <row r="63" spans="3:4" x14ac:dyDescent="0.2">
      <c r="C63" s="59"/>
      <c r="D63" s="59"/>
    </row>
    <row r="64" spans="3:4" x14ac:dyDescent="0.2">
      <c r="C64" s="59"/>
      <c r="D64" s="59"/>
    </row>
    <row r="65" spans="3:4" x14ac:dyDescent="0.2">
      <c r="C65" s="59"/>
      <c r="D65" s="59"/>
    </row>
    <row r="66" spans="3:4" x14ac:dyDescent="0.2">
      <c r="C66" s="59"/>
      <c r="D66" s="59"/>
    </row>
    <row r="67" spans="3:4" x14ac:dyDescent="0.2">
      <c r="C67" s="59"/>
      <c r="D67" s="59"/>
    </row>
    <row r="68" spans="3:4" x14ac:dyDescent="0.2">
      <c r="C68" s="59"/>
      <c r="D68" s="59"/>
    </row>
    <row r="69" spans="3:4" x14ac:dyDescent="0.2">
      <c r="C69" s="59"/>
      <c r="D69" s="59"/>
    </row>
    <row r="70" spans="3:4" x14ac:dyDescent="0.2">
      <c r="C70" s="59"/>
      <c r="D70" s="59"/>
    </row>
    <row r="71" spans="3:4" x14ac:dyDescent="0.2">
      <c r="C71" s="59"/>
      <c r="D71" s="59"/>
    </row>
    <row r="72" spans="3:4" x14ac:dyDescent="0.2">
      <c r="C72" s="59"/>
      <c r="D72" s="59"/>
    </row>
    <row r="73" spans="3:4" x14ac:dyDescent="0.2">
      <c r="C73" s="59"/>
      <c r="D73" s="59"/>
    </row>
    <row r="74" spans="3:4" x14ac:dyDescent="0.2">
      <c r="C74" s="59"/>
      <c r="D74" s="59"/>
    </row>
    <row r="75" spans="3:4" x14ac:dyDescent="0.2">
      <c r="C75" s="59"/>
      <c r="D75" s="59"/>
    </row>
    <row r="76" spans="3:4" x14ac:dyDescent="0.2">
      <c r="C76" s="59"/>
      <c r="D76" s="59"/>
    </row>
    <row r="77" spans="3:4" x14ac:dyDescent="0.2">
      <c r="C77" s="59"/>
      <c r="D77" s="59"/>
    </row>
    <row r="78" spans="3:4" x14ac:dyDescent="0.2">
      <c r="C78" s="59"/>
      <c r="D78" s="59"/>
    </row>
    <row r="79" spans="3:4" x14ac:dyDescent="0.2">
      <c r="C79" s="59"/>
      <c r="D79" s="59"/>
    </row>
    <row r="80" spans="3:4" x14ac:dyDescent="0.2">
      <c r="C80" s="59"/>
      <c r="D80" s="59"/>
    </row>
    <row r="81" spans="3:4" x14ac:dyDescent="0.2">
      <c r="C81" s="59"/>
      <c r="D81" s="59"/>
    </row>
    <row r="82" spans="3:4" x14ac:dyDescent="0.2">
      <c r="C82" s="59"/>
      <c r="D82" s="59"/>
    </row>
    <row r="83" spans="3:4" x14ac:dyDescent="0.2">
      <c r="C83" s="59"/>
      <c r="D83" s="59"/>
    </row>
    <row r="84" spans="3:4" x14ac:dyDescent="0.2">
      <c r="C84" s="59"/>
      <c r="D84" s="59"/>
    </row>
    <row r="85" spans="3:4" x14ac:dyDescent="0.2">
      <c r="C85" s="59"/>
      <c r="D85" s="59"/>
    </row>
    <row r="86" spans="3:4" x14ac:dyDescent="0.2">
      <c r="C86" s="59"/>
      <c r="D86" s="59"/>
    </row>
    <row r="87" spans="3:4" x14ac:dyDescent="0.2">
      <c r="C87" s="59"/>
      <c r="D87" s="59"/>
    </row>
    <row r="88" spans="3:4" x14ac:dyDescent="0.2">
      <c r="C88" s="59"/>
      <c r="D88" s="59"/>
    </row>
    <row r="89" spans="3:4" x14ac:dyDescent="0.2">
      <c r="C89" s="59"/>
      <c r="D89" s="59"/>
    </row>
    <row r="90" spans="3:4" x14ac:dyDescent="0.2">
      <c r="C90" s="59"/>
      <c r="D90" s="59"/>
    </row>
    <row r="91" spans="3:4" x14ac:dyDescent="0.2">
      <c r="C91" s="59"/>
      <c r="D91" s="59"/>
    </row>
    <row r="92" spans="3:4" x14ac:dyDescent="0.2">
      <c r="C92" s="59"/>
      <c r="D92" s="59"/>
    </row>
    <row r="93" spans="3:4" x14ac:dyDescent="0.2">
      <c r="C93" s="59"/>
      <c r="D93" s="59"/>
    </row>
    <row r="94" spans="3:4" x14ac:dyDescent="0.2">
      <c r="C94" s="59"/>
      <c r="D94" s="59"/>
    </row>
    <row r="95" spans="3:4" x14ac:dyDescent="0.2">
      <c r="C95" s="59"/>
      <c r="D95" s="59"/>
    </row>
    <row r="96" spans="3:4" x14ac:dyDescent="0.2">
      <c r="C96" s="59"/>
      <c r="D96" s="59"/>
    </row>
    <row r="97" spans="3:4" x14ac:dyDescent="0.2">
      <c r="C97" s="59"/>
      <c r="D97" s="59"/>
    </row>
    <row r="98" spans="3:4" x14ac:dyDescent="0.2">
      <c r="C98" s="59"/>
      <c r="D98" s="59"/>
    </row>
    <row r="99" spans="3:4" x14ac:dyDescent="0.2">
      <c r="C99" s="59"/>
      <c r="D99" s="59"/>
    </row>
    <row r="100" spans="3:4" x14ac:dyDescent="0.2">
      <c r="C100" s="59"/>
      <c r="D100" s="59"/>
    </row>
    <row r="101" spans="3:4" x14ac:dyDescent="0.2">
      <c r="C101" s="59"/>
      <c r="D101" s="59"/>
    </row>
    <row r="102" spans="3:4" x14ac:dyDescent="0.2">
      <c r="C102" s="59"/>
      <c r="D102" s="59"/>
    </row>
    <row r="103" spans="3:4" x14ac:dyDescent="0.2">
      <c r="C103" s="59"/>
      <c r="D103" s="59"/>
    </row>
    <row r="104" spans="3:4" x14ac:dyDescent="0.2">
      <c r="C104" s="59"/>
      <c r="D104" s="59"/>
    </row>
    <row r="105" spans="3:4" x14ac:dyDescent="0.2">
      <c r="C105" s="59"/>
      <c r="D105" s="59"/>
    </row>
    <row r="106" spans="3:4" x14ac:dyDescent="0.2">
      <c r="C106" s="59"/>
      <c r="D106" s="59"/>
    </row>
    <row r="107" spans="3:4" x14ac:dyDescent="0.2">
      <c r="C107" s="59"/>
      <c r="D107" s="59"/>
    </row>
    <row r="108" spans="3:4" x14ac:dyDescent="0.2">
      <c r="C108" s="59"/>
      <c r="D108" s="59"/>
    </row>
    <row r="109" spans="3:4" x14ac:dyDescent="0.2">
      <c r="C109" s="59"/>
      <c r="D109" s="59"/>
    </row>
    <row r="110" spans="3:4" x14ac:dyDescent="0.2">
      <c r="C110" s="59"/>
      <c r="D110" s="59"/>
    </row>
    <row r="111" spans="3:4" x14ac:dyDescent="0.2">
      <c r="C111" s="59"/>
      <c r="D111" s="59"/>
    </row>
    <row r="112" spans="3:4" x14ac:dyDescent="0.2">
      <c r="C112" s="59"/>
      <c r="D112" s="59"/>
    </row>
    <row r="113" spans="3:4" x14ac:dyDescent="0.2">
      <c r="C113" s="59"/>
      <c r="D113" s="59"/>
    </row>
    <row r="114" spans="3:4" x14ac:dyDescent="0.2">
      <c r="C114" s="59"/>
      <c r="D114" s="59"/>
    </row>
    <row r="115" spans="3:4" x14ac:dyDescent="0.2">
      <c r="C115" s="59"/>
      <c r="D115" s="59"/>
    </row>
    <row r="116" spans="3:4" x14ac:dyDescent="0.2">
      <c r="C116" s="59"/>
      <c r="D116" s="59"/>
    </row>
    <row r="117" spans="3:4" x14ac:dyDescent="0.2">
      <c r="C117" s="59"/>
      <c r="D117" s="59"/>
    </row>
    <row r="118" spans="3:4" x14ac:dyDescent="0.2">
      <c r="C118" s="59"/>
      <c r="D118" s="59"/>
    </row>
    <row r="119" spans="3:4" x14ac:dyDescent="0.2">
      <c r="C119" s="59"/>
      <c r="D119" s="59"/>
    </row>
    <row r="120" spans="3:4" x14ac:dyDescent="0.2">
      <c r="C120" s="59"/>
      <c r="D120" s="59"/>
    </row>
    <row r="121" spans="3:4" x14ac:dyDescent="0.2">
      <c r="C121" s="59"/>
      <c r="D121" s="59"/>
    </row>
    <row r="122" spans="3:4" x14ac:dyDescent="0.2">
      <c r="C122" s="59"/>
      <c r="D122" s="59"/>
    </row>
    <row r="123" spans="3:4" x14ac:dyDescent="0.2">
      <c r="C123" s="59"/>
      <c r="D123" s="59"/>
    </row>
    <row r="124" spans="3:4" x14ac:dyDescent="0.2">
      <c r="C124" s="59"/>
      <c r="D124" s="59"/>
    </row>
    <row r="125" spans="3:4" x14ac:dyDescent="0.2">
      <c r="C125" s="59"/>
      <c r="D125" s="59"/>
    </row>
    <row r="126" spans="3:4" x14ac:dyDescent="0.2">
      <c r="C126" s="59"/>
      <c r="D126" s="59"/>
    </row>
    <row r="127" spans="3:4" x14ac:dyDescent="0.2">
      <c r="C127" s="59"/>
      <c r="D127" s="59"/>
    </row>
    <row r="128" spans="3:4" x14ac:dyDescent="0.2">
      <c r="C128" s="59"/>
      <c r="D128" s="59"/>
    </row>
    <row r="129" spans="3:4" x14ac:dyDescent="0.2">
      <c r="C129" s="59"/>
      <c r="D129" s="59"/>
    </row>
    <row r="130" spans="3:4" x14ac:dyDescent="0.2">
      <c r="C130" s="59"/>
      <c r="D130" s="59"/>
    </row>
    <row r="131" spans="3:4" x14ac:dyDescent="0.2">
      <c r="C131" s="59"/>
      <c r="D131" s="59"/>
    </row>
    <row r="132" spans="3:4" x14ac:dyDescent="0.2">
      <c r="C132" s="59"/>
      <c r="D132" s="59"/>
    </row>
    <row r="133" spans="3:4" x14ac:dyDescent="0.2">
      <c r="C133" s="59"/>
      <c r="D133" s="59"/>
    </row>
    <row r="134" spans="3:4" x14ac:dyDescent="0.2">
      <c r="C134" s="59"/>
      <c r="D134" s="59"/>
    </row>
    <row r="135" spans="3:4" x14ac:dyDescent="0.2">
      <c r="C135" s="59"/>
      <c r="D135" s="59"/>
    </row>
    <row r="136" spans="3:4" x14ac:dyDescent="0.2">
      <c r="C136" s="59"/>
      <c r="D136" s="59"/>
    </row>
    <row r="137" spans="3:4" x14ac:dyDescent="0.2">
      <c r="C137" s="59"/>
      <c r="D137" s="59"/>
    </row>
    <row r="138" spans="3:4" x14ac:dyDescent="0.2">
      <c r="C138" s="59"/>
      <c r="D138" s="59"/>
    </row>
    <row r="139" spans="3:4" x14ac:dyDescent="0.2">
      <c r="C139" s="59"/>
      <c r="D139" s="59"/>
    </row>
    <row r="140" spans="3:4" x14ac:dyDescent="0.2">
      <c r="C140" s="59"/>
      <c r="D140" s="59"/>
    </row>
    <row r="141" spans="3:4" x14ac:dyDescent="0.2">
      <c r="C141" s="59"/>
      <c r="D141" s="59"/>
    </row>
    <row r="142" spans="3:4" x14ac:dyDescent="0.2">
      <c r="C142" s="59"/>
      <c r="D142" s="59"/>
    </row>
    <row r="143" spans="3:4" x14ac:dyDescent="0.2">
      <c r="C143" s="59"/>
      <c r="D143" s="59"/>
    </row>
    <row r="144" spans="3:4" x14ac:dyDescent="0.2">
      <c r="C144" s="59"/>
      <c r="D144" s="59"/>
    </row>
    <row r="145" spans="3:4" x14ac:dyDescent="0.2">
      <c r="C145" s="59"/>
      <c r="D145" s="59"/>
    </row>
    <row r="146" spans="3:4" x14ac:dyDescent="0.2">
      <c r="C146" s="59"/>
      <c r="D146" s="59"/>
    </row>
    <row r="147" spans="3:4" x14ac:dyDescent="0.2">
      <c r="C147" s="59"/>
      <c r="D147" s="59"/>
    </row>
    <row r="148" spans="3:4" x14ac:dyDescent="0.2">
      <c r="C148" s="59"/>
      <c r="D148" s="59"/>
    </row>
    <row r="149" spans="3:4" x14ac:dyDescent="0.2">
      <c r="C149" s="59"/>
      <c r="D149" s="59"/>
    </row>
    <row r="150" spans="3:4" x14ac:dyDescent="0.2">
      <c r="C150" s="59"/>
      <c r="D150" s="59"/>
    </row>
  </sheetData>
  <pageMargins left="0.7" right="0.7" top="0.75" bottom="0.75" header="0.3" footer="0.3"/>
  <pageSetup paperSize="9" orientation="portrait" horizontalDpi="0" verticalDpi="0"/>
  <legacyDrawing r:id="rId1"/>
</worksheet>
</file>

<file path=xl/worksheets/sheet7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700-000000000000}">
  <dimension ref="A1:L150"/>
  <sheetViews>
    <sheetView zoomScale="91" zoomScaleNormal="130" workbookViewId="0">
      <pane xSplit="2" ySplit="1" topLeftCell="C7" activePane="bottomRight" state="frozen"/>
      <selection pane="topRight" activeCell="C1" sqref="C1"/>
      <selection pane="bottomLeft" activeCell="A2" sqref="A2"/>
      <selection pane="bottomRight" activeCell="C1" sqref="C1"/>
    </sheetView>
  </sheetViews>
  <sheetFormatPr baseColWidth="10" defaultColWidth="11" defaultRowHeight="16" x14ac:dyDescent="0.2"/>
  <cols>
    <col min="1" max="1" width="27.5" bestFit="1" customWidth="1"/>
    <col min="2" max="2" width="0" hidden="1"/>
    <col min="3" max="6" width="10.1640625" bestFit="1" customWidth="1"/>
    <col min="7" max="7" width="13" customWidth="1"/>
    <col min="8" max="8" width="12.1640625" customWidth="1"/>
  </cols>
  <sheetData>
    <row r="1" spans="1:12" x14ac:dyDescent="0.2">
      <c r="B1" s="46" t="s">
        <v>0</v>
      </c>
      <c r="C1" s="46" t="s">
        <v>1</v>
      </c>
      <c r="D1" s="46" t="s">
        <v>2</v>
      </c>
      <c r="E1" s="81" t="s">
        <v>3</v>
      </c>
      <c r="F1" s="81" t="s">
        <v>4</v>
      </c>
      <c r="G1" s="81" t="s">
        <v>5</v>
      </c>
    </row>
    <row r="2" spans="1:12" x14ac:dyDescent="0.2">
      <c r="A2" t="s">
        <v>21</v>
      </c>
      <c r="B2" s="46"/>
      <c r="C2" s="54">
        <v>15990000</v>
      </c>
      <c r="D2" s="64">
        <v>15990000</v>
      </c>
      <c r="E2" s="39">
        <v>15990000</v>
      </c>
      <c r="F2" s="39">
        <v>14990000</v>
      </c>
      <c r="G2" s="37">
        <v>15890000</v>
      </c>
      <c r="H2" s="65"/>
    </row>
    <row r="3" spans="1:12" x14ac:dyDescent="0.2">
      <c r="A3" t="s">
        <v>181</v>
      </c>
      <c r="B3" s="25"/>
      <c r="C3" s="52">
        <v>18890000</v>
      </c>
      <c r="D3" s="63">
        <v>18890000</v>
      </c>
      <c r="E3" s="39">
        <v>18490000</v>
      </c>
      <c r="F3" s="39">
        <v>18790000</v>
      </c>
      <c r="G3" s="39">
        <v>18590000</v>
      </c>
    </row>
    <row r="4" spans="1:12" x14ac:dyDescent="0.2">
      <c r="A4" t="s">
        <v>24</v>
      </c>
      <c r="B4" s="3"/>
      <c r="C4" s="52">
        <v>21990000</v>
      </c>
      <c r="D4" s="63">
        <v>21990000</v>
      </c>
      <c r="E4" s="39">
        <v>21690000</v>
      </c>
      <c r="F4" s="39">
        <v>21890000</v>
      </c>
      <c r="G4" s="39">
        <v>21690000</v>
      </c>
      <c r="H4" s="43"/>
    </row>
    <row r="5" spans="1:12" x14ac:dyDescent="0.2">
      <c r="A5" t="s">
        <v>182</v>
      </c>
      <c r="B5" s="25"/>
      <c r="C5" s="53">
        <v>24990000</v>
      </c>
      <c r="D5" s="63">
        <v>25090000</v>
      </c>
      <c r="E5" s="39">
        <v>24290000</v>
      </c>
      <c r="F5" s="39">
        <v>24990000</v>
      </c>
      <c r="G5" s="39">
        <v>24590000</v>
      </c>
    </row>
    <row r="6" spans="1:12" x14ac:dyDescent="0.2">
      <c r="A6" t="s">
        <v>183</v>
      </c>
      <c r="B6" s="3"/>
      <c r="C6" s="52">
        <v>30090000</v>
      </c>
      <c r="D6" s="63">
        <v>29990000</v>
      </c>
      <c r="E6" s="39">
        <v>29690000</v>
      </c>
      <c r="F6" s="39">
        <v>29790000</v>
      </c>
      <c r="G6" s="39">
        <v>29550000</v>
      </c>
    </row>
    <row r="7" spans="1:12" x14ac:dyDescent="0.2">
      <c r="A7" t="s">
        <v>25</v>
      </c>
      <c r="B7" s="25"/>
      <c r="C7" s="52">
        <v>15290000</v>
      </c>
      <c r="D7" s="63">
        <v>15290000</v>
      </c>
      <c r="E7" s="25">
        <v>15190000</v>
      </c>
      <c r="F7" s="39">
        <v>15190000</v>
      </c>
      <c r="G7" s="39">
        <v>15090000</v>
      </c>
    </row>
    <row r="8" spans="1:12" x14ac:dyDescent="0.2">
      <c r="A8" t="s">
        <v>26</v>
      </c>
      <c r="B8" s="25"/>
      <c r="C8" s="53">
        <v>18790000</v>
      </c>
      <c r="D8" s="63">
        <v>18590000</v>
      </c>
      <c r="E8" s="25">
        <v>18790000</v>
      </c>
      <c r="F8" s="39">
        <v>18490000</v>
      </c>
      <c r="G8" s="39">
        <v>18490000</v>
      </c>
    </row>
    <row r="9" spans="1:12" x14ac:dyDescent="0.2">
      <c r="A9" t="s">
        <v>158</v>
      </c>
      <c r="B9" s="3"/>
      <c r="C9" s="53">
        <v>29390000</v>
      </c>
      <c r="D9" s="63">
        <v>26990000</v>
      </c>
      <c r="E9" s="39" t="s">
        <v>22</v>
      </c>
      <c r="F9" s="39" t="s">
        <v>22</v>
      </c>
      <c r="G9" s="39">
        <v>26990000</v>
      </c>
    </row>
    <row r="10" spans="1:12" x14ac:dyDescent="0.2">
      <c r="A10" t="s">
        <v>92</v>
      </c>
      <c r="B10" s="3"/>
      <c r="C10" s="51" t="s">
        <v>22</v>
      </c>
      <c r="D10" s="62" t="s">
        <v>22</v>
      </c>
      <c r="E10" s="42" t="s">
        <v>22</v>
      </c>
      <c r="F10" s="42" t="s">
        <v>22</v>
      </c>
      <c r="G10" s="39">
        <v>17490000</v>
      </c>
    </row>
    <row r="11" spans="1:12" x14ac:dyDescent="0.2">
      <c r="A11" t="s">
        <v>27</v>
      </c>
      <c r="B11" s="25"/>
      <c r="C11" s="52">
        <v>12390000</v>
      </c>
      <c r="D11" s="63">
        <v>12690000</v>
      </c>
      <c r="E11" s="61">
        <v>12290000</v>
      </c>
      <c r="F11" s="38">
        <v>12290000</v>
      </c>
      <c r="G11" s="39">
        <v>12190000</v>
      </c>
    </row>
    <row r="12" spans="1:12" x14ac:dyDescent="0.2">
      <c r="A12" t="s">
        <v>28</v>
      </c>
      <c r="B12" s="3"/>
      <c r="C12" s="53">
        <v>11590000</v>
      </c>
      <c r="D12" s="52">
        <v>11490000</v>
      </c>
      <c r="E12" s="39">
        <v>11390000</v>
      </c>
      <c r="F12" s="38">
        <v>11390000</v>
      </c>
      <c r="G12" s="39">
        <v>11190000</v>
      </c>
    </row>
    <row r="13" spans="1:12" x14ac:dyDescent="0.2">
      <c r="A13" t="s">
        <v>29</v>
      </c>
      <c r="B13" s="25"/>
      <c r="C13" s="52">
        <v>11790000</v>
      </c>
      <c r="D13" s="63">
        <v>11790000</v>
      </c>
      <c r="E13" s="61">
        <v>11276000</v>
      </c>
      <c r="F13" s="38">
        <v>11790000</v>
      </c>
      <c r="G13" s="39">
        <v>11590000</v>
      </c>
    </row>
    <row r="14" spans="1:12" x14ac:dyDescent="0.2">
      <c r="A14" t="s">
        <v>30</v>
      </c>
      <c r="B14" s="3"/>
      <c r="C14" s="52">
        <v>8790000</v>
      </c>
      <c r="D14" s="63">
        <v>8490000</v>
      </c>
      <c r="E14" s="61">
        <v>8603000</v>
      </c>
      <c r="F14" s="38">
        <v>8690000</v>
      </c>
      <c r="G14" s="39">
        <v>8590000</v>
      </c>
      <c r="H14" s="26"/>
      <c r="J14" t="s">
        <v>31</v>
      </c>
      <c r="K14" t="s">
        <v>38</v>
      </c>
      <c r="L14" t="b">
        <v>1</v>
      </c>
    </row>
    <row r="15" spans="1:12" x14ac:dyDescent="0.2">
      <c r="A15" t="s">
        <v>33</v>
      </c>
      <c r="B15" s="3"/>
      <c r="C15" s="52">
        <v>14690000</v>
      </c>
      <c r="D15" s="63">
        <v>14490000</v>
      </c>
      <c r="E15" s="61">
        <v>14048000</v>
      </c>
      <c r="F15" s="38">
        <v>14590000</v>
      </c>
      <c r="G15" s="37">
        <v>14490000</v>
      </c>
      <c r="J15" t="s">
        <v>2</v>
      </c>
      <c r="K15" t="s">
        <v>198</v>
      </c>
      <c r="L15" t="b">
        <v>1</v>
      </c>
    </row>
    <row r="16" spans="1:12" x14ac:dyDescent="0.2">
      <c r="A16" t="s">
        <v>37</v>
      </c>
      <c r="B16" s="25"/>
      <c r="C16" s="53">
        <v>20790000</v>
      </c>
      <c r="D16" s="63">
        <v>20590000</v>
      </c>
      <c r="E16" s="25">
        <v>20490000</v>
      </c>
      <c r="F16" s="34">
        <v>19990000</v>
      </c>
      <c r="G16" s="37">
        <v>19990000</v>
      </c>
      <c r="J16" t="s">
        <v>3</v>
      </c>
      <c r="K16" t="s">
        <v>36</v>
      </c>
      <c r="L16" t="b">
        <v>1</v>
      </c>
    </row>
    <row r="17" spans="1:12" x14ac:dyDescent="0.2">
      <c r="A17" t="s">
        <v>184</v>
      </c>
      <c r="B17" s="25"/>
      <c r="C17" s="53">
        <v>25990000</v>
      </c>
      <c r="D17" s="63">
        <v>25990000</v>
      </c>
      <c r="E17" s="61">
        <v>26290000</v>
      </c>
      <c r="F17" s="38">
        <v>25890000</v>
      </c>
      <c r="G17" s="39">
        <v>25890000</v>
      </c>
      <c r="J17" t="s">
        <v>4</v>
      </c>
      <c r="K17" t="s">
        <v>34</v>
      </c>
      <c r="L17" t="b">
        <v>1</v>
      </c>
    </row>
    <row r="18" spans="1:12" x14ac:dyDescent="0.2">
      <c r="A18" t="s">
        <v>185</v>
      </c>
      <c r="B18" s="3"/>
      <c r="C18" s="53">
        <v>33090000</v>
      </c>
      <c r="D18" s="63">
        <v>33590000</v>
      </c>
      <c r="E18" s="61">
        <v>35290000</v>
      </c>
      <c r="F18" s="34">
        <v>32990000</v>
      </c>
      <c r="G18" s="39">
        <v>35990000</v>
      </c>
      <c r="J18" t="s">
        <v>41</v>
      </c>
      <c r="K18" t="s">
        <v>42</v>
      </c>
      <c r="L18" t="b">
        <v>1</v>
      </c>
    </row>
    <row r="19" spans="1:12" x14ac:dyDescent="0.2">
      <c r="A19" t="s">
        <v>227</v>
      </c>
      <c r="B19" s="25"/>
      <c r="C19" s="53">
        <v>5790000</v>
      </c>
      <c r="D19" s="61">
        <v>5690000</v>
      </c>
      <c r="E19" s="61">
        <v>5732000</v>
      </c>
      <c r="F19" s="34">
        <v>5590000</v>
      </c>
      <c r="G19" s="3">
        <v>5690000</v>
      </c>
    </row>
    <row r="20" spans="1:12" x14ac:dyDescent="0.2">
      <c r="A20" t="s">
        <v>228</v>
      </c>
      <c r="B20" s="25"/>
      <c r="C20" s="52">
        <v>6990000</v>
      </c>
      <c r="D20" s="63">
        <v>6990000</v>
      </c>
      <c r="E20" s="25">
        <v>6920000</v>
      </c>
      <c r="F20" s="38">
        <v>6990000</v>
      </c>
      <c r="G20" s="39">
        <v>6590000</v>
      </c>
    </row>
    <row r="21" spans="1:12" x14ac:dyDescent="0.2">
      <c r="A21" t="s">
        <v>229</v>
      </c>
      <c r="B21" s="25"/>
      <c r="C21" s="53">
        <v>6490000</v>
      </c>
      <c r="D21" s="61">
        <v>6490000</v>
      </c>
      <c r="E21" s="61">
        <v>6128000</v>
      </c>
      <c r="F21" s="34">
        <v>6290000</v>
      </c>
      <c r="G21" s="37">
        <v>6590000</v>
      </c>
    </row>
    <row r="22" spans="1:12" x14ac:dyDescent="0.2">
      <c r="A22" t="s">
        <v>230</v>
      </c>
      <c r="B22" s="25"/>
      <c r="C22" s="51" t="s">
        <v>22</v>
      </c>
      <c r="D22" s="63">
        <v>7790000</v>
      </c>
      <c r="E22" s="25">
        <v>7712000</v>
      </c>
      <c r="F22" s="38">
        <v>7790000</v>
      </c>
      <c r="G22" s="39">
        <v>7690000</v>
      </c>
    </row>
    <row r="23" spans="1:12" x14ac:dyDescent="0.2">
      <c r="A23" t="s">
        <v>213</v>
      </c>
      <c r="B23" s="25"/>
      <c r="C23" s="53">
        <v>10590000</v>
      </c>
      <c r="D23" s="61">
        <v>10490000</v>
      </c>
      <c r="E23" s="61">
        <v>10187000</v>
      </c>
      <c r="F23" s="34">
        <v>10390000</v>
      </c>
      <c r="G23" s="39">
        <v>10390000</v>
      </c>
      <c r="H23" s="26"/>
    </row>
    <row r="24" spans="1:12" x14ac:dyDescent="0.2">
      <c r="A24" t="s">
        <v>214</v>
      </c>
      <c r="B24" s="25"/>
      <c r="C24" s="63" t="s">
        <v>22</v>
      </c>
      <c r="D24" s="63">
        <v>12790000</v>
      </c>
      <c r="E24" s="25">
        <v>12860000</v>
      </c>
      <c r="F24" s="38">
        <v>12990000</v>
      </c>
      <c r="G24" s="39">
        <v>12890000</v>
      </c>
    </row>
    <row r="25" spans="1:12" x14ac:dyDescent="0.2">
      <c r="A25" t="s">
        <v>215</v>
      </c>
      <c r="B25" s="25"/>
      <c r="C25" s="53">
        <v>11390000</v>
      </c>
      <c r="D25" s="61">
        <v>11290000</v>
      </c>
      <c r="E25" s="61">
        <v>10880000</v>
      </c>
      <c r="F25" s="34">
        <v>11290000</v>
      </c>
      <c r="G25" s="37">
        <v>10990000</v>
      </c>
      <c r="H25" s="26"/>
      <c r="I25" s="26"/>
    </row>
    <row r="26" spans="1:12" x14ac:dyDescent="0.2">
      <c r="A26" t="s">
        <v>217</v>
      </c>
      <c r="B26" s="3"/>
      <c r="C26" s="52">
        <v>13890000</v>
      </c>
      <c r="D26" s="63">
        <v>13690000</v>
      </c>
      <c r="E26" s="25">
        <v>13553000</v>
      </c>
      <c r="F26" s="38">
        <v>13890000</v>
      </c>
      <c r="G26" s="39">
        <v>13590000</v>
      </c>
    </row>
    <row r="27" spans="1:12" x14ac:dyDescent="0.2">
      <c r="A27" t="s">
        <v>172</v>
      </c>
      <c r="B27" s="25"/>
      <c r="C27" s="52">
        <v>21890000</v>
      </c>
      <c r="D27" s="63">
        <v>21890000</v>
      </c>
      <c r="E27" s="25">
        <v>21790000</v>
      </c>
      <c r="F27" s="37">
        <v>18190000</v>
      </c>
      <c r="G27" s="39">
        <v>22990000</v>
      </c>
    </row>
    <row r="28" spans="1:12" x14ac:dyDescent="0.2">
      <c r="A28" t="s">
        <v>53</v>
      </c>
      <c r="B28" s="3"/>
      <c r="C28" s="53">
        <v>5590000</v>
      </c>
      <c r="D28" s="61">
        <v>5590000</v>
      </c>
      <c r="E28" s="61">
        <v>5534000</v>
      </c>
      <c r="F28" s="37">
        <v>5590000</v>
      </c>
      <c r="G28" s="37">
        <v>5590000</v>
      </c>
    </row>
    <row r="29" spans="1:12" x14ac:dyDescent="0.2">
      <c r="A29" t="s">
        <v>54</v>
      </c>
      <c r="B29" s="3"/>
      <c r="C29" s="53">
        <v>4690000</v>
      </c>
      <c r="D29" s="61">
        <v>4490000</v>
      </c>
      <c r="E29" s="61">
        <v>4346000</v>
      </c>
      <c r="F29" s="37">
        <v>4490000</v>
      </c>
      <c r="G29" s="37">
        <v>4350000</v>
      </c>
    </row>
    <row r="30" spans="1:12" x14ac:dyDescent="0.2">
      <c r="A30" t="s">
        <v>55</v>
      </c>
      <c r="B30" s="3"/>
      <c r="C30" s="53">
        <v>3390000</v>
      </c>
      <c r="D30" s="61">
        <v>3290000</v>
      </c>
      <c r="E30" s="61">
        <v>3190000</v>
      </c>
      <c r="F30" s="37">
        <v>3290000</v>
      </c>
      <c r="G30" s="37">
        <v>3090000</v>
      </c>
    </row>
    <row r="31" spans="1:12" x14ac:dyDescent="0.2">
      <c r="A31" t="s">
        <v>175</v>
      </c>
      <c r="B31" s="3"/>
      <c r="C31" s="52">
        <v>17190000</v>
      </c>
      <c r="D31" s="63" t="s">
        <v>22</v>
      </c>
      <c r="E31" s="36"/>
      <c r="F31" s="38">
        <v>17190000</v>
      </c>
      <c r="G31" s="39">
        <v>16890000</v>
      </c>
    </row>
    <row r="32" spans="1:12" x14ac:dyDescent="0.2">
      <c r="A32" t="s">
        <v>186</v>
      </c>
      <c r="B32" s="25"/>
      <c r="C32" s="52">
        <v>19590000</v>
      </c>
      <c r="D32" s="63">
        <v>19590000</v>
      </c>
      <c r="E32" s="36"/>
      <c r="F32" s="38">
        <v>19590000</v>
      </c>
      <c r="G32" s="39">
        <v>19490000</v>
      </c>
    </row>
    <row r="33" spans="1:7" x14ac:dyDescent="0.2">
      <c r="A33" t="s">
        <v>232</v>
      </c>
      <c r="B33" s="3"/>
      <c r="C33" s="51" t="s">
        <v>22</v>
      </c>
      <c r="D33" s="63">
        <v>23990000</v>
      </c>
      <c r="E33" s="36"/>
      <c r="F33" s="38" t="s">
        <v>22</v>
      </c>
      <c r="G33" s="39">
        <v>25290000</v>
      </c>
    </row>
    <row r="34" spans="1:7" x14ac:dyDescent="0.2">
      <c r="A34" t="s">
        <v>59</v>
      </c>
      <c r="B34" s="3"/>
      <c r="C34" s="52">
        <v>24290000</v>
      </c>
      <c r="D34" s="63">
        <v>24290000</v>
      </c>
      <c r="E34" s="36"/>
      <c r="F34" s="38">
        <v>24290000</v>
      </c>
      <c r="G34" s="39">
        <v>24290000</v>
      </c>
    </row>
    <row r="35" spans="1:7" x14ac:dyDescent="0.2">
      <c r="A35" t="s">
        <v>61</v>
      </c>
      <c r="B35" s="25"/>
      <c r="C35" s="63">
        <v>29490000</v>
      </c>
      <c r="D35" s="63">
        <v>29490000</v>
      </c>
      <c r="E35" s="36"/>
      <c r="F35" s="34">
        <v>28990000</v>
      </c>
      <c r="G35" s="39">
        <v>29490000</v>
      </c>
    </row>
    <row r="36" spans="1:7" x14ac:dyDescent="0.2">
      <c r="A36" t="s">
        <v>187</v>
      </c>
      <c r="B36" s="25"/>
      <c r="C36" s="52">
        <v>38290000</v>
      </c>
      <c r="D36" s="63">
        <v>38190000</v>
      </c>
      <c r="E36" s="36"/>
      <c r="F36" s="39">
        <v>37590000</v>
      </c>
      <c r="G36" s="39">
        <v>38290000</v>
      </c>
    </row>
    <row r="37" spans="1:7" x14ac:dyDescent="0.2">
      <c r="C37" s="59"/>
      <c r="D37" s="59"/>
    </row>
    <row r="38" spans="1:7" x14ac:dyDescent="0.2">
      <c r="C38" s="59"/>
      <c r="D38" s="59"/>
    </row>
    <row r="39" spans="1:7" x14ac:dyDescent="0.2">
      <c r="C39" s="59"/>
      <c r="D39" s="59"/>
    </row>
    <row r="40" spans="1:7" x14ac:dyDescent="0.2">
      <c r="C40" s="59"/>
      <c r="D40" s="59"/>
    </row>
    <row r="41" spans="1:7" x14ac:dyDescent="0.2">
      <c r="C41" s="59"/>
      <c r="D41" s="59"/>
    </row>
    <row r="42" spans="1:7" x14ac:dyDescent="0.2">
      <c r="C42" s="59"/>
      <c r="D42" s="59"/>
    </row>
    <row r="43" spans="1:7" x14ac:dyDescent="0.2">
      <c r="C43" s="59"/>
      <c r="D43" s="59"/>
    </row>
    <row r="44" spans="1:7" x14ac:dyDescent="0.2">
      <c r="C44" s="59"/>
      <c r="D44" s="59"/>
    </row>
    <row r="45" spans="1:7" x14ac:dyDescent="0.2">
      <c r="C45" s="59"/>
      <c r="D45" s="59"/>
    </row>
    <row r="46" spans="1:7" x14ac:dyDescent="0.2">
      <c r="C46" s="59"/>
      <c r="D46" s="59"/>
    </row>
    <row r="47" spans="1:7" x14ac:dyDescent="0.2">
      <c r="C47" s="59"/>
      <c r="D47" s="59"/>
    </row>
    <row r="48" spans="1:7" x14ac:dyDescent="0.2">
      <c r="C48" s="59"/>
      <c r="D48" s="59"/>
    </row>
    <row r="49" spans="3:4" x14ac:dyDescent="0.2">
      <c r="C49" s="59"/>
      <c r="D49" s="59"/>
    </row>
    <row r="50" spans="3:4" x14ac:dyDescent="0.2">
      <c r="C50" s="59"/>
      <c r="D50" s="59"/>
    </row>
    <row r="51" spans="3:4" x14ac:dyDescent="0.2">
      <c r="C51" s="59"/>
      <c r="D51" s="59"/>
    </row>
    <row r="52" spans="3:4" x14ac:dyDescent="0.2">
      <c r="C52" s="59"/>
      <c r="D52" s="59"/>
    </row>
    <row r="53" spans="3:4" x14ac:dyDescent="0.2">
      <c r="C53" s="59"/>
      <c r="D53" s="59"/>
    </row>
    <row r="54" spans="3:4" x14ac:dyDescent="0.2">
      <c r="C54" s="59"/>
      <c r="D54" s="59"/>
    </row>
    <row r="55" spans="3:4" x14ac:dyDescent="0.2">
      <c r="C55" s="59"/>
      <c r="D55" s="59"/>
    </row>
    <row r="56" spans="3:4" x14ac:dyDescent="0.2">
      <c r="C56" s="59"/>
      <c r="D56" s="59"/>
    </row>
    <row r="57" spans="3:4" x14ac:dyDescent="0.2">
      <c r="C57" s="59"/>
      <c r="D57" s="59"/>
    </row>
    <row r="58" spans="3:4" x14ac:dyDescent="0.2">
      <c r="C58" s="59"/>
      <c r="D58" s="59"/>
    </row>
    <row r="59" spans="3:4" x14ac:dyDescent="0.2">
      <c r="C59" s="59"/>
      <c r="D59" s="59"/>
    </row>
    <row r="60" spans="3:4" x14ac:dyDescent="0.2">
      <c r="C60" s="59"/>
      <c r="D60" s="59"/>
    </row>
    <row r="61" spans="3:4" x14ac:dyDescent="0.2">
      <c r="C61" s="59"/>
      <c r="D61" s="59"/>
    </row>
    <row r="62" spans="3:4" x14ac:dyDescent="0.2">
      <c r="C62" s="59"/>
      <c r="D62" s="59"/>
    </row>
    <row r="63" spans="3:4" x14ac:dyDescent="0.2">
      <c r="C63" s="59"/>
      <c r="D63" s="59"/>
    </row>
    <row r="64" spans="3:4" x14ac:dyDescent="0.2">
      <c r="C64" s="59"/>
      <c r="D64" s="59"/>
    </row>
    <row r="65" spans="3:4" x14ac:dyDescent="0.2">
      <c r="C65" s="59"/>
      <c r="D65" s="59"/>
    </row>
    <row r="66" spans="3:4" x14ac:dyDescent="0.2">
      <c r="C66" s="59"/>
      <c r="D66" s="59"/>
    </row>
    <row r="67" spans="3:4" x14ac:dyDescent="0.2">
      <c r="C67" s="59"/>
      <c r="D67" s="59"/>
    </row>
    <row r="68" spans="3:4" x14ac:dyDescent="0.2">
      <c r="C68" s="59"/>
      <c r="D68" s="59"/>
    </row>
    <row r="69" spans="3:4" x14ac:dyDescent="0.2">
      <c r="C69" s="59"/>
      <c r="D69" s="59"/>
    </row>
    <row r="70" spans="3:4" x14ac:dyDescent="0.2">
      <c r="C70" s="59"/>
      <c r="D70" s="59"/>
    </row>
    <row r="71" spans="3:4" x14ac:dyDescent="0.2">
      <c r="C71" s="59"/>
      <c r="D71" s="59"/>
    </row>
    <row r="72" spans="3:4" x14ac:dyDescent="0.2">
      <c r="C72" s="59"/>
      <c r="D72" s="59"/>
    </row>
    <row r="73" spans="3:4" x14ac:dyDescent="0.2">
      <c r="C73" s="59"/>
      <c r="D73" s="59"/>
    </row>
    <row r="74" spans="3:4" x14ac:dyDescent="0.2">
      <c r="C74" s="59"/>
      <c r="D74" s="59"/>
    </row>
    <row r="75" spans="3:4" x14ac:dyDescent="0.2">
      <c r="C75" s="59"/>
      <c r="D75" s="59"/>
    </row>
    <row r="76" spans="3:4" x14ac:dyDescent="0.2">
      <c r="C76" s="59"/>
      <c r="D76" s="59"/>
    </row>
    <row r="77" spans="3:4" x14ac:dyDescent="0.2">
      <c r="C77" s="59"/>
      <c r="D77" s="59"/>
    </row>
    <row r="78" spans="3:4" x14ac:dyDescent="0.2">
      <c r="C78" s="59"/>
      <c r="D78" s="59"/>
    </row>
    <row r="79" spans="3:4" x14ac:dyDescent="0.2">
      <c r="C79" s="59"/>
      <c r="D79" s="59"/>
    </row>
    <row r="80" spans="3:4" x14ac:dyDescent="0.2">
      <c r="C80" s="59"/>
      <c r="D80" s="59"/>
    </row>
    <row r="81" spans="3:4" x14ac:dyDescent="0.2">
      <c r="C81" s="59"/>
      <c r="D81" s="59"/>
    </row>
    <row r="82" spans="3:4" x14ac:dyDescent="0.2">
      <c r="C82" s="59"/>
      <c r="D82" s="59"/>
    </row>
    <row r="83" spans="3:4" x14ac:dyDescent="0.2">
      <c r="C83" s="59"/>
      <c r="D83" s="59"/>
    </row>
    <row r="84" spans="3:4" x14ac:dyDescent="0.2">
      <c r="C84" s="59"/>
      <c r="D84" s="59"/>
    </row>
    <row r="85" spans="3:4" x14ac:dyDescent="0.2">
      <c r="C85" s="59"/>
      <c r="D85" s="59"/>
    </row>
    <row r="86" spans="3:4" x14ac:dyDescent="0.2">
      <c r="C86" s="59"/>
      <c r="D86" s="59"/>
    </row>
    <row r="87" spans="3:4" x14ac:dyDescent="0.2">
      <c r="C87" s="59"/>
      <c r="D87" s="59"/>
    </row>
    <row r="88" spans="3:4" x14ac:dyDescent="0.2">
      <c r="C88" s="59"/>
      <c r="D88" s="59"/>
    </row>
    <row r="89" spans="3:4" x14ac:dyDescent="0.2">
      <c r="C89" s="59"/>
      <c r="D89" s="59"/>
    </row>
    <row r="90" spans="3:4" x14ac:dyDescent="0.2">
      <c r="C90" s="59"/>
      <c r="D90" s="59"/>
    </row>
    <row r="91" spans="3:4" x14ac:dyDescent="0.2">
      <c r="C91" s="59"/>
      <c r="D91" s="59"/>
    </row>
    <row r="92" spans="3:4" x14ac:dyDescent="0.2">
      <c r="C92" s="59"/>
      <c r="D92" s="59"/>
    </row>
    <row r="93" spans="3:4" x14ac:dyDescent="0.2">
      <c r="C93" s="59"/>
      <c r="D93" s="59"/>
    </row>
    <row r="94" spans="3:4" x14ac:dyDescent="0.2">
      <c r="C94" s="59"/>
      <c r="D94" s="59"/>
    </row>
    <row r="95" spans="3:4" x14ac:dyDescent="0.2">
      <c r="C95" s="59"/>
      <c r="D95" s="59"/>
    </row>
    <row r="96" spans="3:4" x14ac:dyDescent="0.2">
      <c r="C96" s="59"/>
      <c r="D96" s="59"/>
    </row>
    <row r="97" spans="3:4" x14ac:dyDescent="0.2">
      <c r="C97" s="59"/>
      <c r="D97" s="59"/>
    </row>
    <row r="98" spans="3:4" x14ac:dyDescent="0.2">
      <c r="C98" s="59"/>
      <c r="D98" s="59"/>
    </row>
    <row r="99" spans="3:4" x14ac:dyDescent="0.2">
      <c r="C99" s="59"/>
      <c r="D99" s="59"/>
    </row>
    <row r="100" spans="3:4" x14ac:dyDescent="0.2">
      <c r="C100" s="59"/>
      <c r="D100" s="59"/>
    </row>
    <row r="101" spans="3:4" x14ac:dyDescent="0.2">
      <c r="C101" s="59"/>
      <c r="D101" s="59"/>
    </row>
    <row r="102" spans="3:4" x14ac:dyDescent="0.2">
      <c r="C102" s="59"/>
      <c r="D102" s="59"/>
    </row>
    <row r="103" spans="3:4" x14ac:dyDescent="0.2">
      <c r="C103" s="59"/>
      <c r="D103" s="59"/>
    </row>
    <row r="104" spans="3:4" x14ac:dyDescent="0.2">
      <c r="C104" s="59"/>
      <c r="D104" s="59"/>
    </row>
    <row r="105" spans="3:4" x14ac:dyDescent="0.2">
      <c r="C105" s="59"/>
      <c r="D105" s="59"/>
    </row>
    <row r="106" spans="3:4" x14ac:dyDescent="0.2">
      <c r="C106" s="59"/>
      <c r="D106" s="59"/>
    </row>
    <row r="107" spans="3:4" x14ac:dyDescent="0.2">
      <c r="C107" s="59"/>
      <c r="D107" s="59"/>
    </row>
    <row r="108" spans="3:4" x14ac:dyDescent="0.2">
      <c r="C108" s="59"/>
      <c r="D108" s="59"/>
    </row>
    <row r="109" spans="3:4" x14ac:dyDescent="0.2">
      <c r="C109" s="59"/>
      <c r="D109" s="59"/>
    </row>
    <row r="110" spans="3:4" x14ac:dyDescent="0.2">
      <c r="C110" s="59"/>
      <c r="D110" s="59"/>
    </row>
    <row r="111" spans="3:4" x14ac:dyDescent="0.2">
      <c r="C111" s="59"/>
      <c r="D111" s="59"/>
    </row>
    <row r="112" spans="3:4" x14ac:dyDescent="0.2">
      <c r="C112" s="59"/>
      <c r="D112" s="59"/>
    </row>
    <row r="113" spans="3:4" x14ac:dyDescent="0.2">
      <c r="C113" s="59"/>
      <c r="D113" s="59"/>
    </row>
    <row r="114" spans="3:4" x14ac:dyDescent="0.2">
      <c r="C114" s="59"/>
      <c r="D114" s="59"/>
    </row>
    <row r="115" spans="3:4" x14ac:dyDescent="0.2">
      <c r="C115" s="59"/>
      <c r="D115" s="59"/>
    </row>
    <row r="116" spans="3:4" x14ac:dyDescent="0.2">
      <c r="C116" s="59"/>
      <c r="D116" s="59"/>
    </row>
    <row r="117" spans="3:4" x14ac:dyDescent="0.2">
      <c r="C117" s="59"/>
      <c r="D117" s="59"/>
    </row>
    <row r="118" spans="3:4" x14ac:dyDescent="0.2">
      <c r="C118" s="59"/>
      <c r="D118" s="59"/>
    </row>
    <row r="119" spans="3:4" x14ac:dyDescent="0.2">
      <c r="C119" s="59"/>
      <c r="D119" s="59"/>
    </row>
    <row r="120" spans="3:4" x14ac:dyDescent="0.2">
      <c r="C120" s="59"/>
      <c r="D120" s="59"/>
    </row>
    <row r="121" spans="3:4" x14ac:dyDescent="0.2">
      <c r="C121" s="59"/>
      <c r="D121" s="59"/>
    </row>
    <row r="122" spans="3:4" x14ac:dyDescent="0.2">
      <c r="C122" s="59"/>
      <c r="D122" s="59"/>
    </row>
    <row r="123" spans="3:4" x14ac:dyDescent="0.2">
      <c r="C123" s="59"/>
      <c r="D123" s="59"/>
    </row>
    <row r="124" spans="3:4" x14ac:dyDescent="0.2">
      <c r="C124" s="59"/>
      <c r="D124" s="59"/>
    </row>
    <row r="125" spans="3:4" x14ac:dyDescent="0.2">
      <c r="C125" s="59"/>
      <c r="D125" s="59"/>
    </row>
    <row r="126" spans="3:4" x14ac:dyDescent="0.2">
      <c r="C126" s="59"/>
      <c r="D126" s="59"/>
    </row>
    <row r="127" spans="3:4" x14ac:dyDescent="0.2">
      <c r="C127" s="59"/>
      <c r="D127" s="59"/>
    </row>
    <row r="128" spans="3:4" x14ac:dyDescent="0.2">
      <c r="C128" s="59"/>
      <c r="D128" s="59"/>
    </row>
    <row r="129" spans="3:4" x14ac:dyDescent="0.2">
      <c r="C129" s="59"/>
      <c r="D129" s="59"/>
    </row>
    <row r="130" spans="3:4" x14ac:dyDescent="0.2">
      <c r="C130" s="59"/>
      <c r="D130" s="59"/>
    </row>
    <row r="131" spans="3:4" x14ac:dyDescent="0.2">
      <c r="C131" s="59"/>
      <c r="D131" s="59"/>
    </row>
    <row r="132" spans="3:4" x14ac:dyDescent="0.2">
      <c r="C132" s="59"/>
      <c r="D132" s="59"/>
    </row>
    <row r="133" spans="3:4" x14ac:dyDescent="0.2">
      <c r="C133" s="59"/>
      <c r="D133" s="59"/>
    </row>
    <row r="134" spans="3:4" x14ac:dyDescent="0.2">
      <c r="C134" s="59"/>
      <c r="D134" s="59"/>
    </row>
    <row r="135" spans="3:4" x14ac:dyDescent="0.2">
      <c r="C135" s="59"/>
      <c r="D135" s="59"/>
    </row>
    <row r="136" spans="3:4" x14ac:dyDescent="0.2">
      <c r="C136" s="59"/>
      <c r="D136" s="59"/>
    </row>
    <row r="137" spans="3:4" x14ac:dyDescent="0.2">
      <c r="C137" s="59"/>
      <c r="D137" s="59"/>
    </row>
    <row r="138" spans="3:4" x14ac:dyDescent="0.2">
      <c r="C138" s="59"/>
      <c r="D138" s="59"/>
    </row>
    <row r="139" spans="3:4" x14ac:dyDescent="0.2">
      <c r="C139" s="59"/>
      <c r="D139" s="59"/>
    </row>
    <row r="140" spans="3:4" x14ac:dyDescent="0.2">
      <c r="C140" s="59"/>
      <c r="D140" s="59"/>
    </row>
    <row r="141" spans="3:4" x14ac:dyDescent="0.2">
      <c r="C141" s="59"/>
      <c r="D141" s="59"/>
    </row>
    <row r="142" spans="3:4" x14ac:dyDescent="0.2">
      <c r="C142" s="59"/>
      <c r="D142" s="59"/>
    </row>
    <row r="143" spans="3:4" x14ac:dyDescent="0.2">
      <c r="C143" s="59"/>
      <c r="D143" s="59"/>
    </row>
    <row r="144" spans="3:4" x14ac:dyDescent="0.2">
      <c r="C144" s="59"/>
      <c r="D144" s="59"/>
    </row>
    <row r="145" spans="3:4" x14ac:dyDescent="0.2">
      <c r="C145" s="59"/>
      <c r="D145" s="59"/>
    </row>
    <row r="146" spans="3:4" x14ac:dyDescent="0.2">
      <c r="C146" s="59"/>
      <c r="D146" s="59"/>
    </row>
    <row r="147" spans="3:4" x14ac:dyDescent="0.2">
      <c r="C147" s="59"/>
      <c r="D147" s="59"/>
    </row>
    <row r="148" spans="3:4" x14ac:dyDescent="0.2">
      <c r="C148" s="59"/>
      <c r="D148" s="59"/>
    </row>
    <row r="149" spans="3:4" x14ac:dyDescent="0.2">
      <c r="C149" s="59"/>
      <c r="D149" s="59"/>
    </row>
    <row r="150" spans="3:4" x14ac:dyDescent="0.2">
      <c r="C150" s="59"/>
      <c r="D150" s="59"/>
    </row>
  </sheetData>
  <pageMargins left="0.7" right="0.7" top="0.75" bottom="0.75" header="0.3" footer="0.3"/>
  <pageSetup paperSize="9" orientation="portrait" horizontalDpi="0" verticalDpi="0"/>
  <legacyDrawing r:id="rId1"/>
</worksheet>
</file>

<file path=xl/worksheets/sheet7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800-000000000000}">
  <dimension ref="A1:L150"/>
  <sheetViews>
    <sheetView zoomScale="86" zoomScaleNormal="130" workbookViewId="0">
      <pane xSplit="2" ySplit="1" topLeftCell="C2" activePane="bottomRight" state="frozen"/>
      <selection pane="topRight" activeCell="C1" sqref="C1"/>
      <selection pane="bottomLeft" activeCell="A2" sqref="A2"/>
      <selection pane="bottomRight" activeCell="C1" sqref="C1"/>
    </sheetView>
  </sheetViews>
  <sheetFormatPr baseColWidth="10" defaultColWidth="11" defaultRowHeight="16" x14ac:dyDescent="0.2"/>
  <cols>
    <col min="1" max="1" width="27.5" bestFit="1" customWidth="1"/>
    <col min="2" max="2" width="0" hidden="1"/>
    <col min="3" max="6" width="10.1640625" bestFit="1" customWidth="1"/>
    <col min="7" max="7" width="13" customWidth="1"/>
    <col min="8" max="8" width="12.1640625" customWidth="1"/>
  </cols>
  <sheetData>
    <row r="1" spans="1:12" x14ac:dyDescent="0.2">
      <c r="B1" s="46" t="s">
        <v>0</v>
      </c>
      <c r="C1" s="46" t="s">
        <v>1</v>
      </c>
      <c r="D1" s="46" t="s">
        <v>2</v>
      </c>
      <c r="E1" s="81" t="s">
        <v>3</v>
      </c>
      <c r="F1" s="81" t="s">
        <v>4</v>
      </c>
      <c r="G1" s="81" t="s">
        <v>5</v>
      </c>
    </row>
    <row r="2" spans="1:12" x14ac:dyDescent="0.2">
      <c r="A2" t="s">
        <v>21</v>
      </c>
      <c r="B2" s="46"/>
      <c r="C2" s="50">
        <v>15990000</v>
      </c>
      <c r="D2" s="64">
        <v>15990000</v>
      </c>
      <c r="E2" s="39">
        <v>15990000</v>
      </c>
      <c r="F2" s="39">
        <v>14990000</v>
      </c>
      <c r="G2" s="37">
        <v>14990000</v>
      </c>
    </row>
    <row r="3" spans="1:12" x14ac:dyDescent="0.2">
      <c r="A3" t="s">
        <v>181</v>
      </c>
      <c r="B3" s="25"/>
      <c r="C3" s="52">
        <v>18890000</v>
      </c>
      <c r="D3" s="63">
        <v>18890000</v>
      </c>
      <c r="E3" s="39">
        <v>18490000</v>
      </c>
      <c r="F3" s="39">
        <v>18790000</v>
      </c>
      <c r="G3" s="39">
        <v>18590000</v>
      </c>
    </row>
    <row r="4" spans="1:12" x14ac:dyDescent="0.2">
      <c r="A4" t="s">
        <v>24</v>
      </c>
      <c r="B4" s="3"/>
      <c r="C4" s="52">
        <v>21990000</v>
      </c>
      <c r="D4" s="63">
        <v>21990000</v>
      </c>
      <c r="E4" s="39">
        <v>21690000</v>
      </c>
      <c r="F4" s="39">
        <v>21890000</v>
      </c>
      <c r="G4" s="39">
        <v>21690000</v>
      </c>
    </row>
    <row r="5" spans="1:12" x14ac:dyDescent="0.2">
      <c r="A5" t="s">
        <v>182</v>
      </c>
      <c r="B5" s="25"/>
      <c r="C5" s="52">
        <v>24990000</v>
      </c>
      <c r="D5" s="61">
        <v>24990000</v>
      </c>
      <c r="E5" s="39">
        <v>24290000</v>
      </c>
      <c r="F5" s="39">
        <v>24890000</v>
      </c>
      <c r="G5" s="39">
        <v>24590000</v>
      </c>
    </row>
    <row r="6" spans="1:12" x14ac:dyDescent="0.2">
      <c r="A6" t="s">
        <v>183</v>
      </c>
      <c r="B6" s="3"/>
      <c r="C6" s="52">
        <v>30090000</v>
      </c>
      <c r="D6" s="63">
        <v>29990000</v>
      </c>
      <c r="E6" s="39">
        <v>29690000</v>
      </c>
      <c r="F6" s="39">
        <v>29790000</v>
      </c>
      <c r="G6" s="37">
        <v>29490000</v>
      </c>
    </row>
    <row r="7" spans="1:12" x14ac:dyDescent="0.2">
      <c r="A7" t="s">
        <v>25</v>
      </c>
      <c r="B7" s="25"/>
      <c r="C7" s="52">
        <v>15290000</v>
      </c>
      <c r="D7" s="63">
        <v>15290000</v>
      </c>
      <c r="E7" s="25">
        <v>15190000</v>
      </c>
      <c r="F7" s="39">
        <v>15190000</v>
      </c>
      <c r="G7" s="39">
        <v>15090000</v>
      </c>
    </row>
    <row r="8" spans="1:12" x14ac:dyDescent="0.2">
      <c r="A8" t="s">
        <v>26</v>
      </c>
      <c r="B8" s="25"/>
      <c r="C8" s="53">
        <v>18590000</v>
      </c>
      <c r="D8" s="61">
        <v>18790000</v>
      </c>
      <c r="E8" s="25">
        <v>18790000</v>
      </c>
      <c r="F8" s="39">
        <v>18490000</v>
      </c>
      <c r="G8" s="39">
        <v>18490000</v>
      </c>
    </row>
    <row r="9" spans="1:12" x14ac:dyDescent="0.2">
      <c r="A9" t="s">
        <v>158</v>
      </c>
      <c r="B9" s="3"/>
      <c r="C9" s="52">
        <v>29390000</v>
      </c>
      <c r="D9" s="63">
        <v>26990000</v>
      </c>
      <c r="E9" s="39" t="s">
        <v>22</v>
      </c>
      <c r="F9" s="39" t="s">
        <v>22</v>
      </c>
      <c r="G9" s="39">
        <v>26990000</v>
      </c>
    </row>
    <row r="10" spans="1:12" x14ac:dyDescent="0.2">
      <c r="A10" t="s">
        <v>92</v>
      </c>
      <c r="B10" s="3"/>
      <c r="C10" s="51" t="s">
        <v>22</v>
      </c>
      <c r="D10" s="62" t="s">
        <v>22</v>
      </c>
      <c r="E10" s="42" t="s">
        <v>22</v>
      </c>
      <c r="F10" s="42" t="s">
        <v>22</v>
      </c>
      <c r="G10" s="39">
        <v>17490000</v>
      </c>
    </row>
    <row r="11" spans="1:12" x14ac:dyDescent="0.2">
      <c r="A11" t="s">
        <v>27</v>
      </c>
      <c r="B11" s="25"/>
      <c r="C11" s="52">
        <v>12390000</v>
      </c>
      <c r="D11" s="61">
        <v>12390000</v>
      </c>
      <c r="E11" s="25">
        <v>12290000</v>
      </c>
      <c r="F11" s="38">
        <v>12290000</v>
      </c>
      <c r="G11" s="39">
        <v>12190000</v>
      </c>
    </row>
    <row r="12" spans="1:12" x14ac:dyDescent="0.2">
      <c r="A12" t="s">
        <v>28</v>
      </c>
      <c r="B12" s="3"/>
      <c r="C12" s="52">
        <v>11590000</v>
      </c>
      <c r="D12" s="52">
        <v>11490000</v>
      </c>
      <c r="E12" s="39">
        <v>11390000</v>
      </c>
      <c r="F12" s="34">
        <v>11290000</v>
      </c>
      <c r="G12" s="39">
        <v>11190000</v>
      </c>
    </row>
    <row r="13" spans="1:12" x14ac:dyDescent="0.2">
      <c r="A13" t="s">
        <v>29</v>
      </c>
      <c r="B13" s="25"/>
      <c r="C13" s="53">
        <v>13590000</v>
      </c>
      <c r="D13" s="61">
        <v>13590000</v>
      </c>
      <c r="E13" s="61">
        <v>13652000</v>
      </c>
      <c r="F13" s="34">
        <v>13490000</v>
      </c>
      <c r="G13" s="39">
        <v>11590000</v>
      </c>
    </row>
    <row r="14" spans="1:12" x14ac:dyDescent="0.2">
      <c r="A14" t="s">
        <v>30</v>
      </c>
      <c r="B14" s="3"/>
      <c r="C14" s="53">
        <v>9690000</v>
      </c>
      <c r="D14" s="63">
        <v>8490000</v>
      </c>
      <c r="E14" s="61">
        <v>9296000</v>
      </c>
      <c r="F14" s="34">
        <v>9590000</v>
      </c>
      <c r="G14" s="37">
        <v>9490000</v>
      </c>
      <c r="H14" s="26"/>
      <c r="J14" t="s">
        <v>31</v>
      </c>
      <c r="K14" t="s">
        <v>38</v>
      </c>
      <c r="L14" t="b">
        <v>1</v>
      </c>
    </row>
    <row r="15" spans="1:12" x14ac:dyDescent="0.2">
      <c r="A15" t="s">
        <v>33</v>
      </c>
      <c r="B15" s="3"/>
      <c r="C15" s="53">
        <v>16290000</v>
      </c>
      <c r="D15" s="61">
        <v>16190000</v>
      </c>
      <c r="E15" s="61">
        <v>15830000</v>
      </c>
      <c r="F15" s="34">
        <v>16090000</v>
      </c>
      <c r="G15" s="37">
        <v>15990000</v>
      </c>
      <c r="J15" t="s">
        <v>2</v>
      </c>
      <c r="K15" t="s">
        <v>198</v>
      </c>
      <c r="L15" t="b">
        <v>1</v>
      </c>
    </row>
    <row r="16" spans="1:12" x14ac:dyDescent="0.2">
      <c r="A16" t="s">
        <v>37</v>
      </c>
      <c r="B16" s="25"/>
      <c r="C16" s="53">
        <v>21690000</v>
      </c>
      <c r="D16" s="61">
        <v>21690000</v>
      </c>
      <c r="E16" s="25">
        <v>20490000</v>
      </c>
      <c r="F16" s="34">
        <v>21690000</v>
      </c>
      <c r="G16" s="37">
        <v>21490000</v>
      </c>
      <c r="J16" t="s">
        <v>3</v>
      </c>
      <c r="K16" t="s">
        <v>36</v>
      </c>
      <c r="L16" t="b">
        <v>1</v>
      </c>
    </row>
    <row r="17" spans="1:12" x14ac:dyDescent="0.2">
      <c r="A17" t="s">
        <v>184</v>
      </c>
      <c r="B17" s="25"/>
      <c r="C17" s="53">
        <v>26990000</v>
      </c>
      <c r="D17" s="61">
        <v>26890000</v>
      </c>
      <c r="E17" s="25">
        <v>26290000</v>
      </c>
      <c r="F17" s="34">
        <v>26790000</v>
      </c>
      <c r="G17" s="39">
        <v>25890000</v>
      </c>
      <c r="J17" t="s">
        <v>4</v>
      </c>
      <c r="K17" t="s">
        <v>34</v>
      </c>
      <c r="L17" t="b">
        <v>1</v>
      </c>
    </row>
    <row r="18" spans="1:12" x14ac:dyDescent="0.2">
      <c r="A18" t="s">
        <v>185</v>
      </c>
      <c r="B18" s="3"/>
      <c r="C18" s="53">
        <v>36090000</v>
      </c>
      <c r="D18" s="61">
        <v>35990000</v>
      </c>
      <c r="E18" s="25">
        <v>35290000</v>
      </c>
      <c r="F18" s="34">
        <v>36290000</v>
      </c>
      <c r="G18" s="37">
        <v>33690000</v>
      </c>
      <c r="J18" t="s">
        <v>41</v>
      </c>
      <c r="K18" t="s">
        <v>42</v>
      </c>
      <c r="L18" t="b">
        <v>1</v>
      </c>
    </row>
    <row r="19" spans="1:12" x14ac:dyDescent="0.2">
      <c r="A19" t="s">
        <v>227</v>
      </c>
      <c r="B19" s="25"/>
      <c r="C19" s="52">
        <v>5790000</v>
      </c>
      <c r="D19" s="63">
        <v>5690000</v>
      </c>
      <c r="E19" s="25">
        <v>5732000</v>
      </c>
      <c r="F19" s="38">
        <v>5590000</v>
      </c>
      <c r="G19" s="3">
        <v>5890000</v>
      </c>
    </row>
    <row r="20" spans="1:12" x14ac:dyDescent="0.2">
      <c r="A20" t="s">
        <v>228</v>
      </c>
      <c r="B20" s="25"/>
      <c r="C20" s="52">
        <v>6990000</v>
      </c>
      <c r="D20" s="63">
        <v>6990000</v>
      </c>
      <c r="E20" s="25">
        <v>6920000</v>
      </c>
      <c r="F20" s="38">
        <v>6990000</v>
      </c>
      <c r="G20" s="37">
        <v>7190000</v>
      </c>
    </row>
    <row r="21" spans="1:12" x14ac:dyDescent="0.2">
      <c r="A21" t="s">
        <v>229</v>
      </c>
      <c r="B21" s="25"/>
      <c r="C21" s="52">
        <v>6490000</v>
      </c>
      <c r="D21" s="63">
        <v>6490000</v>
      </c>
      <c r="E21" s="25">
        <v>6128000</v>
      </c>
      <c r="F21" s="38">
        <v>6290000</v>
      </c>
      <c r="G21" s="37">
        <v>6790000</v>
      </c>
    </row>
    <row r="22" spans="1:12" x14ac:dyDescent="0.2">
      <c r="A22" t="s">
        <v>230</v>
      </c>
      <c r="B22" s="25"/>
      <c r="C22" s="51" t="s">
        <v>22</v>
      </c>
      <c r="D22" s="63">
        <v>7790000</v>
      </c>
      <c r="E22" s="25">
        <v>7712000</v>
      </c>
      <c r="F22" s="38">
        <v>7790000</v>
      </c>
      <c r="G22" s="37">
        <v>7790000</v>
      </c>
    </row>
    <row r="23" spans="1:12" x14ac:dyDescent="0.2">
      <c r="A23" t="s">
        <v>213</v>
      </c>
      <c r="B23" s="25"/>
      <c r="C23" s="52">
        <v>10590000</v>
      </c>
      <c r="D23" s="63">
        <v>10490000</v>
      </c>
      <c r="E23" s="25">
        <v>10187000</v>
      </c>
      <c r="F23" s="38">
        <v>10390000</v>
      </c>
      <c r="G23" s="39">
        <v>10390000</v>
      </c>
      <c r="H23" s="26"/>
    </row>
    <row r="24" spans="1:12" x14ac:dyDescent="0.2">
      <c r="A24" t="s">
        <v>214</v>
      </c>
      <c r="B24" s="25"/>
      <c r="C24" s="63" t="s">
        <v>22</v>
      </c>
      <c r="D24" s="63">
        <v>12790000</v>
      </c>
      <c r="E24" s="25">
        <v>12860000</v>
      </c>
      <c r="F24" s="38">
        <v>12990000</v>
      </c>
      <c r="G24" s="39">
        <v>12890000</v>
      </c>
    </row>
    <row r="25" spans="1:12" x14ac:dyDescent="0.2">
      <c r="A25" t="s">
        <v>215</v>
      </c>
      <c r="B25" s="25"/>
      <c r="C25" s="52">
        <v>11390000</v>
      </c>
      <c r="D25" s="63">
        <v>11290000</v>
      </c>
      <c r="E25" s="25">
        <v>10880000</v>
      </c>
      <c r="F25" s="38">
        <v>11290000</v>
      </c>
      <c r="G25" s="39">
        <v>10990000</v>
      </c>
      <c r="H25" s="26"/>
      <c r="I25" s="26"/>
    </row>
    <row r="26" spans="1:12" x14ac:dyDescent="0.2">
      <c r="A26" t="s">
        <v>217</v>
      </c>
      <c r="B26" s="3"/>
      <c r="C26" s="52">
        <v>13890000</v>
      </c>
      <c r="D26" s="63">
        <v>13690000</v>
      </c>
      <c r="E26" s="25">
        <v>13553000</v>
      </c>
      <c r="F26" s="38">
        <v>13890000</v>
      </c>
      <c r="G26" s="39">
        <v>13590000</v>
      </c>
    </row>
    <row r="27" spans="1:12" x14ac:dyDescent="0.2">
      <c r="A27" t="s">
        <v>172</v>
      </c>
      <c r="B27" s="25"/>
      <c r="C27" s="52">
        <v>21890000</v>
      </c>
      <c r="D27" s="63">
        <v>21890000</v>
      </c>
      <c r="E27" s="25">
        <v>21790000</v>
      </c>
      <c r="F27" s="39">
        <v>21590000</v>
      </c>
      <c r="G27" s="39">
        <v>22990000</v>
      </c>
    </row>
    <row r="28" spans="1:12" x14ac:dyDescent="0.2">
      <c r="A28" t="s">
        <v>53</v>
      </c>
      <c r="B28" s="3"/>
      <c r="C28" s="52">
        <v>5590000</v>
      </c>
      <c r="D28" s="63">
        <v>5590000</v>
      </c>
      <c r="E28" s="25">
        <v>5534000</v>
      </c>
      <c r="F28" s="39">
        <v>5590000</v>
      </c>
      <c r="G28" s="39">
        <v>5590000</v>
      </c>
    </row>
    <row r="29" spans="1:12" x14ac:dyDescent="0.2">
      <c r="A29" t="s">
        <v>54</v>
      </c>
      <c r="B29" s="3"/>
      <c r="C29" s="52">
        <v>4690000</v>
      </c>
      <c r="D29" s="63">
        <v>4490000</v>
      </c>
      <c r="E29" s="25">
        <v>4346000</v>
      </c>
      <c r="F29" s="37">
        <v>4590000</v>
      </c>
      <c r="G29" s="37">
        <v>4490000</v>
      </c>
    </row>
    <row r="30" spans="1:12" x14ac:dyDescent="0.2">
      <c r="A30" t="s">
        <v>55</v>
      </c>
      <c r="B30" s="3"/>
      <c r="C30" s="52">
        <v>3390000</v>
      </c>
      <c r="D30" s="63">
        <v>3290000</v>
      </c>
      <c r="E30" s="25">
        <v>3190000</v>
      </c>
      <c r="F30" s="37">
        <v>3490000</v>
      </c>
      <c r="G30" s="37">
        <v>3290000</v>
      </c>
    </row>
    <row r="31" spans="1:12" x14ac:dyDescent="0.2">
      <c r="A31" t="s">
        <v>175</v>
      </c>
      <c r="B31" s="3"/>
      <c r="C31" s="53">
        <v>16990000</v>
      </c>
      <c r="D31" s="63" t="s">
        <v>22</v>
      </c>
      <c r="E31" s="36"/>
      <c r="F31" s="38">
        <v>17190000</v>
      </c>
      <c r="G31" s="39">
        <v>16890000</v>
      </c>
    </row>
    <row r="32" spans="1:12" x14ac:dyDescent="0.2">
      <c r="A32" t="s">
        <v>186</v>
      </c>
      <c r="B32" s="25"/>
      <c r="C32" s="52">
        <v>19590000</v>
      </c>
      <c r="D32" s="63">
        <v>19590000</v>
      </c>
      <c r="E32" s="36"/>
      <c r="F32" s="34">
        <v>19790000</v>
      </c>
      <c r="G32" s="39">
        <v>19490000</v>
      </c>
    </row>
    <row r="33" spans="1:7" x14ac:dyDescent="0.2">
      <c r="A33" t="s">
        <v>232</v>
      </c>
      <c r="B33" s="3"/>
      <c r="C33" s="51" t="s">
        <v>22</v>
      </c>
      <c r="D33" s="63">
        <v>23990000</v>
      </c>
      <c r="E33" s="36"/>
      <c r="F33" s="38" t="s">
        <v>22</v>
      </c>
      <c r="G33" s="39">
        <v>25290000</v>
      </c>
    </row>
    <row r="34" spans="1:7" x14ac:dyDescent="0.2">
      <c r="A34" t="s">
        <v>59</v>
      </c>
      <c r="B34" s="3"/>
      <c r="C34" s="53">
        <v>25090000</v>
      </c>
      <c r="D34" s="61">
        <v>24990000</v>
      </c>
      <c r="E34" s="36"/>
      <c r="F34" s="34">
        <v>24990000</v>
      </c>
      <c r="G34" s="37">
        <v>24990000</v>
      </c>
    </row>
    <row r="35" spans="1:7" x14ac:dyDescent="0.2">
      <c r="A35" t="s">
        <v>61</v>
      </c>
      <c r="B35" s="25"/>
      <c r="C35" s="63">
        <v>29490000</v>
      </c>
      <c r="D35" s="61">
        <v>30490000</v>
      </c>
      <c r="E35" s="36"/>
      <c r="F35" s="34">
        <v>29290000</v>
      </c>
      <c r="G35" s="37">
        <v>29290000</v>
      </c>
    </row>
    <row r="36" spans="1:7" x14ac:dyDescent="0.2">
      <c r="A36" t="s">
        <v>187</v>
      </c>
      <c r="B36" s="25"/>
      <c r="C36" s="52">
        <v>38290000</v>
      </c>
      <c r="D36" s="63">
        <v>38190000</v>
      </c>
      <c r="E36" s="36"/>
      <c r="F36" s="39">
        <v>37590000</v>
      </c>
      <c r="G36" s="37">
        <v>37590000</v>
      </c>
    </row>
    <row r="37" spans="1:7" x14ac:dyDescent="0.2">
      <c r="A37" t="s">
        <v>261</v>
      </c>
      <c r="B37" s="25"/>
      <c r="C37" s="52"/>
      <c r="D37" s="63">
        <v>64990000</v>
      </c>
      <c r="E37" s="36"/>
      <c r="F37" s="39"/>
      <c r="G37" s="39">
        <v>63990000</v>
      </c>
    </row>
    <row r="38" spans="1:7" x14ac:dyDescent="0.2">
      <c r="C38" s="59"/>
      <c r="D38" s="59"/>
    </row>
    <row r="39" spans="1:7" x14ac:dyDescent="0.2">
      <c r="C39" s="59"/>
      <c r="D39" s="59"/>
    </row>
    <row r="40" spans="1:7" x14ac:dyDescent="0.2">
      <c r="C40" s="59"/>
      <c r="D40" s="59"/>
    </row>
    <row r="41" spans="1:7" x14ac:dyDescent="0.2">
      <c r="C41" s="59"/>
      <c r="D41" s="59"/>
    </row>
    <row r="42" spans="1:7" x14ac:dyDescent="0.2">
      <c r="C42" s="59"/>
      <c r="D42" s="59"/>
    </row>
    <row r="43" spans="1:7" x14ac:dyDescent="0.2">
      <c r="C43" s="59"/>
      <c r="D43" s="59"/>
    </row>
    <row r="44" spans="1:7" x14ac:dyDescent="0.2">
      <c r="C44" s="59"/>
      <c r="D44" s="59"/>
    </row>
    <row r="45" spans="1:7" x14ac:dyDescent="0.2">
      <c r="C45" s="59"/>
      <c r="D45" s="59"/>
    </row>
    <row r="46" spans="1:7" x14ac:dyDescent="0.2">
      <c r="C46" s="59"/>
      <c r="D46" s="59"/>
    </row>
    <row r="47" spans="1:7" x14ac:dyDescent="0.2">
      <c r="C47" s="59"/>
      <c r="D47" s="59"/>
    </row>
    <row r="48" spans="1:7" x14ac:dyDescent="0.2">
      <c r="C48" s="59"/>
      <c r="D48" s="59"/>
    </row>
    <row r="49" spans="3:4" x14ac:dyDescent="0.2">
      <c r="C49" s="59"/>
      <c r="D49" s="59"/>
    </row>
    <row r="50" spans="3:4" x14ac:dyDescent="0.2">
      <c r="C50" s="59"/>
      <c r="D50" s="59"/>
    </row>
    <row r="51" spans="3:4" x14ac:dyDescent="0.2">
      <c r="C51" s="59"/>
      <c r="D51" s="59"/>
    </row>
    <row r="52" spans="3:4" x14ac:dyDescent="0.2">
      <c r="C52" s="59"/>
      <c r="D52" s="59"/>
    </row>
    <row r="53" spans="3:4" x14ac:dyDescent="0.2">
      <c r="C53" s="59"/>
      <c r="D53" s="59"/>
    </row>
    <row r="54" spans="3:4" x14ac:dyDescent="0.2">
      <c r="C54" s="59"/>
      <c r="D54" s="59"/>
    </row>
    <row r="55" spans="3:4" x14ac:dyDescent="0.2">
      <c r="C55" s="59"/>
      <c r="D55" s="59"/>
    </row>
    <row r="56" spans="3:4" x14ac:dyDescent="0.2">
      <c r="C56" s="59"/>
      <c r="D56" s="59"/>
    </row>
    <row r="57" spans="3:4" x14ac:dyDescent="0.2">
      <c r="C57" s="59"/>
      <c r="D57" s="59"/>
    </row>
    <row r="58" spans="3:4" x14ac:dyDescent="0.2">
      <c r="C58" s="59"/>
      <c r="D58" s="59"/>
    </row>
    <row r="59" spans="3:4" x14ac:dyDescent="0.2">
      <c r="C59" s="59"/>
      <c r="D59" s="59"/>
    </row>
    <row r="60" spans="3:4" x14ac:dyDescent="0.2">
      <c r="C60" s="59"/>
      <c r="D60" s="59"/>
    </row>
    <row r="61" spans="3:4" x14ac:dyDescent="0.2">
      <c r="C61" s="59"/>
      <c r="D61" s="59"/>
    </row>
    <row r="62" spans="3:4" x14ac:dyDescent="0.2">
      <c r="C62" s="59"/>
      <c r="D62" s="59"/>
    </row>
    <row r="63" spans="3:4" x14ac:dyDescent="0.2">
      <c r="C63" s="59"/>
      <c r="D63" s="59"/>
    </row>
    <row r="64" spans="3:4" x14ac:dyDescent="0.2">
      <c r="C64" s="59"/>
      <c r="D64" s="59"/>
    </row>
    <row r="65" spans="3:4" x14ac:dyDescent="0.2">
      <c r="C65" s="59"/>
      <c r="D65" s="59"/>
    </row>
    <row r="66" spans="3:4" x14ac:dyDescent="0.2">
      <c r="C66" s="59"/>
      <c r="D66" s="59"/>
    </row>
    <row r="67" spans="3:4" x14ac:dyDescent="0.2">
      <c r="C67" s="59"/>
      <c r="D67" s="59"/>
    </row>
    <row r="68" spans="3:4" x14ac:dyDescent="0.2">
      <c r="C68" s="59"/>
      <c r="D68" s="59"/>
    </row>
    <row r="69" spans="3:4" x14ac:dyDescent="0.2">
      <c r="C69" s="59"/>
      <c r="D69" s="59"/>
    </row>
    <row r="70" spans="3:4" x14ac:dyDescent="0.2">
      <c r="C70" s="59"/>
      <c r="D70" s="59"/>
    </row>
    <row r="71" spans="3:4" x14ac:dyDescent="0.2">
      <c r="C71" s="59"/>
      <c r="D71" s="59"/>
    </row>
    <row r="72" spans="3:4" x14ac:dyDescent="0.2">
      <c r="C72" s="59"/>
      <c r="D72" s="59"/>
    </row>
    <row r="73" spans="3:4" x14ac:dyDescent="0.2">
      <c r="C73" s="59"/>
      <c r="D73" s="59"/>
    </row>
    <row r="74" spans="3:4" x14ac:dyDescent="0.2">
      <c r="C74" s="59"/>
      <c r="D74" s="59"/>
    </row>
    <row r="75" spans="3:4" x14ac:dyDescent="0.2">
      <c r="C75" s="59"/>
      <c r="D75" s="59"/>
    </row>
    <row r="76" spans="3:4" x14ac:dyDescent="0.2">
      <c r="C76" s="59"/>
      <c r="D76" s="59"/>
    </row>
    <row r="77" spans="3:4" x14ac:dyDescent="0.2">
      <c r="C77" s="59"/>
      <c r="D77" s="59"/>
    </row>
    <row r="78" spans="3:4" x14ac:dyDescent="0.2">
      <c r="C78" s="59"/>
      <c r="D78" s="59"/>
    </row>
    <row r="79" spans="3:4" x14ac:dyDescent="0.2">
      <c r="C79" s="59"/>
      <c r="D79" s="59"/>
    </row>
    <row r="80" spans="3:4" x14ac:dyDescent="0.2">
      <c r="C80" s="59"/>
      <c r="D80" s="59"/>
    </row>
    <row r="81" spans="3:4" x14ac:dyDescent="0.2">
      <c r="C81" s="59"/>
      <c r="D81" s="59"/>
    </row>
    <row r="82" spans="3:4" x14ac:dyDescent="0.2">
      <c r="C82" s="59"/>
      <c r="D82" s="59"/>
    </row>
    <row r="83" spans="3:4" x14ac:dyDescent="0.2">
      <c r="C83" s="59"/>
      <c r="D83" s="59"/>
    </row>
    <row r="84" spans="3:4" x14ac:dyDescent="0.2">
      <c r="C84" s="59"/>
      <c r="D84" s="59"/>
    </row>
    <row r="85" spans="3:4" x14ac:dyDescent="0.2">
      <c r="C85" s="59"/>
      <c r="D85" s="59"/>
    </row>
    <row r="86" spans="3:4" x14ac:dyDescent="0.2">
      <c r="C86" s="59"/>
      <c r="D86" s="59"/>
    </row>
    <row r="87" spans="3:4" x14ac:dyDescent="0.2">
      <c r="C87" s="59"/>
      <c r="D87" s="59"/>
    </row>
    <row r="88" spans="3:4" x14ac:dyDescent="0.2">
      <c r="C88" s="59"/>
      <c r="D88" s="59"/>
    </row>
    <row r="89" spans="3:4" x14ac:dyDescent="0.2">
      <c r="C89" s="59"/>
      <c r="D89" s="59"/>
    </row>
    <row r="90" spans="3:4" x14ac:dyDescent="0.2">
      <c r="C90" s="59"/>
      <c r="D90" s="59"/>
    </row>
    <row r="91" spans="3:4" x14ac:dyDescent="0.2">
      <c r="C91" s="59"/>
      <c r="D91" s="59"/>
    </row>
    <row r="92" spans="3:4" x14ac:dyDescent="0.2">
      <c r="C92" s="59"/>
      <c r="D92" s="59"/>
    </row>
    <row r="93" spans="3:4" x14ac:dyDescent="0.2">
      <c r="C93" s="59"/>
      <c r="D93" s="59"/>
    </row>
    <row r="94" spans="3:4" x14ac:dyDescent="0.2">
      <c r="C94" s="59"/>
      <c r="D94" s="59"/>
    </row>
    <row r="95" spans="3:4" x14ac:dyDescent="0.2">
      <c r="C95" s="59"/>
      <c r="D95" s="59"/>
    </row>
    <row r="96" spans="3:4" x14ac:dyDescent="0.2">
      <c r="C96" s="59"/>
      <c r="D96" s="59"/>
    </row>
    <row r="97" spans="3:4" x14ac:dyDescent="0.2">
      <c r="C97" s="59"/>
      <c r="D97" s="59"/>
    </row>
    <row r="98" spans="3:4" x14ac:dyDescent="0.2">
      <c r="C98" s="59"/>
      <c r="D98" s="59"/>
    </row>
    <row r="99" spans="3:4" x14ac:dyDescent="0.2">
      <c r="C99" s="59"/>
      <c r="D99" s="59"/>
    </row>
    <row r="100" spans="3:4" x14ac:dyDescent="0.2">
      <c r="C100" s="59"/>
      <c r="D100" s="59"/>
    </row>
    <row r="101" spans="3:4" x14ac:dyDescent="0.2">
      <c r="C101" s="59"/>
      <c r="D101" s="59"/>
    </row>
    <row r="102" spans="3:4" x14ac:dyDescent="0.2">
      <c r="C102" s="59"/>
      <c r="D102" s="59"/>
    </row>
    <row r="103" spans="3:4" x14ac:dyDescent="0.2">
      <c r="C103" s="59"/>
      <c r="D103" s="59"/>
    </row>
    <row r="104" spans="3:4" x14ac:dyDescent="0.2">
      <c r="C104" s="59"/>
      <c r="D104" s="59"/>
    </row>
    <row r="105" spans="3:4" x14ac:dyDescent="0.2">
      <c r="C105" s="59"/>
      <c r="D105" s="59"/>
    </row>
    <row r="106" spans="3:4" x14ac:dyDescent="0.2">
      <c r="C106" s="59"/>
      <c r="D106" s="59"/>
    </row>
    <row r="107" spans="3:4" x14ac:dyDescent="0.2">
      <c r="C107" s="59"/>
      <c r="D107" s="59"/>
    </row>
    <row r="108" spans="3:4" x14ac:dyDescent="0.2">
      <c r="C108" s="59"/>
      <c r="D108" s="59"/>
    </row>
    <row r="109" spans="3:4" x14ac:dyDescent="0.2">
      <c r="C109" s="59"/>
      <c r="D109" s="59"/>
    </row>
    <row r="110" spans="3:4" x14ac:dyDescent="0.2">
      <c r="C110" s="59"/>
      <c r="D110" s="59"/>
    </row>
    <row r="111" spans="3:4" x14ac:dyDescent="0.2">
      <c r="C111" s="59"/>
      <c r="D111" s="59"/>
    </row>
    <row r="112" spans="3:4" x14ac:dyDescent="0.2">
      <c r="C112" s="59"/>
      <c r="D112" s="59"/>
    </row>
    <row r="113" spans="3:4" x14ac:dyDescent="0.2">
      <c r="C113" s="59"/>
      <c r="D113" s="59"/>
    </row>
    <row r="114" spans="3:4" x14ac:dyDescent="0.2">
      <c r="C114" s="59"/>
      <c r="D114" s="59"/>
    </row>
    <row r="115" spans="3:4" x14ac:dyDescent="0.2">
      <c r="C115" s="59"/>
      <c r="D115" s="59"/>
    </row>
    <row r="116" spans="3:4" x14ac:dyDescent="0.2">
      <c r="C116" s="59"/>
      <c r="D116" s="59"/>
    </row>
    <row r="117" spans="3:4" x14ac:dyDescent="0.2">
      <c r="C117" s="59"/>
      <c r="D117" s="59"/>
    </row>
    <row r="118" spans="3:4" x14ac:dyDescent="0.2">
      <c r="C118" s="59"/>
      <c r="D118" s="59"/>
    </row>
    <row r="119" spans="3:4" x14ac:dyDescent="0.2">
      <c r="C119" s="59"/>
      <c r="D119" s="59"/>
    </row>
    <row r="120" spans="3:4" x14ac:dyDescent="0.2">
      <c r="C120" s="59"/>
      <c r="D120" s="59"/>
    </row>
    <row r="121" spans="3:4" x14ac:dyDescent="0.2">
      <c r="C121" s="59"/>
      <c r="D121" s="59"/>
    </row>
    <row r="122" spans="3:4" x14ac:dyDescent="0.2">
      <c r="C122" s="59"/>
      <c r="D122" s="59"/>
    </row>
    <row r="123" spans="3:4" x14ac:dyDescent="0.2">
      <c r="C123" s="59"/>
      <c r="D123" s="59"/>
    </row>
    <row r="124" spans="3:4" x14ac:dyDescent="0.2">
      <c r="C124" s="59"/>
      <c r="D124" s="59"/>
    </row>
    <row r="125" spans="3:4" x14ac:dyDescent="0.2">
      <c r="C125" s="59"/>
      <c r="D125" s="59"/>
    </row>
    <row r="126" spans="3:4" x14ac:dyDescent="0.2">
      <c r="C126" s="59"/>
      <c r="D126" s="59"/>
    </row>
    <row r="127" spans="3:4" x14ac:dyDescent="0.2">
      <c r="C127" s="59"/>
      <c r="D127" s="59"/>
    </row>
    <row r="128" spans="3:4" x14ac:dyDescent="0.2">
      <c r="C128" s="59"/>
      <c r="D128" s="59"/>
    </row>
    <row r="129" spans="3:4" x14ac:dyDescent="0.2">
      <c r="C129" s="59"/>
      <c r="D129" s="59"/>
    </row>
    <row r="130" spans="3:4" x14ac:dyDescent="0.2">
      <c r="C130" s="59"/>
      <c r="D130" s="59"/>
    </row>
    <row r="131" spans="3:4" x14ac:dyDescent="0.2">
      <c r="C131" s="59"/>
      <c r="D131" s="59"/>
    </row>
    <row r="132" spans="3:4" x14ac:dyDescent="0.2">
      <c r="C132" s="59"/>
      <c r="D132" s="59"/>
    </row>
    <row r="133" spans="3:4" x14ac:dyDescent="0.2">
      <c r="C133" s="59"/>
      <c r="D133" s="59"/>
    </row>
    <row r="134" spans="3:4" x14ac:dyDescent="0.2">
      <c r="C134" s="59"/>
      <c r="D134" s="59"/>
    </row>
    <row r="135" spans="3:4" x14ac:dyDescent="0.2">
      <c r="C135" s="59"/>
      <c r="D135" s="59"/>
    </row>
    <row r="136" spans="3:4" x14ac:dyDescent="0.2">
      <c r="C136" s="59"/>
      <c r="D136" s="59"/>
    </row>
    <row r="137" spans="3:4" x14ac:dyDescent="0.2">
      <c r="C137" s="59"/>
      <c r="D137" s="59"/>
    </row>
    <row r="138" spans="3:4" x14ac:dyDescent="0.2">
      <c r="C138" s="59"/>
      <c r="D138" s="59"/>
    </row>
    <row r="139" spans="3:4" x14ac:dyDescent="0.2">
      <c r="C139" s="59"/>
      <c r="D139" s="59"/>
    </row>
    <row r="140" spans="3:4" x14ac:dyDescent="0.2">
      <c r="C140" s="59"/>
      <c r="D140" s="59"/>
    </row>
    <row r="141" spans="3:4" x14ac:dyDescent="0.2">
      <c r="C141" s="59"/>
      <c r="D141" s="59"/>
    </row>
    <row r="142" spans="3:4" x14ac:dyDescent="0.2">
      <c r="C142" s="59"/>
      <c r="D142" s="59"/>
    </row>
    <row r="143" spans="3:4" x14ac:dyDescent="0.2">
      <c r="C143" s="59"/>
      <c r="D143" s="59"/>
    </row>
    <row r="144" spans="3:4" x14ac:dyDescent="0.2">
      <c r="C144" s="59"/>
      <c r="D144" s="59"/>
    </row>
    <row r="145" spans="3:4" x14ac:dyDescent="0.2">
      <c r="C145" s="59"/>
      <c r="D145" s="59"/>
    </row>
    <row r="146" spans="3:4" x14ac:dyDescent="0.2">
      <c r="C146" s="59"/>
      <c r="D146" s="59"/>
    </row>
    <row r="147" spans="3:4" x14ac:dyDescent="0.2">
      <c r="C147" s="59"/>
      <c r="D147" s="59"/>
    </row>
    <row r="148" spans="3:4" x14ac:dyDescent="0.2">
      <c r="C148" s="59"/>
      <c r="D148" s="59"/>
    </row>
    <row r="149" spans="3:4" x14ac:dyDescent="0.2">
      <c r="C149" s="59"/>
      <c r="D149" s="59"/>
    </row>
    <row r="150" spans="3:4" x14ac:dyDescent="0.2">
      <c r="C150" s="59"/>
      <c r="D150" s="59"/>
    </row>
  </sheetData>
  <pageMargins left="0.7" right="0.7" top="0.75" bottom="0.75" header="0.3" footer="0.3"/>
  <pageSetup paperSize="9" orientation="portrait" horizontalDpi="0" verticalDpi="0"/>
  <legacyDrawing r:id="rId1"/>
</worksheet>
</file>

<file path=xl/worksheets/sheet7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900-000000000000}">
  <dimension ref="A1:L154"/>
  <sheetViews>
    <sheetView zoomScale="86" zoomScaleNormal="130" workbookViewId="0">
      <pane xSplit="2" ySplit="1" topLeftCell="C6" activePane="bottomRight" state="frozen"/>
      <selection pane="topRight" activeCell="C1" sqref="C1"/>
      <selection pane="bottomLeft" activeCell="A2" sqref="A2"/>
      <selection pane="bottomRight" activeCell="C1" sqref="C1"/>
    </sheetView>
  </sheetViews>
  <sheetFormatPr baseColWidth="10" defaultColWidth="11" defaultRowHeight="16" x14ac:dyDescent="0.2"/>
  <cols>
    <col min="1" max="1" width="27.5" bestFit="1" customWidth="1"/>
    <col min="2" max="2" width="0" hidden="1"/>
    <col min="3" max="6" width="10.1640625" bestFit="1" customWidth="1"/>
    <col min="7" max="7" width="13" customWidth="1"/>
    <col min="8" max="8" width="12.1640625" customWidth="1"/>
  </cols>
  <sheetData>
    <row r="1" spans="1:7" x14ac:dyDescent="0.2">
      <c r="B1" s="46" t="s">
        <v>0</v>
      </c>
      <c r="C1" s="80" t="s">
        <v>1</v>
      </c>
      <c r="D1" s="80" t="s">
        <v>2</v>
      </c>
      <c r="E1" s="81" t="s">
        <v>3</v>
      </c>
      <c r="F1" s="81" t="s">
        <v>4</v>
      </c>
      <c r="G1" s="81" t="s">
        <v>5</v>
      </c>
    </row>
    <row r="2" spans="1:7" x14ac:dyDescent="0.2">
      <c r="A2" t="s">
        <v>17</v>
      </c>
      <c r="B2" s="82"/>
      <c r="C2" s="66"/>
      <c r="D2" s="67"/>
      <c r="E2" s="71"/>
      <c r="F2" s="39">
        <v>24990000</v>
      </c>
      <c r="G2" s="37"/>
    </row>
    <row r="3" spans="1:7" x14ac:dyDescent="0.2">
      <c r="A3" t="s">
        <v>18</v>
      </c>
      <c r="B3" s="82"/>
      <c r="C3" s="66"/>
      <c r="D3" s="67"/>
      <c r="E3" s="71"/>
      <c r="F3" s="39">
        <v>31990000</v>
      </c>
      <c r="G3" s="37"/>
    </row>
    <row r="4" spans="1:7" x14ac:dyDescent="0.2">
      <c r="A4" t="s">
        <v>19</v>
      </c>
      <c r="B4" s="82"/>
      <c r="C4" s="66"/>
      <c r="D4" s="67"/>
      <c r="E4" s="71"/>
      <c r="F4" s="39">
        <v>34990000</v>
      </c>
      <c r="G4" s="37"/>
    </row>
    <row r="5" spans="1:7" x14ac:dyDescent="0.2">
      <c r="A5" t="s">
        <v>20</v>
      </c>
      <c r="B5" s="82"/>
      <c r="C5" s="66"/>
      <c r="D5" s="67"/>
      <c r="E5" s="71"/>
      <c r="F5" s="39">
        <v>37990000</v>
      </c>
      <c r="G5" s="37"/>
    </row>
    <row r="6" spans="1:7" x14ac:dyDescent="0.2">
      <c r="A6" t="s">
        <v>21</v>
      </c>
      <c r="B6" s="82"/>
      <c r="C6" s="66">
        <v>15990000</v>
      </c>
      <c r="D6" s="67">
        <v>15990000</v>
      </c>
      <c r="E6" s="71">
        <v>15990000</v>
      </c>
      <c r="F6" s="39">
        <v>15590000</v>
      </c>
      <c r="G6" s="37">
        <v>14990000</v>
      </c>
    </row>
    <row r="7" spans="1:7" x14ac:dyDescent="0.2">
      <c r="A7" t="s">
        <v>181</v>
      </c>
      <c r="B7" s="70"/>
      <c r="C7" s="68">
        <v>18890000</v>
      </c>
      <c r="D7" s="69">
        <v>18890000</v>
      </c>
      <c r="E7" s="71">
        <v>18490000</v>
      </c>
      <c r="F7" s="39">
        <v>18790000</v>
      </c>
      <c r="G7" s="39">
        <v>18590000</v>
      </c>
    </row>
    <row r="8" spans="1:7" x14ac:dyDescent="0.2">
      <c r="A8" t="s">
        <v>24</v>
      </c>
      <c r="B8" s="3"/>
      <c r="C8" s="52">
        <v>21990000</v>
      </c>
      <c r="D8" s="63">
        <v>21990000</v>
      </c>
      <c r="E8" s="39">
        <v>21690000</v>
      </c>
      <c r="F8" s="39">
        <v>21890000</v>
      </c>
      <c r="G8" s="39">
        <v>21690000</v>
      </c>
    </row>
    <row r="9" spans="1:7" x14ac:dyDescent="0.2">
      <c r="A9" t="s">
        <v>182</v>
      </c>
      <c r="B9" s="25"/>
      <c r="C9" s="52">
        <v>24990000</v>
      </c>
      <c r="D9" s="61">
        <v>24990000</v>
      </c>
      <c r="E9" s="39">
        <v>24290000</v>
      </c>
      <c r="F9" s="39">
        <v>24890000</v>
      </c>
      <c r="G9" s="39">
        <v>24590000</v>
      </c>
    </row>
    <row r="10" spans="1:7" x14ac:dyDescent="0.2">
      <c r="A10" t="s">
        <v>183</v>
      </c>
      <c r="B10" s="3"/>
      <c r="C10" s="52">
        <v>30090000</v>
      </c>
      <c r="D10" s="63">
        <v>29990000</v>
      </c>
      <c r="E10" s="39">
        <v>29690000</v>
      </c>
      <c r="F10" s="39">
        <v>29990000</v>
      </c>
      <c r="G10" s="37">
        <v>29490000</v>
      </c>
    </row>
    <row r="11" spans="1:7" x14ac:dyDescent="0.2">
      <c r="A11" t="s">
        <v>25</v>
      </c>
      <c r="B11" s="25"/>
      <c r="C11" s="52">
        <v>15290000</v>
      </c>
      <c r="D11" s="63">
        <v>15290000</v>
      </c>
      <c r="E11" s="25">
        <v>15190000</v>
      </c>
      <c r="F11" s="39">
        <v>15190000</v>
      </c>
      <c r="G11" s="39">
        <v>15090000</v>
      </c>
    </row>
    <row r="12" spans="1:7" x14ac:dyDescent="0.2">
      <c r="A12" t="s">
        <v>26</v>
      </c>
      <c r="B12" s="25"/>
      <c r="C12" s="53">
        <v>18590000</v>
      </c>
      <c r="D12" s="61">
        <v>18790000</v>
      </c>
      <c r="E12" s="25">
        <v>18790000</v>
      </c>
      <c r="F12" s="39">
        <v>18790000</v>
      </c>
      <c r="G12" s="39">
        <v>18490000</v>
      </c>
    </row>
    <row r="13" spans="1:7" x14ac:dyDescent="0.2">
      <c r="A13" t="s">
        <v>158</v>
      </c>
      <c r="B13" s="3"/>
      <c r="C13" s="52">
        <v>29390000</v>
      </c>
      <c r="D13" s="63">
        <v>26990000</v>
      </c>
      <c r="E13" s="39" t="s">
        <v>22</v>
      </c>
      <c r="F13" s="39" t="s">
        <v>22</v>
      </c>
      <c r="G13" s="39">
        <v>26990000</v>
      </c>
    </row>
    <row r="14" spans="1:7" x14ac:dyDescent="0.2">
      <c r="A14" t="s">
        <v>92</v>
      </c>
      <c r="B14" s="3"/>
      <c r="C14" s="51" t="s">
        <v>22</v>
      </c>
      <c r="D14" s="62" t="s">
        <v>22</v>
      </c>
      <c r="E14" s="42" t="s">
        <v>22</v>
      </c>
      <c r="F14" s="42" t="s">
        <v>22</v>
      </c>
      <c r="G14" s="39">
        <v>17490000</v>
      </c>
    </row>
    <row r="15" spans="1:7" x14ac:dyDescent="0.2">
      <c r="A15" t="s">
        <v>27</v>
      </c>
      <c r="B15" s="25"/>
      <c r="C15" s="52">
        <v>12390000</v>
      </c>
      <c r="D15" s="61">
        <v>12390000</v>
      </c>
      <c r="E15" s="25">
        <v>12290000</v>
      </c>
      <c r="F15" s="38">
        <v>12390000</v>
      </c>
      <c r="G15" s="39">
        <v>12190000</v>
      </c>
    </row>
    <row r="16" spans="1:7" x14ac:dyDescent="0.2">
      <c r="A16" t="s">
        <v>28</v>
      </c>
      <c r="B16" s="3"/>
      <c r="C16" s="52">
        <v>11590000</v>
      </c>
      <c r="D16" s="52">
        <v>11490000</v>
      </c>
      <c r="E16" s="39">
        <v>11390000</v>
      </c>
      <c r="F16" s="34">
        <v>11290000</v>
      </c>
      <c r="G16" s="39">
        <v>11190000</v>
      </c>
    </row>
    <row r="17" spans="1:12" x14ac:dyDescent="0.2">
      <c r="A17" t="s">
        <v>29</v>
      </c>
      <c r="B17" s="25"/>
      <c r="C17" s="53">
        <v>13590000</v>
      </c>
      <c r="D17" s="61">
        <v>13590000</v>
      </c>
      <c r="E17" s="61">
        <v>13652000</v>
      </c>
      <c r="F17" s="34">
        <v>13490000</v>
      </c>
      <c r="G17" s="39">
        <v>11590000</v>
      </c>
    </row>
    <row r="18" spans="1:12" x14ac:dyDescent="0.2">
      <c r="A18" t="s">
        <v>30</v>
      </c>
      <c r="B18" s="3"/>
      <c r="C18" s="53">
        <v>9690000</v>
      </c>
      <c r="D18" s="63">
        <v>8490000</v>
      </c>
      <c r="E18" s="61">
        <v>9296000</v>
      </c>
      <c r="F18" s="34">
        <v>9590000</v>
      </c>
      <c r="G18" s="37">
        <v>9490000</v>
      </c>
      <c r="H18" s="26"/>
      <c r="J18" t="s">
        <v>31</v>
      </c>
      <c r="K18" t="s">
        <v>38</v>
      </c>
      <c r="L18" t="b">
        <v>0</v>
      </c>
    </row>
    <row r="19" spans="1:12" x14ac:dyDescent="0.2">
      <c r="A19" t="s">
        <v>33</v>
      </c>
      <c r="B19" s="3"/>
      <c r="C19" s="53">
        <v>16290000</v>
      </c>
      <c r="D19" s="61">
        <v>16190000</v>
      </c>
      <c r="E19" s="61">
        <v>15830000</v>
      </c>
      <c r="F19" s="34">
        <v>16090000</v>
      </c>
      <c r="G19" s="37">
        <v>15990000</v>
      </c>
      <c r="J19" t="s">
        <v>2</v>
      </c>
      <c r="K19" t="s">
        <v>198</v>
      </c>
      <c r="L19" t="b">
        <v>0</v>
      </c>
    </row>
    <row r="20" spans="1:12" x14ac:dyDescent="0.2">
      <c r="A20" t="s">
        <v>37</v>
      </c>
      <c r="B20" s="25"/>
      <c r="C20" s="53">
        <v>21690000</v>
      </c>
      <c r="D20" s="61">
        <v>21690000</v>
      </c>
      <c r="E20" s="25">
        <v>20490000</v>
      </c>
      <c r="F20" s="34">
        <v>21690000</v>
      </c>
      <c r="G20" s="37">
        <v>21490000</v>
      </c>
      <c r="J20" t="s">
        <v>3</v>
      </c>
      <c r="K20" t="s">
        <v>36</v>
      </c>
      <c r="L20" t="b">
        <v>0</v>
      </c>
    </row>
    <row r="21" spans="1:12" x14ac:dyDescent="0.2">
      <c r="A21" t="s">
        <v>184</v>
      </c>
      <c r="B21" s="25"/>
      <c r="C21" s="53">
        <v>26990000</v>
      </c>
      <c r="D21" s="61">
        <v>26890000</v>
      </c>
      <c r="E21" s="25">
        <v>26290000</v>
      </c>
      <c r="F21" s="34">
        <v>26790000</v>
      </c>
      <c r="G21" s="39">
        <v>25890000</v>
      </c>
      <c r="J21" t="s">
        <v>4</v>
      </c>
      <c r="K21" t="s">
        <v>34</v>
      </c>
      <c r="L21" t="b">
        <v>1</v>
      </c>
    </row>
    <row r="22" spans="1:12" x14ac:dyDescent="0.2">
      <c r="A22" t="s">
        <v>185</v>
      </c>
      <c r="B22" s="3"/>
      <c r="C22" s="53">
        <v>36090000</v>
      </c>
      <c r="D22" s="61">
        <v>35990000</v>
      </c>
      <c r="E22" s="25">
        <v>35290000</v>
      </c>
      <c r="F22" s="34">
        <v>36290000</v>
      </c>
      <c r="G22" s="37">
        <v>33690000</v>
      </c>
      <c r="J22" t="s">
        <v>41</v>
      </c>
      <c r="K22" t="s">
        <v>42</v>
      </c>
      <c r="L22" t="b">
        <v>0</v>
      </c>
    </row>
    <row r="23" spans="1:12" x14ac:dyDescent="0.2">
      <c r="A23" t="s">
        <v>227</v>
      </c>
      <c r="B23" s="25"/>
      <c r="C23" s="52">
        <v>5790000</v>
      </c>
      <c r="D23" s="63">
        <v>5690000</v>
      </c>
      <c r="E23" s="25">
        <v>5732000</v>
      </c>
      <c r="F23" s="38">
        <v>5590000</v>
      </c>
      <c r="G23" s="3">
        <v>5890000</v>
      </c>
    </row>
    <row r="24" spans="1:12" x14ac:dyDescent="0.2">
      <c r="A24" t="s">
        <v>228</v>
      </c>
      <c r="B24" s="25"/>
      <c r="C24" s="52">
        <v>6990000</v>
      </c>
      <c r="D24" s="63">
        <v>6990000</v>
      </c>
      <c r="E24" s="25">
        <v>6920000</v>
      </c>
      <c r="F24" s="38">
        <v>6990000</v>
      </c>
      <c r="G24" s="37">
        <v>7190000</v>
      </c>
    </row>
    <row r="25" spans="1:12" x14ac:dyDescent="0.2">
      <c r="A25" t="s">
        <v>229</v>
      </c>
      <c r="B25" s="25"/>
      <c r="C25" s="52">
        <v>6490000</v>
      </c>
      <c r="D25" s="63">
        <v>6490000</v>
      </c>
      <c r="E25" s="25">
        <v>6128000</v>
      </c>
      <c r="F25" s="38">
        <v>6290000</v>
      </c>
      <c r="G25" s="37">
        <v>6790000</v>
      </c>
    </row>
    <row r="26" spans="1:12" x14ac:dyDescent="0.2">
      <c r="A26" t="s">
        <v>230</v>
      </c>
      <c r="B26" s="25"/>
      <c r="C26" s="51" t="s">
        <v>22</v>
      </c>
      <c r="D26" s="63">
        <v>7790000</v>
      </c>
      <c r="E26" s="25">
        <v>7712000</v>
      </c>
      <c r="F26" s="38">
        <v>7790000</v>
      </c>
      <c r="G26" s="37">
        <v>7790000</v>
      </c>
    </row>
    <row r="27" spans="1:12" x14ac:dyDescent="0.2">
      <c r="A27" t="s">
        <v>213</v>
      </c>
      <c r="B27" s="25"/>
      <c r="C27" s="52">
        <v>10590000</v>
      </c>
      <c r="D27" s="63">
        <v>10490000</v>
      </c>
      <c r="E27" s="25">
        <v>10187000</v>
      </c>
      <c r="F27" s="38">
        <v>10390000</v>
      </c>
      <c r="G27" s="39">
        <v>10390000</v>
      </c>
      <c r="H27" s="26"/>
    </row>
    <row r="28" spans="1:12" x14ac:dyDescent="0.2">
      <c r="A28" t="s">
        <v>214</v>
      </c>
      <c r="B28" s="25"/>
      <c r="C28" s="63" t="s">
        <v>22</v>
      </c>
      <c r="D28" s="63">
        <v>12790000</v>
      </c>
      <c r="E28" s="25">
        <v>12860000</v>
      </c>
      <c r="F28" s="38">
        <v>12990000</v>
      </c>
      <c r="G28" s="39">
        <v>12890000</v>
      </c>
    </row>
    <row r="29" spans="1:12" x14ac:dyDescent="0.2">
      <c r="A29" t="s">
        <v>215</v>
      </c>
      <c r="B29" s="25"/>
      <c r="C29" s="52">
        <v>11390000</v>
      </c>
      <c r="D29" s="63">
        <v>11290000</v>
      </c>
      <c r="E29" s="25">
        <v>10880000</v>
      </c>
      <c r="F29" s="38">
        <v>11290000</v>
      </c>
      <c r="G29" s="39">
        <v>10990000</v>
      </c>
      <c r="H29" s="26"/>
      <c r="I29" s="26"/>
    </row>
    <row r="30" spans="1:12" x14ac:dyDescent="0.2">
      <c r="A30" t="s">
        <v>217</v>
      </c>
      <c r="B30" s="3"/>
      <c r="C30" s="52">
        <v>13890000</v>
      </c>
      <c r="D30" s="63">
        <v>13690000</v>
      </c>
      <c r="E30" s="25">
        <v>13553000</v>
      </c>
      <c r="F30" s="38">
        <v>13890000</v>
      </c>
      <c r="G30" s="39">
        <v>13590000</v>
      </c>
    </row>
    <row r="31" spans="1:12" x14ac:dyDescent="0.2">
      <c r="A31" t="s">
        <v>172</v>
      </c>
      <c r="B31" s="25"/>
      <c r="C31" s="52">
        <v>21890000</v>
      </c>
      <c r="D31" s="63">
        <v>21890000</v>
      </c>
      <c r="E31" s="25">
        <v>21790000</v>
      </c>
      <c r="F31" s="39">
        <v>21590000</v>
      </c>
      <c r="G31" s="39">
        <v>22990000</v>
      </c>
    </row>
    <row r="32" spans="1:12" x14ac:dyDescent="0.2">
      <c r="A32" t="s">
        <v>53</v>
      </c>
      <c r="B32" s="3"/>
      <c r="C32" s="52">
        <v>5590000</v>
      </c>
      <c r="D32" s="63">
        <v>5590000</v>
      </c>
      <c r="E32" s="25">
        <v>5534000</v>
      </c>
      <c r="F32" s="39">
        <v>5590000</v>
      </c>
      <c r="G32" s="39">
        <v>5590000</v>
      </c>
    </row>
    <row r="33" spans="1:7" x14ac:dyDescent="0.2">
      <c r="A33" t="s">
        <v>54</v>
      </c>
      <c r="B33" s="3"/>
      <c r="C33" s="52">
        <v>4690000</v>
      </c>
      <c r="D33" s="63">
        <v>4490000</v>
      </c>
      <c r="E33" s="25">
        <v>4346000</v>
      </c>
      <c r="F33" s="37">
        <v>4590000</v>
      </c>
      <c r="G33" s="37">
        <v>4490000</v>
      </c>
    </row>
    <row r="34" spans="1:7" x14ac:dyDescent="0.2">
      <c r="A34" t="s">
        <v>55</v>
      </c>
      <c r="B34" s="3"/>
      <c r="C34" s="52">
        <v>3390000</v>
      </c>
      <c r="D34" s="63">
        <v>3290000</v>
      </c>
      <c r="E34" s="25">
        <v>3190000</v>
      </c>
      <c r="F34" s="37">
        <v>3490000</v>
      </c>
      <c r="G34" s="37">
        <v>3290000</v>
      </c>
    </row>
    <row r="35" spans="1:7" x14ac:dyDescent="0.2">
      <c r="A35" t="s">
        <v>175</v>
      </c>
      <c r="B35" s="3"/>
      <c r="C35" s="53">
        <v>16990000</v>
      </c>
      <c r="D35" s="63" t="s">
        <v>22</v>
      </c>
      <c r="E35" s="36"/>
      <c r="F35" s="38">
        <v>17190000</v>
      </c>
      <c r="G35" s="39">
        <v>16890000</v>
      </c>
    </row>
    <row r="36" spans="1:7" x14ac:dyDescent="0.2">
      <c r="A36" t="s">
        <v>186</v>
      </c>
      <c r="B36" s="25"/>
      <c r="C36" s="52">
        <v>19590000</v>
      </c>
      <c r="D36" s="63">
        <v>19590000</v>
      </c>
      <c r="E36" s="36"/>
      <c r="F36" s="34">
        <v>19790000</v>
      </c>
      <c r="G36" s="39">
        <v>19490000</v>
      </c>
    </row>
    <row r="37" spans="1:7" x14ac:dyDescent="0.2">
      <c r="A37" t="s">
        <v>232</v>
      </c>
      <c r="B37" s="3"/>
      <c r="C37" s="51" t="s">
        <v>22</v>
      </c>
      <c r="D37" s="63">
        <v>23990000</v>
      </c>
      <c r="E37" s="36"/>
      <c r="F37" s="38" t="s">
        <v>22</v>
      </c>
      <c r="G37" s="39">
        <v>25290000</v>
      </c>
    </row>
    <row r="38" spans="1:7" x14ac:dyDescent="0.2">
      <c r="A38" t="s">
        <v>59</v>
      </c>
      <c r="B38" s="3"/>
      <c r="C38" s="53">
        <v>25090000</v>
      </c>
      <c r="D38" s="61">
        <v>24990000</v>
      </c>
      <c r="E38" s="36"/>
      <c r="F38" s="34">
        <v>24990000</v>
      </c>
      <c r="G38" s="37">
        <v>24990000</v>
      </c>
    </row>
    <row r="39" spans="1:7" x14ac:dyDescent="0.2">
      <c r="A39" t="s">
        <v>61</v>
      </c>
      <c r="B39" s="25"/>
      <c r="C39" s="63">
        <v>29490000</v>
      </c>
      <c r="D39" s="61">
        <v>30490000</v>
      </c>
      <c r="E39" s="36"/>
      <c r="F39" s="34">
        <v>29290000</v>
      </c>
      <c r="G39" s="37">
        <v>29290000</v>
      </c>
    </row>
    <row r="40" spans="1:7" x14ac:dyDescent="0.2">
      <c r="A40" t="s">
        <v>187</v>
      </c>
      <c r="B40" s="25"/>
      <c r="C40" s="52">
        <v>38290000</v>
      </c>
      <c r="D40" s="63">
        <v>38190000</v>
      </c>
      <c r="E40" s="36"/>
      <c r="F40" s="39">
        <v>37590000</v>
      </c>
      <c r="G40" s="37">
        <v>37590000</v>
      </c>
    </row>
    <row r="41" spans="1:7" x14ac:dyDescent="0.2">
      <c r="A41" t="s">
        <v>261</v>
      </c>
      <c r="B41" s="25"/>
      <c r="C41" s="52"/>
      <c r="D41" s="63">
        <v>64990000</v>
      </c>
      <c r="E41" s="36"/>
      <c r="F41" s="39"/>
      <c r="G41" s="39">
        <v>63990000</v>
      </c>
    </row>
    <row r="42" spans="1:7" x14ac:dyDescent="0.2">
      <c r="C42" s="59"/>
      <c r="D42" s="59"/>
    </row>
    <row r="43" spans="1:7" x14ac:dyDescent="0.2">
      <c r="C43" s="59"/>
      <c r="D43" s="59"/>
    </row>
    <row r="44" spans="1:7" x14ac:dyDescent="0.2">
      <c r="C44" s="59"/>
      <c r="D44" s="59"/>
    </row>
    <row r="45" spans="1:7" x14ac:dyDescent="0.2">
      <c r="C45" s="59"/>
      <c r="D45" s="59"/>
    </row>
    <row r="46" spans="1:7" x14ac:dyDescent="0.2">
      <c r="C46" s="59"/>
      <c r="D46" s="59"/>
    </row>
    <row r="47" spans="1:7" x14ac:dyDescent="0.2">
      <c r="C47" s="59"/>
      <c r="D47" s="59"/>
    </row>
    <row r="48" spans="1:7" x14ac:dyDescent="0.2">
      <c r="C48" s="59"/>
      <c r="D48" s="59"/>
    </row>
    <row r="49" spans="3:4" x14ac:dyDescent="0.2">
      <c r="C49" s="59"/>
      <c r="D49" s="59"/>
    </row>
    <row r="50" spans="3:4" x14ac:dyDescent="0.2">
      <c r="C50" s="59"/>
      <c r="D50" s="59"/>
    </row>
    <row r="51" spans="3:4" x14ac:dyDescent="0.2">
      <c r="C51" s="59"/>
      <c r="D51" s="59"/>
    </row>
    <row r="52" spans="3:4" x14ac:dyDescent="0.2">
      <c r="C52" s="59"/>
      <c r="D52" s="59"/>
    </row>
    <row r="53" spans="3:4" x14ac:dyDescent="0.2">
      <c r="C53" s="59"/>
      <c r="D53" s="59"/>
    </row>
    <row r="54" spans="3:4" x14ac:dyDescent="0.2">
      <c r="C54" s="59"/>
      <c r="D54" s="59"/>
    </row>
    <row r="55" spans="3:4" x14ac:dyDescent="0.2">
      <c r="C55" s="59"/>
      <c r="D55" s="59"/>
    </row>
    <row r="56" spans="3:4" x14ac:dyDescent="0.2">
      <c r="C56" s="59"/>
      <c r="D56" s="59"/>
    </row>
    <row r="57" spans="3:4" x14ac:dyDescent="0.2">
      <c r="C57" s="59"/>
      <c r="D57" s="59"/>
    </row>
    <row r="58" spans="3:4" x14ac:dyDescent="0.2">
      <c r="C58" s="59"/>
      <c r="D58" s="59"/>
    </row>
    <row r="59" spans="3:4" x14ac:dyDescent="0.2">
      <c r="C59" s="59"/>
      <c r="D59" s="59"/>
    </row>
    <row r="60" spans="3:4" x14ac:dyDescent="0.2">
      <c r="C60" s="59"/>
      <c r="D60" s="59"/>
    </row>
    <row r="61" spans="3:4" x14ac:dyDescent="0.2">
      <c r="C61" s="59"/>
      <c r="D61" s="59"/>
    </row>
    <row r="62" spans="3:4" x14ac:dyDescent="0.2">
      <c r="C62" s="59"/>
      <c r="D62" s="59"/>
    </row>
    <row r="63" spans="3:4" x14ac:dyDescent="0.2">
      <c r="C63" s="59"/>
      <c r="D63" s="59"/>
    </row>
    <row r="64" spans="3:4" x14ac:dyDescent="0.2">
      <c r="C64" s="59"/>
      <c r="D64" s="59"/>
    </row>
    <row r="65" spans="3:4" x14ac:dyDescent="0.2">
      <c r="C65" s="59"/>
      <c r="D65" s="59"/>
    </row>
    <row r="66" spans="3:4" x14ac:dyDescent="0.2">
      <c r="C66" s="59"/>
      <c r="D66" s="59"/>
    </row>
    <row r="67" spans="3:4" x14ac:dyDescent="0.2">
      <c r="C67" s="59"/>
      <c r="D67" s="59"/>
    </row>
    <row r="68" spans="3:4" x14ac:dyDescent="0.2">
      <c r="C68" s="59"/>
      <c r="D68" s="59"/>
    </row>
    <row r="69" spans="3:4" x14ac:dyDescent="0.2">
      <c r="C69" s="59"/>
      <c r="D69" s="59"/>
    </row>
    <row r="70" spans="3:4" x14ac:dyDescent="0.2">
      <c r="C70" s="59"/>
      <c r="D70" s="59"/>
    </row>
    <row r="71" spans="3:4" x14ac:dyDescent="0.2">
      <c r="C71" s="59"/>
      <c r="D71" s="59"/>
    </row>
    <row r="72" spans="3:4" x14ac:dyDescent="0.2">
      <c r="C72" s="59"/>
      <c r="D72" s="59"/>
    </row>
    <row r="73" spans="3:4" x14ac:dyDescent="0.2">
      <c r="C73" s="59"/>
      <c r="D73" s="59"/>
    </row>
    <row r="74" spans="3:4" x14ac:dyDescent="0.2">
      <c r="C74" s="59"/>
      <c r="D74" s="59"/>
    </row>
    <row r="75" spans="3:4" x14ac:dyDescent="0.2">
      <c r="C75" s="59"/>
      <c r="D75" s="59"/>
    </row>
    <row r="76" spans="3:4" x14ac:dyDescent="0.2">
      <c r="C76" s="59"/>
      <c r="D76" s="59"/>
    </row>
    <row r="77" spans="3:4" x14ac:dyDescent="0.2">
      <c r="C77" s="59"/>
      <c r="D77" s="59"/>
    </row>
    <row r="78" spans="3:4" x14ac:dyDescent="0.2">
      <c r="C78" s="59"/>
      <c r="D78" s="59"/>
    </row>
    <row r="79" spans="3:4" x14ac:dyDescent="0.2">
      <c r="C79" s="59"/>
      <c r="D79" s="59"/>
    </row>
    <row r="80" spans="3:4" x14ac:dyDescent="0.2">
      <c r="C80" s="59"/>
      <c r="D80" s="59"/>
    </row>
    <row r="81" spans="3:4" x14ac:dyDescent="0.2">
      <c r="C81" s="59"/>
      <c r="D81" s="59"/>
    </row>
    <row r="82" spans="3:4" x14ac:dyDescent="0.2">
      <c r="C82" s="59"/>
      <c r="D82" s="59"/>
    </row>
    <row r="83" spans="3:4" x14ac:dyDescent="0.2">
      <c r="C83" s="59"/>
      <c r="D83" s="59"/>
    </row>
    <row r="84" spans="3:4" x14ac:dyDescent="0.2">
      <c r="C84" s="59"/>
      <c r="D84" s="59"/>
    </row>
    <row r="85" spans="3:4" x14ac:dyDescent="0.2">
      <c r="C85" s="59"/>
      <c r="D85" s="59"/>
    </row>
    <row r="86" spans="3:4" x14ac:dyDescent="0.2">
      <c r="C86" s="59"/>
      <c r="D86" s="59"/>
    </row>
    <row r="87" spans="3:4" x14ac:dyDescent="0.2">
      <c r="C87" s="59"/>
      <c r="D87" s="59"/>
    </row>
    <row r="88" spans="3:4" x14ac:dyDescent="0.2">
      <c r="C88" s="59"/>
      <c r="D88" s="59"/>
    </row>
    <row r="89" spans="3:4" x14ac:dyDescent="0.2">
      <c r="C89" s="59"/>
      <c r="D89" s="59"/>
    </row>
    <row r="90" spans="3:4" x14ac:dyDescent="0.2">
      <c r="C90" s="59"/>
      <c r="D90" s="59"/>
    </row>
    <row r="91" spans="3:4" x14ac:dyDescent="0.2">
      <c r="C91" s="59"/>
      <c r="D91" s="59"/>
    </row>
    <row r="92" spans="3:4" x14ac:dyDescent="0.2">
      <c r="C92" s="59"/>
      <c r="D92" s="59"/>
    </row>
    <row r="93" spans="3:4" x14ac:dyDescent="0.2">
      <c r="C93" s="59"/>
      <c r="D93" s="59"/>
    </row>
    <row r="94" spans="3:4" x14ac:dyDescent="0.2">
      <c r="C94" s="59"/>
      <c r="D94" s="59"/>
    </row>
    <row r="95" spans="3:4" x14ac:dyDescent="0.2">
      <c r="C95" s="59"/>
      <c r="D95" s="59"/>
    </row>
    <row r="96" spans="3:4" x14ac:dyDescent="0.2">
      <c r="C96" s="59"/>
      <c r="D96" s="59"/>
    </row>
    <row r="97" spans="3:4" x14ac:dyDescent="0.2">
      <c r="C97" s="59"/>
      <c r="D97" s="59"/>
    </row>
    <row r="98" spans="3:4" x14ac:dyDescent="0.2">
      <c r="C98" s="59"/>
      <c r="D98" s="59"/>
    </row>
    <row r="99" spans="3:4" x14ac:dyDescent="0.2">
      <c r="C99" s="59"/>
      <c r="D99" s="59"/>
    </row>
    <row r="100" spans="3:4" x14ac:dyDescent="0.2">
      <c r="C100" s="59"/>
      <c r="D100" s="59"/>
    </row>
    <row r="101" spans="3:4" x14ac:dyDescent="0.2">
      <c r="C101" s="59"/>
      <c r="D101" s="59"/>
    </row>
    <row r="102" spans="3:4" x14ac:dyDescent="0.2">
      <c r="C102" s="59"/>
      <c r="D102" s="59"/>
    </row>
    <row r="103" spans="3:4" x14ac:dyDescent="0.2">
      <c r="C103" s="59"/>
      <c r="D103" s="59"/>
    </row>
    <row r="104" spans="3:4" x14ac:dyDescent="0.2">
      <c r="C104" s="59"/>
      <c r="D104" s="59"/>
    </row>
    <row r="105" spans="3:4" x14ac:dyDescent="0.2">
      <c r="C105" s="59"/>
      <c r="D105" s="59"/>
    </row>
    <row r="106" spans="3:4" x14ac:dyDescent="0.2">
      <c r="C106" s="59"/>
      <c r="D106" s="59"/>
    </row>
    <row r="107" spans="3:4" x14ac:dyDescent="0.2">
      <c r="C107" s="59"/>
      <c r="D107" s="59"/>
    </row>
    <row r="108" spans="3:4" x14ac:dyDescent="0.2">
      <c r="C108" s="59"/>
      <c r="D108" s="59"/>
    </row>
    <row r="109" spans="3:4" x14ac:dyDescent="0.2">
      <c r="C109" s="59"/>
      <c r="D109" s="59"/>
    </row>
    <row r="110" spans="3:4" x14ac:dyDescent="0.2">
      <c r="C110" s="59"/>
      <c r="D110" s="59"/>
    </row>
    <row r="111" spans="3:4" x14ac:dyDescent="0.2">
      <c r="C111" s="59"/>
      <c r="D111" s="59"/>
    </row>
    <row r="112" spans="3:4" x14ac:dyDescent="0.2">
      <c r="C112" s="59"/>
      <c r="D112" s="59"/>
    </row>
    <row r="113" spans="3:4" x14ac:dyDescent="0.2">
      <c r="C113" s="59"/>
      <c r="D113" s="59"/>
    </row>
    <row r="114" spans="3:4" x14ac:dyDescent="0.2">
      <c r="C114" s="59"/>
      <c r="D114" s="59"/>
    </row>
    <row r="115" spans="3:4" x14ac:dyDescent="0.2">
      <c r="C115" s="59"/>
      <c r="D115" s="59"/>
    </row>
    <row r="116" spans="3:4" x14ac:dyDescent="0.2">
      <c r="C116" s="59"/>
      <c r="D116" s="59"/>
    </row>
    <row r="117" spans="3:4" x14ac:dyDescent="0.2">
      <c r="C117" s="59"/>
      <c r="D117" s="59"/>
    </row>
    <row r="118" spans="3:4" x14ac:dyDescent="0.2">
      <c r="C118" s="59"/>
      <c r="D118" s="59"/>
    </row>
    <row r="119" spans="3:4" x14ac:dyDescent="0.2">
      <c r="C119" s="59"/>
      <c r="D119" s="59"/>
    </row>
    <row r="120" spans="3:4" x14ac:dyDescent="0.2">
      <c r="C120" s="59"/>
      <c r="D120" s="59"/>
    </row>
    <row r="121" spans="3:4" x14ac:dyDescent="0.2">
      <c r="C121" s="59"/>
      <c r="D121" s="59"/>
    </row>
    <row r="122" spans="3:4" x14ac:dyDescent="0.2">
      <c r="C122" s="59"/>
      <c r="D122" s="59"/>
    </row>
    <row r="123" spans="3:4" x14ac:dyDescent="0.2">
      <c r="C123" s="59"/>
      <c r="D123" s="59"/>
    </row>
    <row r="124" spans="3:4" x14ac:dyDescent="0.2">
      <c r="C124" s="59"/>
      <c r="D124" s="59"/>
    </row>
    <row r="125" spans="3:4" x14ac:dyDescent="0.2">
      <c r="C125" s="59"/>
      <c r="D125" s="59"/>
    </row>
    <row r="126" spans="3:4" x14ac:dyDescent="0.2">
      <c r="C126" s="59"/>
      <c r="D126" s="59"/>
    </row>
    <row r="127" spans="3:4" x14ac:dyDescent="0.2">
      <c r="C127" s="59"/>
      <c r="D127" s="59"/>
    </row>
    <row r="128" spans="3:4" x14ac:dyDescent="0.2">
      <c r="C128" s="59"/>
      <c r="D128" s="59"/>
    </row>
    <row r="129" spans="3:4" x14ac:dyDescent="0.2">
      <c r="C129" s="59"/>
      <c r="D129" s="59"/>
    </row>
    <row r="130" spans="3:4" x14ac:dyDescent="0.2">
      <c r="C130" s="59"/>
      <c r="D130" s="59"/>
    </row>
    <row r="131" spans="3:4" x14ac:dyDescent="0.2">
      <c r="C131" s="59"/>
      <c r="D131" s="59"/>
    </row>
    <row r="132" spans="3:4" x14ac:dyDescent="0.2">
      <c r="C132" s="59"/>
      <c r="D132" s="59"/>
    </row>
    <row r="133" spans="3:4" x14ac:dyDescent="0.2">
      <c r="C133" s="59"/>
      <c r="D133" s="59"/>
    </row>
    <row r="134" spans="3:4" x14ac:dyDescent="0.2">
      <c r="C134" s="59"/>
      <c r="D134" s="59"/>
    </row>
    <row r="135" spans="3:4" x14ac:dyDescent="0.2">
      <c r="C135" s="59"/>
      <c r="D135" s="59"/>
    </row>
    <row r="136" spans="3:4" x14ac:dyDescent="0.2">
      <c r="C136" s="59"/>
      <c r="D136" s="59"/>
    </row>
    <row r="137" spans="3:4" x14ac:dyDescent="0.2">
      <c r="C137" s="59"/>
      <c r="D137" s="59"/>
    </row>
    <row r="138" spans="3:4" x14ac:dyDescent="0.2">
      <c r="C138" s="59"/>
      <c r="D138" s="59"/>
    </row>
    <row r="139" spans="3:4" x14ac:dyDescent="0.2">
      <c r="C139" s="59"/>
      <c r="D139" s="59"/>
    </row>
    <row r="140" spans="3:4" x14ac:dyDescent="0.2">
      <c r="C140" s="59"/>
      <c r="D140" s="59"/>
    </row>
    <row r="141" spans="3:4" x14ac:dyDescent="0.2">
      <c r="C141" s="59"/>
      <c r="D141" s="59"/>
    </row>
    <row r="142" spans="3:4" x14ac:dyDescent="0.2">
      <c r="C142" s="59"/>
      <c r="D142" s="59"/>
    </row>
    <row r="143" spans="3:4" x14ac:dyDescent="0.2">
      <c r="C143" s="59"/>
      <c r="D143" s="59"/>
    </row>
    <row r="144" spans="3:4" x14ac:dyDescent="0.2">
      <c r="C144" s="59"/>
      <c r="D144" s="59"/>
    </row>
    <row r="145" spans="3:4" x14ac:dyDescent="0.2">
      <c r="C145" s="59"/>
      <c r="D145" s="59"/>
    </row>
    <row r="146" spans="3:4" x14ac:dyDescent="0.2">
      <c r="C146" s="59"/>
      <c r="D146" s="59"/>
    </row>
    <row r="147" spans="3:4" x14ac:dyDescent="0.2">
      <c r="C147" s="59"/>
      <c r="D147" s="59"/>
    </row>
    <row r="148" spans="3:4" x14ac:dyDescent="0.2">
      <c r="C148" s="59"/>
      <c r="D148" s="59"/>
    </row>
    <row r="149" spans="3:4" x14ac:dyDescent="0.2">
      <c r="C149" s="59"/>
      <c r="D149" s="59"/>
    </row>
    <row r="150" spans="3:4" x14ac:dyDescent="0.2">
      <c r="C150" s="59"/>
      <c r="D150" s="59"/>
    </row>
    <row r="151" spans="3:4" x14ac:dyDescent="0.2">
      <c r="C151" s="59"/>
      <c r="D151" s="59"/>
    </row>
    <row r="152" spans="3:4" x14ac:dyDescent="0.2">
      <c r="C152" s="59"/>
      <c r="D152" s="59"/>
    </row>
    <row r="153" spans="3:4" x14ac:dyDescent="0.2">
      <c r="C153" s="59"/>
      <c r="D153" s="59"/>
    </row>
    <row r="154" spans="3:4" x14ac:dyDescent="0.2">
      <c r="C154" s="59"/>
      <c r="D154" s="59"/>
    </row>
  </sheetData>
  <pageMargins left="0.7" right="0.7" top="0.75" bottom="0.75" header="0.3" footer="0.3"/>
  <pageSetup paperSize="9" orientation="portrait" horizontalDpi="0" verticalDpi="0"/>
  <legacyDrawing r:id="rId1"/>
</worksheet>
</file>

<file path=xl/worksheets/sheet7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A00-000000000000}">
  <dimension ref="A1:L153"/>
  <sheetViews>
    <sheetView zoomScale="110" zoomScaleNormal="130" workbookViewId="0">
      <pane xSplit="2" ySplit="1" topLeftCell="C2" activePane="bottomRight" state="frozen"/>
      <selection pane="topRight" activeCell="C1" sqref="C1"/>
      <selection pane="bottomLeft" activeCell="A2" sqref="A2"/>
      <selection pane="bottomRight" activeCell="C1" sqref="C1"/>
    </sheetView>
  </sheetViews>
  <sheetFormatPr baseColWidth="10" defaultColWidth="11" defaultRowHeight="16" x14ac:dyDescent="0.2"/>
  <cols>
    <col min="1" max="1" width="27.5" bestFit="1" customWidth="1"/>
    <col min="2" max="2" width="0" hidden="1"/>
    <col min="3" max="6" width="10.1640625" bestFit="1" customWidth="1"/>
    <col min="7" max="7" width="13" customWidth="1"/>
    <col min="8" max="8" width="12.1640625" customWidth="1"/>
  </cols>
  <sheetData>
    <row r="1" spans="1:12" x14ac:dyDescent="0.2">
      <c r="B1" s="46" t="s">
        <v>0</v>
      </c>
      <c r="C1" s="80" t="s">
        <v>1</v>
      </c>
      <c r="D1" s="80" t="s">
        <v>2</v>
      </c>
      <c r="E1" s="81" t="s">
        <v>3</v>
      </c>
      <c r="F1" s="81" t="s">
        <v>4</v>
      </c>
      <c r="G1" s="81" t="s">
        <v>5</v>
      </c>
    </row>
    <row r="2" spans="1:12" x14ac:dyDescent="0.2">
      <c r="A2" t="s">
        <v>17</v>
      </c>
      <c r="B2" s="82"/>
      <c r="C2" s="67">
        <v>24990000</v>
      </c>
      <c r="D2" s="67">
        <v>24990000</v>
      </c>
      <c r="E2" s="71">
        <v>24590000</v>
      </c>
      <c r="F2" s="39">
        <v>24990000</v>
      </c>
      <c r="G2" s="39">
        <v>24990000</v>
      </c>
    </row>
    <row r="3" spans="1:12" x14ac:dyDescent="0.2">
      <c r="A3" t="s">
        <v>18</v>
      </c>
      <c r="B3" s="82"/>
      <c r="C3" s="67">
        <v>31990000</v>
      </c>
      <c r="D3" s="67">
        <v>31990000</v>
      </c>
      <c r="E3" s="71">
        <v>30990000</v>
      </c>
      <c r="F3" s="39">
        <v>31990000</v>
      </c>
      <c r="G3" s="39">
        <v>31990000</v>
      </c>
    </row>
    <row r="4" spans="1:12" x14ac:dyDescent="0.2">
      <c r="A4" t="s">
        <v>19</v>
      </c>
      <c r="B4" s="82"/>
      <c r="C4" s="67">
        <v>34990000</v>
      </c>
      <c r="D4" s="67">
        <v>34990000</v>
      </c>
      <c r="E4" s="71">
        <v>34490000</v>
      </c>
      <c r="F4" s="39">
        <v>34990000</v>
      </c>
      <c r="G4" s="39">
        <v>34990000</v>
      </c>
    </row>
    <row r="5" spans="1:12" x14ac:dyDescent="0.2">
      <c r="A5" t="s">
        <v>20</v>
      </c>
      <c r="B5" s="82"/>
      <c r="C5" s="67">
        <v>37990000</v>
      </c>
      <c r="D5" s="67">
        <v>37990000</v>
      </c>
      <c r="E5" s="71">
        <v>37990000</v>
      </c>
      <c r="F5" s="39">
        <v>37990000</v>
      </c>
      <c r="G5" s="39">
        <v>37990000</v>
      </c>
    </row>
    <row r="6" spans="1:12" x14ac:dyDescent="0.2">
      <c r="A6" t="s">
        <v>21</v>
      </c>
      <c r="B6" s="82"/>
      <c r="C6" s="66">
        <v>15990000</v>
      </c>
      <c r="D6" s="67">
        <v>15990000</v>
      </c>
      <c r="E6" s="71">
        <v>15990000</v>
      </c>
      <c r="F6" s="39">
        <v>15590000</v>
      </c>
      <c r="G6" s="39">
        <v>14990000</v>
      </c>
    </row>
    <row r="7" spans="1:12" x14ac:dyDescent="0.2">
      <c r="A7" t="s">
        <v>181</v>
      </c>
      <c r="B7" s="70"/>
      <c r="C7" s="68">
        <v>18890000</v>
      </c>
      <c r="D7" s="69">
        <v>18890000</v>
      </c>
      <c r="E7" s="71">
        <v>18490000</v>
      </c>
      <c r="F7" s="39">
        <v>18790000</v>
      </c>
      <c r="G7" s="39">
        <v>18590000</v>
      </c>
    </row>
    <row r="8" spans="1:12" x14ac:dyDescent="0.2">
      <c r="A8" t="s">
        <v>24</v>
      </c>
      <c r="B8" s="3"/>
      <c r="C8" s="52">
        <v>21990000</v>
      </c>
      <c r="D8" s="63">
        <v>21990000</v>
      </c>
      <c r="E8" s="39">
        <v>21690000</v>
      </c>
      <c r="F8" s="39">
        <v>21890000</v>
      </c>
      <c r="G8" s="39">
        <v>21690000</v>
      </c>
    </row>
    <row r="9" spans="1:12" x14ac:dyDescent="0.2">
      <c r="A9" t="s">
        <v>182</v>
      </c>
      <c r="B9" s="25"/>
      <c r="C9" s="53">
        <v>25090000</v>
      </c>
      <c r="D9" s="63">
        <v>24990000</v>
      </c>
      <c r="E9" s="39">
        <v>24290000</v>
      </c>
      <c r="F9" s="39">
        <v>24890000</v>
      </c>
      <c r="G9" s="39">
        <v>24590000</v>
      </c>
    </row>
    <row r="10" spans="1:12" x14ac:dyDescent="0.2">
      <c r="A10" t="s">
        <v>183</v>
      </c>
      <c r="B10" s="3"/>
      <c r="C10" s="52">
        <v>30090000</v>
      </c>
      <c r="D10" s="63">
        <v>29990000</v>
      </c>
      <c r="E10" s="39">
        <v>29690000</v>
      </c>
      <c r="F10" s="39">
        <v>29990000</v>
      </c>
      <c r="G10" s="37">
        <v>29790000</v>
      </c>
    </row>
    <row r="11" spans="1:12" x14ac:dyDescent="0.2">
      <c r="A11" t="s">
        <v>25</v>
      </c>
      <c r="B11" s="25"/>
      <c r="C11" s="53">
        <v>15490000</v>
      </c>
      <c r="D11" s="63">
        <v>15290000</v>
      </c>
      <c r="E11" s="25">
        <v>15190000</v>
      </c>
      <c r="F11" s="39">
        <v>15190000</v>
      </c>
      <c r="G11" s="39">
        <v>15090000</v>
      </c>
    </row>
    <row r="12" spans="1:12" x14ac:dyDescent="0.2">
      <c r="A12" t="s">
        <v>26</v>
      </c>
      <c r="B12" s="25"/>
      <c r="C12" s="53">
        <v>18890000</v>
      </c>
      <c r="D12" s="63">
        <v>18790000</v>
      </c>
      <c r="E12" s="25">
        <v>18790000</v>
      </c>
      <c r="F12" s="39">
        <v>18790000</v>
      </c>
      <c r="G12" s="39">
        <v>18490000</v>
      </c>
    </row>
    <row r="13" spans="1:12" x14ac:dyDescent="0.2">
      <c r="A13" t="s">
        <v>27</v>
      </c>
      <c r="B13" s="25"/>
      <c r="C13" s="53">
        <v>12590000</v>
      </c>
      <c r="D13" s="61">
        <v>12490000</v>
      </c>
      <c r="E13" s="25">
        <v>12290000</v>
      </c>
      <c r="F13" s="34">
        <v>12190000</v>
      </c>
      <c r="G13" s="39">
        <v>12190000</v>
      </c>
    </row>
    <row r="14" spans="1:12" x14ac:dyDescent="0.2">
      <c r="A14" t="s">
        <v>28</v>
      </c>
      <c r="B14" s="3"/>
      <c r="C14" s="52">
        <v>11590000</v>
      </c>
      <c r="D14" s="52">
        <v>11490000</v>
      </c>
      <c r="E14" s="39">
        <v>11390000</v>
      </c>
      <c r="F14" s="34">
        <v>11390000</v>
      </c>
      <c r="G14" s="39">
        <v>11190000</v>
      </c>
    </row>
    <row r="15" spans="1:12" x14ac:dyDescent="0.2">
      <c r="A15" t="s">
        <v>29</v>
      </c>
      <c r="B15" s="25"/>
      <c r="C15" s="52">
        <v>13590000</v>
      </c>
      <c r="D15" s="63">
        <v>13590000</v>
      </c>
      <c r="E15" s="25">
        <v>13652000</v>
      </c>
      <c r="F15" s="38">
        <v>13490000</v>
      </c>
      <c r="G15" s="39">
        <v>11590000</v>
      </c>
    </row>
    <row r="16" spans="1:12" x14ac:dyDescent="0.2">
      <c r="A16" t="s">
        <v>30</v>
      </c>
      <c r="B16" s="3"/>
      <c r="C16" s="52">
        <v>9690000</v>
      </c>
      <c r="D16" s="63">
        <v>8490000</v>
      </c>
      <c r="E16" s="25">
        <v>9296000</v>
      </c>
      <c r="F16" s="38">
        <v>9590000</v>
      </c>
      <c r="G16" s="37">
        <v>9190000</v>
      </c>
      <c r="H16" s="26"/>
      <c r="J16" t="s">
        <v>31</v>
      </c>
      <c r="K16" t="s">
        <v>38</v>
      </c>
      <c r="L16" t="b">
        <v>1</v>
      </c>
    </row>
    <row r="17" spans="1:12" x14ac:dyDescent="0.2">
      <c r="A17" t="s">
        <v>33</v>
      </c>
      <c r="B17" s="3"/>
      <c r="C17" s="52">
        <v>16290000</v>
      </c>
      <c r="D17" s="63">
        <v>16190000</v>
      </c>
      <c r="E17" s="25">
        <v>15830000</v>
      </c>
      <c r="F17" s="38">
        <v>16090000</v>
      </c>
      <c r="G17" s="39">
        <v>15990000</v>
      </c>
      <c r="J17" t="s">
        <v>2</v>
      </c>
      <c r="K17" t="s">
        <v>198</v>
      </c>
      <c r="L17" t="b">
        <v>1</v>
      </c>
    </row>
    <row r="18" spans="1:12" x14ac:dyDescent="0.2">
      <c r="A18" t="s">
        <v>37</v>
      </c>
      <c r="B18" s="25"/>
      <c r="C18" s="53">
        <v>21590000</v>
      </c>
      <c r="D18" s="63">
        <v>21690000</v>
      </c>
      <c r="E18" s="25">
        <v>20490000</v>
      </c>
      <c r="F18" s="34">
        <v>21690000</v>
      </c>
      <c r="G18" s="39">
        <v>21490000</v>
      </c>
      <c r="J18" t="s">
        <v>3</v>
      </c>
      <c r="K18" t="s">
        <v>36</v>
      </c>
      <c r="L18" t="b">
        <v>1</v>
      </c>
    </row>
    <row r="19" spans="1:12" x14ac:dyDescent="0.2">
      <c r="A19" t="s">
        <v>184</v>
      </c>
      <c r="B19" s="25"/>
      <c r="C19" s="53">
        <v>27090000</v>
      </c>
      <c r="D19" s="63">
        <v>26890000</v>
      </c>
      <c r="E19" s="25">
        <v>26290000</v>
      </c>
      <c r="F19" s="34">
        <v>26990000</v>
      </c>
      <c r="G19" s="37">
        <v>26590000</v>
      </c>
      <c r="J19" t="s">
        <v>4</v>
      </c>
      <c r="K19" t="s">
        <v>34</v>
      </c>
      <c r="L19" t="b">
        <v>1</v>
      </c>
    </row>
    <row r="20" spans="1:12" x14ac:dyDescent="0.2">
      <c r="A20" t="s">
        <v>185</v>
      </c>
      <c r="B20" s="3"/>
      <c r="C20" s="52">
        <v>36090000</v>
      </c>
      <c r="D20" s="63">
        <v>35990000</v>
      </c>
      <c r="E20" s="25">
        <v>35290000</v>
      </c>
      <c r="F20" s="38">
        <v>36290000</v>
      </c>
      <c r="G20" s="39">
        <v>33690000</v>
      </c>
      <c r="J20" t="s">
        <v>41</v>
      </c>
      <c r="K20" t="s">
        <v>42</v>
      </c>
      <c r="L20" t="b">
        <v>1</v>
      </c>
    </row>
    <row r="21" spans="1:12" x14ac:dyDescent="0.2">
      <c r="A21" t="s">
        <v>227</v>
      </c>
      <c r="B21" s="25"/>
      <c r="C21" s="52">
        <v>5790000</v>
      </c>
      <c r="D21" s="63">
        <v>5690000</v>
      </c>
      <c r="E21" s="37">
        <v>5435000</v>
      </c>
      <c r="F21" s="38">
        <v>5590000</v>
      </c>
      <c r="G21" s="3">
        <v>6990000</v>
      </c>
    </row>
    <row r="22" spans="1:12" x14ac:dyDescent="0.2">
      <c r="A22" t="s">
        <v>228</v>
      </c>
      <c r="B22" s="25"/>
      <c r="C22" s="51" t="s">
        <v>22</v>
      </c>
      <c r="D22" s="63">
        <v>6990000</v>
      </c>
      <c r="E22" s="25">
        <v>6920000</v>
      </c>
      <c r="F22" s="38">
        <v>6990000</v>
      </c>
      <c r="G22" s="37">
        <v>8499000</v>
      </c>
    </row>
    <row r="23" spans="1:12" x14ac:dyDescent="0.2">
      <c r="A23" t="s">
        <v>229</v>
      </c>
      <c r="B23" s="25"/>
      <c r="C23" s="52">
        <v>6490000</v>
      </c>
      <c r="D23" s="63">
        <v>6490000</v>
      </c>
      <c r="E23" s="37">
        <v>6326000</v>
      </c>
      <c r="F23" s="38">
        <v>6290000</v>
      </c>
      <c r="G23" s="37">
        <v>7849000</v>
      </c>
    </row>
    <row r="24" spans="1:12" x14ac:dyDescent="0.2">
      <c r="A24" t="s">
        <v>230</v>
      </c>
      <c r="B24" s="25"/>
      <c r="C24" s="51" t="s">
        <v>22</v>
      </c>
      <c r="D24" s="63">
        <v>7790000</v>
      </c>
      <c r="E24" s="25">
        <v>7712000</v>
      </c>
      <c r="F24" s="38">
        <v>7790000</v>
      </c>
      <c r="G24" s="37">
        <v>8490000</v>
      </c>
    </row>
    <row r="25" spans="1:12" x14ac:dyDescent="0.2">
      <c r="A25" t="s">
        <v>213</v>
      </c>
      <c r="B25" s="25"/>
      <c r="C25" s="52">
        <v>10590000</v>
      </c>
      <c r="D25" s="63">
        <v>10490000</v>
      </c>
      <c r="E25" s="37">
        <v>9890000</v>
      </c>
      <c r="F25" s="34">
        <v>10790000</v>
      </c>
      <c r="G25" s="39">
        <v>10390000</v>
      </c>
      <c r="H25" s="26"/>
    </row>
    <row r="26" spans="1:12" x14ac:dyDescent="0.2">
      <c r="A26" t="s">
        <v>214</v>
      </c>
      <c r="B26" s="25"/>
      <c r="C26" s="63" t="s">
        <v>22</v>
      </c>
      <c r="D26" s="63">
        <v>12790000</v>
      </c>
      <c r="E26" s="37">
        <v>12365000</v>
      </c>
      <c r="F26" s="38">
        <v>12990000</v>
      </c>
      <c r="G26" s="39">
        <v>12890000</v>
      </c>
    </row>
    <row r="27" spans="1:12" x14ac:dyDescent="0.2">
      <c r="A27" t="s">
        <v>215</v>
      </c>
      <c r="B27" s="25"/>
      <c r="C27" s="52">
        <v>11390000</v>
      </c>
      <c r="D27" s="63">
        <v>11290000</v>
      </c>
      <c r="E27" s="37">
        <v>10583000</v>
      </c>
      <c r="F27" s="38">
        <v>11290000</v>
      </c>
      <c r="G27" s="39">
        <v>10990000</v>
      </c>
      <c r="H27" s="26"/>
      <c r="I27" s="26"/>
    </row>
    <row r="28" spans="1:12" x14ac:dyDescent="0.2">
      <c r="A28" t="s">
        <v>217</v>
      </c>
      <c r="B28" s="3"/>
      <c r="C28" s="53">
        <v>13690000</v>
      </c>
      <c r="D28" s="63">
        <v>13690000</v>
      </c>
      <c r="E28" s="37">
        <v>13150000</v>
      </c>
      <c r="F28" s="38">
        <v>13890000</v>
      </c>
      <c r="G28" s="39">
        <v>13590000</v>
      </c>
    </row>
    <row r="29" spans="1:12" x14ac:dyDescent="0.2">
      <c r="A29" t="s">
        <v>172</v>
      </c>
      <c r="B29" s="25"/>
      <c r="C29" s="52">
        <v>21890000</v>
      </c>
      <c r="D29" s="63">
        <v>21890000</v>
      </c>
      <c r="E29" s="25">
        <v>21790000</v>
      </c>
      <c r="F29" s="37">
        <v>21290000</v>
      </c>
      <c r="G29" s="39">
        <v>22990000</v>
      </c>
    </row>
    <row r="30" spans="1:12" x14ac:dyDescent="0.2">
      <c r="A30" t="s">
        <v>53</v>
      </c>
      <c r="B30" s="3"/>
      <c r="C30" s="52">
        <v>5590000</v>
      </c>
      <c r="D30" s="63">
        <v>5590000</v>
      </c>
      <c r="E30" s="25">
        <v>5534000</v>
      </c>
      <c r="F30" s="39">
        <v>5590000</v>
      </c>
      <c r="G30" s="39">
        <v>5590000</v>
      </c>
    </row>
    <row r="31" spans="1:12" x14ac:dyDescent="0.2">
      <c r="A31" t="s">
        <v>54</v>
      </c>
      <c r="B31" s="3"/>
      <c r="C31" s="52">
        <v>4690000</v>
      </c>
      <c r="D31" s="63">
        <v>4490000</v>
      </c>
      <c r="E31" s="25">
        <v>4346000</v>
      </c>
      <c r="F31" s="39">
        <v>4590000</v>
      </c>
      <c r="G31" s="39">
        <v>4490000</v>
      </c>
    </row>
    <row r="32" spans="1:12" x14ac:dyDescent="0.2">
      <c r="A32" t="s">
        <v>55</v>
      </c>
      <c r="B32" s="3"/>
      <c r="C32" s="52">
        <v>3390000</v>
      </c>
      <c r="D32" s="63">
        <v>3290000</v>
      </c>
      <c r="E32" s="37">
        <v>3390000</v>
      </c>
      <c r="F32" s="39">
        <v>3390000</v>
      </c>
      <c r="G32" s="39">
        <v>3290000</v>
      </c>
    </row>
    <row r="33" spans="1:7" x14ac:dyDescent="0.2">
      <c r="A33" t="s">
        <v>56</v>
      </c>
      <c r="B33" s="3"/>
      <c r="C33" s="39">
        <v>6790000</v>
      </c>
      <c r="D33" s="63">
        <v>6690000</v>
      </c>
      <c r="E33" s="25"/>
      <c r="F33" s="39"/>
      <c r="G33" s="39">
        <v>6799000</v>
      </c>
    </row>
    <row r="34" spans="1:7" x14ac:dyDescent="0.2">
      <c r="A34" t="s">
        <v>175</v>
      </c>
      <c r="B34" s="3"/>
      <c r="C34" s="53">
        <v>17190000</v>
      </c>
      <c r="D34" s="63" t="s">
        <v>22</v>
      </c>
      <c r="E34" s="36"/>
      <c r="F34" s="38">
        <v>17190000</v>
      </c>
      <c r="G34" s="39">
        <v>16890000</v>
      </c>
    </row>
    <row r="35" spans="1:7" x14ac:dyDescent="0.2">
      <c r="A35" t="s">
        <v>186</v>
      </c>
      <c r="B35" s="25"/>
      <c r="C35" s="53">
        <v>19790000</v>
      </c>
      <c r="D35" s="63">
        <v>19590000</v>
      </c>
      <c r="E35" s="36"/>
      <c r="F35" s="38">
        <v>19790000</v>
      </c>
      <c r="G35" s="39">
        <v>19390000</v>
      </c>
    </row>
    <row r="36" spans="1:7" x14ac:dyDescent="0.2">
      <c r="A36" t="s">
        <v>232</v>
      </c>
      <c r="B36" s="3"/>
      <c r="C36" s="51" t="s">
        <v>22</v>
      </c>
      <c r="D36" s="63">
        <v>23990000</v>
      </c>
      <c r="E36" s="36"/>
      <c r="F36" s="38" t="s">
        <v>22</v>
      </c>
      <c r="G36" s="39">
        <v>25290000</v>
      </c>
    </row>
    <row r="37" spans="1:7" x14ac:dyDescent="0.2">
      <c r="A37" t="s">
        <v>59</v>
      </c>
      <c r="B37" s="3"/>
      <c r="C37" s="52">
        <v>25090000</v>
      </c>
      <c r="D37" s="63">
        <v>24990000</v>
      </c>
      <c r="E37" s="36"/>
      <c r="F37" s="34">
        <v>25090000</v>
      </c>
      <c r="G37" s="39">
        <v>24990000</v>
      </c>
    </row>
    <row r="38" spans="1:7" x14ac:dyDescent="0.2">
      <c r="A38" t="s">
        <v>61</v>
      </c>
      <c r="B38" s="25"/>
      <c r="C38" s="63">
        <v>29490000</v>
      </c>
      <c r="D38" s="63">
        <v>30490000</v>
      </c>
      <c r="E38" s="36"/>
      <c r="F38" s="38">
        <v>29290000</v>
      </c>
      <c r="G38" s="39">
        <v>29290000</v>
      </c>
    </row>
    <row r="39" spans="1:7" x14ac:dyDescent="0.2">
      <c r="A39" t="s">
        <v>187</v>
      </c>
      <c r="B39" s="25"/>
      <c r="C39" s="52">
        <v>38290000</v>
      </c>
      <c r="D39" s="63">
        <v>38190000</v>
      </c>
      <c r="E39" s="36"/>
      <c r="F39" s="39">
        <v>37590000</v>
      </c>
      <c r="G39" s="39">
        <v>37590000</v>
      </c>
    </row>
    <row r="40" spans="1:7" x14ac:dyDescent="0.2">
      <c r="A40" t="s">
        <v>261</v>
      </c>
      <c r="B40" s="25"/>
      <c r="C40" s="52"/>
      <c r="D40" s="63">
        <v>64990000</v>
      </c>
      <c r="E40" s="36"/>
      <c r="F40" s="39"/>
      <c r="G40" s="39">
        <v>63990000</v>
      </c>
    </row>
    <row r="41" spans="1:7" x14ac:dyDescent="0.2">
      <c r="C41" s="59"/>
      <c r="D41" s="59"/>
    </row>
    <row r="42" spans="1:7" x14ac:dyDescent="0.2">
      <c r="C42" s="59"/>
      <c r="D42" s="59"/>
    </row>
    <row r="43" spans="1:7" x14ac:dyDescent="0.2">
      <c r="C43" s="59"/>
      <c r="D43" s="59"/>
    </row>
    <row r="44" spans="1:7" x14ac:dyDescent="0.2">
      <c r="C44" s="59"/>
      <c r="D44" s="59"/>
    </row>
    <row r="45" spans="1:7" x14ac:dyDescent="0.2">
      <c r="C45" s="59"/>
      <c r="D45" s="59"/>
    </row>
    <row r="46" spans="1:7" x14ac:dyDescent="0.2">
      <c r="C46" s="59"/>
      <c r="D46" s="59"/>
    </row>
    <row r="47" spans="1:7" x14ac:dyDescent="0.2">
      <c r="C47" s="59"/>
      <c r="D47" s="59"/>
    </row>
    <row r="48" spans="1:7" x14ac:dyDescent="0.2">
      <c r="C48" s="59"/>
      <c r="D48" s="59"/>
    </row>
    <row r="49" spans="3:4" x14ac:dyDescent="0.2">
      <c r="C49" s="59"/>
      <c r="D49" s="59"/>
    </row>
    <row r="50" spans="3:4" x14ac:dyDescent="0.2">
      <c r="C50" s="59"/>
      <c r="D50" s="59"/>
    </row>
    <row r="51" spans="3:4" x14ac:dyDescent="0.2">
      <c r="C51" s="59"/>
      <c r="D51" s="59"/>
    </row>
    <row r="52" spans="3:4" x14ac:dyDescent="0.2">
      <c r="C52" s="59"/>
      <c r="D52" s="59"/>
    </row>
    <row r="53" spans="3:4" x14ac:dyDescent="0.2">
      <c r="C53" s="59"/>
      <c r="D53" s="59"/>
    </row>
    <row r="54" spans="3:4" x14ac:dyDescent="0.2">
      <c r="C54" s="59"/>
      <c r="D54" s="59"/>
    </row>
    <row r="55" spans="3:4" x14ac:dyDescent="0.2">
      <c r="C55" s="59"/>
      <c r="D55" s="59"/>
    </row>
    <row r="56" spans="3:4" x14ac:dyDescent="0.2">
      <c r="C56" s="59"/>
      <c r="D56" s="59"/>
    </row>
    <row r="57" spans="3:4" x14ac:dyDescent="0.2">
      <c r="C57" s="59"/>
      <c r="D57" s="59"/>
    </row>
    <row r="58" spans="3:4" x14ac:dyDescent="0.2">
      <c r="C58" s="59"/>
      <c r="D58" s="59"/>
    </row>
    <row r="59" spans="3:4" x14ac:dyDescent="0.2">
      <c r="C59" s="59"/>
      <c r="D59" s="59"/>
    </row>
    <row r="60" spans="3:4" x14ac:dyDescent="0.2">
      <c r="C60" s="59"/>
      <c r="D60" s="59"/>
    </row>
    <row r="61" spans="3:4" x14ac:dyDescent="0.2">
      <c r="C61" s="59"/>
      <c r="D61" s="59"/>
    </row>
    <row r="62" spans="3:4" x14ac:dyDescent="0.2">
      <c r="C62" s="59"/>
      <c r="D62" s="59"/>
    </row>
    <row r="63" spans="3:4" x14ac:dyDescent="0.2">
      <c r="C63" s="59"/>
      <c r="D63" s="59"/>
    </row>
    <row r="64" spans="3:4" x14ac:dyDescent="0.2">
      <c r="C64" s="59"/>
      <c r="D64" s="59"/>
    </row>
    <row r="65" spans="3:4" x14ac:dyDescent="0.2">
      <c r="C65" s="59"/>
      <c r="D65" s="59"/>
    </row>
    <row r="66" spans="3:4" x14ac:dyDescent="0.2">
      <c r="C66" s="59"/>
      <c r="D66" s="59"/>
    </row>
    <row r="67" spans="3:4" x14ac:dyDescent="0.2">
      <c r="C67" s="59"/>
      <c r="D67" s="59"/>
    </row>
    <row r="68" spans="3:4" x14ac:dyDescent="0.2">
      <c r="C68" s="59"/>
      <c r="D68" s="59"/>
    </row>
    <row r="69" spans="3:4" x14ac:dyDescent="0.2">
      <c r="C69" s="59"/>
      <c r="D69" s="59"/>
    </row>
    <row r="70" spans="3:4" x14ac:dyDescent="0.2">
      <c r="C70" s="59"/>
      <c r="D70" s="59"/>
    </row>
    <row r="71" spans="3:4" x14ac:dyDescent="0.2">
      <c r="C71" s="59"/>
      <c r="D71" s="59"/>
    </row>
    <row r="72" spans="3:4" x14ac:dyDescent="0.2">
      <c r="C72" s="59"/>
      <c r="D72" s="59"/>
    </row>
    <row r="73" spans="3:4" x14ac:dyDescent="0.2">
      <c r="C73" s="59"/>
      <c r="D73" s="59"/>
    </row>
    <row r="74" spans="3:4" x14ac:dyDescent="0.2">
      <c r="C74" s="59"/>
      <c r="D74" s="59"/>
    </row>
    <row r="75" spans="3:4" x14ac:dyDescent="0.2">
      <c r="C75" s="59"/>
      <c r="D75" s="59"/>
    </row>
    <row r="76" spans="3:4" x14ac:dyDescent="0.2">
      <c r="C76" s="59"/>
      <c r="D76" s="59"/>
    </row>
    <row r="77" spans="3:4" x14ac:dyDescent="0.2">
      <c r="C77" s="59"/>
      <c r="D77" s="59"/>
    </row>
    <row r="78" spans="3:4" x14ac:dyDescent="0.2">
      <c r="C78" s="59"/>
      <c r="D78" s="59"/>
    </row>
    <row r="79" spans="3:4" x14ac:dyDescent="0.2">
      <c r="C79" s="59"/>
      <c r="D79" s="59"/>
    </row>
    <row r="80" spans="3:4" x14ac:dyDescent="0.2">
      <c r="C80" s="59"/>
      <c r="D80" s="59"/>
    </row>
    <row r="81" spans="3:4" x14ac:dyDescent="0.2">
      <c r="C81" s="59"/>
      <c r="D81" s="59"/>
    </row>
    <row r="82" spans="3:4" x14ac:dyDescent="0.2">
      <c r="C82" s="59"/>
      <c r="D82" s="59"/>
    </row>
    <row r="83" spans="3:4" x14ac:dyDescent="0.2">
      <c r="C83" s="59"/>
      <c r="D83" s="59"/>
    </row>
    <row r="84" spans="3:4" x14ac:dyDescent="0.2">
      <c r="C84" s="59"/>
      <c r="D84" s="59"/>
    </row>
    <row r="85" spans="3:4" x14ac:dyDescent="0.2">
      <c r="C85" s="59"/>
      <c r="D85" s="59"/>
    </row>
    <row r="86" spans="3:4" x14ac:dyDescent="0.2">
      <c r="C86" s="59"/>
      <c r="D86" s="59"/>
    </row>
    <row r="87" spans="3:4" x14ac:dyDescent="0.2">
      <c r="C87" s="59"/>
      <c r="D87" s="59"/>
    </row>
    <row r="88" spans="3:4" x14ac:dyDescent="0.2">
      <c r="C88" s="59"/>
      <c r="D88" s="59"/>
    </row>
    <row r="89" spans="3:4" x14ac:dyDescent="0.2">
      <c r="C89" s="59"/>
      <c r="D89" s="59"/>
    </row>
    <row r="90" spans="3:4" x14ac:dyDescent="0.2">
      <c r="C90" s="59"/>
      <c r="D90" s="59"/>
    </row>
    <row r="91" spans="3:4" x14ac:dyDescent="0.2">
      <c r="C91" s="59"/>
      <c r="D91" s="59"/>
    </row>
    <row r="92" spans="3:4" x14ac:dyDescent="0.2">
      <c r="C92" s="59"/>
      <c r="D92" s="59"/>
    </row>
    <row r="93" spans="3:4" x14ac:dyDescent="0.2">
      <c r="C93" s="59"/>
      <c r="D93" s="59"/>
    </row>
    <row r="94" spans="3:4" x14ac:dyDescent="0.2">
      <c r="C94" s="59"/>
      <c r="D94" s="59"/>
    </row>
    <row r="95" spans="3:4" x14ac:dyDescent="0.2">
      <c r="C95" s="59"/>
      <c r="D95" s="59"/>
    </row>
    <row r="96" spans="3:4" x14ac:dyDescent="0.2">
      <c r="C96" s="59"/>
      <c r="D96" s="59"/>
    </row>
    <row r="97" spans="3:4" x14ac:dyDescent="0.2">
      <c r="C97" s="59"/>
      <c r="D97" s="59"/>
    </row>
    <row r="98" spans="3:4" x14ac:dyDescent="0.2">
      <c r="C98" s="59"/>
      <c r="D98" s="59"/>
    </row>
    <row r="99" spans="3:4" x14ac:dyDescent="0.2">
      <c r="C99" s="59"/>
      <c r="D99" s="59"/>
    </row>
    <row r="100" spans="3:4" x14ac:dyDescent="0.2">
      <c r="C100" s="59"/>
      <c r="D100" s="59"/>
    </row>
    <row r="101" spans="3:4" x14ac:dyDescent="0.2">
      <c r="C101" s="59"/>
      <c r="D101" s="59"/>
    </row>
    <row r="102" spans="3:4" x14ac:dyDescent="0.2">
      <c r="C102" s="59"/>
      <c r="D102" s="59"/>
    </row>
    <row r="103" spans="3:4" x14ac:dyDescent="0.2">
      <c r="C103" s="59"/>
      <c r="D103" s="59"/>
    </row>
    <row r="104" spans="3:4" x14ac:dyDescent="0.2">
      <c r="C104" s="59"/>
      <c r="D104" s="59"/>
    </row>
    <row r="105" spans="3:4" x14ac:dyDescent="0.2">
      <c r="C105" s="59"/>
      <c r="D105" s="59"/>
    </row>
    <row r="106" spans="3:4" x14ac:dyDescent="0.2">
      <c r="C106" s="59"/>
      <c r="D106" s="59"/>
    </row>
    <row r="107" spans="3:4" x14ac:dyDescent="0.2">
      <c r="C107" s="59"/>
      <c r="D107" s="59"/>
    </row>
    <row r="108" spans="3:4" x14ac:dyDescent="0.2">
      <c r="C108" s="59"/>
      <c r="D108" s="59"/>
    </row>
    <row r="109" spans="3:4" x14ac:dyDescent="0.2">
      <c r="C109" s="59"/>
      <c r="D109" s="59"/>
    </row>
    <row r="110" spans="3:4" x14ac:dyDescent="0.2">
      <c r="C110" s="59"/>
      <c r="D110" s="59"/>
    </row>
    <row r="111" spans="3:4" x14ac:dyDescent="0.2">
      <c r="C111" s="59"/>
      <c r="D111" s="59"/>
    </row>
    <row r="112" spans="3:4" x14ac:dyDescent="0.2">
      <c r="C112" s="59"/>
      <c r="D112" s="59"/>
    </row>
    <row r="113" spans="3:4" x14ac:dyDescent="0.2">
      <c r="C113" s="59"/>
      <c r="D113" s="59"/>
    </row>
    <row r="114" spans="3:4" x14ac:dyDescent="0.2">
      <c r="C114" s="59"/>
      <c r="D114" s="59"/>
    </row>
    <row r="115" spans="3:4" x14ac:dyDescent="0.2">
      <c r="C115" s="59"/>
      <c r="D115" s="59"/>
    </row>
    <row r="116" spans="3:4" x14ac:dyDescent="0.2">
      <c r="C116" s="59"/>
      <c r="D116" s="59"/>
    </row>
    <row r="117" spans="3:4" x14ac:dyDescent="0.2">
      <c r="C117" s="59"/>
      <c r="D117" s="59"/>
    </row>
    <row r="118" spans="3:4" x14ac:dyDescent="0.2">
      <c r="C118" s="59"/>
      <c r="D118" s="59"/>
    </row>
    <row r="119" spans="3:4" x14ac:dyDescent="0.2">
      <c r="C119" s="59"/>
      <c r="D119" s="59"/>
    </row>
    <row r="120" spans="3:4" x14ac:dyDescent="0.2">
      <c r="C120" s="59"/>
      <c r="D120" s="59"/>
    </row>
    <row r="121" spans="3:4" x14ac:dyDescent="0.2">
      <c r="C121" s="59"/>
      <c r="D121" s="59"/>
    </row>
    <row r="122" spans="3:4" x14ac:dyDescent="0.2">
      <c r="C122" s="59"/>
      <c r="D122" s="59"/>
    </row>
    <row r="123" spans="3:4" x14ac:dyDescent="0.2">
      <c r="C123" s="59"/>
      <c r="D123" s="59"/>
    </row>
    <row r="124" spans="3:4" x14ac:dyDescent="0.2">
      <c r="C124" s="59"/>
      <c r="D124" s="59"/>
    </row>
    <row r="125" spans="3:4" x14ac:dyDescent="0.2">
      <c r="C125" s="59"/>
      <c r="D125" s="59"/>
    </row>
    <row r="126" spans="3:4" x14ac:dyDescent="0.2">
      <c r="C126" s="59"/>
      <c r="D126" s="59"/>
    </row>
    <row r="127" spans="3:4" x14ac:dyDescent="0.2">
      <c r="C127" s="59"/>
      <c r="D127" s="59"/>
    </row>
    <row r="128" spans="3:4" x14ac:dyDescent="0.2">
      <c r="C128" s="59"/>
      <c r="D128" s="59"/>
    </row>
    <row r="129" spans="3:4" x14ac:dyDescent="0.2">
      <c r="C129" s="59"/>
      <c r="D129" s="59"/>
    </row>
    <row r="130" spans="3:4" x14ac:dyDescent="0.2">
      <c r="C130" s="59"/>
      <c r="D130" s="59"/>
    </row>
    <row r="131" spans="3:4" x14ac:dyDescent="0.2">
      <c r="C131" s="59"/>
      <c r="D131" s="59"/>
    </row>
    <row r="132" spans="3:4" x14ac:dyDescent="0.2">
      <c r="C132" s="59"/>
      <c r="D132" s="59"/>
    </row>
    <row r="133" spans="3:4" x14ac:dyDescent="0.2">
      <c r="C133" s="59"/>
      <c r="D133" s="59"/>
    </row>
    <row r="134" spans="3:4" x14ac:dyDescent="0.2">
      <c r="C134" s="59"/>
      <c r="D134" s="59"/>
    </row>
    <row r="135" spans="3:4" x14ac:dyDescent="0.2">
      <c r="C135" s="59"/>
      <c r="D135" s="59"/>
    </row>
    <row r="136" spans="3:4" x14ac:dyDescent="0.2">
      <c r="C136" s="59"/>
      <c r="D136" s="59"/>
    </row>
    <row r="137" spans="3:4" x14ac:dyDescent="0.2">
      <c r="C137" s="59"/>
      <c r="D137" s="59"/>
    </row>
    <row r="138" spans="3:4" x14ac:dyDescent="0.2">
      <c r="C138" s="59"/>
      <c r="D138" s="59"/>
    </row>
    <row r="139" spans="3:4" x14ac:dyDescent="0.2">
      <c r="C139" s="59"/>
      <c r="D139" s="59"/>
    </row>
    <row r="140" spans="3:4" x14ac:dyDescent="0.2">
      <c r="C140" s="59"/>
      <c r="D140" s="59"/>
    </row>
    <row r="141" spans="3:4" x14ac:dyDescent="0.2">
      <c r="C141" s="59"/>
      <c r="D141" s="59"/>
    </row>
    <row r="142" spans="3:4" x14ac:dyDescent="0.2">
      <c r="C142" s="59"/>
      <c r="D142" s="59"/>
    </row>
    <row r="143" spans="3:4" x14ac:dyDescent="0.2">
      <c r="C143" s="59"/>
      <c r="D143" s="59"/>
    </row>
    <row r="144" spans="3:4" x14ac:dyDescent="0.2">
      <c r="C144" s="59"/>
      <c r="D144" s="59"/>
    </row>
    <row r="145" spans="3:4" x14ac:dyDescent="0.2">
      <c r="C145" s="59"/>
      <c r="D145" s="59"/>
    </row>
    <row r="146" spans="3:4" x14ac:dyDescent="0.2">
      <c r="C146" s="59"/>
      <c r="D146" s="59"/>
    </row>
    <row r="147" spans="3:4" x14ac:dyDescent="0.2">
      <c r="C147" s="59"/>
      <c r="D147" s="59"/>
    </row>
    <row r="148" spans="3:4" x14ac:dyDescent="0.2">
      <c r="C148" s="59"/>
      <c r="D148" s="59"/>
    </row>
    <row r="149" spans="3:4" x14ac:dyDescent="0.2">
      <c r="C149" s="59"/>
      <c r="D149" s="59"/>
    </row>
    <row r="150" spans="3:4" x14ac:dyDescent="0.2">
      <c r="C150" s="59"/>
      <c r="D150" s="59"/>
    </row>
    <row r="151" spans="3:4" x14ac:dyDescent="0.2">
      <c r="C151" s="59"/>
      <c r="D151" s="59"/>
    </row>
    <row r="152" spans="3:4" x14ac:dyDescent="0.2">
      <c r="C152" s="59"/>
      <c r="D152" s="59"/>
    </row>
    <row r="153" spans="3:4" x14ac:dyDescent="0.2">
      <c r="C153" s="59"/>
      <c r="D153" s="59"/>
    </row>
  </sheetData>
  <pageMargins left="0.7" right="0.7" top="0.75" bottom="0.75" header="0.3" footer="0.3"/>
  <pageSetup paperSize="9" orientation="portrait" horizontalDpi="0" verticalDpi="0"/>
  <legacyDrawing r:id="rId1"/>
</worksheet>
</file>

<file path=xl/worksheets/sheet7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B00-000000000000}">
  <dimension ref="A1:L153"/>
  <sheetViews>
    <sheetView zoomScale="110" zoomScaleNormal="130" workbookViewId="0">
      <pane xSplit="2" ySplit="1" topLeftCell="C22" activePane="bottomRight" state="frozen"/>
      <selection pane="topRight" activeCell="C1" sqref="C1"/>
      <selection pane="bottomLeft" activeCell="A2" sqref="A2"/>
      <selection pane="bottomRight" activeCell="C1" sqref="C1"/>
    </sheetView>
  </sheetViews>
  <sheetFormatPr baseColWidth="10" defaultColWidth="11" defaultRowHeight="16" x14ac:dyDescent="0.2"/>
  <cols>
    <col min="1" max="1" width="27.5" bestFit="1" customWidth="1"/>
    <col min="2" max="2" width="0" hidden="1"/>
    <col min="3" max="6" width="10.1640625" bestFit="1" customWidth="1"/>
    <col min="7" max="7" width="13" customWidth="1"/>
    <col min="8" max="8" width="12.1640625" customWidth="1"/>
  </cols>
  <sheetData>
    <row r="1" spans="1:12" x14ac:dyDescent="0.2">
      <c r="B1" s="46" t="s">
        <v>0</v>
      </c>
      <c r="C1" s="80" t="s">
        <v>1</v>
      </c>
      <c r="D1" s="80" t="s">
        <v>2</v>
      </c>
      <c r="E1" s="81" t="s">
        <v>3</v>
      </c>
      <c r="F1" s="81" t="s">
        <v>4</v>
      </c>
      <c r="G1" s="81" t="s">
        <v>5</v>
      </c>
    </row>
    <row r="2" spans="1:12" x14ac:dyDescent="0.2">
      <c r="A2" t="s">
        <v>17</v>
      </c>
      <c r="B2" s="82"/>
      <c r="C2" s="67">
        <v>24990000</v>
      </c>
      <c r="D2" s="67">
        <v>24990000</v>
      </c>
      <c r="E2" s="71">
        <v>24490000</v>
      </c>
      <c r="F2" s="39">
        <v>24990000</v>
      </c>
      <c r="G2" s="39">
        <v>24990000</v>
      </c>
    </row>
    <row r="3" spans="1:12" x14ac:dyDescent="0.2">
      <c r="A3" t="s">
        <v>18</v>
      </c>
      <c r="B3" s="82"/>
      <c r="C3" s="67">
        <v>31990000</v>
      </c>
      <c r="D3" s="67">
        <v>31990000</v>
      </c>
      <c r="E3" s="71">
        <v>30990000</v>
      </c>
      <c r="F3" s="39">
        <v>31990000</v>
      </c>
      <c r="G3" s="39">
        <v>31990000</v>
      </c>
    </row>
    <row r="4" spans="1:12" x14ac:dyDescent="0.2">
      <c r="A4" t="s">
        <v>19</v>
      </c>
      <c r="B4" s="82"/>
      <c r="C4" s="67">
        <v>34990000</v>
      </c>
      <c r="D4" s="67">
        <v>34990000</v>
      </c>
      <c r="E4" s="37">
        <v>33990000</v>
      </c>
      <c r="F4" s="39">
        <v>34990000</v>
      </c>
      <c r="G4" s="39">
        <v>34990000</v>
      </c>
    </row>
    <row r="5" spans="1:12" x14ac:dyDescent="0.2">
      <c r="A5" t="s">
        <v>20</v>
      </c>
      <c r="B5" s="82"/>
      <c r="C5" s="67">
        <v>37990000</v>
      </c>
      <c r="D5" s="67">
        <v>37990000</v>
      </c>
      <c r="E5" s="71">
        <v>37990000</v>
      </c>
      <c r="F5" s="39">
        <v>37990000</v>
      </c>
      <c r="G5" s="39">
        <v>37990000</v>
      </c>
    </row>
    <row r="6" spans="1:12" x14ac:dyDescent="0.2">
      <c r="A6" t="s">
        <v>21</v>
      </c>
      <c r="B6" s="82"/>
      <c r="C6" s="66">
        <v>15990000</v>
      </c>
      <c r="D6" s="67">
        <v>15990000</v>
      </c>
      <c r="E6" s="71">
        <v>15790000</v>
      </c>
      <c r="F6" s="39">
        <v>15590000</v>
      </c>
      <c r="G6" s="39">
        <v>14990000</v>
      </c>
    </row>
    <row r="7" spans="1:12" x14ac:dyDescent="0.2">
      <c r="A7" t="s">
        <v>181</v>
      </c>
      <c r="B7" s="70"/>
      <c r="C7" s="73">
        <v>19990000</v>
      </c>
      <c r="D7" s="72">
        <v>19990000</v>
      </c>
      <c r="E7" s="71">
        <v>18490000</v>
      </c>
      <c r="F7" s="37">
        <v>18990000</v>
      </c>
      <c r="G7" s="39">
        <v>18590000</v>
      </c>
    </row>
    <row r="8" spans="1:12" x14ac:dyDescent="0.2">
      <c r="A8" t="s">
        <v>24</v>
      </c>
      <c r="B8" s="3"/>
      <c r="C8" s="53">
        <v>22990000</v>
      </c>
      <c r="D8" s="61">
        <v>22990000</v>
      </c>
      <c r="E8" s="39">
        <v>21890000</v>
      </c>
      <c r="F8" s="37">
        <v>22890000</v>
      </c>
      <c r="G8" s="39">
        <v>21690000</v>
      </c>
    </row>
    <row r="9" spans="1:12" x14ac:dyDescent="0.2">
      <c r="A9" t="s">
        <v>182</v>
      </c>
      <c r="B9" s="25"/>
      <c r="C9" s="53">
        <v>25590000</v>
      </c>
      <c r="D9" s="61">
        <v>25590000</v>
      </c>
      <c r="E9" s="39">
        <v>24290000</v>
      </c>
      <c r="F9" s="37">
        <v>25390000</v>
      </c>
      <c r="G9" s="37">
        <v>25490000</v>
      </c>
      <c r="H9">
        <v>900</v>
      </c>
    </row>
    <row r="10" spans="1:12" x14ac:dyDescent="0.2">
      <c r="A10" t="s">
        <v>183</v>
      </c>
      <c r="B10" s="3"/>
      <c r="C10" s="53">
        <v>30590000</v>
      </c>
      <c r="D10" s="61">
        <v>30490000</v>
      </c>
      <c r="E10" s="39">
        <v>29690000</v>
      </c>
      <c r="F10" s="37">
        <v>30390000</v>
      </c>
      <c r="G10" s="37">
        <v>30390000</v>
      </c>
      <c r="H10">
        <v>600</v>
      </c>
    </row>
    <row r="11" spans="1:12" x14ac:dyDescent="0.2">
      <c r="A11" t="s">
        <v>25</v>
      </c>
      <c r="B11" s="25"/>
      <c r="C11" s="53">
        <v>15990000</v>
      </c>
      <c r="D11" s="61">
        <v>15990000</v>
      </c>
      <c r="E11" s="25">
        <v>15190000</v>
      </c>
      <c r="F11" s="37">
        <v>15990000</v>
      </c>
      <c r="G11" s="37">
        <v>15990000</v>
      </c>
      <c r="H11">
        <v>900</v>
      </c>
    </row>
    <row r="12" spans="1:12" x14ac:dyDescent="0.2">
      <c r="A12" t="s">
        <v>26</v>
      </c>
      <c r="B12" s="25"/>
      <c r="C12" s="53">
        <v>19590000</v>
      </c>
      <c r="D12" s="61">
        <v>18890000</v>
      </c>
      <c r="E12" s="25">
        <v>18490000</v>
      </c>
      <c r="F12" s="39">
        <v>18790000</v>
      </c>
      <c r="G12" s="39">
        <v>18490000</v>
      </c>
    </row>
    <row r="13" spans="1:12" x14ac:dyDescent="0.2">
      <c r="A13" t="s">
        <v>27</v>
      </c>
      <c r="B13" s="25"/>
      <c r="C13" s="53">
        <v>12990000</v>
      </c>
      <c r="D13" s="61">
        <v>12990000</v>
      </c>
      <c r="E13" s="25">
        <v>12490000</v>
      </c>
      <c r="F13" s="34">
        <v>12990000</v>
      </c>
      <c r="G13" s="39">
        <v>12190000</v>
      </c>
    </row>
    <row r="14" spans="1:12" x14ac:dyDescent="0.2">
      <c r="A14" t="s">
        <v>28</v>
      </c>
      <c r="B14" s="3"/>
      <c r="C14" s="53">
        <v>11990000</v>
      </c>
      <c r="D14" s="53">
        <v>11890000</v>
      </c>
      <c r="E14" s="39">
        <v>11290000</v>
      </c>
      <c r="F14" s="34">
        <v>11890000</v>
      </c>
      <c r="G14" s="39">
        <v>11190000</v>
      </c>
    </row>
    <row r="15" spans="1:12" x14ac:dyDescent="0.2">
      <c r="A15" t="s">
        <v>29</v>
      </c>
      <c r="B15" s="25"/>
      <c r="C15" s="52">
        <v>13590000</v>
      </c>
      <c r="D15" s="63">
        <v>13590000</v>
      </c>
      <c r="E15" s="25">
        <v>13652000</v>
      </c>
      <c r="F15" s="38">
        <v>13390000</v>
      </c>
      <c r="G15" s="39">
        <v>11590000</v>
      </c>
    </row>
    <row r="16" spans="1:12" x14ac:dyDescent="0.2">
      <c r="A16" t="s">
        <v>30</v>
      </c>
      <c r="B16" s="3"/>
      <c r="C16" s="52">
        <v>9690000</v>
      </c>
      <c r="D16" s="61">
        <v>9590000</v>
      </c>
      <c r="E16" s="37">
        <v>9390000</v>
      </c>
      <c r="F16" s="38">
        <v>9590000</v>
      </c>
      <c r="G16" s="39">
        <v>9190000</v>
      </c>
      <c r="H16" s="26"/>
      <c r="J16" t="s">
        <v>31</v>
      </c>
      <c r="K16" t="s">
        <v>38</v>
      </c>
      <c r="L16" t="b">
        <v>1</v>
      </c>
    </row>
    <row r="17" spans="1:12" x14ac:dyDescent="0.2">
      <c r="A17" t="s">
        <v>33</v>
      </c>
      <c r="B17" s="3"/>
      <c r="C17" s="52">
        <v>16290000</v>
      </c>
      <c r="D17" s="63">
        <v>16190000</v>
      </c>
      <c r="E17" s="37">
        <v>15790000</v>
      </c>
      <c r="F17" s="38">
        <v>16090000</v>
      </c>
      <c r="G17" s="39">
        <v>15990000</v>
      </c>
      <c r="J17" t="s">
        <v>2</v>
      </c>
      <c r="K17" t="s">
        <v>198</v>
      </c>
      <c r="L17" t="b">
        <v>1</v>
      </c>
    </row>
    <row r="18" spans="1:12" x14ac:dyDescent="0.2">
      <c r="A18" t="s">
        <v>37</v>
      </c>
      <c r="B18" s="25"/>
      <c r="C18" s="53">
        <v>21590000</v>
      </c>
      <c r="D18" s="63">
        <v>21690000</v>
      </c>
      <c r="E18" s="25">
        <v>20490000</v>
      </c>
      <c r="F18" s="38">
        <v>21690000</v>
      </c>
      <c r="G18" s="39">
        <v>21490000</v>
      </c>
      <c r="J18" t="s">
        <v>3</v>
      </c>
      <c r="K18" t="s">
        <v>36</v>
      </c>
      <c r="L18" t="b">
        <v>1</v>
      </c>
    </row>
    <row r="19" spans="1:12" x14ac:dyDescent="0.2">
      <c r="A19" t="s">
        <v>184</v>
      </c>
      <c r="B19" s="25"/>
      <c r="C19" s="53">
        <v>27090000</v>
      </c>
      <c r="D19" s="61">
        <v>27190000</v>
      </c>
      <c r="E19" s="37">
        <v>26490000</v>
      </c>
      <c r="F19" s="34">
        <v>27490000</v>
      </c>
      <c r="G19" s="37">
        <v>27390000</v>
      </c>
      <c r="H19">
        <v>800</v>
      </c>
      <c r="J19" t="s">
        <v>4</v>
      </c>
      <c r="K19" t="s">
        <v>34</v>
      </c>
      <c r="L19" t="b">
        <v>1</v>
      </c>
    </row>
    <row r="20" spans="1:12" x14ac:dyDescent="0.2">
      <c r="A20" t="s">
        <v>185</v>
      </c>
      <c r="B20" s="3"/>
      <c r="C20" s="52">
        <v>36090000</v>
      </c>
      <c r="D20" s="61">
        <v>36290000</v>
      </c>
      <c r="E20" s="37">
        <v>35490000</v>
      </c>
      <c r="F20" s="34">
        <v>35890000</v>
      </c>
      <c r="G20" s="39">
        <v>33690000</v>
      </c>
      <c r="J20" t="s">
        <v>41</v>
      </c>
      <c r="K20" t="s">
        <v>42</v>
      </c>
      <c r="L20" t="b">
        <v>1</v>
      </c>
    </row>
    <row r="21" spans="1:12" x14ac:dyDescent="0.2">
      <c r="A21" t="s">
        <v>227</v>
      </c>
      <c r="B21" s="25"/>
      <c r="C21" s="52">
        <v>5790000</v>
      </c>
      <c r="D21" s="63">
        <v>5690000</v>
      </c>
      <c r="E21" s="37">
        <v>5490000</v>
      </c>
      <c r="F21" s="38">
        <v>5590000</v>
      </c>
      <c r="G21" s="39">
        <v>6990000</v>
      </c>
    </row>
    <row r="22" spans="1:12" x14ac:dyDescent="0.2">
      <c r="A22" t="s">
        <v>228</v>
      </c>
      <c r="B22" s="25"/>
      <c r="C22" s="51" t="s">
        <v>22</v>
      </c>
      <c r="D22" s="63">
        <v>6990000</v>
      </c>
      <c r="E22" s="37">
        <v>6990000</v>
      </c>
      <c r="F22" s="38">
        <v>6990000</v>
      </c>
      <c r="G22" s="39">
        <v>8499000</v>
      </c>
    </row>
    <row r="23" spans="1:12" x14ac:dyDescent="0.2">
      <c r="A23" t="s">
        <v>229</v>
      </c>
      <c r="B23" s="25"/>
      <c r="C23" s="52">
        <v>6490000</v>
      </c>
      <c r="D23" s="63">
        <v>6490000</v>
      </c>
      <c r="E23" s="37">
        <v>6390000</v>
      </c>
      <c r="F23" s="38">
        <v>6290000</v>
      </c>
      <c r="G23" s="39">
        <v>7849000</v>
      </c>
    </row>
    <row r="24" spans="1:12" x14ac:dyDescent="0.2">
      <c r="A24" t="s">
        <v>230</v>
      </c>
      <c r="B24" s="25"/>
      <c r="C24" s="51" t="s">
        <v>22</v>
      </c>
      <c r="D24" s="63">
        <v>7790000</v>
      </c>
      <c r="E24" s="37">
        <v>7790000</v>
      </c>
      <c r="F24" s="38">
        <v>7790000</v>
      </c>
      <c r="G24" s="39">
        <v>8490000</v>
      </c>
    </row>
    <row r="25" spans="1:12" x14ac:dyDescent="0.2">
      <c r="A25" t="s">
        <v>213</v>
      </c>
      <c r="B25" s="25"/>
      <c r="C25" s="52">
        <v>10590000</v>
      </c>
      <c r="D25" s="63">
        <v>10490000</v>
      </c>
      <c r="E25" s="37">
        <v>9990000</v>
      </c>
      <c r="F25" s="34">
        <v>10190000</v>
      </c>
      <c r="G25" s="39">
        <v>10390000</v>
      </c>
      <c r="H25" s="26"/>
    </row>
    <row r="26" spans="1:12" x14ac:dyDescent="0.2">
      <c r="A26" t="s">
        <v>214</v>
      </c>
      <c r="B26" s="25"/>
      <c r="C26" s="63" t="s">
        <v>22</v>
      </c>
      <c r="D26" s="63">
        <v>12790000</v>
      </c>
      <c r="E26" s="37">
        <v>12490000</v>
      </c>
      <c r="F26" s="38">
        <v>12990000</v>
      </c>
      <c r="G26" s="39">
        <v>12890000</v>
      </c>
    </row>
    <row r="27" spans="1:12" x14ac:dyDescent="0.2">
      <c r="A27" t="s">
        <v>215</v>
      </c>
      <c r="B27" s="25"/>
      <c r="C27" s="52">
        <v>11390000</v>
      </c>
      <c r="D27" s="63">
        <v>11290000</v>
      </c>
      <c r="E27" s="37">
        <v>10690000</v>
      </c>
      <c r="F27" s="38">
        <v>11290000</v>
      </c>
      <c r="G27" s="39">
        <v>10990000</v>
      </c>
      <c r="H27" s="26"/>
      <c r="I27" s="26"/>
    </row>
    <row r="28" spans="1:12" x14ac:dyDescent="0.2">
      <c r="A28" t="s">
        <v>217</v>
      </c>
      <c r="B28" s="3"/>
      <c r="C28" s="53">
        <v>13690000</v>
      </c>
      <c r="D28" s="63">
        <v>13690000</v>
      </c>
      <c r="E28" s="37">
        <v>13290000</v>
      </c>
      <c r="F28" s="38">
        <v>13890000</v>
      </c>
      <c r="G28" s="39">
        <v>13590000</v>
      </c>
    </row>
    <row r="29" spans="1:12" x14ac:dyDescent="0.2">
      <c r="A29" t="s">
        <v>172</v>
      </c>
      <c r="B29" s="25"/>
      <c r="C29" s="52">
        <v>21890000</v>
      </c>
      <c r="D29" s="63">
        <v>21890000</v>
      </c>
      <c r="E29" s="37">
        <v>20990000</v>
      </c>
      <c r="F29" s="39">
        <v>21290000</v>
      </c>
      <c r="G29" s="39">
        <v>22990000</v>
      </c>
    </row>
    <row r="30" spans="1:12" x14ac:dyDescent="0.2">
      <c r="A30" t="s">
        <v>53</v>
      </c>
      <c r="B30" s="3"/>
      <c r="C30" s="52">
        <v>5590000</v>
      </c>
      <c r="D30" s="63">
        <v>5590000</v>
      </c>
      <c r="E30" s="37">
        <v>5590000</v>
      </c>
      <c r="F30" s="39">
        <v>5590000</v>
      </c>
      <c r="G30" s="39">
        <v>5590000</v>
      </c>
    </row>
    <row r="31" spans="1:12" x14ac:dyDescent="0.2">
      <c r="A31" t="s">
        <v>54</v>
      </c>
      <c r="B31" s="3"/>
      <c r="C31" s="52">
        <v>4690000</v>
      </c>
      <c r="D31" s="61">
        <v>4790000</v>
      </c>
      <c r="E31" s="37">
        <v>4390000</v>
      </c>
      <c r="F31" s="37">
        <v>4790000</v>
      </c>
      <c r="G31" s="39">
        <v>4490000</v>
      </c>
    </row>
    <row r="32" spans="1:12" x14ac:dyDescent="0.2">
      <c r="A32" t="s">
        <v>55</v>
      </c>
      <c r="B32" s="3"/>
      <c r="C32" s="52">
        <v>3390000</v>
      </c>
      <c r="D32" s="61">
        <v>3590000</v>
      </c>
      <c r="E32" s="37">
        <v>3390000</v>
      </c>
      <c r="F32" s="37">
        <v>3590000</v>
      </c>
      <c r="G32" s="39">
        <v>3290000</v>
      </c>
    </row>
    <row r="33" spans="1:8" x14ac:dyDescent="0.2">
      <c r="A33" t="s">
        <v>56</v>
      </c>
      <c r="B33" s="3"/>
      <c r="C33" s="39">
        <v>6790000</v>
      </c>
      <c r="D33" s="61">
        <v>6790000</v>
      </c>
      <c r="E33" s="25">
        <v>6790000</v>
      </c>
      <c r="F33" s="25">
        <v>6790000</v>
      </c>
      <c r="G33" s="39">
        <v>6799000</v>
      </c>
    </row>
    <row r="34" spans="1:8" x14ac:dyDescent="0.2">
      <c r="A34" t="s">
        <v>175</v>
      </c>
      <c r="B34" s="3"/>
      <c r="C34" s="53">
        <v>17190000</v>
      </c>
      <c r="D34" s="63" t="s">
        <v>22</v>
      </c>
      <c r="E34" s="36"/>
      <c r="F34" s="38">
        <v>17190000</v>
      </c>
      <c r="G34" s="39">
        <v>16890000</v>
      </c>
    </row>
    <row r="35" spans="1:8" x14ac:dyDescent="0.2">
      <c r="A35" t="s">
        <v>186</v>
      </c>
      <c r="B35" s="25"/>
      <c r="C35" s="53">
        <v>19790000</v>
      </c>
      <c r="D35" s="61">
        <v>19890000</v>
      </c>
      <c r="E35" s="36"/>
      <c r="F35" s="38">
        <v>19790000</v>
      </c>
      <c r="G35" s="39">
        <v>19390000</v>
      </c>
    </row>
    <row r="36" spans="1:8" x14ac:dyDescent="0.2">
      <c r="A36" t="s">
        <v>232</v>
      </c>
      <c r="B36" s="3"/>
      <c r="C36" s="51" t="s">
        <v>22</v>
      </c>
      <c r="D36" s="63">
        <v>23990000</v>
      </c>
      <c r="E36" s="36"/>
      <c r="F36" s="38" t="s">
        <v>22</v>
      </c>
      <c r="G36" s="39">
        <v>25290000</v>
      </c>
    </row>
    <row r="37" spans="1:8" x14ac:dyDescent="0.2">
      <c r="A37" t="s">
        <v>59</v>
      </c>
      <c r="B37" s="3"/>
      <c r="C37" s="52">
        <v>25090000</v>
      </c>
      <c r="D37" s="61">
        <v>25090000</v>
      </c>
      <c r="E37" s="36"/>
      <c r="F37" s="38">
        <v>25090000</v>
      </c>
      <c r="G37" s="37">
        <v>25090000</v>
      </c>
      <c r="H37">
        <v>100</v>
      </c>
    </row>
    <row r="38" spans="1:8" x14ac:dyDescent="0.2">
      <c r="A38" t="s">
        <v>61</v>
      </c>
      <c r="B38" s="25"/>
      <c r="C38" s="63">
        <v>29490000</v>
      </c>
      <c r="D38" s="63">
        <v>30490000</v>
      </c>
      <c r="E38" s="36"/>
      <c r="F38" s="38">
        <v>29290000</v>
      </c>
      <c r="G38" s="39">
        <v>29290000</v>
      </c>
    </row>
    <row r="39" spans="1:8" x14ac:dyDescent="0.2">
      <c r="A39" t="s">
        <v>187</v>
      </c>
      <c r="B39" s="25"/>
      <c r="C39" s="52">
        <v>38290000</v>
      </c>
      <c r="D39" s="61">
        <v>37790000</v>
      </c>
      <c r="E39" s="36"/>
      <c r="F39" s="39">
        <v>37590000</v>
      </c>
      <c r="G39" s="39">
        <v>37590000</v>
      </c>
    </row>
    <row r="40" spans="1:8" x14ac:dyDescent="0.2">
      <c r="A40" t="s">
        <v>261</v>
      </c>
      <c r="B40" s="25"/>
      <c r="C40" s="52"/>
      <c r="D40" s="63">
        <v>64990000</v>
      </c>
      <c r="E40" s="36"/>
      <c r="F40" s="39"/>
      <c r="G40" s="39">
        <v>63990000</v>
      </c>
    </row>
    <row r="41" spans="1:8" x14ac:dyDescent="0.2">
      <c r="C41" s="59"/>
      <c r="D41" s="59"/>
    </row>
    <row r="42" spans="1:8" x14ac:dyDescent="0.2">
      <c r="C42" s="59"/>
      <c r="D42" s="59"/>
    </row>
    <row r="43" spans="1:8" x14ac:dyDescent="0.2">
      <c r="C43" s="59"/>
      <c r="D43" s="59"/>
    </row>
    <row r="44" spans="1:8" x14ac:dyDescent="0.2">
      <c r="C44" s="59"/>
      <c r="D44" s="59"/>
    </row>
    <row r="45" spans="1:8" x14ac:dyDescent="0.2">
      <c r="C45" s="59"/>
      <c r="D45" s="59"/>
    </row>
    <row r="46" spans="1:8" x14ac:dyDescent="0.2">
      <c r="C46" s="59"/>
      <c r="D46" s="59"/>
    </row>
    <row r="47" spans="1:8" x14ac:dyDescent="0.2">
      <c r="C47" s="59"/>
      <c r="D47" s="59"/>
    </row>
    <row r="48" spans="1:8" x14ac:dyDescent="0.2">
      <c r="C48" s="59"/>
      <c r="D48" s="59"/>
    </row>
    <row r="49" spans="3:4" x14ac:dyDescent="0.2">
      <c r="C49" s="59"/>
      <c r="D49" s="59"/>
    </row>
    <row r="50" spans="3:4" x14ac:dyDescent="0.2">
      <c r="C50" s="59"/>
      <c r="D50" s="59"/>
    </row>
    <row r="51" spans="3:4" x14ac:dyDescent="0.2">
      <c r="C51" s="59"/>
      <c r="D51" s="59"/>
    </row>
    <row r="52" spans="3:4" x14ac:dyDescent="0.2">
      <c r="C52" s="59"/>
      <c r="D52" s="59"/>
    </row>
    <row r="53" spans="3:4" x14ac:dyDescent="0.2">
      <c r="C53" s="59"/>
      <c r="D53" s="59"/>
    </row>
    <row r="54" spans="3:4" x14ac:dyDescent="0.2">
      <c r="C54" s="59"/>
      <c r="D54" s="59"/>
    </row>
    <row r="55" spans="3:4" x14ac:dyDescent="0.2">
      <c r="C55" s="59"/>
      <c r="D55" s="59"/>
    </row>
    <row r="56" spans="3:4" x14ac:dyDescent="0.2">
      <c r="C56" s="59"/>
      <c r="D56" s="59"/>
    </row>
    <row r="57" spans="3:4" x14ac:dyDescent="0.2">
      <c r="C57" s="59"/>
      <c r="D57" s="59"/>
    </row>
    <row r="58" spans="3:4" x14ac:dyDescent="0.2">
      <c r="C58" s="59"/>
      <c r="D58" s="59"/>
    </row>
    <row r="59" spans="3:4" x14ac:dyDescent="0.2">
      <c r="C59" s="59"/>
      <c r="D59" s="59"/>
    </row>
    <row r="60" spans="3:4" x14ac:dyDescent="0.2">
      <c r="C60" s="59"/>
      <c r="D60" s="59"/>
    </row>
    <row r="61" spans="3:4" x14ac:dyDescent="0.2">
      <c r="C61" s="59"/>
      <c r="D61" s="59"/>
    </row>
    <row r="62" spans="3:4" x14ac:dyDescent="0.2">
      <c r="C62" s="59"/>
      <c r="D62" s="59"/>
    </row>
    <row r="63" spans="3:4" x14ac:dyDescent="0.2">
      <c r="C63" s="59"/>
      <c r="D63" s="59"/>
    </row>
    <row r="64" spans="3:4" x14ac:dyDescent="0.2">
      <c r="C64" s="59"/>
      <c r="D64" s="59"/>
    </row>
    <row r="65" spans="3:4" x14ac:dyDescent="0.2">
      <c r="C65" s="59"/>
      <c r="D65" s="59"/>
    </row>
    <row r="66" spans="3:4" x14ac:dyDescent="0.2">
      <c r="C66" s="59"/>
      <c r="D66" s="59"/>
    </row>
    <row r="67" spans="3:4" x14ac:dyDescent="0.2">
      <c r="C67" s="59"/>
      <c r="D67" s="59"/>
    </row>
    <row r="68" spans="3:4" x14ac:dyDescent="0.2">
      <c r="C68" s="59"/>
      <c r="D68" s="59"/>
    </row>
    <row r="69" spans="3:4" x14ac:dyDescent="0.2">
      <c r="C69" s="59"/>
      <c r="D69" s="59"/>
    </row>
    <row r="70" spans="3:4" x14ac:dyDescent="0.2">
      <c r="C70" s="59"/>
      <c r="D70" s="59"/>
    </row>
    <row r="71" spans="3:4" x14ac:dyDescent="0.2">
      <c r="C71" s="59"/>
      <c r="D71" s="59"/>
    </row>
    <row r="72" spans="3:4" x14ac:dyDescent="0.2">
      <c r="C72" s="59"/>
      <c r="D72" s="59"/>
    </row>
    <row r="73" spans="3:4" x14ac:dyDescent="0.2">
      <c r="C73" s="59"/>
      <c r="D73" s="59"/>
    </row>
    <row r="74" spans="3:4" x14ac:dyDescent="0.2">
      <c r="C74" s="59"/>
      <c r="D74" s="59"/>
    </row>
    <row r="75" spans="3:4" x14ac:dyDescent="0.2">
      <c r="C75" s="59"/>
      <c r="D75" s="59"/>
    </row>
    <row r="76" spans="3:4" x14ac:dyDescent="0.2">
      <c r="C76" s="59"/>
      <c r="D76" s="59"/>
    </row>
    <row r="77" spans="3:4" x14ac:dyDescent="0.2">
      <c r="C77" s="59"/>
      <c r="D77" s="59"/>
    </row>
    <row r="78" spans="3:4" x14ac:dyDescent="0.2">
      <c r="C78" s="59"/>
      <c r="D78" s="59"/>
    </row>
    <row r="79" spans="3:4" x14ac:dyDescent="0.2">
      <c r="C79" s="59"/>
      <c r="D79" s="59"/>
    </row>
    <row r="80" spans="3:4" x14ac:dyDescent="0.2">
      <c r="C80" s="59"/>
      <c r="D80" s="59"/>
    </row>
    <row r="81" spans="3:4" x14ac:dyDescent="0.2">
      <c r="C81" s="59"/>
      <c r="D81" s="59"/>
    </row>
    <row r="82" spans="3:4" x14ac:dyDescent="0.2">
      <c r="C82" s="59"/>
      <c r="D82" s="59"/>
    </row>
    <row r="83" spans="3:4" x14ac:dyDescent="0.2">
      <c r="C83" s="59"/>
      <c r="D83" s="59"/>
    </row>
    <row r="84" spans="3:4" x14ac:dyDescent="0.2">
      <c r="C84" s="59"/>
      <c r="D84" s="59"/>
    </row>
    <row r="85" spans="3:4" x14ac:dyDescent="0.2">
      <c r="C85" s="59"/>
      <c r="D85" s="59"/>
    </row>
    <row r="86" spans="3:4" x14ac:dyDescent="0.2">
      <c r="C86" s="59"/>
      <c r="D86" s="59"/>
    </row>
    <row r="87" spans="3:4" x14ac:dyDescent="0.2">
      <c r="C87" s="59"/>
      <c r="D87" s="59"/>
    </row>
    <row r="88" spans="3:4" x14ac:dyDescent="0.2">
      <c r="C88" s="59"/>
      <c r="D88" s="59"/>
    </row>
    <row r="89" spans="3:4" x14ac:dyDescent="0.2">
      <c r="C89" s="59"/>
      <c r="D89" s="59"/>
    </row>
    <row r="90" spans="3:4" x14ac:dyDescent="0.2">
      <c r="C90" s="59"/>
      <c r="D90" s="59"/>
    </row>
    <row r="91" spans="3:4" x14ac:dyDescent="0.2">
      <c r="C91" s="59"/>
      <c r="D91" s="59"/>
    </row>
    <row r="92" spans="3:4" x14ac:dyDescent="0.2">
      <c r="C92" s="59"/>
      <c r="D92" s="59"/>
    </row>
    <row r="93" spans="3:4" x14ac:dyDescent="0.2">
      <c r="C93" s="59"/>
      <c r="D93" s="59"/>
    </row>
    <row r="94" spans="3:4" x14ac:dyDescent="0.2">
      <c r="C94" s="59"/>
      <c r="D94" s="59"/>
    </row>
    <row r="95" spans="3:4" x14ac:dyDescent="0.2">
      <c r="C95" s="59"/>
      <c r="D95" s="59"/>
    </row>
    <row r="96" spans="3:4" x14ac:dyDescent="0.2">
      <c r="C96" s="59"/>
      <c r="D96" s="59"/>
    </row>
    <row r="97" spans="3:4" x14ac:dyDescent="0.2">
      <c r="C97" s="59"/>
      <c r="D97" s="59"/>
    </row>
    <row r="98" spans="3:4" x14ac:dyDescent="0.2">
      <c r="C98" s="59"/>
      <c r="D98" s="59"/>
    </row>
    <row r="99" spans="3:4" x14ac:dyDescent="0.2">
      <c r="C99" s="59"/>
      <c r="D99" s="59"/>
    </row>
    <row r="100" spans="3:4" x14ac:dyDescent="0.2">
      <c r="C100" s="59"/>
      <c r="D100" s="59"/>
    </row>
    <row r="101" spans="3:4" x14ac:dyDescent="0.2">
      <c r="C101" s="59"/>
      <c r="D101" s="59"/>
    </row>
    <row r="102" spans="3:4" x14ac:dyDescent="0.2">
      <c r="C102" s="59"/>
      <c r="D102" s="59"/>
    </row>
    <row r="103" spans="3:4" x14ac:dyDescent="0.2">
      <c r="C103" s="59"/>
      <c r="D103" s="59"/>
    </row>
    <row r="104" spans="3:4" x14ac:dyDescent="0.2">
      <c r="C104" s="59"/>
      <c r="D104" s="59"/>
    </row>
    <row r="105" spans="3:4" x14ac:dyDescent="0.2">
      <c r="C105" s="59"/>
      <c r="D105" s="59"/>
    </row>
    <row r="106" spans="3:4" x14ac:dyDescent="0.2">
      <c r="C106" s="59"/>
      <c r="D106" s="59"/>
    </row>
    <row r="107" spans="3:4" x14ac:dyDescent="0.2">
      <c r="C107" s="59"/>
      <c r="D107" s="59"/>
    </row>
    <row r="108" spans="3:4" x14ac:dyDescent="0.2">
      <c r="C108" s="59"/>
      <c r="D108" s="59"/>
    </row>
    <row r="109" spans="3:4" x14ac:dyDescent="0.2">
      <c r="C109" s="59"/>
      <c r="D109" s="59"/>
    </row>
    <row r="110" spans="3:4" x14ac:dyDescent="0.2">
      <c r="C110" s="59"/>
      <c r="D110" s="59"/>
    </row>
    <row r="111" spans="3:4" x14ac:dyDescent="0.2">
      <c r="C111" s="59"/>
      <c r="D111" s="59"/>
    </row>
    <row r="112" spans="3:4" x14ac:dyDescent="0.2">
      <c r="C112" s="59"/>
      <c r="D112" s="59"/>
    </row>
    <row r="113" spans="3:4" x14ac:dyDescent="0.2">
      <c r="C113" s="59"/>
      <c r="D113" s="59"/>
    </row>
    <row r="114" spans="3:4" x14ac:dyDescent="0.2">
      <c r="C114" s="59"/>
      <c r="D114" s="59"/>
    </row>
    <row r="115" spans="3:4" x14ac:dyDescent="0.2">
      <c r="C115" s="59"/>
      <c r="D115" s="59"/>
    </row>
    <row r="116" spans="3:4" x14ac:dyDescent="0.2">
      <c r="C116" s="59"/>
      <c r="D116" s="59"/>
    </row>
    <row r="117" spans="3:4" x14ac:dyDescent="0.2">
      <c r="C117" s="59"/>
      <c r="D117" s="59"/>
    </row>
    <row r="118" spans="3:4" x14ac:dyDescent="0.2">
      <c r="C118" s="59"/>
      <c r="D118" s="59"/>
    </row>
    <row r="119" spans="3:4" x14ac:dyDescent="0.2">
      <c r="C119" s="59"/>
      <c r="D119" s="59"/>
    </row>
    <row r="120" spans="3:4" x14ac:dyDescent="0.2">
      <c r="C120" s="59"/>
      <c r="D120" s="59"/>
    </row>
    <row r="121" spans="3:4" x14ac:dyDescent="0.2">
      <c r="C121" s="59"/>
      <c r="D121" s="59"/>
    </row>
    <row r="122" spans="3:4" x14ac:dyDescent="0.2">
      <c r="C122" s="59"/>
      <c r="D122" s="59"/>
    </row>
    <row r="123" spans="3:4" x14ac:dyDescent="0.2">
      <c r="C123" s="59"/>
      <c r="D123" s="59"/>
    </row>
    <row r="124" spans="3:4" x14ac:dyDescent="0.2">
      <c r="C124" s="59"/>
      <c r="D124" s="59"/>
    </row>
    <row r="125" spans="3:4" x14ac:dyDescent="0.2">
      <c r="C125" s="59"/>
      <c r="D125" s="59"/>
    </row>
    <row r="126" spans="3:4" x14ac:dyDescent="0.2">
      <c r="C126" s="59"/>
      <c r="D126" s="59"/>
    </row>
    <row r="127" spans="3:4" x14ac:dyDescent="0.2">
      <c r="C127" s="59"/>
      <c r="D127" s="59"/>
    </row>
    <row r="128" spans="3:4" x14ac:dyDescent="0.2">
      <c r="C128" s="59"/>
      <c r="D128" s="59"/>
    </row>
    <row r="129" spans="3:4" x14ac:dyDescent="0.2">
      <c r="C129" s="59"/>
      <c r="D129" s="59"/>
    </row>
    <row r="130" spans="3:4" x14ac:dyDescent="0.2">
      <c r="C130" s="59"/>
      <c r="D130" s="59"/>
    </row>
    <row r="131" spans="3:4" x14ac:dyDescent="0.2">
      <c r="C131" s="59"/>
      <c r="D131" s="59"/>
    </row>
    <row r="132" spans="3:4" x14ac:dyDescent="0.2">
      <c r="C132" s="59"/>
      <c r="D132" s="59"/>
    </row>
    <row r="133" spans="3:4" x14ac:dyDescent="0.2">
      <c r="C133" s="59"/>
      <c r="D133" s="59"/>
    </row>
    <row r="134" spans="3:4" x14ac:dyDescent="0.2">
      <c r="C134" s="59"/>
      <c r="D134" s="59"/>
    </row>
    <row r="135" spans="3:4" x14ac:dyDescent="0.2">
      <c r="C135" s="59"/>
      <c r="D135" s="59"/>
    </row>
    <row r="136" spans="3:4" x14ac:dyDescent="0.2">
      <c r="C136" s="59"/>
      <c r="D136" s="59"/>
    </row>
    <row r="137" spans="3:4" x14ac:dyDescent="0.2">
      <c r="C137" s="59"/>
      <c r="D137" s="59"/>
    </row>
    <row r="138" spans="3:4" x14ac:dyDescent="0.2">
      <c r="C138" s="59"/>
      <c r="D138" s="59"/>
    </row>
    <row r="139" spans="3:4" x14ac:dyDescent="0.2">
      <c r="C139" s="59"/>
      <c r="D139" s="59"/>
    </row>
    <row r="140" spans="3:4" x14ac:dyDescent="0.2">
      <c r="C140" s="59"/>
      <c r="D140" s="59"/>
    </row>
    <row r="141" spans="3:4" x14ac:dyDescent="0.2">
      <c r="C141" s="59"/>
      <c r="D141" s="59"/>
    </row>
    <row r="142" spans="3:4" x14ac:dyDescent="0.2">
      <c r="C142" s="59"/>
      <c r="D142" s="59"/>
    </row>
    <row r="143" spans="3:4" x14ac:dyDescent="0.2">
      <c r="C143" s="59"/>
      <c r="D143" s="59"/>
    </row>
    <row r="144" spans="3:4" x14ac:dyDescent="0.2">
      <c r="C144" s="59"/>
      <c r="D144" s="59"/>
    </row>
    <row r="145" spans="3:4" x14ac:dyDescent="0.2">
      <c r="C145" s="59"/>
      <c r="D145" s="59"/>
    </row>
    <row r="146" spans="3:4" x14ac:dyDescent="0.2">
      <c r="C146" s="59"/>
      <c r="D146" s="59"/>
    </row>
    <row r="147" spans="3:4" x14ac:dyDescent="0.2">
      <c r="C147" s="59"/>
      <c r="D147" s="59"/>
    </row>
    <row r="148" spans="3:4" x14ac:dyDescent="0.2">
      <c r="C148" s="59"/>
      <c r="D148" s="59"/>
    </row>
    <row r="149" spans="3:4" x14ac:dyDescent="0.2">
      <c r="C149" s="59"/>
      <c r="D149" s="59"/>
    </row>
    <row r="150" spans="3:4" x14ac:dyDescent="0.2">
      <c r="C150" s="59"/>
      <c r="D150" s="59"/>
    </row>
    <row r="151" spans="3:4" x14ac:dyDescent="0.2">
      <c r="C151" s="59"/>
      <c r="D151" s="59"/>
    </row>
    <row r="152" spans="3:4" x14ac:dyDescent="0.2">
      <c r="C152" s="59"/>
      <c r="D152" s="59"/>
    </row>
    <row r="153" spans="3:4" x14ac:dyDescent="0.2">
      <c r="C153" s="59"/>
      <c r="D153" s="59"/>
    </row>
  </sheetData>
  <pageMargins left="0.7" right="0.7" top="0.75" bottom="0.75" header="0.3" footer="0.3"/>
  <pageSetup paperSize="9" orientation="portrait" horizontalDpi="0" verticalDpi="0"/>
  <legacyDrawing r:id="rId1"/>
</worksheet>
</file>

<file path=xl/worksheets/sheet7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C00-000000000000}">
  <dimension ref="A1:L153"/>
  <sheetViews>
    <sheetView zoomScale="85" zoomScaleNormal="130" workbookViewId="0">
      <pane xSplit="2" ySplit="1" topLeftCell="C2" activePane="bottomRight" state="frozen"/>
      <selection pane="topRight" activeCell="C1" sqref="C1"/>
      <selection pane="bottomLeft" activeCell="A2" sqref="A2"/>
      <selection pane="bottomRight" activeCell="C1" sqref="C1"/>
    </sheetView>
  </sheetViews>
  <sheetFormatPr baseColWidth="10" defaultColWidth="11" defaultRowHeight="16" x14ac:dyDescent="0.2"/>
  <cols>
    <col min="1" max="1" width="27.5" bestFit="1" customWidth="1"/>
    <col min="2" max="2" width="0" hidden="1"/>
    <col min="3" max="6" width="10.1640625" bestFit="1" customWidth="1"/>
    <col min="7" max="7" width="13" customWidth="1"/>
    <col min="8" max="8" width="12.1640625" customWidth="1"/>
  </cols>
  <sheetData>
    <row r="1" spans="1:12" x14ac:dyDescent="0.2">
      <c r="B1" s="46" t="s">
        <v>0</v>
      </c>
      <c r="C1" s="80" t="s">
        <v>1</v>
      </c>
      <c r="D1" s="80" t="s">
        <v>2</v>
      </c>
      <c r="E1" s="81" t="s">
        <v>3</v>
      </c>
      <c r="F1" s="81" t="s">
        <v>4</v>
      </c>
      <c r="G1" s="81" t="s">
        <v>5</v>
      </c>
    </row>
    <row r="2" spans="1:12" x14ac:dyDescent="0.2">
      <c r="A2" t="s">
        <v>17</v>
      </c>
      <c r="B2" s="82"/>
      <c r="C2" s="67">
        <v>24990000</v>
      </c>
      <c r="D2" s="67">
        <v>24990000</v>
      </c>
      <c r="E2" s="71">
        <v>24490000</v>
      </c>
      <c r="F2" s="39">
        <v>24990000</v>
      </c>
      <c r="G2" s="39">
        <v>24990000</v>
      </c>
    </row>
    <row r="3" spans="1:12" x14ac:dyDescent="0.2">
      <c r="A3" t="s">
        <v>18</v>
      </c>
      <c r="B3" s="82"/>
      <c r="C3" s="67">
        <v>31990000</v>
      </c>
      <c r="D3" s="67">
        <v>31990000</v>
      </c>
      <c r="E3" s="71">
        <v>30990000</v>
      </c>
      <c r="F3" s="39">
        <v>31990000</v>
      </c>
      <c r="G3" s="39">
        <v>30990000</v>
      </c>
    </row>
    <row r="4" spans="1:12" x14ac:dyDescent="0.2">
      <c r="A4" t="s">
        <v>19</v>
      </c>
      <c r="B4" s="82"/>
      <c r="C4" s="67">
        <v>34990000</v>
      </c>
      <c r="D4" s="67">
        <v>34990000</v>
      </c>
      <c r="E4" s="71">
        <v>33990000</v>
      </c>
      <c r="F4" s="39">
        <v>34990000</v>
      </c>
      <c r="G4" s="39">
        <v>34990000</v>
      </c>
    </row>
    <row r="5" spans="1:12" x14ac:dyDescent="0.2">
      <c r="A5" t="s">
        <v>20</v>
      </c>
      <c r="B5" s="82"/>
      <c r="C5" s="67">
        <v>37990000</v>
      </c>
      <c r="D5" s="67">
        <v>37990000</v>
      </c>
      <c r="E5" s="71">
        <v>37990000</v>
      </c>
      <c r="F5" s="39">
        <v>37990000</v>
      </c>
      <c r="G5" s="39">
        <v>37990000</v>
      </c>
    </row>
    <row r="6" spans="1:12" x14ac:dyDescent="0.2">
      <c r="A6" t="s">
        <v>21</v>
      </c>
      <c r="B6" s="82"/>
      <c r="C6" s="66">
        <v>15990000</v>
      </c>
      <c r="D6" s="67">
        <v>15990000</v>
      </c>
      <c r="E6" s="71">
        <v>15790000</v>
      </c>
      <c r="F6" s="39">
        <v>15590000</v>
      </c>
      <c r="G6" s="39">
        <v>14990000</v>
      </c>
    </row>
    <row r="7" spans="1:12" x14ac:dyDescent="0.2">
      <c r="A7" t="s">
        <v>181</v>
      </c>
      <c r="B7" s="70"/>
      <c r="C7" s="73">
        <v>20990000</v>
      </c>
      <c r="D7" s="72">
        <v>20990000</v>
      </c>
      <c r="E7" s="71">
        <v>18490000</v>
      </c>
      <c r="F7" s="39">
        <v>18990000</v>
      </c>
      <c r="G7" s="39">
        <v>21290000</v>
      </c>
      <c r="H7" s="74"/>
    </row>
    <row r="8" spans="1:12" x14ac:dyDescent="0.2">
      <c r="A8" t="s">
        <v>24</v>
      </c>
      <c r="B8" s="3"/>
      <c r="C8" s="53">
        <v>23990000</v>
      </c>
      <c r="D8" s="61">
        <v>23990000</v>
      </c>
      <c r="E8" s="39">
        <v>21890000</v>
      </c>
      <c r="F8" s="39">
        <v>22890000</v>
      </c>
      <c r="G8" s="39">
        <v>25090000</v>
      </c>
      <c r="H8" s="74"/>
    </row>
    <row r="9" spans="1:12" x14ac:dyDescent="0.2">
      <c r="A9" t="s">
        <v>182</v>
      </c>
      <c r="B9" s="25"/>
      <c r="C9" s="52">
        <v>25590000</v>
      </c>
      <c r="D9" s="63">
        <v>25590000</v>
      </c>
      <c r="E9" s="39">
        <v>24290000</v>
      </c>
      <c r="F9" s="37">
        <v>25590000</v>
      </c>
      <c r="G9" s="37">
        <v>24990000</v>
      </c>
    </row>
    <row r="10" spans="1:12" x14ac:dyDescent="0.2">
      <c r="A10" t="s">
        <v>183</v>
      </c>
      <c r="B10" s="3"/>
      <c r="C10" s="52">
        <v>30590000</v>
      </c>
      <c r="D10" s="61">
        <v>30490000</v>
      </c>
      <c r="E10" s="39">
        <v>29690000</v>
      </c>
      <c r="F10" s="39">
        <v>30590000</v>
      </c>
      <c r="G10" s="37">
        <v>30490000</v>
      </c>
    </row>
    <row r="11" spans="1:12" x14ac:dyDescent="0.2">
      <c r="A11" t="s">
        <v>25</v>
      </c>
      <c r="B11" s="25"/>
      <c r="C11" s="53">
        <v>16990000</v>
      </c>
      <c r="D11" s="61">
        <v>16990000</v>
      </c>
      <c r="E11" s="25">
        <v>15190000</v>
      </c>
      <c r="F11" s="39">
        <v>15990000</v>
      </c>
      <c r="G11" s="37">
        <v>16890000</v>
      </c>
    </row>
    <row r="12" spans="1:12" x14ac:dyDescent="0.2">
      <c r="A12" t="s">
        <v>26</v>
      </c>
      <c r="B12" s="25"/>
      <c r="C12" s="52">
        <v>19590000</v>
      </c>
      <c r="D12" s="61">
        <v>19590000</v>
      </c>
      <c r="E12" s="25">
        <v>18490000</v>
      </c>
      <c r="F12" s="37">
        <v>17990000</v>
      </c>
      <c r="G12" s="39">
        <v>18490000</v>
      </c>
    </row>
    <row r="13" spans="1:12" x14ac:dyDescent="0.2">
      <c r="A13" t="s">
        <v>27</v>
      </c>
      <c r="B13" s="25"/>
      <c r="C13" s="53">
        <v>13990000</v>
      </c>
      <c r="D13" s="61">
        <v>13990000</v>
      </c>
      <c r="E13" s="25">
        <v>12490000</v>
      </c>
      <c r="F13" s="34">
        <v>13990000</v>
      </c>
      <c r="G13" s="39">
        <v>12190000</v>
      </c>
    </row>
    <row r="14" spans="1:12" x14ac:dyDescent="0.2">
      <c r="A14" t="s">
        <v>28</v>
      </c>
      <c r="B14" s="3"/>
      <c r="C14" s="53">
        <v>12590000</v>
      </c>
      <c r="D14" s="53">
        <v>12590000</v>
      </c>
      <c r="E14" s="39">
        <v>11290000</v>
      </c>
      <c r="F14" s="34">
        <v>12390000</v>
      </c>
      <c r="G14" s="39">
        <v>11190000</v>
      </c>
    </row>
    <row r="15" spans="1:12" x14ac:dyDescent="0.2">
      <c r="A15" t="s">
        <v>29</v>
      </c>
      <c r="B15" s="25"/>
      <c r="C15" s="52">
        <v>13590000</v>
      </c>
      <c r="D15" s="63">
        <v>13590000</v>
      </c>
      <c r="E15" s="25">
        <v>13790000</v>
      </c>
      <c r="F15" s="38">
        <v>13390000</v>
      </c>
      <c r="G15" s="39">
        <v>11590000</v>
      </c>
    </row>
    <row r="16" spans="1:12" x14ac:dyDescent="0.2">
      <c r="A16" t="s">
        <v>30</v>
      </c>
      <c r="B16" s="3"/>
      <c r="C16" s="52">
        <v>9690000</v>
      </c>
      <c r="D16" s="61">
        <v>8490000</v>
      </c>
      <c r="E16" s="25">
        <v>9390000</v>
      </c>
      <c r="F16" s="38">
        <v>9590000</v>
      </c>
      <c r="G16" s="39">
        <v>9190000</v>
      </c>
      <c r="H16" s="26"/>
      <c r="J16" t="s">
        <v>31</v>
      </c>
      <c r="K16" t="s">
        <v>38</v>
      </c>
      <c r="L16" t="b">
        <v>1</v>
      </c>
    </row>
    <row r="17" spans="1:12" x14ac:dyDescent="0.2">
      <c r="A17" t="s">
        <v>33</v>
      </c>
      <c r="B17" s="3"/>
      <c r="C17" s="52">
        <v>16290000</v>
      </c>
      <c r="D17" s="63">
        <v>16190000</v>
      </c>
      <c r="E17" s="25">
        <v>15790000</v>
      </c>
      <c r="F17" s="38">
        <v>16190000</v>
      </c>
      <c r="G17" s="39">
        <v>15990000</v>
      </c>
      <c r="J17" t="s">
        <v>2</v>
      </c>
      <c r="K17" t="s">
        <v>198</v>
      </c>
      <c r="L17" t="b">
        <v>1</v>
      </c>
    </row>
    <row r="18" spans="1:12" x14ac:dyDescent="0.2">
      <c r="A18" t="s">
        <v>37</v>
      </c>
      <c r="B18" s="25"/>
      <c r="C18" s="53">
        <v>21690000</v>
      </c>
      <c r="D18" s="63">
        <v>21690000</v>
      </c>
      <c r="E18" s="25">
        <v>20490000</v>
      </c>
      <c r="F18" s="38">
        <v>21690000</v>
      </c>
      <c r="G18" s="39">
        <v>21490000</v>
      </c>
      <c r="J18" t="s">
        <v>3</v>
      </c>
      <c r="K18" t="s">
        <v>36</v>
      </c>
      <c r="L18" t="b">
        <v>1</v>
      </c>
    </row>
    <row r="19" spans="1:12" x14ac:dyDescent="0.2">
      <c r="A19" t="s">
        <v>184</v>
      </c>
      <c r="B19" s="25"/>
      <c r="C19" s="53">
        <v>27290000</v>
      </c>
      <c r="D19" s="63">
        <v>27190000</v>
      </c>
      <c r="E19" s="25">
        <v>26490000</v>
      </c>
      <c r="F19" s="38">
        <v>27290000</v>
      </c>
      <c r="G19" s="39">
        <v>27390000</v>
      </c>
      <c r="J19" t="s">
        <v>4</v>
      </c>
      <c r="K19" t="s">
        <v>34</v>
      </c>
      <c r="L19" t="b">
        <v>1</v>
      </c>
    </row>
    <row r="20" spans="1:12" x14ac:dyDescent="0.2">
      <c r="A20" t="s">
        <v>185</v>
      </c>
      <c r="B20" s="3"/>
      <c r="C20" s="52">
        <v>36090000</v>
      </c>
      <c r="D20" s="63">
        <v>36290000</v>
      </c>
      <c r="E20" s="25">
        <v>35490000</v>
      </c>
      <c r="F20" s="38">
        <v>35890000</v>
      </c>
      <c r="G20" s="39">
        <v>33690000</v>
      </c>
      <c r="J20" t="s">
        <v>41</v>
      </c>
      <c r="K20" t="s">
        <v>42</v>
      </c>
      <c r="L20" t="b">
        <v>1</v>
      </c>
    </row>
    <row r="21" spans="1:12" x14ac:dyDescent="0.2">
      <c r="A21" t="s">
        <v>227</v>
      </c>
      <c r="B21" s="25"/>
      <c r="C21" s="52">
        <v>5790000</v>
      </c>
      <c r="D21" s="63">
        <v>5690000</v>
      </c>
      <c r="E21" s="25">
        <v>5490000</v>
      </c>
      <c r="F21" s="38">
        <v>5590000</v>
      </c>
      <c r="G21" s="38">
        <v>5590000</v>
      </c>
    </row>
    <row r="22" spans="1:12" x14ac:dyDescent="0.2">
      <c r="A22" t="s">
        <v>228</v>
      </c>
      <c r="B22" s="25"/>
      <c r="C22" s="51" t="s">
        <v>22</v>
      </c>
      <c r="D22" s="63">
        <v>6990000</v>
      </c>
      <c r="E22" s="25">
        <v>6990000</v>
      </c>
      <c r="F22" s="38">
        <v>6990000</v>
      </c>
      <c r="G22" s="38">
        <v>6590000</v>
      </c>
    </row>
    <row r="23" spans="1:12" x14ac:dyDescent="0.2">
      <c r="A23" t="s">
        <v>229</v>
      </c>
      <c r="B23" s="25"/>
      <c r="C23" s="52">
        <v>6490000</v>
      </c>
      <c r="D23" s="63">
        <v>6490000</v>
      </c>
      <c r="E23" s="25">
        <v>6390000</v>
      </c>
      <c r="F23" s="38">
        <v>6290000</v>
      </c>
      <c r="G23" s="39">
        <v>7849000</v>
      </c>
    </row>
    <row r="24" spans="1:12" x14ac:dyDescent="0.2">
      <c r="A24" t="s">
        <v>230</v>
      </c>
      <c r="B24" s="25"/>
      <c r="C24" s="51" t="s">
        <v>22</v>
      </c>
      <c r="D24" s="63">
        <v>7790000</v>
      </c>
      <c r="E24" s="25">
        <v>7790000</v>
      </c>
      <c r="F24" s="38">
        <v>7790000</v>
      </c>
      <c r="G24" s="39">
        <v>8490000</v>
      </c>
    </row>
    <row r="25" spans="1:12" x14ac:dyDescent="0.2">
      <c r="A25" t="s">
        <v>213</v>
      </c>
      <c r="B25" s="25"/>
      <c r="C25" s="52">
        <v>10590000</v>
      </c>
      <c r="D25" s="63">
        <v>10490000</v>
      </c>
      <c r="E25" s="25">
        <v>9990000</v>
      </c>
      <c r="F25" s="38">
        <v>10190000</v>
      </c>
      <c r="G25" s="39">
        <v>10390000</v>
      </c>
      <c r="H25" s="26"/>
    </row>
    <row r="26" spans="1:12" x14ac:dyDescent="0.2">
      <c r="A26" t="s">
        <v>214</v>
      </c>
      <c r="B26" s="25"/>
      <c r="C26" s="63" t="s">
        <v>22</v>
      </c>
      <c r="D26" s="63">
        <v>12790000</v>
      </c>
      <c r="E26" s="25">
        <v>12490000</v>
      </c>
      <c r="F26" s="38">
        <v>12990000</v>
      </c>
      <c r="G26" s="39">
        <v>12890000</v>
      </c>
    </row>
    <row r="27" spans="1:12" x14ac:dyDescent="0.2">
      <c r="A27" t="s">
        <v>215</v>
      </c>
      <c r="B27" s="25"/>
      <c r="C27" s="52">
        <v>11390000</v>
      </c>
      <c r="D27" s="63">
        <v>11290000</v>
      </c>
      <c r="E27" s="25">
        <v>10690000</v>
      </c>
      <c r="F27" s="38">
        <v>11290000</v>
      </c>
      <c r="G27" s="39">
        <v>10990000</v>
      </c>
      <c r="H27" s="26"/>
      <c r="I27" s="26"/>
    </row>
    <row r="28" spans="1:12" x14ac:dyDescent="0.2">
      <c r="A28" t="s">
        <v>217</v>
      </c>
      <c r="B28" s="3"/>
      <c r="C28" s="52">
        <v>13690000</v>
      </c>
      <c r="D28" s="63">
        <v>13690000</v>
      </c>
      <c r="E28" s="25">
        <v>13290000</v>
      </c>
      <c r="F28" s="38">
        <v>13890000</v>
      </c>
      <c r="G28" s="39">
        <v>13590000</v>
      </c>
    </row>
    <row r="29" spans="1:12" x14ac:dyDescent="0.2">
      <c r="A29" t="s">
        <v>172</v>
      </c>
      <c r="B29" s="25"/>
      <c r="C29" s="52">
        <v>21890000</v>
      </c>
      <c r="D29" s="63">
        <v>21890000</v>
      </c>
      <c r="E29" s="25">
        <v>20990000</v>
      </c>
      <c r="F29" s="39">
        <v>21290000</v>
      </c>
      <c r="G29" s="39">
        <v>22990000</v>
      </c>
    </row>
    <row r="30" spans="1:12" x14ac:dyDescent="0.2">
      <c r="A30" t="s">
        <v>53</v>
      </c>
      <c r="B30" s="3"/>
      <c r="C30" s="52">
        <v>5590000</v>
      </c>
      <c r="D30" s="63">
        <v>5590000</v>
      </c>
      <c r="E30" s="25">
        <v>5590000</v>
      </c>
      <c r="F30" s="39">
        <v>5590000</v>
      </c>
      <c r="G30" s="39">
        <v>5590000</v>
      </c>
    </row>
    <row r="31" spans="1:12" x14ac:dyDescent="0.2">
      <c r="A31" t="s">
        <v>54</v>
      </c>
      <c r="B31" s="3"/>
      <c r="C31" s="52">
        <v>4690000</v>
      </c>
      <c r="D31" s="63">
        <v>4790000</v>
      </c>
      <c r="E31" s="25">
        <v>4390000</v>
      </c>
      <c r="F31" s="39">
        <v>4790000</v>
      </c>
      <c r="G31" s="39">
        <v>4590000</v>
      </c>
    </row>
    <row r="32" spans="1:12" x14ac:dyDescent="0.2">
      <c r="A32" t="s">
        <v>55</v>
      </c>
      <c r="B32" s="3"/>
      <c r="C32" s="52">
        <v>3390000</v>
      </c>
      <c r="D32" s="63">
        <v>3590000</v>
      </c>
      <c r="E32" s="25">
        <v>3390000</v>
      </c>
      <c r="F32" s="39">
        <v>3590000</v>
      </c>
      <c r="G32" s="37">
        <v>3490000</v>
      </c>
    </row>
    <row r="33" spans="1:7" x14ac:dyDescent="0.2">
      <c r="A33" t="s">
        <v>56</v>
      </c>
      <c r="B33" s="3"/>
      <c r="C33" s="39">
        <v>6790000</v>
      </c>
      <c r="D33" s="63">
        <v>6790000</v>
      </c>
      <c r="E33" s="61">
        <v>6590000</v>
      </c>
      <c r="F33" s="25">
        <v>6790000</v>
      </c>
      <c r="G33" s="39">
        <v>6799000</v>
      </c>
    </row>
    <row r="34" spans="1:7" x14ac:dyDescent="0.2">
      <c r="A34" t="s">
        <v>175</v>
      </c>
      <c r="B34" s="3"/>
      <c r="C34" s="52">
        <v>17190000</v>
      </c>
      <c r="D34" s="63" t="s">
        <v>22</v>
      </c>
      <c r="E34" s="36"/>
      <c r="F34" s="34">
        <v>17190000</v>
      </c>
      <c r="G34" s="39">
        <v>16890000</v>
      </c>
    </row>
    <row r="35" spans="1:7" x14ac:dyDescent="0.2">
      <c r="A35" t="s">
        <v>186</v>
      </c>
      <c r="B35" s="25"/>
      <c r="C35" s="53">
        <v>20090000</v>
      </c>
      <c r="D35" s="61">
        <v>20090000</v>
      </c>
      <c r="E35" s="36"/>
      <c r="F35" s="34">
        <v>20290000</v>
      </c>
      <c r="G35" s="39">
        <v>19390000</v>
      </c>
    </row>
    <row r="36" spans="1:7" x14ac:dyDescent="0.2">
      <c r="A36" t="s">
        <v>232</v>
      </c>
      <c r="B36" s="3"/>
      <c r="C36" s="51" t="s">
        <v>22</v>
      </c>
      <c r="D36" s="63">
        <v>23990000</v>
      </c>
      <c r="E36" s="36"/>
      <c r="F36" s="38" t="s">
        <v>22</v>
      </c>
      <c r="G36" s="39">
        <v>25290000</v>
      </c>
    </row>
    <row r="37" spans="1:7" x14ac:dyDescent="0.2">
      <c r="A37" t="s">
        <v>59</v>
      </c>
      <c r="B37" s="3"/>
      <c r="C37" s="52">
        <v>25090000</v>
      </c>
      <c r="D37" s="63">
        <v>25090000</v>
      </c>
      <c r="E37" s="36"/>
      <c r="F37" s="38">
        <v>25090000</v>
      </c>
      <c r="G37" s="39">
        <v>25090000</v>
      </c>
    </row>
    <row r="38" spans="1:7" x14ac:dyDescent="0.2">
      <c r="A38" t="s">
        <v>61</v>
      </c>
      <c r="B38" s="25"/>
      <c r="C38" s="63">
        <v>29490000</v>
      </c>
      <c r="D38" s="61">
        <v>29690000</v>
      </c>
      <c r="E38" s="36"/>
      <c r="F38" s="34">
        <v>29690000</v>
      </c>
      <c r="G38" s="39">
        <v>29290000</v>
      </c>
    </row>
    <row r="39" spans="1:7" x14ac:dyDescent="0.2">
      <c r="A39" t="s">
        <v>187</v>
      </c>
      <c r="B39" s="25"/>
      <c r="C39" s="52">
        <v>38290000</v>
      </c>
      <c r="D39" s="63">
        <v>37790000</v>
      </c>
      <c r="E39" s="36"/>
      <c r="F39" s="37">
        <v>38090000</v>
      </c>
      <c r="G39" s="39">
        <v>37590000</v>
      </c>
    </row>
    <row r="40" spans="1:7" x14ac:dyDescent="0.2">
      <c r="A40" t="s">
        <v>261</v>
      </c>
      <c r="B40" s="25"/>
      <c r="C40" s="52"/>
      <c r="D40" s="63">
        <v>64990000</v>
      </c>
      <c r="E40" s="36"/>
      <c r="F40" s="39"/>
      <c r="G40" s="39">
        <v>63990000</v>
      </c>
    </row>
    <row r="41" spans="1:7" x14ac:dyDescent="0.2">
      <c r="C41" s="59"/>
      <c r="D41" s="59"/>
    </row>
    <row r="42" spans="1:7" x14ac:dyDescent="0.2">
      <c r="C42" s="59"/>
      <c r="D42" s="59"/>
    </row>
    <row r="43" spans="1:7" x14ac:dyDescent="0.2">
      <c r="C43" s="59"/>
      <c r="D43" s="59"/>
    </row>
    <row r="44" spans="1:7" x14ac:dyDescent="0.2">
      <c r="C44" s="59"/>
      <c r="D44" s="59"/>
    </row>
    <row r="45" spans="1:7" x14ac:dyDescent="0.2">
      <c r="C45" s="59"/>
      <c r="D45" s="59"/>
    </row>
    <row r="46" spans="1:7" x14ac:dyDescent="0.2">
      <c r="C46" s="59"/>
      <c r="D46" s="59"/>
    </row>
    <row r="47" spans="1:7" x14ac:dyDescent="0.2">
      <c r="C47" s="59"/>
      <c r="D47" s="59"/>
    </row>
    <row r="48" spans="1:7" x14ac:dyDescent="0.2">
      <c r="C48" s="59"/>
      <c r="D48" s="59"/>
    </row>
    <row r="49" spans="3:4" x14ac:dyDescent="0.2">
      <c r="C49" s="59"/>
      <c r="D49" s="59"/>
    </row>
    <row r="50" spans="3:4" x14ac:dyDescent="0.2">
      <c r="C50" s="59"/>
      <c r="D50" s="59"/>
    </row>
    <row r="51" spans="3:4" x14ac:dyDescent="0.2">
      <c r="C51" s="59"/>
      <c r="D51" s="59"/>
    </row>
    <row r="52" spans="3:4" x14ac:dyDescent="0.2">
      <c r="C52" s="59"/>
      <c r="D52" s="59"/>
    </row>
    <row r="53" spans="3:4" x14ac:dyDescent="0.2">
      <c r="C53" s="59"/>
      <c r="D53" s="59"/>
    </row>
    <row r="54" spans="3:4" x14ac:dyDescent="0.2">
      <c r="C54" s="59"/>
      <c r="D54" s="59"/>
    </row>
    <row r="55" spans="3:4" x14ac:dyDescent="0.2">
      <c r="C55" s="59"/>
      <c r="D55" s="59"/>
    </row>
    <row r="56" spans="3:4" x14ac:dyDescent="0.2">
      <c r="C56" s="59"/>
      <c r="D56" s="59"/>
    </row>
    <row r="57" spans="3:4" x14ac:dyDescent="0.2">
      <c r="C57" s="59"/>
      <c r="D57" s="59"/>
    </row>
    <row r="58" spans="3:4" x14ac:dyDescent="0.2">
      <c r="C58" s="59"/>
      <c r="D58" s="59"/>
    </row>
    <row r="59" spans="3:4" x14ac:dyDescent="0.2">
      <c r="C59" s="59"/>
      <c r="D59" s="59"/>
    </row>
    <row r="60" spans="3:4" x14ac:dyDescent="0.2">
      <c r="C60" s="59"/>
      <c r="D60" s="59"/>
    </row>
    <row r="61" spans="3:4" x14ac:dyDescent="0.2">
      <c r="C61" s="59"/>
      <c r="D61" s="59"/>
    </row>
    <row r="62" spans="3:4" x14ac:dyDescent="0.2">
      <c r="C62" s="59"/>
      <c r="D62" s="59"/>
    </row>
    <row r="63" spans="3:4" x14ac:dyDescent="0.2">
      <c r="C63" s="59"/>
      <c r="D63" s="59"/>
    </row>
    <row r="64" spans="3:4" x14ac:dyDescent="0.2">
      <c r="C64" s="59"/>
      <c r="D64" s="59"/>
    </row>
    <row r="65" spans="3:4" x14ac:dyDescent="0.2">
      <c r="C65" s="59"/>
      <c r="D65" s="59"/>
    </row>
    <row r="66" spans="3:4" x14ac:dyDescent="0.2">
      <c r="C66" s="59"/>
      <c r="D66" s="59"/>
    </row>
    <row r="67" spans="3:4" x14ac:dyDescent="0.2">
      <c r="C67" s="59"/>
      <c r="D67" s="59"/>
    </row>
    <row r="68" spans="3:4" x14ac:dyDescent="0.2">
      <c r="C68" s="59"/>
      <c r="D68" s="59"/>
    </row>
    <row r="69" spans="3:4" x14ac:dyDescent="0.2">
      <c r="C69" s="59"/>
      <c r="D69" s="59"/>
    </row>
    <row r="70" spans="3:4" x14ac:dyDescent="0.2">
      <c r="C70" s="59"/>
      <c r="D70" s="59"/>
    </row>
    <row r="71" spans="3:4" x14ac:dyDescent="0.2">
      <c r="C71" s="59"/>
      <c r="D71" s="59"/>
    </row>
    <row r="72" spans="3:4" x14ac:dyDescent="0.2">
      <c r="C72" s="59"/>
      <c r="D72" s="59"/>
    </row>
    <row r="73" spans="3:4" x14ac:dyDescent="0.2">
      <c r="C73" s="59"/>
      <c r="D73" s="59"/>
    </row>
    <row r="74" spans="3:4" x14ac:dyDescent="0.2">
      <c r="C74" s="59"/>
      <c r="D74" s="59"/>
    </row>
    <row r="75" spans="3:4" x14ac:dyDescent="0.2">
      <c r="C75" s="59"/>
      <c r="D75" s="59"/>
    </row>
    <row r="76" spans="3:4" x14ac:dyDescent="0.2">
      <c r="C76" s="59"/>
      <c r="D76" s="59"/>
    </row>
    <row r="77" spans="3:4" x14ac:dyDescent="0.2">
      <c r="C77" s="59"/>
      <c r="D77" s="59"/>
    </row>
    <row r="78" spans="3:4" x14ac:dyDescent="0.2">
      <c r="C78" s="59"/>
      <c r="D78" s="59"/>
    </row>
    <row r="79" spans="3:4" x14ac:dyDescent="0.2">
      <c r="C79" s="59"/>
      <c r="D79" s="59"/>
    </row>
    <row r="80" spans="3:4" x14ac:dyDescent="0.2">
      <c r="C80" s="59"/>
      <c r="D80" s="59"/>
    </row>
    <row r="81" spans="3:4" x14ac:dyDescent="0.2">
      <c r="C81" s="59"/>
      <c r="D81" s="59"/>
    </row>
    <row r="82" spans="3:4" x14ac:dyDescent="0.2">
      <c r="C82" s="59"/>
      <c r="D82" s="59"/>
    </row>
    <row r="83" spans="3:4" x14ac:dyDescent="0.2">
      <c r="C83" s="59"/>
      <c r="D83" s="59"/>
    </row>
    <row r="84" spans="3:4" x14ac:dyDescent="0.2">
      <c r="C84" s="59"/>
      <c r="D84" s="59"/>
    </row>
    <row r="85" spans="3:4" x14ac:dyDescent="0.2">
      <c r="C85" s="59"/>
      <c r="D85" s="59"/>
    </row>
    <row r="86" spans="3:4" x14ac:dyDescent="0.2">
      <c r="C86" s="59"/>
      <c r="D86" s="59"/>
    </row>
    <row r="87" spans="3:4" x14ac:dyDescent="0.2">
      <c r="C87" s="59"/>
      <c r="D87" s="59"/>
    </row>
    <row r="88" spans="3:4" x14ac:dyDescent="0.2">
      <c r="C88" s="59"/>
      <c r="D88" s="59"/>
    </row>
    <row r="89" spans="3:4" x14ac:dyDescent="0.2">
      <c r="C89" s="59"/>
      <c r="D89" s="59"/>
    </row>
    <row r="90" spans="3:4" x14ac:dyDescent="0.2">
      <c r="C90" s="59"/>
      <c r="D90" s="59"/>
    </row>
    <row r="91" spans="3:4" x14ac:dyDescent="0.2">
      <c r="C91" s="59"/>
      <c r="D91" s="59"/>
    </row>
    <row r="92" spans="3:4" x14ac:dyDescent="0.2">
      <c r="C92" s="59"/>
      <c r="D92" s="59"/>
    </row>
    <row r="93" spans="3:4" x14ac:dyDescent="0.2">
      <c r="C93" s="59"/>
      <c r="D93" s="59"/>
    </row>
    <row r="94" spans="3:4" x14ac:dyDescent="0.2">
      <c r="C94" s="59"/>
      <c r="D94" s="59"/>
    </row>
    <row r="95" spans="3:4" x14ac:dyDescent="0.2">
      <c r="C95" s="59"/>
      <c r="D95" s="59"/>
    </row>
    <row r="96" spans="3:4" x14ac:dyDescent="0.2">
      <c r="C96" s="59"/>
      <c r="D96" s="59"/>
    </row>
    <row r="97" spans="3:4" x14ac:dyDescent="0.2">
      <c r="C97" s="59"/>
      <c r="D97" s="59"/>
    </row>
    <row r="98" spans="3:4" x14ac:dyDescent="0.2">
      <c r="C98" s="59"/>
      <c r="D98" s="59"/>
    </row>
    <row r="99" spans="3:4" x14ac:dyDescent="0.2">
      <c r="C99" s="59"/>
      <c r="D99" s="59"/>
    </row>
    <row r="100" spans="3:4" x14ac:dyDescent="0.2">
      <c r="C100" s="59"/>
      <c r="D100" s="59"/>
    </row>
    <row r="101" spans="3:4" x14ac:dyDescent="0.2">
      <c r="C101" s="59"/>
      <c r="D101" s="59"/>
    </row>
    <row r="102" spans="3:4" x14ac:dyDescent="0.2">
      <c r="C102" s="59"/>
      <c r="D102" s="59"/>
    </row>
    <row r="103" spans="3:4" x14ac:dyDescent="0.2">
      <c r="C103" s="59"/>
      <c r="D103" s="59"/>
    </row>
    <row r="104" spans="3:4" x14ac:dyDescent="0.2">
      <c r="C104" s="59"/>
      <c r="D104" s="59"/>
    </row>
    <row r="105" spans="3:4" x14ac:dyDescent="0.2">
      <c r="C105" s="59"/>
      <c r="D105" s="59"/>
    </row>
    <row r="106" spans="3:4" x14ac:dyDescent="0.2">
      <c r="C106" s="59"/>
      <c r="D106" s="59"/>
    </row>
    <row r="107" spans="3:4" x14ac:dyDescent="0.2">
      <c r="C107" s="59"/>
      <c r="D107" s="59"/>
    </row>
    <row r="108" spans="3:4" x14ac:dyDescent="0.2">
      <c r="C108" s="59"/>
      <c r="D108" s="59"/>
    </row>
    <row r="109" spans="3:4" x14ac:dyDescent="0.2">
      <c r="C109" s="59"/>
      <c r="D109" s="59"/>
    </row>
    <row r="110" spans="3:4" x14ac:dyDescent="0.2">
      <c r="C110" s="59"/>
      <c r="D110" s="59"/>
    </row>
    <row r="111" spans="3:4" x14ac:dyDescent="0.2">
      <c r="C111" s="59"/>
      <c r="D111" s="59"/>
    </row>
    <row r="112" spans="3:4" x14ac:dyDescent="0.2">
      <c r="C112" s="59"/>
      <c r="D112" s="59"/>
    </row>
    <row r="113" spans="3:4" x14ac:dyDescent="0.2">
      <c r="C113" s="59"/>
      <c r="D113" s="59"/>
    </row>
    <row r="114" spans="3:4" x14ac:dyDescent="0.2">
      <c r="C114" s="59"/>
      <c r="D114" s="59"/>
    </row>
    <row r="115" spans="3:4" x14ac:dyDescent="0.2">
      <c r="C115" s="59"/>
      <c r="D115" s="59"/>
    </row>
    <row r="116" spans="3:4" x14ac:dyDescent="0.2">
      <c r="C116" s="59"/>
      <c r="D116" s="59"/>
    </row>
    <row r="117" spans="3:4" x14ac:dyDescent="0.2">
      <c r="C117" s="59"/>
      <c r="D117" s="59"/>
    </row>
    <row r="118" spans="3:4" x14ac:dyDescent="0.2">
      <c r="C118" s="59"/>
      <c r="D118" s="59"/>
    </row>
    <row r="119" spans="3:4" x14ac:dyDescent="0.2">
      <c r="C119" s="59"/>
      <c r="D119" s="59"/>
    </row>
    <row r="120" spans="3:4" x14ac:dyDescent="0.2">
      <c r="C120" s="59"/>
      <c r="D120" s="59"/>
    </row>
    <row r="121" spans="3:4" x14ac:dyDescent="0.2">
      <c r="C121" s="59"/>
      <c r="D121" s="59"/>
    </row>
    <row r="122" spans="3:4" x14ac:dyDescent="0.2">
      <c r="C122" s="59"/>
      <c r="D122" s="59"/>
    </row>
    <row r="123" spans="3:4" x14ac:dyDescent="0.2">
      <c r="C123" s="59"/>
      <c r="D123" s="59"/>
    </row>
    <row r="124" spans="3:4" x14ac:dyDescent="0.2">
      <c r="C124" s="59"/>
      <c r="D124" s="59"/>
    </row>
    <row r="125" spans="3:4" x14ac:dyDescent="0.2">
      <c r="C125" s="59"/>
      <c r="D125" s="59"/>
    </row>
    <row r="126" spans="3:4" x14ac:dyDescent="0.2">
      <c r="C126" s="59"/>
      <c r="D126" s="59"/>
    </row>
    <row r="127" spans="3:4" x14ac:dyDescent="0.2">
      <c r="C127" s="59"/>
      <c r="D127" s="59"/>
    </row>
    <row r="128" spans="3:4" x14ac:dyDescent="0.2">
      <c r="C128" s="59"/>
      <c r="D128" s="59"/>
    </row>
    <row r="129" spans="3:4" x14ac:dyDescent="0.2">
      <c r="C129" s="59"/>
      <c r="D129" s="59"/>
    </row>
    <row r="130" spans="3:4" x14ac:dyDescent="0.2">
      <c r="C130" s="59"/>
      <c r="D130" s="59"/>
    </row>
    <row r="131" spans="3:4" x14ac:dyDescent="0.2">
      <c r="C131" s="59"/>
      <c r="D131" s="59"/>
    </row>
    <row r="132" spans="3:4" x14ac:dyDescent="0.2">
      <c r="C132" s="59"/>
      <c r="D132" s="59"/>
    </row>
    <row r="133" spans="3:4" x14ac:dyDescent="0.2">
      <c r="C133" s="59"/>
      <c r="D133" s="59"/>
    </row>
    <row r="134" spans="3:4" x14ac:dyDescent="0.2">
      <c r="C134" s="59"/>
      <c r="D134" s="59"/>
    </row>
    <row r="135" spans="3:4" x14ac:dyDescent="0.2">
      <c r="C135" s="59"/>
      <c r="D135" s="59"/>
    </row>
    <row r="136" spans="3:4" x14ac:dyDescent="0.2">
      <c r="C136" s="59"/>
      <c r="D136" s="59"/>
    </row>
    <row r="137" spans="3:4" x14ac:dyDescent="0.2">
      <c r="C137" s="59"/>
      <c r="D137" s="59"/>
    </row>
    <row r="138" spans="3:4" x14ac:dyDescent="0.2">
      <c r="C138" s="59"/>
      <c r="D138" s="59"/>
    </row>
    <row r="139" spans="3:4" x14ac:dyDescent="0.2">
      <c r="C139" s="59"/>
      <c r="D139" s="59"/>
    </row>
    <row r="140" spans="3:4" x14ac:dyDescent="0.2">
      <c r="C140" s="59"/>
      <c r="D140" s="59"/>
    </row>
    <row r="141" spans="3:4" x14ac:dyDescent="0.2">
      <c r="C141" s="59"/>
      <c r="D141" s="59"/>
    </row>
    <row r="142" spans="3:4" x14ac:dyDescent="0.2">
      <c r="C142" s="59"/>
      <c r="D142" s="59"/>
    </row>
    <row r="143" spans="3:4" x14ac:dyDescent="0.2">
      <c r="C143" s="59"/>
      <c r="D143" s="59"/>
    </row>
    <row r="144" spans="3:4" x14ac:dyDescent="0.2">
      <c r="C144" s="59"/>
      <c r="D144" s="59"/>
    </row>
    <row r="145" spans="3:4" x14ac:dyDescent="0.2">
      <c r="C145" s="59"/>
      <c r="D145" s="59"/>
    </row>
    <row r="146" spans="3:4" x14ac:dyDescent="0.2">
      <c r="C146" s="59"/>
      <c r="D146" s="59"/>
    </row>
    <row r="147" spans="3:4" x14ac:dyDescent="0.2">
      <c r="C147" s="59"/>
      <c r="D147" s="59"/>
    </row>
    <row r="148" spans="3:4" x14ac:dyDescent="0.2">
      <c r="C148" s="59"/>
      <c r="D148" s="59"/>
    </row>
    <row r="149" spans="3:4" x14ac:dyDescent="0.2">
      <c r="C149" s="59"/>
      <c r="D149" s="59"/>
    </row>
    <row r="150" spans="3:4" x14ac:dyDescent="0.2">
      <c r="C150" s="59"/>
      <c r="D150" s="59"/>
    </row>
    <row r="151" spans="3:4" x14ac:dyDescent="0.2">
      <c r="C151" s="59"/>
      <c r="D151" s="59"/>
    </row>
    <row r="152" spans="3:4" x14ac:dyDescent="0.2">
      <c r="C152" s="59"/>
      <c r="D152" s="59"/>
    </row>
    <row r="153" spans="3:4" x14ac:dyDescent="0.2">
      <c r="C153" s="59"/>
      <c r="D153" s="59"/>
    </row>
  </sheetData>
  <pageMargins left="0.7" right="0.7" top="0.75" bottom="0.75" header="0.3" footer="0.3"/>
  <pageSetup paperSize="9" orientation="portrait" horizontalDpi="0" verticalDpi="0"/>
  <legacyDrawing r:id="rId1"/>
</worksheet>
</file>

<file path=xl/worksheets/sheet7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D00-000000000000}">
  <dimension ref="A1:L162"/>
  <sheetViews>
    <sheetView zoomScale="88" zoomScaleNormal="90" workbookViewId="0">
      <pane xSplit="2" ySplit="1" topLeftCell="J25" activePane="bottomRight" state="frozen"/>
      <selection pane="topRight" activeCell="C1" sqref="C1"/>
      <selection pane="bottomLeft" activeCell="A2" sqref="A2"/>
      <selection pane="bottomRight" activeCell="C1" sqref="C1"/>
    </sheetView>
  </sheetViews>
  <sheetFormatPr baseColWidth="10" defaultColWidth="11" defaultRowHeight="16" x14ac:dyDescent="0.2"/>
  <cols>
    <col min="1" max="1" width="27.5" bestFit="1" customWidth="1"/>
    <col min="2" max="2" width="0" hidden="1"/>
    <col min="3" max="6" width="10.1640625" bestFit="1" customWidth="1"/>
    <col min="7" max="7" width="13" customWidth="1"/>
    <col min="8" max="8" width="12.1640625" customWidth="1"/>
  </cols>
  <sheetData>
    <row r="1" spans="1:12" x14ac:dyDescent="0.2">
      <c r="B1" s="46" t="s">
        <v>0</v>
      </c>
      <c r="C1" s="80" t="s">
        <v>1</v>
      </c>
      <c r="D1" s="80" t="s">
        <v>2</v>
      </c>
      <c r="E1" s="81" t="s">
        <v>3</v>
      </c>
      <c r="F1" s="81" t="s">
        <v>4</v>
      </c>
      <c r="G1" s="81" t="s">
        <v>5</v>
      </c>
    </row>
    <row r="2" spans="1:12" x14ac:dyDescent="0.2">
      <c r="A2" t="s">
        <v>17</v>
      </c>
      <c r="B2" s="82"/>
      <c r="C2" s="67">
        <v>24990000</v>
      </c>
      <c r="D2" s="67">
        <v>24990000</v>
      </c>
      <c r="E2" s="71">
        <v>24490000</v>
      </c>
      <c r="F2" s="39">
        <v>24990000</v>
      </c>
      <c r="G2" s="39">
        <v>24990000</v>
      </c>
    </row>
    <row r="3" spans="1:12" x14ac:dyDescent="0.2">
      <c r="A3" t="s">
        <v>18</v>
      </c>
      <c r="B3" s="82"/>
      <c r="C3" s="75">
        <v>31490000</v>
      </c>
      <c r="D3" s="67">
        <v>31990000</v>
      </c>
      <c r="E3" s="71">
        <v>30990000</v>
      </c>
      <c r="F3" s="39">
        <v>31990000</v>
      </c>
      <c r="G3" s="37">
        <v>31290000</v>
      </c>
      <c r="H3" s="74"/>
    </row>
    <row r="4" spans="1:12" x14ac:dyDescent="0.2">
      <c r="A4" t="s">
        <v>19</v>
      </c>
      <c r="B4" s="82"/>
      <c r="C4" s="67">
        <v>34990000</v>
      </c>
      <c r="D4" s="67">
        <v>34990000</v>
      </c>
      <c r="E4" s="71">
        <v>33990000</v>
      </c>
      <c r="F4" s="39">
        <v>34990000</v>
      </c>
      <c r="G4" s="37">
        <v>34790000</v>
      </c>
      <c r="H4" s="74"/>
    </row>
    <row r="5" spans="1:12" x14ac:dyDescent="0.2">
      <c r="A5" t="s">
        <v>20</v>
      </c>
      <c r="B5" s="82"/>
      <c r="C5" s="67">
        <v>37990000</v>
      </c>
      <c r="D5" s="67">
        <v>37990000</v>
      </c>
      <c r="E5" s="71">
        <v>37990000</v>
      </c>
      <c r="F5" s="39">
        <v>37990000</v>
      </c>
      <c r="G5" s="39">
        <v>37990000</v>
      </c>
    </row>
    <row r="6" spans="1:12" x14ac:dyDescent="0.2">
      <c r="A6" t="s">
        <v>21</v>
      </c>
      <c r="B6" s="82"/>
      <c r="C6" s="76">
        <v>14990000</v>
      </c>
      <c r="D6" s="75">
        <v>14990000</v>
      </c>
      <c r="E6" s="71">
        <v>15790000</v>
      </c>
      <c r="F6" s="37">
        <v>15390000</v>
      </c>
      <c r="G6" s="39">
        <v>14990000</v>
      </c>
    </row>
    <row r="7" spans="1:12" x14ac:dyDescent="0.2">
      <c r="A7" t="s">
        <v>181</v>
      </c>
      <c r="B7" s="70"/>
      <c r="C7" s="73">
        <v>21590000</v>
      </c>
      <c r="D7" s="72">
        <v>21590000</v>
      </c>
      <c r="E7" s="71">
        <v>20690000</v>
      </c>
      <c r="F7" s="37">
        <v>20590000</v>
      </c>
      <c r="G7" s="39">
        <v>21290000</v>
      </c>
      <c r="H7" s="74"/>
    </row>
    <row r="8" spans="1:12" x14ac:dyDescent="0.2">
      <c r="A8" t="s">
        <v>24</v>
      </c>
      <c r="B8" s="3"/>
      <c r="C8" s="53">
        <v>24990000</v>
      </c>
      <c r="D8" s="61">
        <v>24790000</v>
      </c>
      <c r="E8" s="39">
        <v>23890000</v>
      </c>
      <c r="F8" s="39">
        <v>22890000</v>
      </c>
      <c r="G8" s="39">
        <v>25090000</v>
      </c>
      <c r="H8" s="74"/>
    </row>
    <row r="9" spans="1:12" x14ac:dyDescent="0.2">
      <c r="A9" t="s">
        <v>182</v>
      </c>
      <c r="B9" s="25"/>
      <c r="C9" s="52">
        <v>25590000</v>
      </c>
      <c r="D9" s="63">
        <v>25590000</v>
      </c>
      <c r="E9" s="39">
        <v>24290000</v>
      </c>
      <c r="F9" s="37">
        <v>25590000</v>
      </c>
      <c r="G9" s="39">
        <v>24990000</v>
      </c>
    </row>
    <row r="10" spans="1:12" x14ac:dyDescent="0.2">
      <c r="A10" t="s">
        <v>183</v>
      </c>
      <c r="B10" s="3"/>
      <c r="C10" s="52">
        <v>30590000</v>
      </c>
      <c r="D10" s="61">
        <v>30290000</v>
      </c>
      <c r="E10" s="39">
        <v>29290000</v>
      </c>
      <c r="F10" s="37">
        <v>30290000</v>
      </c>
      <c r="G10" s="37">
        <v>30290000</v>
      </c>
    </row>
    <row r="11" spans="1:12" x14ac:dyDescent="0.2">
      <c r="A11" t="s">
        <v>25</v>
      </c>
      <c r="B11" s="25"/>
      <c r="C11" s="53">
        <v>17990000</v>
      </c>
      <c r="D11" s="61">
        <v>17590000</v>
      </c>
      <c r="E11" s="34">
        <v>16790000</v>
      </c>
      <c r="F11" s="37">
        <v>16650000</v>
      </c>
      <c r="G11" s="39">
        <v>16890000</v>
      </c>
    </row>
    <row r="12" spans="1:12" x14ac:dyDescent="0.2">
      <c r="A12" t="s">
        <v>26</v>
      </c>
      <c r="B12" s="25"/>
      <c r="C12" s="52">
        <v>19590000</v>
      </c>
      <c r="D12" s="63" t="s">
        <v>22</v>
      </c>
      <c r="E12" s="25">
        <v>18490000</v>
      </c>
      <c r="F12" s="37">
        <v>18990000</v>
      </c>
      <c r="G12" s="39">
        <v>18490000</v>
      </c>
    </row>
    <row r="13" spans="1:12" x14ac:dyDescent="0.2">
      <c r="A13" t="s">
        <v>27</v>
      </c>
      <c r="B13" s="25"/>
      <c r="C13" s="52">
        <v>13990000</v>
      </c>
      <c r="D13" s="61">
        <v>13490000</v>
      </c>
      <c r="E13" s="34">
        <v>13690000</v>
      </c>
      <c r="F13" s="34">
        <v>13490000</v>
      </c>
      <c r="G13" s="37">
        <v>13490000</v>
      </c>
    </row>
    <row r="14" spans="1:12" x14ac:dyDescent="0.2">
      <c r="A14" t="s">
        <v>28</v>
      </c>
      <c r="B14" s="3"/>
      <c r="C14" s="52">
        <v>12590000</v>
      </c>
      <c r="D14" s="53">
        <v>12390000</v>
      </c>
      <c r="E14" s="34">
        <v>12290000</v>
      </c>
      <c r="F14" s="34">
        <v>12090000</v>
      </c>
      <c r="G14" s="37">
        <v>11890000</v>
      </c>
    </row>
    <row r="15" spans="1:12" x14ac:dyDescent="0.2">
      <c r="A15" t="s">
        <v>29</v>
      </c>
      <c r="B15" s="25"/>
      <c r="C15" s="53">
        <v>11790000</v>
      </c>
      <c r="D15" s="61">
        <v>11790000</v>
      </c>
      <c r="E15" s="34">
        <v>11990000</v>
      </c>
      <c r="F15" s="34">
        <v>11790000</v>
      </c>
      <c r="G15" s="39">
        <v>11590000</v>
      </c>
    </row>
    <row r="16" spans="1:12" x14ac:dyDescent="0.2">
      <c r="A16" t="s">
        <v>30</v>
      </c>
      <c r="B16" s="3"/>
      <c r="C16" s="53">
        <v>8890000</v>
      </c>
      <c r="D16" s="61">
        <v>8690000</v>
      </c>
      <c r="E16" s="34">
        <v>8690000</v>
      </c>
      <c r="F16" s="34">
        <v>8690000</v>
      </c>
      <c r="G16" s="37">
        <v>8390000</v>
      </c>
      <c r="H16" s="26"/>
      <c r="J16" t="s">
        <v>31</v>
      </c>
      <c r="K16" t="s">
        <v>38</v>
      </c>
      <c r="L16" t="b">
        <v>1</v>
      </c>
    </row>
    <row r="17" spans="1:12" x14ac:dyDescent="0.2">
      <c r="A17" t="s">
        <v>33</v>
      </c>
      <c r="B17" s="3"/>
      <c r="C17" s="53">
        <v>13690000</v>
      </c>
      <c r="D17" s="61">
        <v>13190000</v>
      </c>
      <c r="E17" s="34">
        <v>13790000</v>
      </c>
      <c r="F17" s="34">
        <v>13190000</v>
      </c>
      <c r="G17" s="37">
        <v>13090000</v>
      </c>
      <c r="J17" t="s">
        <v>2</v>
      </c>
      <c r="K17" t="s">
        <v>198</v>
      </c>
      <c r="L17" t="b">
        <v>1</v>
      </c>
    </row>
    <row r="18" spans="1:12" x14ac:dyDescent="0.2">
      <c r="A18" t="s">
        <v>37</v>
      </c>
      <c r="B18" s="25"/>
      <c r="C18" s="53">
        <v>19490000</v>
      </c>
      <c r="D18" s="61">
        <v>18990000</v>
      </c>
      <c r="E18" s="25">
        <v>20490000</v>
      </c>
      <c r="F18" s="34">
        <v>19490000</v>
      </c>
      <c r="G18" s="37">
        <v>18990000</v>
      </c>
      <c r="J18" t="s">
        <v>3</v>
      </c>
      <c r="K18" t="s">
        <v>36</v>
      </c>
      <c r="L18" t="b">
        <v>1</v>
      </c>
    </row>
    <row r="19" spans="1:12" x14ac:dyDescent="0.2">
      <c r="A19" t="s">
        <v>184</v>
      </c>
      <c r="B19" s="25"/>
      <c r="C19" s="53">
        <v>27990000</v>
      </c>
      <c r="D19" s="61">
        <v>27890000</v>
      </c>
      <c r="E19" s="25">
        <v>26490000</v>
      </c>
      <c r="F19" s="34">
        <v>27890000</v>
      </c>
      <c r="G19" s="37">
        <v>27690000</v>
      </c>
      <c r="J19" t="s">
        <v>4</v>
      </c>
      <c r="K19" t="s">
        <v>34</v>
      </c>
      <c r="L19" t="b">
        <v>1</v>
      </c>
    </row>
    <row r="20" spans="1:12" x14ac:dyDescent="0.2">
      <c r="A20" t="s">
        <v>185</v>
      </c>
      <c r="B20" s="3"/>
      <c r="C20" s="53">
        <v>36290000</v>
      </c>
      <c r="D20" s="63">
        <v>36290000</v>
      </c>
      <c r="E20" s="25">
        <v>35490000</v>
      </c>
      <c r="F20" s="34">
        <v>36490000</v>
      </c>
      <c r="G20" s="39">
        <v>33690000</v>
      </c>
      <c r="J20" t="s">
        <v>41</v>
      </c>
      <c r="K20" t="s">
        <v>42</v>
      </c>
      <c r="L20" t="b">
        <v>1</v>
      </c>
    </row>
    <row r="21" spans="1:12" x14ac:dyDescent="0.2">
      <c r="A21" t="s">
        <v>228</v>
      </c>
      <c r="B21" s="25"/>
      <c r="C21" s="51" t="s">
        <v>22</v>
      </c>
      <c r="D21" s="63">
        <v>6990000</v>
      </c>
      <c r="E21" s="25">
        <v>6990000</v>
      </c>
      <c r="F21" s="38">
        <v>6990000</v>
      </c>
      <c r="G21" s="38">
        <v>6590000</v>
      </c>
    </row>
    <row r="22" spans="1:12" x14ac:dyDescent="0.2">
      <c r="A22" t="s">
        <v>229</v>
      </c>
      <c r="B22" s="25"/>
      <c r="C22" s="52">
        <v>6490000</v>
      </c>
      <c r="D22" s="63">
        <v>6490000</v>
      </c>
      <c r="E22" s="25">
        <v>6390000</v>
      </c>
      <c r="F22" s="34">
        <v>6090000</v>
      </c>
      <c r="G22" s="39">
        <v>7849000</v>
      </c>
    </row>
    <row r="23" spans="1:12" x14ac:dyDescent="0.2">
      <c r="A23" t="s">
        <v>230</v>
      </c>
      <c r="B23" s="25"/>
      <c r="C23" s="51" t="s">
        <v>22</v>
      </c>
      <c r="D23" s="63">
        <v>7790000</v>
      </c>
      <c r="E23" s="25">
        <v>7790000</v>
      </c>
      <c r="F23" s="38">
        <v>7790000</v>
      </c>
      <c r="G23" s="39">
        <v>8490000</v>
      </c>
    </row>
    <row r="24" spans="1:12" x14ac:dyDescent="0.2">
      <c r="A24" t="s">
        <v>227</v>
      </c>
      <c r="B24" s="25"/>
      <c r="C24" s="52">
        <v>5790000</v>
      </c>
      <c r="D24" s="63">
        <v>5690000</v>
      </c>
      <c r="E24" s="25">
        <v>5490000</v>
      </c>
      <c r="F24" s="34">
        <v>5290000</v>
      </c>
      <c r="G24" s="38">
        <v>5590000</v>
      </c>
    </row>
    <row r="25" spans="1:12" x14ac:dyDescent="0.2">
      <c r="A25" t="s">
        <v>44</v>
      </c>
      <c r="B25" s="25"/>
      <c r="C25" s="63">
        <v>6990000</v>
      </c>
      <c r="D25" s="63">
        <v>6990000</v>
      </c>
      <c r="E25" s="25">
        <v>6690000</v>
      </c>
      <c r="F25" s="38">
        <v>6990000</v>
      </c>
      <c r="G25" s="38">
        <v>6990000</v>
      </c>
    </row>
    <row r="26" spans="1:12" x14ac:dyDescent="0.2">
      <c r="A26" t="s">
        <v>45</v>
      </c>
      <c r="B26" s="25"/>
      <c r="C26" s="63">
        <v>8490000</v>
      </c>
      <c r="D26" s="63">
        <v>8490000</v>
      </c>
      <c r="E26" s="25">
        <v>8190000</v>
      </c>
      <c r="F26" s="38">
        <v>8490000</v>
      </c>
      <c r="G26" s="38">
        <v>8490000</v>
      </c>
    </row>
    <row r="27" spans="1:12" x14ac:dyDescent="0.2">
      <c r="A27" t="s">
        <v>46</v>
      </c>
      <c r="B27" s="25"/>
      <c r="C27" s="63">
        <v>7850000</v>
      </c>
      <c r="D27" s="63">
        <v>7849000</v>
      </c>
      <c r="E27" s="25">
        <v>7690000</v>
      </c>
      <c r="F27" s="38">
        <v>7840000</v>
      </c>
      <c r="G27" s="38">
        <v>7840000</v>
      </c>
    </row>
    <row r="28" spans="1:12" x14ac:dyDescent="0.2">
      <c r="A28" t="s">
        <v>47</v>
      </c>
      <c r="B28" s="25"/>
      <c r="C28" s="51" t="s">
        <v>22</v>
      </c>
      <c r="D28" s="63">
        <v>9349000</v>
      </c>
      <c r="E28" s="25">
        <v>8990000</v>
      </c>
      <c r="F28" s="38">
        <v>9340000</v>
      </c>
      <c r="G28" s="38">
        <v>9340000</v>
      </c>
    </row>
    <row r="29" spans="1:12" x14ac:dyDescent="0.2">
      <c r="A29" t="s">
        <v>213</v>
      </c>
      <c r="B29" s="25"/>
      <c r="C29" s="52">
        <v>10590000</v>
      </c>
      <c r="D29" s="63">
        <v>10490000</v>
      </c>
      <c r="E29" s="25">
        <v>9990000</v>
      </c>
      <c r="F29" s="38">
        <v>10190000</v>
      </c>
      <c r="G29" s="39">
        <v>10390000</v>
      </c>
      <c r="H29" s="26"/>
    </row>
    <row r="30" spans="1:12" x14ac:dyDescent="0.2">
      <c r="A30" t="s">
        <v>214</v>
      </c>
      <c r="B30" s="25"/>
      <c r="C30" s="63" t="s">
        <v>22</v>
      </c>
      <c r="D30" s="63">
        <v>12790000</v>
      </c>
      <c r="E30" s="25">
        <v>12490000</v>
      </c>
      <c r="F30" s="38">
        <v>12990000</v>
      </c>
      <c r="G30" s="39">
        <v>12890000</v>
      </c>
    </row>
    <row r="31" spans="1:12" x14ac:dyDescent="0.2">
      <c r="A31" t="s">
        <v>215</v>
      </c>
      <c r="B31" s="25"/>
      <c r="C31" s="53">
        <v>11190000</v>
      </c>
      <c r="D31" s="63">
        <v>11290000</v>
      </c>
      <c r="E31" s="25">
        <v>10690000</v>
      </c>
      <c r="F31" s="38">
        <v>11290000</v>
      </c>
      <c r="G31" s="39">
        <v>10990000</v>
      </c>
      <c r="H31" s="26"/>
      <c r="I31" s="26"/>
    </row>
    <row r="32" spans="1:12" x14ac:dyDescent="0.2">
      <c r="A32" t="s">
        <v>217</v>
      </c>
      <c r="B32" s="3"/>
      <c r="C32" s="52">
        <v>13690000</v>
      </c>
      <c r="D32" s="63">
        <v>13690000</v>
      </c>
      <c r="E32" s="25">
        <v>13290000</v>
      </c>
      <c r="F32" s="38">
        <v>13890000</v>
      </c>
      <c r="G32" s="39">
        <v>13590000</v>
      </c>
    </row>
    <row r="33" spans="1:7" x14ac:dyDescent="0.2">
      <c r="A33" t="s">
        <v>48</v>
      </c>
      <c r="B33" s="3"/>
      <c r="C33" s="63">
        <v>11490000</v>
      </c>
      <c r="D33" s="63">
        <v>11490000</v>
      </c>
      <c r="E33" s="25">
        <v>11290000</v>
      </c>
      <c r="F33" s="38">
        <v>11490000</v>
      </c>
      <c r="G33" s="38">
        <v>11490000</v>
      </c>
    </row>
    <row r="34" spans="1:7" x14ac:dyDescent="0.2">
      <c r="A34" t="s">
        <v>49</v>
      </c>
      <c r="B34" s="3"/>
      <c r="C34" s="63">
        <v>14490000</v>
      </c>
      <c r="D34" s="63">
        <v>14490000</v>
      </c>
      <c r="E34" s="25">
        <v>14190000</v>
      </c>
      <c r="F34" s="38">
        <v>14490000</v>
      </c>
      <c r="G34" s="38">
        <v>14490000</v>
      </c>
    </row>
    <row r="35" spans="1:7" x14ac:dyDescent="0.2">
      <c r="A35" t="s">
        <v>50</v>
      </c>
      <c r="B35" s="3"/>
      <c r="C35" s="63">
        <v>12350000</v>
      </c>
      <c r="D35" s="63">
        <v>12349000</v>
      </c>
      <c r="E35" s="25">
        <v>12190000</v>
      </c>
      <c r="F35" s="38">
        <v>12349000</v>
      </c>
      <c r="G35" s="38">
        <v>12349000</v>
      </c>
    </row>
    <row r="36" spans="1:7" x14ac:dyDescent="0.2">
      <c r="A36" t="s">
        <v>51</v>
      </c>
      <c r="B36" s="3"/>
      <c r="C36" s="63">
        <v>15350000</v>
      </c>
      <c r="D36" s="63">
        <v>15349000</v>
      </c>
      <c r="E36" s="25">
        <v>14990000</v>
      </c>
      <c r="F36" s="38">
        <v>15349000</v>
      </c>
      <c r="G36" s="38">
        <v>15349000</v>
      </c>
    </row>
    <row r="37" spans="1:7" x14ac:dyDescent="0.2">
      <c r="A37" t="s">
        <v>172</v>
      </c>
      <c r="B37" s="25"/>
      <c r="C37" s="52">
        <v>21890000</v>
      </c>
      <c r="D37" s="63">
        <v>21890000</v>
      </c>
      <c r="E37" s="25">
        <v>20990000</v>
      </c>
      <c r="F37" s="39">
        <v>21290000</v>
      </c>
      <c r="G37" s="39">
        <v>22990000</v>
      </c>
    </row>
    <row r="38" spans="1:7" x14ac:dyDescent="0.2">
      <c r="A38" t="s">
        <v>52</v>
      </c>
      <c r="B38" s="25"/>
      <c r="C38" s="63">
        <v>23990000</v>
      </c>
      <c r="D38" s="63">
        <v>23990000</v>
      </c>
      <c r="E38" s="25">
        <v>23490000</v>
      </c>
      <c r="F38" s="39">
        <v>23990000</v>
      </c>
      <c r="G38" s="39">
        <v>23990000</v>
      </c>
    </row>
    <row r="39" spans="1:7" x14ac:dyDescent="0.2">
      <c r="A39" t="s">
        <v>53</v>
      </c>
      <c r="B39" s="3"/>
      <c r="C39" s="52">
        <v>5590000</v>
      </c>
      <c r="D39" s="63">
        <v>5590000</v>
      </c>
      <c r="E39" s="25">
        <v>5590000</v>
      </c>
      <c r="F39" s="39">
        <v>5590000</v>
      </c>
      <c r="G39" s="39">
        <v>5590000</v>
      </c>
    </row>
    <row r="40" spans="1:7" x14ac:dyDescent="0.2">
      <c r="A40" t="s">
        <v>54</v>
      </c>
      <c r="B40" s="3"/>
      <c r="C40" s="53">
        <v>4490000</v>
      </c>
      <c r="D40" s="61">
        <v>4690000</v>
      </c>
      <c r="E40" s="25">
        <v>4390000</v>
      </c>
      <c r="F40" s="39">
        <v>4790000</v>
      </c>
      <c r="G40" s="37">
        <v>4490000</v>
      </c>
    </row>
    <row r="41" spans="1:7" x14ac:dyDescent="0.2">
      <c r="A41" t="s">
        <v>55</v>
      </c>
      <c r="B41" s="3"/>
      <c r="C41" s="53">
        <v>3190000</v>
      </c>
      <c r="D41" s="61">
        <v>3190000</v>
      </c>
      <c r="E41" s="25">
        <v>2990000</v>
      </c>
      <c r="F41" s="39">
        <v>3590000</v>
      </c>
      <c r="G41" s="37">
        <v>3150000</v>
      </c>
    </row>
    <row r="42" spans="1:7" x14ac:dyDescent="0.2">
      <c r="A42" t="s">
        <v>56</v>
      </c>
      <c r="B42" s="3"/>
      <c r="C42" s="39">
        <v>6790000</v>
      </c>
      <c r="D42" s="63">
        <v>6790000</v>
      </c>
      <c r="E42" s="61">
        <v>6590000</v>
      </c>
      <c r="F42" s="25">
        <v>6790000</v>
      </c>
      <c r="G42" s="39">
        <v>6799000</v>
      </c>
    </row>
    <row r="43" spans="1:7" x14ac:dyDescent="0.2">
      <c r="A43" t="s">
        <v>175</v>
      </c>
      <c r="B43" s="3"/>
      <c r="C43" s="52">
        <v>17190000</v>
      </c>
      <c r="D43" s="63" t="s">
        <v>22</v>
      </c>
      <c r="E43" s="36"/>
      <c r="F43" s="63" t="s">
        <v>22</v>
      </c>
      <c r="G43" s="39">
        <v>16890000</v>
      </c>
    </row>
    <row r="44" spans="1:7" x14ac:dyDescent="0.2">
      <c r="A44" t="s">
        <v>186</v>
      </c>
      <c r="B44" s="25"/>
      <c r="C44" s="53">
        <v>19990000</v>
      </c>
      <c r="D44" s="61">
        <v>19890000</v>
      </c>
      <c r="E44" s="36"/>
      <c r="F44" s="34">
        <v>19890000</v>
      </c>
      <c r="G44" s="39">
        <v>19390000</v>
      </c>
    </row>
    <row r="45" spans="1:7" x14ac:dyDescent="0.2">
      <c r="A45" t="s">
        <v>232</v>
      </c>
      <c r="B45" s="3"/>
      <c r="C45" s="51" t="s">
        <v>22</v>
      </c>
      <c r="D45" s="63">
        <v>23990000</v>
      </c>
      <c r="E45" s="36"/>
      <c r="F45" s="38" t="s">
        <v>22</v>
      </c>
      <c r="G45" s="39">
        <v>25290000</v>
      </c>
    </row>
    <row r="46" spans="1:7" x14ac:dyDescent="0.2">
      <c r="A46" t="s">
        <v>59</v>
      </c>
      <c r="B46" s="3"/>
      <c r="C46" s="52">
        <v>25090000</v>
      </c>
      <c r="D46" s="61">
        <v>25290000</v>
      </c>
      <c r="E46" s="36"/>
      <c r="F46" s="38">
        <v>25290000</v>
      </c>
      <c r="G46" s="39">
        <v>25090000</v>
      </c>
    </row>
    <row r="47" spans="1:7" x14ac:dyDescent="0.2">
      <c r="A47" t="s">
        <v>61</v>
      </c>
      <c r="B47" s="25"/>
      <c r="C47" s="63">
        <v>29490000</v>
      </c>
      <c r="D47" s="61">
        <v>29890000</v>
      </c>
      <c r="E47" s="36"/>
      <c r="F47" s="34">
        <v>29290000</v>
      </c>
      <c r="G47" s="39">
        <v>29290000</v>
      </c>
    </row>
    <row r="48" spans="1:7" x14ac:dyDescent="0.2">
      <c r="A48" t="s">
        <v>187</v>
      </c>
      <c r="B48" s="25"/>
      <c r="C48" s="52">
        <v>38290000</v>
      </c>
      <c r="D48" s="61">
        <v>37990000</v>
      </c>
      <c r="E48" s="36"/>
      <c r="F48" s="37">
        <v>38490000</v>
      </c>
      <c r="G48" s="37">
        <v>37990000</v>
      </c>
    </row>
    <row r="49" spans="1:7" x14ac:dyDescent="0.2">
      <c r="A49" t="s">
        <v>261</v>
      </c>
      <c r="B49" s="25"/>
      <c r="C49" s="63">
        <v>64990000</v>
      </c>
      <c r="D49" s="63">
        <v>64990000</v>
      </c>
      <c r="E49" s="36"/>
      <c r="F49" s="39"/>
      <c r="G49" s="39">
        <v>63990000</v>
      </c>
    </row>
    <row r="50" spans="1:7" x14ac:dyDescent="0.2">
      <c r="C50" s="59"/>
      <c r="D50" s="59"/>
    </row>
    <row r="51" spans="1:7" x14ac:dyDescent="0.2">
      <c r="C51" s="59"/>
      <c r="D51" s="59"/>
    </row>
    <row r="52" spans="1:7" x14ac:dyDescent="0.2">
      <c r="C52" s="59"/>
      <c r="D52" s="59"/>
    </row>
    <row r="53" spans="1:7" x14ac:dyDescent="0.2">
      <c r="C53" s="59"/>
      <c r="D53" s="59"/>
    </row>
    <row r="54" spans="1:7" x14ac:dyDescent="0.2">
      <c r="C54" s="59"/>
      <c r="D54" s="59"/>
    </row>
    <row r="55" spans="1:7" x14ac:dyDescent="0.2">
      <c r="C55" s="59"/>
      <c r="D55" s="59"/>
    </row>
    <row r="56" spans="1:7" x14ac:dyDescent="0.2">
      <c r="C56" s="59"/>
      <c r="D56" s="59"/>
    </row>
    <row r="57" spans="1:7" x14ac:dyDescent="0.2">
      <c r="C57" s="59"/>
      <c r="D57" s="59"/>
    </row>
    <row r="58" spans="1:7" x14ac:dyDescent="0.2">
      <c r="C58" s="59"/>
      <c r="D58" s="59"/>
    </row>
    <row r="59" spans="1:7" x14ac:dyDescent="0.2">
      <c r="C59" s="59"/>
      <c r="D59" s="59"/>
    </row>
    <row r="60" spans="1:7" x14ac:dyDescent="0.2">
      <c r="C60" s="59"/>
      <c r="D60" s="59"/>
    </row>
    <row r="61" spans="1:7" x14ac:dyDescent="0.2">
      <c r="C61" s="59"/>
      <c r="D61" s="59"/>
    </row>
    <row r="62" spans="1:7" x14ac:dyDescent="0.2">
      <c r="C62" s="59"/>
      <c r="D62" s="59"/>
    </row>
    <row r="63" spans="1:7" x14ac:dyDescent="0.2">
      <c r="C63" s="59"/>
      <c r="D63" s="59"/>
    </row>
    <row r="64" spans="1:7" x14ac:dyDescent="0.2">
      <c r="C64" s="59"/>
      <c r="D64" s="59"/>
    </row>
    <row r="65" spans="3:4" x14ac:dyDescent="0.2">
      <c r="C65" s="59"/>
      <c r="D65" s="59"/>
    </row>
    <row r="66" spans="3:4" x14ac:dyDescent="0.2">
      <c r="C66" s="59"/>
      <c r="D66" s="59"/>
    </row>
    <row r="67" spans="3:4" x14ac:dyDescent="0.2">
      <c r="C67" s="59"/>
      <c r="D67" s="59"/>
    </row>
    <row r="68" spans="3:4" x14ac:dyDescent="0.2">
      <c r="C68" s="59"/>
      <c r="D68" s="59"/>
    </row>
    <row r="69" spans="3:4" x14ac:dyDescent="0.2">
      <c r="C69" s="59"/>
      <c r="D69" s="59"/>
    </row>
    <row r="70" spans="3:4" x14ac:dyDescent="0.2">
      <c r="C70" s="59"/>
      <c r="D70" s="59"/>
    </row>
    <row r="71" spans="3:4" x14ac:dyDescent="0.2">
      <c r="C71" s="59"/>
      <c r="D71" s="59"/>
    </row>
    <row r="72" spans="3:4" x14ac:dyDescent="0.2">
      <c r="C72" s="59"/>
      <c r="D72" s="59"/>
    </row>
    <row r="73" spans="3:4" x14ac:dyDescent="0.2">
      <c r="C73" s="59"/>
      <c r="D73" s="59"/>
    </row>
    <row r="74" spans="3:4" x14ac:dyDescent="0.2">
      <c r="C74" s="59"/>
      <c r="D74" s="59"/>
    </row>
    <row r="75" spans="3:4" x14ac:dyDescent="0.2">
      <c r="C75" s="59"/>
      <c r="D75" s="59"/>
    </row>
    <row r="76" spans="3:4" x14ac:dyDescent="0.2">
      <c r="C76" s="59"/>
      <c r="D76" s="59"/>
    </row>
    <row r="77" spans="3:4" x14ac:dyDescent="0.2">
      <c r="C77" s="59"/>
      <c r="D77" s="59"/>
    </row>
    <row r="78" spans="3:4" x14ac:dyDescent="0.2">
      <c r="C78" s="59"/>
      <c r="D78" s="59"/>
    </row>
    <row r="79" spans="3:4" x14ac:dyDescent="0.2">
      <c r="C79" s="59"/>
      <c r="D79" s="59"/>
    </row>
    <row r="80" spans="3:4" x14ac:dyDescent="0.2">
      <c r="C80" s="59"/>
      <c r="D80" s="59"/>
    </row>
    <row r="81" spans="3:4" x14ac:dyDescent="0.2">
      <c r="C81" s="59"/>
      <c r="D81" s="59"/>
    </row>
    <row r="82" spans="3:4" x14ac:dyDescent="0.2">
      <c r="C82" s="59"/>
      <c r="D82" s="59"/>
    </row>
    <row r="83" spans="3:4" x14ac:dyDescent="0.2">
      <c r="C83" s="59"/>
      <c r="D83" s="59"/>
    </row>
    <row r="84" spans="3:4" x14ac:dyDescent="0.2">
      <c r="C84" s="59"/>
      <c r="D84" s="59"/>
    </row>
    <row r="85" spans="3:4" x14ac:dyDescent="0.2">
      <c r="C85" s="59"/>
      <c r="D85" s="59"/>
    </row>
    <row r="86" spans="3:4" x14ac:dyDescent="0.2">
      <c r="C86" s="59"/>
      <c r="D86" s="59"/>
    </row>
    <row r="87" spans="3:4" x14ac:dyDescent="0.2">
      <c r="C87" s="59"/>
      <c r="D87" s="59"/>
    </row>
    <row r="88" spans="3:4" x14ac:dyDescent="0.2">
      <c r="C88" s="59"/>
      <c r="D88" s="59"/>
    </row>
    <row r="89" spans="3:4" x14ac:dyDescent="0.2">
      <c r="C89" s="59"/>
      <c r="D89" s="59"/>
    </row>
    <row r="90" spans="3:4" x14ac:dyDescent="0.2">
      <c r="C90" s="59"/>
      <c r="D90" s="59"/>
    </row>
    <row r="91" spans="3:4" x14ac:dyDescent="0.2">
      <c r="C91" s="59"/>
      <c r="D91" s="59"/>
    </row>
    <row r="92" spans="3:4" x14ac:dyDescent="0.2">
      <c r="C92" s="59"/>
      <c r="D92" s="59"/>
    </row>
    <row r="93" spans="3:4" x14ac:dyDescent="0.2">
      <c r="C93" s="59"/>
      <c r="D93" s="59"/>
    </row>
    <row r="94" spans="3:4" x14ac:dyDescent="0.2">
      <c r="C94" s="59"/>
      <c r="D94" s="59"/>
    </row>
    <row r="95" spans="3:4" x14ac:dyDescent="0.2">
      <c r="C95" s="59"/>
      <c r="D95" s="59"/>
    </row>
    <row r="96" spans="3:4" x14ac:dyDescent="0.2">
      <c r="C96" s="59"/>
      <c r="D96" s="59"/>
    </row>
    <row r="97" spans="3:4" x14ac:dyDescent="0.2">
      <c r="C97" s="59"/>
      <c r="D97" s="59"/>
    </row>
    <row r="98" spans="3:4" x14ac:dyDescent="0.2">
      <c r="C98" s="59"/>
      <c r="D98" s="59"/>
    </row>
    <row r="99" spans="3:4" x14ac:dyDescent="0.2">
      <c r="C99" s="59"/>
      <c r="D99" s="59"/>
    </row>
    <row r="100" spans="3:4" x14ac:dyDescent="0.2">
      <c r="C100" s="59"/>
      <c r="D100" s="59"/>
    </row>
    <row r="101" spans="3:4" x14ac:dyDescent="0.2">
      <c r="C101" s="59"/>
      <c r="D101" s="59"/>
    </row>
    <row r="102" spans="3:4" x14ac:dyDescent="0.2">
      <c r="C102" s="59"/>
      <c r="D102" s="59"/>
    </row>
    <row r="103" spans="3:4" x14ac:dyDescent="0.2">
      <c r="C103" s="59"/>
      <c r="D103" s="59"/>
    </row>
    <row r="104" spans="3:4" x14ac:dyDescent="0.2">
      <c r="C104" s="59"/>
      <c r="D104" s="59"/>
    </row>
    <row r="105" spans="3:4" x14ac:dyDescent="0.2">
      <c r="C105" s="59"/>
      <c r="D105" s="59"/>
    </row>
    <row r="106" spans="3:4" x14ac:dyDescent="0.2">
      <c r="C106" s="59"/>
      <c r="D106" s="59"/>
    </row>
    <row r="107" spans="3:4" x14ac:dyDescent="0.2">
      <c r="C107" s="59"/>
      <c r="D107" s="59"/>
    </row>
    <row r="108" spans="3:4" x14ac:dyDescent="0.2">
      <c r="C108" s="59"/>
      <c r="D108" s="59"/>
    </row>
    <row r="109" spans="3:4" x14ac:dyDescent="0.2">
      <c r="C109" s="59"/>
      <c r="D109" s="59"/>
    </row>
    <row r="110" spans="3:4" x14ac:dyDescent="0.2">
      <c r="C110" s="59"/>
      <c r="D110" s="59"/>
    </row>
    <row r="111" spans="3:4" x14ac:dyDescent="0.2">
      <c r="C111" s="59"/>
      <c r="D111" s="59"/>
    </row>
    <row r="112" spans="3:4" x14ac:dyDescent="0.2">
      <c r="C112" s="59"/>
      <c r="D112" s="59"/>
    </row>
    <row r="113" spans="3:4" x14ac:dyDescent="0.2">
      <c r="C113" s="59"/>
      <c r="D113" s="59"/>
    </row>
    <row r="114" spans="3:4" x14ac:dyDescent="0.2">
      <c r="C114" s="59"/>
      <c r="D114" s="59"/>
    </row>
    <row r="115" spans="3:4" x14ac:dyDescent="0.2">
      <c r="C115" s="59"/>
      <c r="D115" s="59"/>
    </row>
    <row r="116" spans="3:4" x14ac:dyDescent="0.2">
      <c r="C116" s="59"/>
      <c r="D116" s="59"/>
    </row>
    <row r="117" spans="3:4" x14ac:dyDescent="0.2">
      <c r="C117" s="59"/>
      <c r="D117" s="59"/>
    </row>
    <row r="118" spans="3:4" x14ac:dyDescent="0.2">
      <c r="C118" s="59"/>
      <c r="D118" s="59"/>
    </row>
    <row r="119" spans="3:4" x14ac:dyDescent="0.2">
      <c r="C119" s="59"/>
      <c r="D119" s="59"/>
    </row>
    <row r="120" spans="3:4" x14ac:dyDescent="0.2">
      <c r="C120" s="59"/>
      <c r="D120" s="59"/>
    </row>
    <row r="121" spans="3:4" x14ac:dyDescent="0.2">
      <c r="C121" s="59"/>
      <c r="D121" s="59"/>
    </row>
    <row r="122" spans="3:4" x14ac:dyDescent="0.2">
      <c r="C122" s="59"/>
      <c r="D122" s="59"/>
    </row>
    <row r="123" spans="3:4" x14ac:dyDescent="0.2">
      <c r="C123" s="59"/>
      <c r="D123" s="59"/>
    </row>
    <row r="124" spans="3:4" x14ac:dyDescent="0.2">
      <c r="C124" s="59"/>
      <c r="D124" s="59"/>
    </row>
    <row r="125" spans="3:4" x14ac:dyDescent="0.2">
      <c r="C125" s="59"/>
      <c r="D125" s="59"/>
    </row>
    <row r="126" spans="3:4" x14ac:dyDescent="0.2">
      <c r="C126" s="59"/>
      <c r="D126" s="59"/>
    </row>
    <row r="127" spans="3:4" x14ac:dyDescent="0.2">
      <c r="C127" s="59"/>
      <c r="D127" s="59"/>
    </row>
    <row r="128" spans="3:4" x14ac:dyDescent="0.2">
      <c r="C128" s="59"/>
      <c r="D128" s="59"/>
    </row>
    <row r="129" spans="3:4" x14ac:dyDescent="0.2">
      <c r="C129" s="59"/>
      <c r="D129" s="59"/>
    </row>
    <row r="130" spans="3:4" x14ac:dyDescent="0.2">
      <c r="C130" s="59"/>
      <c r="D130" s="59"/>
    </row>
    <row r="131" spans="3:4" x14ac:dyDescent="0.2">
      <c r="C131" s="59"/>
      <c r="D131" s="59"/>
    </row>
    <row r="132" spans="3:4" x14ac:dyDescent="0.2">
      <c r="C132" s="59"/>
      <c r="D132" s="59"/>
    </row>
    <row r="133" spans="3:4" x14ac:dyDescent="0.2">
      <c r="C133" s="59"/>
      <c r="D133" s="59"/>
    </row>
    <row r="134" spans="3:4" x14ac:dyDescent="0.2">
      <c r="C134" s="59"/>
      <c r="D134" s="59"/>
    </row>
    <row r="135" spans="3:4" x14ac:dyDescent="0.2">
      <c r="C135" s="59"/>
      <c r="D135" s="59"/>
    </row>
    <row r="136" spans="3:4" x14ac:dyDescent="0.2">
      <c r="C136" s="59"/>
      <c r="D136" s="59"/>
    </row>
    <row r="137" spans="3:4" x14ac:dyDescent="0.2">
      <c r="C137" s="59"/>
      <c r="D137" s="59"/>
    </row>
    <row r="138" spans="3:4" x14ac:dyDescent="0.2">
      <c r="C138" s="59"/>
      <c r="D138" s="59"/>
    </row>
    <row r="139" spans="3:4" x14ac:dyDescent="0.2">
      <c r="C139" s="59"/>
      <c r="D139" s="59"/>
    </row>
    <row r="140" spans="3:4" x14ac:dyDescent="0.2">
      <c r="C140" s="59"/>
      <c r="D140" s="59"/>
    </row>
    <row r="141" spans="3:4" x14ac:dyDescent="0.2">
      <c r="C141" s="59"/>
      <c r="D141" s="59"/>
    </row>
    <row r="142" spans="3:4" x14ac:dyDescent="0.2">
      <c r="C142" s="59"/>
      <c r="D142" s="59"/>
    </row>
    <row r="143" spans="3:4" x14ac:dyDescent="0.2">
      <c r="C143" s="59"/>
      <c r="D143" s="59"/>
    </row>
    <row r="144" spans="3:4" x14ac:dyDescent="0.2">
      <c r="C144" s="59"/>
      <c r="D144" s="59"/>
    </row>
    <row r="145" spans="3:4" x14ac:dyDescent="0.2">
      <c r="C145" s="59"/>
      <c r="D145" s="59"/>
    </row>
    <row r="146" spans="3:4" x14ac:dyDescent="0.2">
      <c r="C146" s="59"/>
      <c r="D146" s="59"/>
    </row>
    <row r="147" spans="3:4" x14ac:dyDescent="0.2">
      <c r="C147" s="59"/>
      <c r="D147" s="59"/>
    </row>
    <row r="148" spans="3:4" x14ac:dyDescent="0.2">
      <c r="C148" s="59"/>
      <c r="D148" s="59"/>
    </row>
    <row r="149" spans="3:4" x14ac:dyDescent="0.2">
      <c r="C149" s="59"/>
      <c r="D149" s="59"/>
    </row>
    <row r="150" spans="3:4" x14ac:dyDescent="0.2">
      <c r="C150" s="59"/>
      <c r="D150" s="59"/>
    </row>
    <row r="151" spans="3:4" x14ac:dyDescent="0.2">
      <c r="C151" s="59"/>
      <c r="D151" s="59"/>
    </row>
    <row r="152" spans="3:4" x14ac:dyDescent="0.2">
      <c r="C152" s="59"/>
      <c r="D152" s="59"/>
    </row>
    <row r="153" spans="3:4" x14ac:dyDescent="0.2">
      <c r="C153" s="59"/>
      <c r="D153" s="59"/>
    </row>
    <row r="154" spans="3:4" x14ac:dyDescent="0.2">
      <c r="C154" s="59"/>
      <c r="D154" s="59"/>
    </row>
    <row r="155" spans="3:4" x14ac:dyDescent="0.2">
      <c r="C155" s="59"/>
      <c r="D155" s="59"/>
    </row>
    <row r="156" spans="3:4" x14ac:dyDescent="0.2">
      <c r="C156" s="59"/>
      <c r="D156" s="59"/>
    </row>
    <row r="157" spans="3:4" x14ac:dyDescent="0.2">
      <c r="C157" s="59"/>
      <c r="D157" s="59"/>
    </row>
    <row r="158" spans="3:4" x14ac:dyDescent="0.2">
      <c r="C158" s="59"/>
      <c r="D158" s="59"/>
    </row>
    <row r="159" spans="3:4" x14ac:dyDescent="0.2">
      <c r="C159" s="59"/>
      <c r="D159" s="59"/>
    </row>
    <row r="160" spans="3:4" x14ac:dyDescent="0.2">
      <c r="C160" s="59"/>
      <c r="D160" s="59"/>
    </row>
    <row r="161" spans="3:4" x14ac:dyDescent="0.2">
      <c r="C161" s="59"/>
      <c r="D161" s="59"/>
    </row>
    <row r="162" spans="3:4" x14ac:dyDescent="0.2">
      <c r="C162" s="59"/>
      <c r="D162" s="59"/>
    </row>
  </sheetData>
  <pageMargins left="0.7" right="0.7" top="0.75" bottom="0.75" header="0.3" footer="0.3"/>
  <pageSetup paperSize="9" orientation="portrait" horizontalDpi="0" verticalDpi="0"/>
  <legacyDrawing r:id="rId1"/>
</worksheet>
</file>

<file path=xl/worksheets/sheet7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E00-000000000000}">
  <dimension ref="A1:L162"/>
  <sheetViews>
    <sheetView zoomScale="75" zoomScaleNormal="80" workbookViewId="0">
      <pane xSplit="2" ySplit="1" topLeftCell="C2" activePane="bottomRight" state="frozen"/>
      <selection pane="topRight" activeCell="C1" sqref="C1"/>
      <selection pane="bottomLeft" activeCell="A2" sqref="A2"/>
      <selection pane="bottomRight" activeCell="C1" sqref="C1"/>
    </sheetView>
  </sheetViews>
  <sheetFormatPr baseColWidth="10" defaultColWidth="11" defaultRowHeight="16" x14ac:dyDescent="0.2"/>
  <cols>
    <col min="1" max="1" width="27.5" bestFit="1" customWidth="1"/>
    <col min="2" max="2" width="0" hidden="1"/>
    <col min="3" max="6" width="10.1640625" bestFit="1" customWidth="1"/>
    <col min="7" max="7" width="13" customWidth="1"/>
    <col min="8" max="8" width="12.1640625" customWidth="1"/>
  </cols>
  <sheetData>
    <row r="1" spans="1:12" x14ac:dyDescent="0.2">
      <c r="B1" s="46" t="s">
        <v>0</v>
      </c>
      <c r="C1" s="80" t="s">
        <v>1</v>
      </c>
      <c r="D1" s="80" t="s">
        <v>2</v>
      </c>
      <c r="E1" s="81" t="s">
        <v>3</v>
      </c>
      <c r="F1" s="81" t="s">
        <v>4</v>
      </c>
      <c r="G1" s="81" t="s">
        <v>5</v>
      </c>
    </row>
    <row r="2" spans="1:12" x14ac:dyDescent="0.2">
      <c r="A2" t="s">
        <v>17</v>
      </c>
      <c r="B2" s="82"/>
      <c r="C2" s="67">
        <v>24990000</v>
      </c>
      <c r="D2" s="67">
        <v>24990000</v>
      </c>
      <c r="E2" s="71">
        <v>24490000</v>
      </c>
      <c r="F2" s="39">
        <v>24990000</v>
      </c>
      <c r="G2" s="39">
        <v>24990000</v>
      </c>
    </row>
    <row r="3" spans="1:12" x14ac:dyDescent="0.2">
      <c r="A3" t="s">
        <v>18</v>
      </c>
      <c r="B3" s="82"/>
      <c r="C3" s="67">
        <v>31490000</v>
      </c>
      <c r="D3" s="67">
        <v>31990000</v>
      </c>
      <c r="E3" s="71">
        <v>30990000</v>
      </c>
      <c r="F3" s="39">
        <v>31990000</v>
      </c>
      <c r="G3" s="37">
        <v>30990000</v>
      </c>
      <c r="H3">
        <v>-400</v>
      </c>
    </row>
    <row r="4" spans="1:12" x14ac:dyDescent="0.2">
      <c r="A4" t="s">
        <v>19</v>
      </c>
      <c r="B4" s="82"/>
      <c r="C4" s="67">
        <v>34990000</v>
      </c>
      <c r="D4" s="67">
        <v>34990000</v>
      </c>
      <c r="E4" s="71">
        <v>33990000</v>
      </c>
      <c r="F4" s="39">
        <v>34990000</v>
      </c>
      <c r="G4" s="39">
        <v>34790000</v>
      </c>
    </row>
    <row r="5" spans="1:12" x14ac:dyDescent="0.2">
      <c r="A5" t="s">
        <v>20</v>
      </c>
      <c r="B5" s="82"/>
      <c r="C5" s="67">
        <v>37990000</v>
      </c>
      <c r="D5" s="67">
        <v>37990000</v>
      </c>
      <c r="E5" s="71">
        <v>37990000</v>
      </c>
      <c r="F5" s="39">
        <v>37990000</v>
      </c>
      <c r="G5" s="39">
        <v>37990000</v>
      </c>
    </row>
    <row r="6" spans="1:12" x14ac:dyDescent="0.2">
      <c r="A6" t="s">
        <v>21</v>
      </c>
      <c r="B6" s="82"/>
      <c r="C6" s="76">
        <v>15790000</v>
      </c>
      <c r="D6" s="75">
        <v>14990000</v>
      </c>
      <c r="E6" s="71">
        <v>15790000</v>
      </c>
      <c r="F6" s="37">
        <v>14990000</v>
      </c>
      <c r="G6" s="37">
        <v>15290000</v>
      </c>
      <c r="H6">
        <v>300</v>
      </c>
    </row>
    <row r="7" spans="1:12" x14ac:dyDescent="0.2">
      <c r="A7" t="s">
        <v>181</v>
      </c>
      <c r="B7" s="70"/>
      <c r="C7" s="68">
        <v>21590000</v>
      </c>
      <c r="D7" s="72">
        <v>21590000</v>
      </c>
      <c r="E7" s="71">
        <v>20690000</v>
      </c>
      <c r="F7" s="37">
        <v>21390000</v>
      </c>
      <c r="G7" s="39">
        <v>21290000</v>
      </c>
    </row>
    <row r="8" spans="1:12" x14ac:dyDescent="0.2">
      <c r="A8" t="s">
        <v>24</v>
      </c>
      <c r="B8" s="3"/>
      <c r="C8" s="52">
        <v>24990000</v>
      </c>
      <c r="D8" s="61">
        <v>24790000</v>
      </c>
      <c r="E8" s="39">
        <v>23490000</v>
      </c>
      <c r="F8" s="39">
        <v>24890000</v>
      </c>
      <c r="G8" s="39">
        <v>25090000</v>
      </c>
    </row>
    <row r="9" spans="1:12" x14ac:dyDescent="0.2">
      <c r="A9" t="s">
        <v>182</v>
      </c>
      <c r="B9" s="25"/>
      <c r="C9" s="52">
        <v>25590000</v>
      </c>
      <c r="D9" s="63">
        <v>25590000</v>
      </c>
      <c r="E9" s="39">
        <v>24290000</v>
      </c>
      <c r="F9" s="39">
        <v>25590000</v>
      </c>
      <c r="G9" s="39">
        <v>24990000</v>
      </c>
    </row>
    <row r="10" spans="1:12" x14ac:dyDescent="0.2">
      <c r="A10" t="s">
        <v>183</v>
      </c>
      <c r="B10" s="3"/>
      <c r="C10" s="52">
        <v>30590000</v>
      </c>
      <c r="D10" s="61">
        <v>30290000</v>
      </c>
      <c r="E10" s="39">
        <v>29290000</v>
      </c>
      <c r="F10" s="37">
        <v>30490000</v>
      </c>
      <c r="G10" s="39">
        <v>30390000</v>
      </c>
    </row>
    <row r="11" spans="1:12" x14ac:dyDescent="0.2">
      <c r="A11" t="s">
        <v>25</v>
      </c>
      <c r="B11" s="25"/>
      <c r="C11" s="53">
        <v>17590000</v>
      </c>
      <c r="D11" s="61">
        <v>17590000</v>
      </c>
      <c r="E11" s="34">
        <v>16790000</v>
      </c>
      <c r="F11" s="37">
        <v>17390000</v>
      </c>
      <c r="G11" s="37">
        <v>16590000</v>
      </c>
      <c r="H11">
        <v>-300</v>
      </c>
    </row>
    <row r="12" spans="1:12" x14ac:dyDescent="0.2">
      <c r="A12" t="s">
        <v>26</v>
      </c>
      <c r="B12" s="25"/>
      <c r="C12" s="52">
        <v>19590000</v>
      </c>
      <c r="D12" s="63" t="s">
        <v>22</v>
      </c>
      <c r="E12" s="25">
        <v>18490000</v>
      </c>
      <c r="F12" s="39">
        <v>18990000</v>
      </c>
      <c r="G12" s="39">
        <v>18490000</v>
      </c>
    </row>
    <row r="13" spans="1:12" x14ac:dyDescent="0.2">
      <c r="A13" t="s">
        <v>27</v>
      </c>
      <c r="B13" s="25"/>
      <c r="C13" s="52">
        <v>13990000</v>
      </c>
      <c r="D13" s="61">
        <v>13490000</v>
      </c>
      <c r="E13" s="34">
        <v>13490000</v>
      </c>
      <c r="F13" s="34">
        <v>13790000</v>
      </c>
      <c r="G13" s="39">
        <v>13490000</v>
      </c>
    </row>
    <row r="14" spans="1:12" x14ac:dyDescent="0.2">
      <c r="A14" t="s">
        <v>28</v>
      </c>
      <c r="B14" s="3"/>
      <c r="C14" s="53">
        <v>12490000</v>
      </c>
      <c r="D14" s="53">
        <v>12390000</v>
      </c>
      <c r="E14" s="34">
        <v>11990000</v>
      </c>
      <c r="F14" s="34">
        <v>12290000</v>
      </c>
      <c r="G14" s="39">
        <v>11890000</v>
      </c>
    </row>
    <row r="15" spans="1:12" x14ac:dyDescent="0.2">
      <c r="A15" t="s">
        <v>29</v>
      </c>
      <c r="B15" s="25"/>
      <c r="C15" s="52">
        <v>11790000</v>
      </c>
      <c r="D15" s="61">
        <v>11790000</v>
      </c>
      <c r="E15" s="34">
        <v>11790000</v>
      </c>
      <c r="F15" s="38">
        <v>11790000</v>
      </c>
      <c r="G15" s="39">
        <v>11590000</v>
      </c>
    </row>
    <row r="16" spans="1:12" x14ac:dyDescent="0.2">
      <c r="A16" t="s">
        <v>30</v>
      </c>
      <c r="B16" s="3"/>
      <c r="C16" s="52">
        <v>8890000</v>
      </c>
      <c r="D16" s="61">
        <v>8690000</v>
      </c>
      <c r="E16" s="34">
        <v>8690000</v>
      </c>
      <c r="F16" s="34">
        <v>8790000</v>
      </c>
      <c r="G16" s="39">
        <v>8390000</v>
      </c>
      <c r="H16" s="26"/>
      <c r="J16" t="s">
        <v>31</v>
      </c>
      <c r="K16" t="s">
        <v>38</v>
      </c>
      <c r="L16" t="b">
        <v>1</v>
      </c>
    </row>
    <row r="17" spans="1:12" x14ac:dyDescent="0.2">
      <c r="A17" t="s">
        <v>33</v>
      </c>
      <c r="B17" s="3"/>
      <c r="C17" s="52">
        <v>13690000</v>
      </c>
      <c r="D17" s="61">
        <v>13190000</v>
      </c>
      <c r="E17" s="34">
        <v>13690000</v>
      </c>
      <c r="F17" s="34">
        <v>13690000</v>
      </c>
      <c r="G17" s="37">
        <v>13490000</v>
      </c>
      <c r="H17">
        <v>400</v>
      </c>
      <c r="J17" t="s">
        <v>2</v>
      </c>
      <c r="K17" t="s">
        <v>198</v>
      </c>
      <c r="L17" t="b">
        <v>0</v>
      </c>
    </row>
    <row r="18" spans="1:12" x14ac:dyDescent="0.2">
      <c r="A18" t="s">
        <v>37</v>
      </c>
      <c r="B18" s="25"/>
      <c r="C18" s="53">
        <v>18990000</v>
      </c>
      <c r="D18" s="61">
        <v>18990000</v>
      </c>
      <c r="E18" s="25">
        <v>20490000</v>
      </c>
      <c r="F18" s="38">
        <v>19490000</v>
      </c>
      <c r="G18" s="39">
        <v>18990000</v>
      </c>
      <c r="J18" t="s">
        <v>3</v>
      </c>
      <c r="K18" t="s">
        <v>36</v>
      </c>
      <c r="L18" t="b">
        <v>1</v>
      </c>
    </row>
    <row r="19" spans="1:12" x14ac:dyDescent="0.2">
      <c r="A19" t="s">
        <v>184</v>
      </c>
      <c r="B19" s="25"/>
      <c r="C19" s="52">
        <v>27990000</v>
      </c>
      <c r="D19" s="61">
        <v>27890000</v>
      </c>
      <c r="E19" s="25">
        <v>26490000</v>
      </c>
      <c r="F19" s="34">
        <v>27890000</v>
      </c>
      <c r="G19" s="37">
        <v>27890000</v>
      </c>
      <c r="H19">
        <v>200</v>
      </c>
      <c r="J19" t="s">
        <v>4</v>
      </c>
      <c r="K19" t="s">
        <v>34</v>
      </c>
      <c r="L19" t="b">
        <v>1</v>
      </c>
    </row>
    <row r="20" spans="1:12" x14ac:dyDescent="0.2">
      <c r="A20" t="s">
        <v>185</v>
      </c>
      <c r="B20" s="3"/>
      <c r="C20" s="52">
        <v>36290000</v>
      </c>
      <c r="D20" s="63">
        <v>36290000</v>
      </c>
      <c r="E20" s="25">
        <v>35490000</v>
      </c>
      <c r="F20" s="34">
        <v>36490000</v>
      </c>
      <c r="G20" s="39">
        <v>33690000</v>
      </c>
      <c r="J20" t="s">
        <v>41</v>
      </c>
      <c r="K20" t="s">
        <v>42</v>
      </c>
      <c r="L20" t="b">
        <v>1</v>
      </c>
    </row>
    <row r="21" spans="1:12" x14ac:dyDescent="0.2">
      <c r="A21" t="s">
        <v>227</v>
      </c>
      <c r="B21" s="25"/>
      <c r="C21" s="52">
        <v>5790000</v>
      </c>
      <c r="D21" s="63">
        <v>5690000</v>
      </c>
      <c r="E21" s="25">
        <v>5490000</v>
      </c>
      <c r="F21" s="34">
        <v>5790000</v>
      </c>
      <c r="G21" s="38">
        <v>5690000</v>
      </c>
    </row>
    <row r="22" spans="1:12" x14ac:dyDescent="0.2">
      <c r="A22" t="s">
        <v>228</v>
      </c>
      <c r="B22" s="25"/>
      <c r="C22" s="51" t="s">
        <v>22</v>
      </c>
      <c r="D22" s="63">
        <v>6990000</v>
      </c>
      <c r="E22" s="25">
        <v>6990000</v>
      </c>
      <c r="F22" s="38">
        <v>6990000</v>
      </c>
      <c r="G22" s="38">
        <v>6590000</v>
      </c>
    </row>
    <row r="23" spans="1:12" x14ac:dyDescent="0.2">
      <c r="A23" t="s">
        <v>229</v>
      </c>
      <c r="B23" s="25"/>
      <c r="C23" s="52">
        <v>6490000</v>
      </c>
      <c r="D23" s="63">
        <v>6490000</v>
      </c>
      <c r="E23" s="25">
        <v>6390000</v>
      </c>
      <c r="F23" s="63">
        <v>6490000</v>
      </c>
      <c r="G23" s="39">
        <v>7849000</v>
      </c>
    </row>
    <row r="24" spans="1:12" x14ac:dyDescent="0.2">
      <c r="A24" t="s">
        <v>230</v>
      </c>
      <c r="B24" s="25"/>
      <c r="C24" s="51" t="s">
        <v>22</v>
      </c>
      <c r="D24" s="63">
        <v>7790000</v>
      </c>
      <c r="E24" s="25">
        <v>7790000</v>
      </c>
      <c r="F24" s="38">
        <v>7790000</v>
      </c>
      <c r="G24" s="39">
        <v>8490000</v>
      </c>
    </row>
    <row r="25" spans="1:12" x14ac:dyDescent="0.2">
      <c r="A25" t="s">
        <v>44</v>
      </c>
      <c r="B25" s="25"/>
      <c r="C25" s="63">
        <v>6990000</v>
      </c>
      <c r="D25" s="63">
        <v>6990000</v>
      </c>
      <c r="E25" s="25">
        <v>6690000</v>
      </c>
      <c r="F25" s="38">
        <v>6990000</v>
      </c>
      <c r="G25" s="38">
        <v>6990000</v>
      </c>
    </row>
    <row r="26" spans="1:12" x14ac:dyDescent="0.2">
      <c r="A26" t="s">
        <v>45</v>
      </c>
      <c r="B26" s="25"/>
      <c r="C26" s="63">
        <v>8490000</v>
      </c>
      <c r="D26" s="63">
        <v>8490000</v>
      </c>
      <c r="E26" s="25">
        <v>8190000</v>
      </c>
      <c r="F26" s="38">
        <v>8490000</v>
      </c>
      <c r="G26" s="38">
        <v>8490000</v>
      </c>
    </row>
    <row r="27" spans="1:12" x14ac:dyDescent="0.2">
      <c r="A27" t="s">
        <v>46</v>
      </c>
      <c r="B27" s="25"/>
      <c r="C27" s="63">
        <v>7850000</v>
      </c>
      <c r="D27" s="63">
        <v>7849000</v>
      </c>
      <c r="E27" s="25">
        <v>7690000</v>
      </c>
      <c r="F27" s="38">
        <v>7840000</v>
      </c>
      <c r="G27" s="38">
        <v>7840000</v>
      </c>
    </row>
    <row r="28" spans="1:12" x14ac:dyDescent="0.2">
      <c r="A28" t="s">
        <v>47</v>
      </c>
      <c r="B28" s="25"/>
      <c r="C28" s="51" t="s">
        <v>22</v>
      </c>
      <c r="D28" s="63">
        <v>9349000</v>
      </c>
      <c r="E28" s="25">
        <v>8990000</v>
      </c>
      <c r="F28" s="38">
        <v>9340000</v>
      </c>
      <c r="G28" s="38">
        <v>9340000</v>
      </c>
    </row>
    <row r="29" spans="1:12" x14ac:dyDescent="0.2">
      <c r="A29" t="s">
        <v>213</v>
      </c>
      <c r="B29" s="25"/>
      <c r="C29" s="52">
        <v>10590000</v>
      </c>
      <c r="D29" s="63">
        <v>10490000</v>
      </c>
      <c r="E29" s="25">
        <v>9990000</v>
      </c>
      <c r="F29" s="38">
        <v>10190000</v>
      </c>
      <c r="G29" s="39">
        <v>10390000</v>
      </c>
      <c r="H29" s="26"/>
    </row>
    <row r="30" spans="1:12" x14ac:dyDescent="0.2">
      <c r="A30" t="s">
        <v>214</v>
      </c>
      <c r="B30" s="25"/>
      <c r="C30" s="63" t="s">
        <v>22</v>
      </c>
      <c r="D30" s="63">
        <v>12790000</v>
      </c>
      <c r="E30" s="25" t="s">
        <v>22</v>
      </c>
      <c r="F30" s="38">
        <v>12990000</v>
      </c>
      <c r="G30" s="39">
        <v>12890000</v>
      </c>
    </row>
    <row r="31" spans="1:12" x14ac:dyDescent="0.2">
      <c r="A31" t="s">
        <v>215</v>
      </c>
      <c r="B31" s="25"/>
      <c r="C31" s="52">
        <v>11190000</v>
      </c>
      <c r="D31" s="63">
        <v>11290000</v>
      </c>
      <c r="E31" s="25">
        <v>10690000</v>
      </c>
      <c r="F31" s="38">
        <v>11290000</v>
      </c>
      <c r="G31" s="39">
        <v>10990000</v>
      </c>
      <c r="H31" s="26"/>
      <c r="I31" s="26"/>
    </row>
    <row r="32" spans="1:12" x14ac:dyDescent="0.2">
      <c r="A32" t="s">
        <v>217</v>
      </c>
      <c r="B32" s="3"/>
      <c r="C32" s="52">
        <v>13690000</v>
      </c>
      <c r="D32" s="63">
        <v>13690000</v>
      </c>
      <c r="E32" s="25">
        <v>13290000</v>
      </c>
      <c r="F32" s="38">
        <v>13890000</v>
      </c>
      <c r="G32" s="39">
        <v>13590000</v>
      </c>
    </row>
    <row r="33" spans="1:8" x14ac:dyDescent="0.2">
      <c r="A33" t="s">
        <v>48</v>
      </c>
      <c r="B33" s="3"/>
      <c r="C33" s="63">
        <v>11490000</v>
      </c>
      <c r="D33" s="63">
        <v>11490000</v>
      </c>
      <c r="E33" s="25">
        <v>11290000</v>
      </c>
      <c r="F33" s="38">
        <v>11490000</v>
      </c>
      <c r="G33" s="38">
        <v>11490000</v>
      </c>
    </row>
    <row r="34" spans="1:8" x14ac:dyDescent="0.2">
      <c r="A34" t="s">
        <v>49</v>
      </c>
      <c r="B34" s="3"/>
      <c r="C34" s="63">
        <v>14490000</v>
      </c>
      <c r="D34" s="63">
        <v>14490000</v>
      </c>
      <c r="E34" s="25">
        <v>14190000</v>
      </c>
      <c r="F34" s="38">
        <v>14490000</v>
      </c>
      <c r="G34" s="38">
        <v>14490000</v>
      </c>
    </row>
    <row r="35" spans="1:8" x14ac:dyDescent="0.2">
      <c r="A35" t="s">
        <v>50</v>
      </c>
      <c r="B35" s="3"/>
      <c r="C35" s="63">
        <v>12350000</v>
      </c>
      <c r="D35" s="63">
        <v>12349000</v>
      </c>
      <c r="E35" s="25">
        <v>12190000</v>
      </c>
      <c r="F35" s="38">
        <v>12349000</v>
      </c>
      <c r="G35" s="38">
        <v>12349000</v>
      </c>
    </row>
    <row r="36" spans="1:8" x14ac:dyDescent="0.2">
      <c r="A36" t="s">
        <v>51</v>
      </c>
      <c r="B36" s="3"/>
      <c r="C36" s="63">
        <v>15350000</v>
      </c>
      <c r="D36" s="63">
        <v>15349000</v>
      </c>
      <c r="E36" s="25">
        <v>14990000</v>
      </c>
      <c r="F36" s="38">
        <v>15349000</v>
      </c>
      <c r="G36" s="38">
        <v>15349000</v>
      </c>
    </row>
    <row r="37" spans="1:8" x14ac:dyDescent="0.2">
      <c r="A37" t="s">
        <v>172</v>
      </c>
      <c r="B37" s="25"/>
      <c r="C37" s="52">
        <v>21890000</v>
      </c>
      <c r="D37" s="63">
        <v>21890000</v>
      </c>
      <c r="E37" s="25">
        <v>20990000</v>
      </c>
      <c r="F37" s="39">
        <v>21290000</v>
      </c>
      <c r="G37" s="39">
        <v>22990000</v>
      </c>
    </row>
    <row r="38" spans="1:8" x14ac:dyDescent="0.2">
      <c r="A38" t="s">
        <v>52</v>
      </c>
      <c r="B38" s="25"/>
      <c r="C38" s="63">
        <v>23990000</v>
      </c>
      <c r="D38" s="63">
        <v>23990000</v>
      </c>
      <c r="E38" s="25">
        <v>23490000</v>
      </c>
      <c r="F38" s="39">
        <v>23990000</v>
      </c>
      <c r="G38" s="39">
        <v>23990000</v>
      </c>
    </row>
    <row r="39" spans="1:8" x14ac:dyDescent="0.2">
      <c r="A39" t="s">
        <v>53</v>
      </c>
      <c r="B39" s="3"/>
      <c r="C39" s="52">
        <v>5590000</v>
      </c>
      <c r="D39" s="63">
        <v>5590000</v>
      </c>
      <c r="E39" s="25">
        <v>5590000</v>
      </c>
      <c r="F39" s="39">
        <v>5590000</v>
      </c>
      <c r="G39" s="39">
        <v>5590000</v>
      </c>
    </row>
    <row r="40" spans="1:8" x14ac:dyDescent="0.2">
      <c r="A40" t="s">
        <v>54</v>
      </c>
      <c r="B40" s="3"/>
      <c r="C40" s="53">
        <v>4690000</v>
      </c>
      <c r="D40" s="61">
        <v>4690000</v>
      </c>
      <c r="E40" s="25">
        <v>4390000</v>
      </c>
      <c r="F40" s="37">
        <v>4590000</v>
      </c>
      <c r="G40" s="39">
        <v>4490000</v>
      </c>
    </row>
    <row r="41" spans="1:8" x14ac:dyDescent="0.2">
      <c r="A41" t="s">
        <v>55</v>
      </c>
      <c r="B41" s="3"/>
      <c r="C41" s="52">
        <v>3190000</v>
      </c>
      <c r="D41" s="61">
        <v>3190000</v>
      </c>
      <c r="E41" s="25">
        <v>2990000</v>
      </c>
      <c r="F41" s="37">
        <v>3090000</v>
      </c>
      <c r="G41" s="39">
        <v>3150000</v>
      </c>
    </row>
    <row r="42" spans="1:8" x14ac:dyDescent="0.2">
      <c r="A42" t="s">
        <v>56</v>
      </c>
      <c r="B42" s="3"/>
      <c r="C42" s="39">
        <v>6790000</v>
      </c>
      <c r="D42" s="63">
        <v>6790000</v>
      </c>
      <c r="E42" s="25">
        <v>6590000</v>
      </c>
      <c r="F42" s="25">
        <v>6790000</v>
      </c>
      <c r="G42" s="37">
        <v>6690000</v>
      </c>
      <c r="H42">
        <v>-100</v>
      </c>
    </row>
    <row r="43" spans="1:8" x14ac:dyDescent="0.2">
      <c r="A43" t="s">
        <v>175</v>
      </c>
      <c r="B43" s="3"/>
      <c r="C43" s="53">
        <v>16990000</v>
      </c>
      <c r="D43" s="63" t="s">
        <v>22</v>
      </c>
      <c r="E43" s="36"/>
      <c r="F43" s="63" t="s">
        <v>22</v>
      </c>
      <c r="G43" s="39" t="s">
        <v>262</v>
      </c>
    </row>
    <row r="44" spans="1:8" x14ac:dyDescent="0.2">
      <c r="A44" t="s">
        <v>186</v>
      </c>
      <c r="B44" s="25"/>
      <c r="C44" s="53">
        <v>19790000</v>
      </c>
      <c r="D44" s="61">
        <v>19890000</v>
      </c>
      <c r="E44" s="36"/>
      <c r="F44" s="34">
        <v>19790000</v>
      </c>
      <c r="G44" s="37">
        <v>19690000</v>
      </c>
      <c r="H44">
        <v>300</v>
      </c>
    </row>
    <row r="45" spans="1:8" x14ac:dyDescent="0.2">
      <c r="A45" t="s">
        <v>232</v>
      </c>
      <c r="B45" s="3"/>
      <c r="C45" s="51" t="s">
        <v>22</v>
      </c>
      <c r="D45" s="63">
        <v>23990000</v>
      </c>
      <c r="E45" s="36"/>
      <c r="F45" s="38" t="s">
        <v>22</v>
      </c>
      <c r="G45" s="39">
        <v>25290000</v>
      </c>
    </row>
    <row r="46" spans="1:8" x14ac:dyDescent="0.2">
      <c r="A46" t="s">
        <v>59</v>
      </c>
      <c r="B46" s="3"/>
      <c r="C46" s="53">
        <v>25890000</v>
      </c>
      <c r="D46" s="61">
        <v>25290000</v>
      </c>
      <c r="E46" s="36"/>
      <c r="F46" s="38">
        <v>25190000</v>
      </c>
      <c r="G46" s="37">
        <v>25290000</v>
      </c>
      <c r="H46">
        <v>200</v>
      </c>
    </row>
    <row r="47" spans="1:8" x14ac:dyDescent="0.2">
      <c r="A47" t="s">
        <v>61</v>
      </c>
      <c r="B47" s="25"/>
      <c r="C47" s="61">
        <v>29890000</v>
      </c>
      <c r="D47" s="61">
        <v>29890000</v>
      </c>
      <c r="E47" s="36"/>
      <c r="F47" s="34">
        <v>29290000</v>
      </c>
      <c r="G47" s="39">
        <v>29290000</v>
      </c>
    </row>
    <row r="48" spans="1:8" x14ac:dyDescent="0.2">
      <c r="A48" t="s">
        <v>187</v>
      </c>
      <c r="B48" s="25"/>
      <c r="C48" s="53">
        <v>37990000</v>
      </c>
      <c r="D48" s="61">
        <v>37990000</v>
      </c>
      <c r="E48" s="36"/>
      <c r="F48" s="37">
        <v>38590000</v>
      </c>
      <c r="G48" s="37">
        <v>38290000</v>
      </c>
      <c r="H48">
        <v>1300</v>
      </c>
    </row>
    <row r="49" spans="1:7" x14ac:dyDescent="0.2">
      <c r="A49" t="s">
        <v>261</v>
      </c>
      <c r="B49" s="25"/>
      <c r="C49" s="63">
        <v>64990000</v>
      </c>
      <c r="D49" s="63">
        <v>64990000</v>
      </c>
      <c r="E49" s="36"/>
      <c r="F49" s="39"/>
      <c r="G49" s="39">
        <v>63990000</v>
      </c>
    </row>
    <row r="50" spans="1:7" x14ac:dyDescent="0.2">
      <c r="C50" s="59"/>
      <c r="D50" s="59"/>
    </row>
    <row r="51" spans="1:7" x14ac:dyDescent="0.2">
      <c r="C51" s="59"/>
      <c r="D51" s="59"/>
    </row>
    <row r="52" spans="1:7" x14ac:dyDescent="0.2">
      <c r="C52" s="59"/>
      <c r="D52" s="59"/>
    </row>
    <row r="53" spans="1:7" x14ac:dyDescent="0.2">
      <c r="C53" s="59"/>
      <c r="D53" s="59"/>
    </row>
    <row r="54" spans="1:7" x14ac:dyDescent="0.2">
      <c r="C54" s="59"/>
      <c r="D54" s="59"/>
    </row>
    <row r="55" spans="1:7" x14ac:dyDescent="0.2">
      <c r="C55" s="59"/>
      <c r="D55" s="59"/>
    </row>
    <row r="56" spans="1:7" x14ac:dyDescent="0.2">
      <c r="C56" s="59"/>
      <c r="D56" s="59"/>
    </row>
    <row r="57" spans="1:7" x14ac:dyDescent="0.2">
      <c r="C57" s="59"/>
      <c r="D57" s="59"/>
    </row>
    <row r="58" spans="1:7" x14ac:dyDescent="0.2">
      <c r="C58" s="59"/>
      <c r="D58" s="59"/>
    </row>
    <row r="59" spans="1:7" x14ac:dyDescent="0.2">
      <c r="C59" s="59"/>
      <c r="D59" s="59"/>
    </row>
    <row r="60" spans="1:7" x14ac:dyDescent="0.2">
      <c r="C60" s="59"/>
      <c r="D60" s="59"/>
    </row>
    <row r="61" spans="1:7" x14ac:dyDescent="0.2">
      <c r="C61" s="59"/>
      <c r="D61" s="59"/>
    </row>
    <row r="62" spans="1:7" x14ac:dyDescent="0.2">
      <c r="C62" s="59"/>
      <c r="D62" s="59"/>
    </row>
    <row r="63" spans="1:7" x14ac:dyDescent="0.2">
      <c r="C63" s="59"/>
      <c r="D63" s="59"/>
    </row>
    <row r="64" spans="1:7" x14ac:dyDescent="0.2">
      <c r="C64" s="59"/>
      <c r="D64" s="59"/>
    </row>
    <row r="65" spans="3:4" x14ac:dyDescent="0.2">
      <c r="C65" s="59"/>
      <c r="D65" s="59"/>
    </row>
    <row r="66" spans="3:4" x14ac:dyDescent="0.2">
      <c r="C66" s="59"/>
      <c r="D66" s="59"/>
    </row>
    <row r="67" spans="3:4" x14ac:dyDescent="0.2">
      <c r="C67" s="59"/>
      <c r="D67" s="59"/>
    </row>
    <row r="68" spans="3:4" x14ac:dyDescent="0.2">
      <c r="C68" s="59"/>
      <c r="D68" s="59"/>
    </row>
    <row r="69" spans="3:4" x14ac:dyDescent="0.2">
      <c r="C69" s="59"/>
      <c r="D69" s="59"/>
    </row>
    <row r="70" spans="3:4" x14ac:dyDescent="0.2">
      <c r="C70" s="59"/>
      <c r="D70" s="59"/>
    </row>
    <row r="71" spans="3:4" x14ac:dyDescent="0.2">
      <c r="C71" s="59"/>
      <c r="D71" s="59"/>
    </row>
    <row r="72" spans="3:4" x14ac:dyDescent="0.2">
      <c r="C72" s="59"/>
      <c r="D72" s="59"/>
    </row>
    <row r="73" spans="3:4" x14ac:dyDescent="0.2">
      <c r="C73" s="59"/>
      <c r="D73" s="59"/>
    </row>
    <row r="74" spans="3:4" x14ac:dyDescent="0.2">
      <c r="C74" s="59"/>
      <c r="D74" s="59"/>
    </row>
    <row r="75" spans="3:4" x14ac:dyDescent="0.2">
      <c r="C75" s="59"/>
      <c r="D75" s="59"/>
    </row>
    <row r="76" spans="3:4" x14ac:dyDescent="0.2">
      <c r="C76" s="59"/>
      <c r="D76" s="59"/>
    </row>
    <row r="77" spans="3:4" x14ac:dyDescent="0.2">
      <c r="C77" s="59"/>
      <c r="D77" s="59"/>
    </row>
    <row r="78" spans="3:4" x14ac:dyDescent="0.2">
      <c r="C78" s="59"/>
      <c r="D78" s="59"/>
    </row>
    <row r="79" spans="3:4" x14ac:dyDescent="0.2">
      <c r="C79" s="59"/>
      <c r="D79" s="59"/>
    </row>
    <row r="80" spans="3:4" x14ac:dyDescent="0.2">
      <c r="C80" s="59"/>
      <c r="D80" s="59"/>
    </row>
    <row r="81" spans="3:4" x14ac:dyDescent="0.2">
      <c r="C81" s="59"/>
      <c r="D81" s="59"/>
    </row>
    <row r="82" spans="3:4" x14ac:dyDescent="0.2">
      <c r="C82" s="59"/>
      <c r="D82" s="59"/>
    </row>
    <row r="83" spans="3:4" x14ac:dyDescent="0.2">
      <c r="C83" s="59"/>
      <c r="D83" s="59"/>
    </row>
    <row r="84" spans="3:4" x14ac:dyDescent="0.2">
      <c r="C84" s="59"/>
      <c r="D84" s="59"/>
    </row>
    <row r="85" spans="3:4" x14ac:dyDescent="0.2">
      <c r="C85" s="59"/>
      <c r="D85" s="59"/>
    </row>
    <row r="86" spans="3:4" x14ac:dyDescent="0.2">
      <c r="C86" s="59"/>
      <c r="D86" s="59"/>
    </row>
    <row r="87" spans="3:4" x14ac:dyDescent="0.2">
      <c r="C87" s="59"/>
      <c r="D87" s="59"/>
    </row>
    <row r="88" spans="3:4" x14ac:dyDescent="0.2">
      <c r="C88" s="59"/>
      <c r="D88" s="59"/>
    </row>
    <row r="89" spans="3:4" x14ac:dyDescent="0.2">
      <c r="C89" s="59"/>
      <c r="D89" s="59"/>
    </row>
    <row r="90" spans="3:4" x14ac:dyDescent="0.2">
      <c r="C90" s="59"/>
      <c r="D90" s="59"/>
    </row>
    <row r="91" spans="3:4" x14ac:dyDescent="0.2">
      <c r="C91" s="59"/>
      <c r="D91" s="59"/>
    </row>
    <row r="92" spans="3:4" x14ac:dyDescent="0.2">
      <c r="C92" s="59"/>
      <c r="D92" s="59"/>
    </row>
    <row r="93" spans="3:4" x14ac:dyDescent="0.2">
      <c r="C93" s="59"/>
      <c r="D93" s="59"/>
    </row>
    <row r="94" spans="3:4" x14ac:dyDescent="0.2">
      <c r="C94" s="59"/>
      <c r="D94" s="59"/>
    </row>
    <row r="95" spans="3:4" x14ac:dyDescent="0.2">
      <c r="C95" s="59"/>
      <c r="D95" s="59"/>
    </row>
    <row r="96" spans="3:4" x14ac:dyDescent="0.2">
      <c r="C96" s="59"/>
      <c r="D96" s="59"/>
    </row>
    <row r="97" spans="3:4" x14ac:dyDescent="0.2">
      <c r="C97" s="59"/>
      <c r="D97" s="59"/>
    </row>
    <row r="98" spans="3:4" x14ac:dyDescent="0.2">
      <c r="C98" s="59"/>
      <c r="D98" s="59"/>
    </row>
    <row r="99" spans="3:4" x14ac:dyDescent="0.2">
      <c r="C99" s="59"/>
      <c r="D99" s="59"/>
    </row>
    <row r="100" spans="3:4" x14ac:dyDescent="0.2">
      <c r="C100" s="59"/>
      <c r="D100" s="59"/>
    </row>
    <row r="101" spans="3:4" x14ac:dyDescent="0.2">
      <c r="C101" s="59"/>
      <c r="D101" s="59"/>
    </row>
    <row r="102" spans="3:4" x14ac:dyDescent="0.2">
      <c r="C102" s="59"/>
      <c r="D102" s="59"/>
    </row>
    <row r="103" spans="3:4" x14ac:dyDescent="0.2">
      <c r="C103" s="59"/>
      <c r="D103" s="59"/>
    </row>
    <row r="104" spans="3:4" x14ac:dyDescent="0.2">
      <c r="C104" s="59"/>
      <c r="D104" s="59"/>
    </row>
    <row r="105" spans="3:4" x14ac:dyDescent="0.2">
      <c r="C105" s="59"/>
      <c r="D105" s="59"/>
    </row>
    <row r="106" spans="3:4" x14ac:dyDescent="0.2">
      <c r="C106" s="59"/>
      <c r="D106" s="59"/>
    </row>
    <row r="107" spans="3:4" x14ac:dyDescent="0.2">
      <c r="C107" s="59"/>
      <c r="D107" s="59"/>
    </row>
    <row r="108" spans="3:4" x14ac:dyDescent="0.2">
      <c r="C108" s="59"/>
      <c r="D108" s="59"/>
    </row>
    <row r="109" spans="3:4" x14ac:dyDescent="0.2">
      <c r="C109" s="59"/>
      <c r="D109" s="59"/>
    </row>
    <row r="110" spans="3:4" x14ac:dyDescent="0.2">
      <c r="C110" s="59"/>
      <c r="D110" s="59"/>
    </row>
    <row r="111" spans="3:4" x14ac:dyDescent="0.2">
      <c r="C111" s="59"/>
      <c r="D111" s="59"/>
    </row>
    <row r="112" spans="3:4" x14ac:dyDescent="0.2">
      <c r="C112" s="59"/>
      <c r="D112" s="59"/>
    </row>
    <row r="113" spans="3:4" x14ac:dyDescent="0.2">
      <c r="C113" s="59"/>
      <c r="D113" s="59"/>
    </row>
    <row r="114" spans="3:4" x14ac:dyDescent="0.2">
      <c r="C114" s="59"/>
      <c r="D114" s="59"/>
    </row>
    <row r="115" spans="3:4" x14ac:dyDescent="0.2">
      <c r="C115" s="59"/>
      <c r="D115" s="59"/>
    </row>
    <row r="116" spans="3:4" x14ac:dyDescent="0.2">
      <c r="C116" s="59"/>
      <c r="D116" s="59"/>
    </row>
    <row r="117" spans="3:4" x14ac:dyDescent="0.2">
      <c r="C117" s="59"/>
      <c r="D117" s="59"/>
    </row>
    <row r="118" spans="3:4" x14ac:dyDescent="0.2">
      <c r="C118" s="59"/>
      <c r="D118" s="59"/>
    </row>
    <row r="119" spans="3:4" x14ac:dyDescent="0.2">
      <c r="C119" s="59"/>
      <c r="D119" s="59"/>
    </row>
    <row r="120" spans="3:4" x14ac:dyDescent="0.2">
      <c r="C120" s="59"/>
      <c r="D120" s="59"/>
    </row>
    <row r="121" spans="3:4" x14ac:dyDescent="0.2">
      <c r="C121" s="59"/>
      <c r="D121" s="59"/>
    </row>
    <row r="122" spans="3:4" x14ac:dyDescent="0.2">
      <c r="C122" s="59"/>
      <c r="D122" s="59"/>
    </row>
    <row r="123" spans="3:4" x14ac:dyDescent="0.2">
      <c r="C123" s="59"/>
      <c r="D123" s="59"/>
    </row>
    <row r="124" spans="3:4" x14ac:dyDescent="0.2">
      <c r="C124" s="59"/>
      <c r="D124" s="59"/>
    </row>
    <row r="125" spans="3:4" x14ac:dyDescent="0.2">
      <c r="C125" s="59"/>
      <c r="D125" s="59"/>
    </row>
    <row r="126" spans="3:4" x14ac:dyDescent="0.2">
      <c r="C126" s="59"/>
      <c r="D126" s="59"/>
    </row>
    <row r="127" spans="3:4" x14ac:dyDescent="0.2">
      <c r="C127" s="59"/>
      <c r="D127" s="59"/>
    </row>
    <row r="128" spans="3:4" x14ac:dyDescent="0.2">
      <c r="C128" s="59"/>
      <c r="D128" s="59"/>
    </row>
    <row r="129" spans="3:4" x14ac:dyDescent="0.2">
      <c r="C129" s="59"/>
      <c r="D129" s="59"/>
    </row>
    <row r="130" spans="3:4" x14ac:dyDescent="0.2">
      <c r="C130" s="59"/>
      <c r="D130" s="59"/>
    </row>
    <row r="131" spans="3:4" x14ac:dyDescent="0.2">
      <c r="C131" s="59"/>
      <c r="D131" s="59"/>
    </row>
    <row r="132" spans="3:4" x14ac:dyDescent="0.2">
      <c r="C132" s="59"/>
      <c r="D132" s="59"/>
    </row>
    <row r="133" spans="3:4" x14ac:dyDescent="0.2">
      <c r="C133" s="59"/>
      <c r="D133" s="59"/>
    </row>
    <row r="134" spans="3:4" x14ac:dyDescent="0.2">
      <c r="C134" s="59"/>
      <c r="D134" s="59"/>
    </row>
    <row r="135" spans="3:4" x14ac:dyDescent="0.2">
      <c r="C135" s="59"/>
      <c r="D135" s="59"/>
    </row>
    <row r="136" spans="3:4" x14ac:dyDescent="0.2">
      <c r="C136" s="59"/>
      <c r="D136" s="59"/>
    </row>
    <row r="137" spans="3:4" x14ac:dyDescent="0.2">
      <c r="C137" s="59"/>
      <c r="D137" s="59"/>
    </row>
    <row r="138" spans="3:4" x14ac:dyDescent="0.2">
      <c r="C138" s="59"/>
      <c r="D138" s="59"/>
    </row>
    <row r="139" spans="3:4" x14ac:dyDescent="0.2">
      <c r="C139" s="59"/>
      <c r="D139" s="59"/>
    </row>
    <row r="140" spans="3:4" x14ac:dyDescent="0.2">
      <c r="C140" s="59"/>
      <c r="D140" s="59"/>
    </row>
    <row r="141" spans="3:4" x14ac:dyDescent="0.2">
      <c r="C141" s="59"/>
      <c r="D141" s="59"/>
    </row>
    <row r="142" spans="3:4" x14ac:dyDescent="0.2">
      <c r="C142" s="59"/>
      <c r="D142" s="59"/>
    </row>
    <row r="143" spans="3:4" x14ac:dyDescent="0.2">
      <c r="C143" s="59"/>
      <c r="D143" s="59"/>
    </row>
    <row r="144" spans="3:4" x14ac:dyDescent="0.2">
      <c r="C144" s="59"/>
      <c r="D144" s="59"/>
    </row>
    <row r="145" spans="3:4" x14ac:dyDescent="0.2">
      <c r="C145" s="59"/>
      <c r="D145" s="59"/>
    </row>
    <row r="146" spans="3:4" x14ac:dyDescent="0.2">
      <c r="C146" s="59"/>
      <c r="D146" s="59"/>
    </row>
    <row r="147" spans="3:4" x14ac:dyDescent="0.2">
      <c r="C147" s="59"/>
      <c r="D147" s="59"/>
    </row>
    <row r="148" spans="3:4" x14ac:dyDescent="0.2">
      <c r="C148" s="59"/>
      <c r="D148" s="59"/>
    </row>
    <row r="149" spans="3:4" x14ac:dyDescent="0.2">
      <c r="C149" s="59"/>
      <c r="D149" s="59"/>
    </row>
    <row r="150" spans="3:4" x14ac:dyDescent="0.2">
      <c r="C150" s="59"/>
      <c r="D150" s="59"/>
    </row>
    <row r="151" spans="3:4" x14ac:dyDescent="0.2">
      <c r="C151" s="59"/>
      <c r="D151" s="59"/>
    </row>
    <row r="152" spans="3:4" x14ac:dyDescent="0.2">
      <c r="C152" s="59"/>
      <c r="D152" s="59"/>
    </row>
    <row r="153" spans="3:4" x14ac:dyDescent="0.2">
      <c r="C153" s="59"/>
      <c r="D153" s="59"/>
    </row>
    <row r="154" spans="3:4" x14ac:dyDescent="0.2">
      <c r="C154" s="59"/>
      <c r="D154" s="59"/>
    </row>
    <row r="155" spans="3:4" x14ac:dyDescent="0.2">
      <c r="C155" s="59"/>
      <c r="D155" s="59"/>
    </row>
    <row r="156" spans="3:4" x14ac:dyDescent="0.2">
      <c r="C156" s="59"/>
      <c r="D156" s="59"/>
    </row>
    <row r="157" spans="3:4" x14ac:dyDescent="0.2">
      <c r="C157" s="59"/>
      <c r="D157" s="59"/>
    </row>
    <row r="158" spans="3:4" x14ac:dyDescent="0.2">
      <c r="C158" s="59"/>
      <c r="D158" s="59"/>
    </row>
    <row r="159" spans="3:4" x14ac:dyDescent="0.2">
      <c r="C159" s="59"/>
      <c r="D159" s="59"/>
    </row>
    <row r="160" spans="3:4" x14ac:dyDescent="0.2">
      <c r="C160" s="59"/>
      <c r="D160" s="59"/>
    </row>
    <row r="161" spans="3:4" x14ac:dyDescent="0.2">
      <c r="C161" s="59"/>
      <c r="D161" s="59"/>
    </row>
    <row r="162" spans="3:4" x14ac:dyDescent="0.2">
      <c r="C162" s="59"/>
      <c r="D162" s="59"/>
    </row>
  </sheetData>
  <pageMargins left="0.7" right="0.7" top="0.75" bottom="0.75" header="0.3" footer="0.3"/>
  <pageSetup paperSize="9" orientation="portrait" horizontalDpi="0" verticalDpi="0"/>
  <legacyDrawing r:id="rId1"/>
</worksheet>
</file>

<file path=xl/worksheets/sheet8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F00-000000000000}">
  <dimension ref="A1:L152"/>
  <sheetViews>
    <sheetView zoomScale="86" zoomScaleNormal="140" workbookViewId="0">
      <pane xSplit="2" ySplit="1" topLeftCell="D8" activePane="bottomRight" state="frozen"/>
      <selection pane="topRight" activeCell="C1" sqref="C1"/>
      <selection pane="bottomLeft" activeCell="A2" sqref="A2"/>
      <selection pane="bottomRight" activeCell="C1" sqref="C1"/>
    </sheetView>
  </sheetViews>
  <sheetFormatPr baseColWidth="10" defaultColWidth="11" defaultRowHeight="16" x14ac:dyDescent="0.2"/>
  <cols>
    <col min="1" max="1" width="27.5" bestFit="1" customWidth="1"/>
    <col min="2" max="2" width="0" hidden="1"/>
    <col min="3" max="6" width="10.1640625" bestFit="1" customWidth="1"/>
    <col min="7" max="7" width="13" customWidth="1"/>
    <col min="8" max="8" width="12.1640625" customWidth="1"/>
  </cols>
  <sheetData>
    <row r="1" spans="1:12" x14ac:dyDescent="0.2">
      <c r="B1" s="46" t="s">
        <v>0</v>
      </c>
      <c r="C1" s="80" t="s">
        <v>1</v>
      </c>
      <c r="D1" s="80" t="s">
        <v>2</v>
      </c>
      <c r="E1" s="81" t="s">
        <v>3</v>
      </c>
      <c r="F1" s="81" t="s">
        <v>4</v>
      </c>
      <c r="G1" s="81" t="s">
        <v>5</v>
      </c>
    </row>
    <row r="2" spans="1:12" x14ac:dyDescent="0.2">
      <c r="A2" t="s">
        <v>17</v>
      </c>
      <c r="B2" s="82"/>
      <c r="C2" s="67">
        <v>24990000</v>
      </c>
      <c r="D2" s="67">
        <v>24990000</v>
      </c>
      <c r="E2" s="71">
        <v>24490000</v>
      </c>
      <c r="F2" s="39">
        <v>24990000</v>
      </c>
      <c r="G2" s="39">
        <v>24990000</v>
      </c>
    </row>
    <row r="3" spans="1:12" x14ac:dyDescent="0.2">
      <c r="A3" t="s">
        <v>18</v>
      </c>
      <c r="B3" s="82"/>
      <c r="C3" s="67">
        <v>31490000</v>
      </c>
      <c r="D3" s="75">
        <v>31490000</v>
      </c>
      <c r="E3" s="71">
        <v>30990000</v>
      </c>
      <c r="F3" s="37">
        <v>30890000</v>
      </c>
      <c r="G3" s="39">
        <v>30990000</v>
      </c>
    </row>
    <row r="4" spans="1:12" x14ac:dyDescent="0.2">
      <c r="A4" t="s">
        <v>19</v>
      </c>
      <c r="B4" s="82"/>
      <c r="C4" s="67">
        <v>34990000</v>
      </c>
      <c r="D4" s="67">
        <v>34990000</v>
      </c>
      <c r="E4" s="71">
        <v>33990000</v>
      </c>
      <c r="F4" s="37">
        <v>34790000</v>
      </c>
      <c r="G4" s="39">
        <v>34790000</v>
      </c>
    </row>
    <row r="5" spans="1:12" x14ac:dyDescent="0.2">
      <c r="A5" t="s">
        <v>20</v>
      </c>
      <c r="B5" s="82"/>
      <c r="C5" s="67">
        <v>37990000</v>
      </c>
      <c r="D5" s="67">
        <v>37990000</v>
      </c>
      <c r="E5" s="71">
        <v>37990000</v>
      </c>
      <c r="F5" s="39">
        <v>37990000</v>
      </c>
      <c r="G5" s="39">
        <v>37990000</v>
      </c>
    </row>
    <row r="6" spans="1:12" x14ac:dyDescent="0.2">
      <c r="A6" t="s">
        <v>21</v>
      </c>
      <c r="B6" s="82"/>
      <c r="C6" s="76">
        <v>14990000</v>
      </c>
      <c r="D6" s="67">
        <v>14990000</v>
      </c>
      <c r="E6" s="34">
        <v>16990000</v>
      </c>
      <c r="F6" s="39">
        <v>14990000</v>
      </c>
      <c r="G6" s="39">
        <v>15290000</v>
      </c>
    </row>
    <row r="7" spans="1:12" x14ac:dyDescent="0.2">
      <c r="A7" t="s">
        <v>181</v>
      </c>
      <c r="B7" s="70"/>
      <c r="C7" s="73">
        <v>21490000</v>
      </c>
      <c r="D7" s="72">
        <v>21090000</v>
      </c>
      <c r="E7" s="34">
        <v>21290000</v>
      </c>
      <c r="F7" s="37">
        <v>20990000</v>
      </c>
      <c r="G7" s="37">
        <v>20990000</v>
      </c>
      <c r="H7">
        <v>-300</v>
      </c>
    </row>
    <row r="8" spans="1:12" x14ac:dyDescent="0.2">
      <c r="A8" t="s">
        <v>24</v>
      </c>
      <c r="B8" s="3"/>
      <c r="C8" s="52">
        <v>24990000</v>
      </c>
      <c r="D8" s="61">
        <v>24990000</v>
      </c>
      <c r="E8" s="34">
        <v>24490000</v>
      </c>
      <c r="F8" s="37">
        <v>24590000</v>
      </c>
      <c r="G8" s="37">
        <v>24690000</v>
      </c>
      <c r="H8">
        <v>-400</v>
      </c>
    </row>
    <row r="9" spans="1:12" x14ac:dyDescent="0.2">
      <c r="A9" t="s">
        <v>182</v>
      </c>
      <c r="B9" s="25"/>
      <c r="C9" s="52">
        <v>25590000</v>
      </c>
      <c r="D9" s="63">
        <v>25590000</v>
      </c>
      <c r="E9" s="39" t="s">
        <v>22</v>
      </c>
      <c r="F9" s="39">
        <v>25590000</v>
      </c>
      <c r="G9" s="39">
        <v>24990000</v>
      </c>
    </row>
    <row r="10" spans="1:12" x14ac:dyDescent="0.2">
      <c r="A10" t="s">
        <v>183</v>
      </c>
      <c r="B10" s="3"/>
      <c r="C10" s="52">
        <v>30590000</v>
      </c>
      <c r="D10" s="61">
        <v>30590000</v>
      </c>
      <c r="E10" s="34">
        <v>29990000</v>
      </c>
      <c r="F10" s="37">
        <v>30490000</v>
      </c>
      <c r="G10" s="39">
        <v>30390000</v>
      </c>
    </row>
    <row r="11" spans="1:12" x14ac:dyDescent="0.2">
      <c r="A11" t="s">
        <v>25</v>
      </c>
      <c r="B11" s="25"/>
      <c r="C11" s="52">
        <v>17590000</v>
      </c>
      <c r="D11" s="63">
        <v>17590000</v>
      </c>
      <c r="E11" s="34">
        <v>17290000</v>
      </c>
      <c r="F11" s="39">
        <v>16990000</v>
      </c>
      <c r="G11" s="37">
        <v>16590000</v>
      </c>
      <c r="H11">
        <v>-300</v>
      </c>
    </row>
    <row r="12" spans="1:12" x14ac:dyDescent="0.2">
      <c r="A12" t="s">
        <v>26</v>
      </c>
      <c r="B12" s="25"/>
      <c r="C12" s="52">
        <v>19590000</v>
      </c>
      <c r="D12" s="63" t="s">
        <v>22</v>
      </c>
      <c r="E12" s="25">
        <v>18490000</v>
      </c>
      <c r="F12" s="39">
        <v>17690000</v>
      </c>
      <c r="G12" s="39">
        <v>18490000</v>
      </c>
    </row>
    <row r="13" spans="1:12" x14ac:dyDescent="0.2">
      <c r="A13" t="s">
        <v>27</v>
      </c>
      <c r="B13" s="25"/>
      <c r="C13" s="52">
        <v>13990000</v>
      </c>
      <c r="D13" s="61">
        <v>13790000</v>
      </c>
      <c r="E13" s="34">
        <v>13690000</v>
      </c>
      <c r="F13" s="34">
        <v>13590000</v>
      </c>
      <c r="G13" s="39">
        <v>13490000</v>
      </c>
    </row>
    <row r="14" spans="1:12" x14ac:dyDescent="0.2">
      <c r="A14" t="s">
        <v>28</v>
      </c>
      <c r="B14" s="3"/>
      <c r="C14" s="52">
        <v>12490000</v>
      </c>
      <c r="D14" s="53">
        <v>12290000</v>
      </c>
      <c r="E14" s="34">
        <v>11990000</v>
      </c>
      <c r="F14" s="34">
        <v>12090000</v>
      </c>
      <c r="G14" s="39">
        <v>11890000</v>
      </c>
    </row>
    <row r="15" spans="1:12" x14ac:dyDescent="0.2">
      <c r="A15" t="s">
        <v>29</v>
      </c>
      <c r="B15" s="25"/>
      <c r="C15" s="53">
        <v>13590000</v>
      </c>
      <c r="D15" s="61">
        <v>13590000</v>
      </c>
      <c r="E15" s="34">
        <v>13290000</v>
      </c>
      <c r="F15" s="38">
        <v>11790000</v>
      </c>
      <c r="G15" s="39">
        <v>11590000</v>
      </c>
    </row>
    <row r="16" spans="1:12" x14ac:dyDescent="0.2">
      <c r="A16" t="s">
        <v>30</v>
      </c>
      <c r="B16" s="3"/>
      <c r="C16" s="53">
        <v>9490000</v>
      </c>
      <c r="D16" s="61">
        <v>9590000</v>
      </c>
      <c r="E16" s="34">
        <v>9190000</v>
      </c>
      <c r="F16" s="34">
        <v>8790000</v>
      </c>
      <c r="G16" s="37">
        <v>8990000</v>
      </c>
      <c r="H16" s="26">
        <v>600</v>
      </c>
      <c r="J16" t="s">
        <v>31</v>
      </c>
      <c r="K16" t="s">
        <v>38</v>
      </c>
      <c r="L16" t="b">
        <v>1</v>
      </c>
    </row>
    <row r="17" spans="1:12" x14ac:dyDescent="0.2">
      <c r="A17" t="s">
        <v>33</v>
      </c>
      <c r="B17" s="3"/>
      <c r="C17" s="53">
        <v>16490000</v>
      </c>
      <c r="D17" s="61">
        <v>16390000</v>
      </c>
      <c r="E17" s="34">
        <v>15790000</v>
      </c>
      <c r="F17" s="34">
        <v>13690000</v>
      </c>
      <c r="G17" s="37">
        <v>15990000</v>
      </c>
      <c r="H17" s="26"/>
      <c r="J17" t="s">
        <v>2</v>
      </c>
      <c r="K17" t="s">
        <v>34</v>
      </c>
      <c r="L17" t="b">
        <v>1</v>
      </c>
    </row>
    <row r="18" spans="1:12" x14ac:dyDescent="0.2">
      <c r="A18" t="s">
        <v>37</v>
      </c>
      <c r="B18" s="25"/>
      <c r="C18" s="53">
        <v>21690000</v>
      </c>
      <c r="D18" s="61">
        <v>21690000</v>
      </c>
      <c r="E18" s="25">
        <v>20490000</v>
      </c>
      <c r="F18" s="34">
        <v>19490000</v>
      </c>
      <c r="G18" s="37">
        <v>21390000</v>
      </c>
      <c r="H18" s="26">
        <v>2400</v>
      </c>
      <c r="J18" t="s">
        <v>3</v>
      </c>
      <c r="K18" t="s">
        <v>36</v>
      </c>
      <c r="L18" t="b">
        <v>1</v>
      </c>
    </row>
    <row r="19" spans="1:12" x14ac:dyDescent="0.2">
      <c r="A19" t="s">
        <v>184</v>
      </c>
      <c r="B19" s="25"/>
      <c r="C19" s="52">
        <v>27990000</v>
      </c>
      <c r="D19" s="61">
        <v>27990000</v>
      </c>
      <c r="E19" s="25">
        <v>26490000</v>
      </c>
      <c r="F19" s="34">
        <v>28190000</v>
      </c>
      <c r="G19" s="38">
        <v>27890000</v>
      </c>
      <c r="J19" t="s">
        <v>4</v>
      </c>
      <c r="K19" t="s">
        <v>263</v>
      </c>
      <c r="L19" t="b">
        <v>1</v>
      </c>
    </row>
    <row r="20" spans="1:12" x14ac:dyDescent="0.2">
      <c r="A20" t="s">
        <v>185</v>
      </c>
      <c r="B20" s="3"/>
      <c r="C20" s="52">
        <v>36290000</v>
      </c>
      <c r="D20" s="63">
        <v>36290000</v>
      </c>
      <c r="E20" s="34">
        <v>34490000</v>
      </c>
      <c r="F20" s="38">
        <v>36490000</v>
      </c>
      <c r="G20" s="39">
        <v>33690000</v>
      </c>
      <c r="J20" t="s">
        <v>41</v>
      </c>
      <c r="K20" t="s">
        <v>42</v>
      </c>
      <c r="L20" t="b">
        <v>1</v>
      </c>
    </row>
    <row r="21" spans="1:12" x14ac:dyDescent="0.2">
      <c r="A21" t="s">
        <v>44</v>
      </c>
      <c r="B21" s="25"/>
      <c r="C21" s="63">
        <v>6990000</v>
      </c>
      <c r="D21" s="63">
        <v>6990000</v>
      </c>
      <c r="E21" s="25">
        <v>6690000</v>
      </c>
      <c r="F21" s="34">
        <v>6690000</v>
      </c>
      <c r="G21" s="38">
        <v>6990000</v>
      </c>
    </row>
    <row r="22" spans="1:12" x14ac:dyDescent="0.2">
      <c r="A22" t="s">
        <v>45</v>
      </c>
      <c r="B22" s="25"/>
      <c r="C22" s="63">
        <v>8490000</v>
      </c>
      <c r="D22" s="63">
        <v>8490000</v>
      </c>
      <c r="E22" s="25">
        <v>8190000</v>
      </c>
      <c r="F22" s="34">
        <v>8450000</v>
      </c>
      <c r="G22" s="38">
        <v>8490000</v>
      </c>
    </row>
    <row r="23" spans="1:12" x14ac:dyDescent="0.2">
      <c r="A23" t="s">
        <v>46</v>
      </c>
      <c r="B23" s="25"/>
      <c r="C23" s="63">
        <v>7850000</v>
      </c>
      <c r="D23" s="63">
        <v>7849000</v>
      </c>
      <c r="E23" s="25">
        <v>7690000</v>
      </c>
      <c r="F23" s="34">
        <v>7690000</v>
      </c>
      <c r="G23" s="38">
        <v>7840000</v>
      </c>
    </row>
    <row r="24" spans="1:12" x14ac:dyDescent="0.2">
      <c r="A24" t="s">
        <v>47</v>
      </c>
      <c r="B24" s="25"/>
      <c r="C24" s="51" t="s">
        <v>22</v>
      </c>
      <c r="D24" s="63">
        <v>9349000</v>
      </c>
      <c r="E24" s="25">
        <v>8990000</v>
      </c>
      <c r="F24" s="34">
        <v>9290000</v>
      </c>
      <c r="G24" s="38">
        <v>9340000</v>
      </c>
    </row>
    <row r="25" spans="1:12" x14ac:dyDescent="0.2">
      <c r="A25" t="s">
        <v>48</v>
      </c>
      <c r="B25" s="3"/>
      <c r="C25" s="63">
        <v>11490000</v>
      </c>
      <c r="D25" s="63">
        <v>11490000</v>
      </c>
      <c r="E25" s="25">
        <v>11290000</v>
      </c>
      <c r="F25" s="38">
        <v>11290000</v>
      </c>
      <c r="G25" s="38">
        <v>11490000</v>
      </c>
    </row>
    <row r="26" spans="1:12" x14ac:dyDescent="0.2">
      <c r="A26" t="s">
        <v>49</v>
      </c>
      <c r="B26" s="3"/>
      <c r="C26" s="63">
        <v>14490000</v>
      </c>
      <c r="D26" s="63">
        <v>14490000</v>
      </c>
      <c r="E26" s="25">
        <v>14190000</v>
      </c>
      <c r="F26" s="38">
        <v>14490000</v>
      </c>
      <c r="G26" s="38">
        <v>14490000</v>
      </c>
    </row>
    <row r="27" spans="1:12" x14ac:dyDescent="0.2">
      <c r="A27" t="s">
        <v>50</v>
      </c>
      <c r="B27" s="3"/>
      <c r="C27" s="63">
        <v>12350000</v>
      </c>
      <c r="D27" s="63">
        <v>12349000</v>
      </c>
      <c r="E27" s="25">
        <v>12190000</v>
      </c>
      <c r="F27" s="38">
        <v>11990000</v>
      </c>
      <c r="G27" s="38">
        <v>12349000</v>
      </c>
    </row>
    <row r="28" spans="1:12" x14ac:dyDescent="0.2">
      <c r="A28" t="s">
        <v>51</v>
      </c>
      <c r="B28" s="3"/>
      <c r="C28" s="63">
        <v>15350000</v>
      </c>
      <c r="D28" s="63">
        <v>15349000</v>
      </c>
      <c r="E28" s="25">
        <v>14990000</v>
      </c>
      <c r="F28" s="38">
        <v>15349000</v>
      </c>
      <c r="G28" s="38">
        <v>15349000</v>
      </c>
    </row>
    <row r="29" spans="1:12" x14ac:dyDescent="0.2">
      <c r="A29" t="s">
        <v>172</v>
      </c>
      <c r="B29" s="25"/>
      <c r="C29" s="52">
        <v>21890000</v>
      </c>
      <c r="D29" s="63">
        <v>21890000</v>
      </c>
      <c r="E29" s="34">
        <v>20490000</v>
      </c>
      <c r="F29" s="37">
        <v>20990000</v>
      </c>
      <c r="G29" s="39">
        <v>22990000</v>
      </c>
    </row>
    <row r="30" spans="1:12" x14ac:dyDescent="0.2">
      <c r="A30" t="s">
        <v>52</v>
      </c>
      <c r="B30" s="25"/>
      <c r="C30" s="63">
        <v>23990000</v>
      </c>
      <c r="D30" s="63">
        <v>23990000</v>
      </c>
      <c r="E30" s="25">
        <v>23490000</v>
      </c>
      <c r="F30" s="37">
        <v>23690000</v>
      </c>
      <c r="G30" s="39">
        <v>23990000</v>
      </c>
    </row>
    <row r="31" spans="1:12" x14ac:dyDescent="0.2">
      <c r="A31" t="s">
        <v>53</v>
      </c>
      <c r="B31" s="3"/>
      <c r="C31" s="53">
        <v>5390000</v>
      </c>
      <c r="D31" s="61">
        <v>5490000</v>
      </c>
      <c r="E31" s="25">
        <v>5590000</v>
      </c>
      <c r="F31" s="37">
        <v>5090000</v>
      </c>
      <c r="G31" s="39">
        <v>5590000</v>
      </c>
    </row>
    <row r="32" spans="1:12" x14ac:dyDescent="0.2">
      <c r="A32" t="s">
        <v>54</v>
      </c>
      <c r="B32" s="3"/>
      <c r="C32" s="52">
        <v>4690000</v>
      </c>
      <c r="D32" s="61">
        <v>4650000</v>
      </c>
      <c r="E32" s="34">
        <v>4490000</v>
      </c>
      <c r="F32" s="37">
        <v>4450000</v>
      </c>
      <c r="G32" s="37">
        <v>4690000</v>
      </c>
      <c r="H32">
        <v>200</v>
      </c>
    </row>
    <row r="33" spans="1:8" x14ac:dyDescent="0.2">
      <c r="A33" t="s">
        <v>55</v>
      </c>
      <c r="B33" s="3"/>
      <c r="C33" s="53">
        <v>3590000</v>
      </c>
      <c r="D33" s="61">
        <v>3490000</v>
      </c>
      <c r="E33" s="34">
        <v>3490000</v>
      </c>
      <c r="F33" s="37">
        <v>3190000</v>
      </c>
      <c r="G33" s="37">
        <v>3590000</v>
      </c>
      <c r="H33">
        <v>400</v>
      </c>
    </row>
    <row r="34" spans="1:8" x14ac:dyDescent="0.2">
      <c r="A34" t="s">
        <v>56</v>
      </c>
      <c r="B34" s="3"/>
      <c r="C34" s="39">
        <v>6790000</v>
      </c>
      <c r="D34" s="63">
        <v>6790000</v>
      </c>
      <c r="E34" s="25">
        <v>6590000</v>
      </c>
      <c r="F34" s="34">
        <v>6690000</v>
      </c>
      <c r="G34" s="39">
        <v>6690000</v>
      </c>
    </row>
    <row r="35" spans="1:8" x14ac:dyDescent="0.2">
      <c r="A35" t="s">
        <v>186</v>
      </c>
      <c r="B35" s="25"/>
      <c r="C35" s="53">
        <v>19690000</v>
      </c>
      <c r="D35" s="63">
        <v>19890000</v>
      </c>
      <c r="E35" s="36"/>
      <c r="F35" s="38">
        <v>19790000</v>
      </c>
      <c r="G35" s="38">
        <v>19690000</v>
      </c>
      <c r="H35">
        <v>300</v>
      </c>
    </row>
    <row r="36" spans="1:8" x14ac:dyDescent="0.2">
      <c r="A36" t="s">
        <v>59</v>
      </c>
      <c r="B36" s="3"/>
      <c r="C36" s="53">
        <v>25690000</v>
      </c>
      <c r="D36" s="63">
        <v>25290000</v>
      </c>
      <c r="E36" s="36"/>
      <c r="F36" s="34">
        <v>24990000</v>
      </c>
      <c r="G36" s="37">
        <v>25190000</v>
      </c>
      <c r="H36">
        <v>-100</v>
      </c>
    </row>
    <row r="37" spans="1:8" x14ac:dyDescent="0.2">
      <c r="A37" t="s">
        <v>61</v>
      </c>
      <c r="B37" s="25"/>
      <c r="C37" s="61">
        <v>30390000</v>
      </c>
      <c r="D37" s="63">
        <v>29890000</v>
      </c>
      <c r="E37" s="36"/>
      <c r="F37" s="34">
        <v>28990000</v>
      </c>
      <c r="G37" s="39">
        <v>29290000</v>
      </c>
    </row>
    <row r="38" spans="1:8" x14ac:dyDescent="0.2">
      <c r="A38" t="s">
        <v>187</v>
      </c>
      <c r="B38" s="25"/>
      <c r="C38" s="53">
        <v>38090000</v>
      </c>
      <c r="D38" s="63">
        <v>37990000</v>
      </c>
      <c r="E38" s="36"/>
      <c r="F38" s="39">
        <v>38590000</v>
      </c>
      <c r="G38" s="39">
        <v>38290000</v>
      </c>
    </row>
    <row r="39" spans="1:8" x14ac:dyDescent="0.2">
      <c r="A39" t="s">
        <v>261</v>
      </c>
      <c r="B39" s="25"/>
      <c r="C39" s="63">
        <v>64990000</v>
      </c>
      <c r="D39" s="63">
        <v>64990000</v>
      </c>
      <c r="E39" s="36"/>
      <c r="F39" s="39"/>
      <c r="G39" s="39">
        <v>63990000</v>
      </c>
    </row>
    <row r="40" spans="1:8" x14ac:dyDescent="0.2">
      <c r="C40" s="59"/>
      <c r="D40" s="59"/>
    </row>
    <row r="41" spans="1:8" x14ac:dyDescent="0.2">
      <c r="C41" s="59"/>
      <c r="D41" s="59"/>
    </row>
    <row r="42" spans="1:8" x14ac:dyDescent="0.2">
      <c r="C42" s="59"/>
      <c r="D42" s="59"/>
    </row>
    <row r="43" spans="1:8" x14ac:dyDescent="0.2">
      <c r="C43" s="59"/>
      <c r="D43" s="59"/>
    </row>
    <row r="44" spans="1:8" x14ac:dyDescent="0.2">
      <c r="C44" s="59"/>
      <c r="D44" s="59"/>
    </row>
    <row r="45" spans="1:8" x14ac:dyDescent="0.2">
      <c r="C45" s="59"/>
      <c r="D45" s="59"/>
    </row>
    <row r="46" spans="1:8" x14ac:dyDescent="0.2">
      <c r="C46" s="59"/>
      <c r="D46" s="59"/>
    </row>
    <row r="47" spans="1:8" x14ac:dyDescent="0.2">
      <c r="C47" s="59"/>
      <c r="D47" s="59"/>
    </row>
    <row r="48" spans="1:8" x14ac:dyDescent="0.2">
      <c r="C48" s="59"/>
      <c r="D48" s="59"/>
    </row>
    <row r="49" spans="3:4" x14ac:dyDescent="0.2">
      <c r="C49" s="59"/>
      <c r="D49" s="59"/>
    </row>
    <row r="50" spans="3:4" x14ac:dyDescent="0.2">
      <c r="C50" s="59"/>
      <c r="D50" s="59"/>
    </row>
    <row r="51" spans="3:4" x14ac:dyDescent="0.2">
      <c r="C51" s="59"/>
      <c r="D51" s="59"/>
    </row>
    <row r="52" spans="3:4" x14ac:dyDescent="0.2">
      <c r="C52" s="59"/>
      <c r="D52" s="59"/>
    </row>
    <row r="53" spans="3:4" x14ac:dyDescent="0.2">
      <c r="C53" s="59"/>
      <c r="D53" s="59"/>
    </row>
    <row r="54" spans="3:4" x14ac:dyDescent="0.2">
      <c r="C54" s="59"/>
      <c r="D54" s="59"/>
    </row>
    <row r="55" spans="3:4" x14ac:dyDescent="0.2">
      <c r="C55" s="59"/>
      <c r="D55" s="59"/>
    </row>
    <row r="56" spans="3:4" x14ac:dyDescent="0.2">
      <c r="C56" s="59"/>
      <c r="D56" s="59"/>
    </row>
    <row r="57" spans="3:4" x14ac:dyDescent="0.2">
      <c r="C57" s="59"/>
      <c r="D57" s="59"/>
    </row>
    <row r="58" spans="3:4" x14ac:dyDescent="0.2">
      <c r="C58" s="59"/>
      <c r="D58" s="59"/>
    </row>
    <row r="59" spans="3:4" x14ac:dyDescent="0.2">
      <c r="C59" s="59"/>
      <c r="D59" s="59"/>
    </row>
    <row r="60" spans="3:4" x14ac:dyDescent="0.2">
      <c r="C60" s="59"/>
      <c r="D60" s="59"/>
    </row>
    <row r="61" spans="3:4" x14ac:dyDescent="0.2">
      <c r="C61" s="59"/>
      <c r="D61" s="59"/>
    </row>
    <row r="62" spans="3:4" x14ac:dyDescent="0.2">
      <c r="C62" s="59"/>
      <c r="D62" s="59"/>
    </row>
    <row r="63" spans="3:4" x14ac:dyDescent="0.2">
      <c r="C63" s="59"/>
      <c r="D63" s="59"/>
    </row>
    <row r="64" spans="3:4" x14ac:dyDescent="0.2">
      <c r="C64" s="59"/>
      <c r="D64" s="59"/>
    </row>
    <row r="65" spans="3:4" x14ac:dyDescent="0.2">
      <c r="C65" s="59"/>
      <c r="D65" s="59"/>
    </row>
    <row r="66" spans="3:4" x14ac:dyDescent="0.2">
      <c r="C66" s="59"/>
      <c r="D66" s="59"/>
    </row>
    <row r="67" spans="3:4" x14ac:dyDescent="0.2">
      <c r="C67" s="59"/>
      <c r="D67" s="59"/>
    </row>
    <row r="68" spans="3:4" x14ac:dyDescent="0.2">
      <c r="C68" s="59"/>
      <c r="D68" s="59"/>
    </row>
    <row r="69" spans="3:4" x14ac:dyDescent="0.2">
      <c r="C69" s="59"/>
      <c r="D69" s="59"/>
    </row>
    <row r="70" spans="3:4" x14ac:dyDescent="0.2">
      <c r="C70" s="59"/>
      <c r="D70" s="59"/>
    </row>
    <row r="71" spans="3:4" x14ac:dyDescent="0.2">
      <c r="C71" s="59"/>
      <c r="D71" s="59"/>
    </row>
    <row r="72" spans="3:4" x14ac:dyDescent="0.2">
      <c r="C72" s="59"/>
      <c r="D72" s="59"/>
    </row>
    <row r="73" spans="3:4" x14ac:dyDescent="0.2">
      <c r="C73" s="59"/>
      <c r="D73" s="59"/>
    </row>
    <row r="74" spans="3:4" x14ac:dyDescent="0.2">
      <c r="C74" s="59"/>
      <c r="D74" s="59"/>
    </row>
    <row r="75" spans="3:4" x14ac:dyDescent="0.2">
      <c r="C75" s="59"/>
      <c r="D75" s="59"/>
    </row>
    <row r="76" spans="3:4" x14ac:dyDescent="0.2">
      <c r="C76" s="59"/>
      <c r="D76" s="59"/>
    </row>
    <row r="77" spans="3:4" x14ac:dyDescent="0.2">
      <c r="C77" s="59"/>
      <c r="D77" s="59"/>
    </row>
    <row r="78" spans="3:4" x14ac:dyDescent="0.2">
      <c r="C78" s="59"/>
      <c r="D78" s="59"/>
    </row>
    <row r="79" spans="3:4" x14ac:dyDescent="0.2">
      <c r="C79" s="59"/>
      <c r="D79" s="59"/>
    </row>
    <row r="80" spans="3:4" x14ac:dyDescent="0.2">
      <c r="C80" s="59"/>
      <c r="D80" s="59"/>
    </row>
    <row r="81" spans="3:4" x14ac:dyDescent="0.2">
      <c r="C81" s="59"/>
      <c r="D81" s="59"/>
    </row>
    <row r="82" spans="3:4" x14ac:dyDescent="0.2">
      <c r="C82" s="59"/>
      <c r="D82" s="59"/>
    </row>
    <row r="83" spans="3:4" x14ac:dyDescent="0.2">
      <c r="C83" s="59"/>
      <c r="D83" s="59"/>
    </row>
    <row r="84" spans="3:4" x14ac:dyDescent="0.2">
      <c r="C84" s="59"/>
      <c r="D84" s="59"/>
    </row>
    <row r="85" spans="3:4" x14ac:dyDescent="0.2">
      <c r="C85" s="59"/>
      <c r="D85" s="59"/>
    </row>
    <row r="86" spans="3:4" x14ac:dyDescent="0.2">
      <c r="C86" s="59"/>
      <c r="D86" s="59"/>
    </row>
    <row r="87" spans="3:4" x14ac:dyDescent="0.2">
      <c r="C87" s="59"/>
      <c r="D87" s="59"/>
    </row>
    <row r="88" spans="3:4" x14ac:dyDescent="0.2">
      <c r="C88" s="59"/>
      <c r="D88" s="59"/>
    </row>
    <row r="89" spans="3:4" x14ac:dyDescent="0.2">
      <c r="C89" s="59"/>
      <c r="D89" s="59"/>
    </row>
    <row r="90" spans="3:4" x14ac:dyDescent="0.2">
      <c r="C90" s="59"/>
      <c r="D90" s="59"/>
    </row>
    <row r="91" spans="3:4" x14ac:dyDescent="0.2">
      <c r="C91" s="59"/>
      <c r="D91" s="59"/>
    </row>
    <row r="92" spans="3:4" x14ac:dyDescent="0.2">
      <c r="C92" s="59"/>
      <c r="D92" s="59"/>
    </row>
    <row r="93" spans="3:4" x14ac:dyDescent="0.2">
      <c r="C93" s="59"/>
      <c r="D93" s="59"/>
    </row>
    <row r="94" spans="3:4" x14ac:dyDescent="0.2">
      <c r="C94" s="59"/>
      <c r="D94" s="59"/>
    </row>
    <row r="95" spans="3:4" x14ac:dyDescent="0.2">
      <c r="C95" s="59"/>
      <c r="D95" s="59"/>
    </row>
    <row r="96" spans="3:4" x14ac:dyDescent="0.2">
      <c r="C96" s="59"/>
      <c r="D96" s="59"/>
    </row>
    <row r="97" spans="3:4" x14ac:dyDescent="0.2">
      <c r="C97" s="59"/>
      <c r="D97" s="59"/>
    </row>
    <row r="98" spans="3:4" x14ac:dyDescent="0.2">
      <c r="C98" s="59"/>
      <c r="D98" s="59"/>
    </row>
    <row r="99" spans="3:4" x14ac:dyDescent="0.2">
      <c r="C99" s="59"/>
      <c r="D99" s="59"/>
    </row>
    <row r="100" spans="3:4" x14ac:dyDescent="0.2">
      <c r="C100" s="59"/>
      <c r="D100" s="59"/>
    </row>
    <row r="101" spans="3:4" x14ac:dyDescent="0.2">
      <c r="C101" s="59"/>
      <c r="D101" s="59"/>
    </row>
    <row r="102" spans="3:4" x14ac:dyDescent="0.2">
      <c r="C102" s="59"/>
      <c r="D102" s="59"/>
    </row>
    <row r="103" spans="3:4" x14ac:dyDescent="0.2">
      <c r="C103" s="59"/>
      <c r="D103" s="59"/>
    </row>
    <row r="104" spans="3:4" x14ac:dyDescent="0.2">
      <c r="C104" s="59"/>
      <c r="D104" s="59"/>
    </row>
    <row r="105" spans="3:4" x14ac:dyDescent="0.2">
      <c r="C105" s="59"/>
      <c r="D105" s="59"/>
    </row>
    <row r="106" spans="3:4" x14ac:dyDescent="0.2">
      <c r="C106" s="59"/>
      <c r="D106" s="59"/>
    </row>
    <row r="107" spans="3:4" x14ac:dyDescent="0.2">
      <c r="C107" s="59"/>
      <c r="D107" s="59"/>
    </row>
    <row r="108" spans="3:4" x14ac:dyDescent="0.2">
      <c r="C108" s="59"/>
      <c r="D108" s="59"/>
    </row>
    <row r="109" spans="3:4" x14ac:dyDescent="0.2">
      <c r="C109" s="59"/>
      <c r="D109" s="59"/>
    </row>
    <row r="110" spans="3:4" x14ac:dyDescent="0.2">
      <c r="C110" s="59"/>
      <c r="D110" s="59"/>
    </row>
    <row r="111" spans="3:4" x14ac:dyDescent="0.2">
      <c r="C111" s="59"/>
      <c r="D111" s="59"/>
    </row>
    <row r="112" spans="3:4" x14ac:dyDescent="0.2">
      <c r="C112" s="59"/>
      <c r="D112" s="59"/>
    </row>
    <row r="113" spans="3:4" x14ac:dyDescent="0.2">
      <c r="C113" s="59"/>
      <c r="D113" s="59"/>
    </row>
    <row r="114" spans="3:4" x14ac:dyDescent="0.2">
      <c r="C114" s="59"/>
      <c r="D114" s="59"/>
    </row>
    <row r="115" spans="3:4" x14ac:dyDescent="0.2">
      <c r="C115" s="59"/>
      <c r="D115" s="59"/>
    </row>
    <row r="116" spans="3:4" x14ac:dyDescent="0.2">
      <c r="C116" s="59"/>
      <c r="D116" s="59"/>
    </row>
    <row r="117" spans="3:4" x14ac:dyDescent="0.2">
      <c r="C117" s="59"/>
      <c r="D117" s="59"/>
    </row>
    <row r="118" spans="3:4" x14ac:dyDescent="0.2">
      <c r="C118" s="59"/>
      <c r="D118" s="59"/>
    </row>
    <row r="119" spans="3:4" x14ac:dyDescent="0.2">
      <c r="C119" s="59"/>
      <c r="D119" s="59"/>
    </row>
    <row r="120" spans="3:4" x14ac:dyDescent="0.2">
      <c r="C120" s="59"/>
      <c r="D120" s="59"/>
    </row>
    <row r="121" spans="3:4" x14ac:dyDescent="0.2">
      <c r="C121" s="59"/>
      <c r="D121" s="59"/>
    </row>
    <row r="122" spans="3:4" x14ac:dyDescent="0.2">
      <c r="C122" s="59"/>
      <c r="D122" s="59"/>
    </row>
    <row r="123" spans="3:4" x14ac:dyDescent="0.2">
      <c r="C123" s="59"/>
      <c r="D123" s="59"/>
    </row>
    <row r="124" spans="3:4" x14ac:dyDescent="0.2">
      <c r="C124" s="59"/>
      <c r="D124" s="59"/>
    </row>
    <row r="125" spans="3:4" x14ac:dyDescent="0.2">
      <c r="C125" s="59"/>
      <c r="D125" s="59"/>
    </row>
    <row r="126" spans="3:4" x14ac:dyDescent="0.2">
      <c r="C126" s="59"/>
      <c r="D126" s="59"/>
    </row>
    <row r="127" spans="3:4" x14ac:dyDescent="0.2">
      <c r="C127" s="59"/>
      <c r="D127" s="59"/>
    </row>
    <row r="128" spans="3:4" x14ac:dyDescent="0.2">
      <c r="C128" s="59"/>
      <c r="D128" s="59"/>
    </row>
    <row r="129" spans="3:4" x14ac:dyDescent="0.2">
      <c r="C129" s="59"/>
      <c r="D129" s="59"/>
    </row>
    <row r="130" spans="3:4" x14ac:dyDescent="0.2">
      <c r="C130" s="59"/>
      <c r="D130" s="59"/>
    </row>
    <row r="131" spans="3:4" x14ac:dyDescent="0.2">
      <c r="C131" s="59"/>
      <c r="D131" s="59"/>
    </row>
    <row r="132" spans="3:4" x14ac:dyDescent="0.2">
      <c r="C132" s="59"/>
      <c r="D132" s="59"/>
    </row>
    <row r="133" spans="3:4" x14ac:dyDescent="0.2">
      <c r="C133" s="59"/>
      <c r="D133" s="59"/>
    </row>
    <row r="134" spans="3:4" x14ac:dyDescent="0.2">
      <c r="C134" s="59"/>
      <c r="D134" s="59"/>
    </row>
    <row r="135" spans="3:4" x14ac:dyDescent="0.2">
      <c r="C135" s="59"/>
      <c r="D135" s="59"/>
    </row>
    <row r="136" spans="3:4" x14ac:dyDescent="0.2">
      <c r="C136" s="59"/>
      <c r="D136" s="59"/>
    </row>
    <row r="137" spans="3:4" x14ac:dyDescent="0.2">
      <c r="C137" s="59"/>
      <c r="D137" s="59"/>
    </row>
    <row r="138" spans="3:4" x14ac:dyDescent="0.2">
      <c r="C138" s="59"/>
      <c r="D138" s="59"/>
    </row>
    <row r="139" spans="3:4" x14ac:dyDescent="0.2">
      <c r="C139" s="59"/>
      <c r="D139" s="59"/>
    </row>
    <row r="140" spans="3:4" x14ac:dyDescent="0.2">
      <c r="C140" s="59"/>
      <c r="D140" s="59"/>
    </row>
    <row r="141" spans="3:4" x14ac:dyDescent="0.2">
      <c r="C141" s="59"/>
      <c r="D141" s="59"/>
    </row>
    <row r="142" spans="3:4" x14ac:dyDescent="0.2">
      <c r="C142" s="59"/>
      <c r="D142" s="59"/>
    </row>
    <row r="143" spans="3:4" x14ac:dyDescent="0.2">
      <c r="C143" s="59"/>
      <c r="D143" s="59"/>
    </row>
    <row r="144" spans="3:4" x14ac:dyDescent="0.2">
      <c r="C144" s="59"/>
      <c r="D144" s="59"/>
    </row>
    <row r="145" spans="3:4" x14ac:dyDescent="0.2">
      <c r="C145" s="59"/>
      <c r="D145" s="59"/>
    </row>
    <row r="146" spans="3:4" x14ac:dyDescent="0.2">
      <c r="C146" s="59"/>
      <c r="D146" s="59"/>
    </row>
    <row r="147" spans="3:4" x14ac:dyDescent="0.2">
      <c r="C147" s="59"/>
      <c r="D147" s="59"/>
    </row>
    <row r="148" spans="3:4" x14ac:dyDescent="0.2">
      <c r="C148" s="59"/>
      <c r="D148" s="59"/>
    </row>
    <row r="149" spans="3:4" x14ac:dyDescent="0.2">
      <c r="C149" s="59"/>
      <c r="D149" s="59"/>
    </row>
    <row r="150" spans="3:4" x14ac:dyDescent="0.2">
      <c r="C150" s="59"/>
      <c r="D150" s="59"/>
    </row>
    <row r="151" spans="3:4" x14ac:dyDescent="0.2">
      <c r="C151" s="59"/>
      <c r="D151" s="59"/>
    </row>
    <row r="152" spans="3:4" x14ac:dyDescent="0.2">
      <c r="C152" s="59"/>
      <c r="D152" s="59"/>
    </row>
  </sheetData>
  <pageMargins left="0.7" right="0.7" top="0.75" bottom="0.75" header="0.3" footer="0.3"/>
  <pageSetup paperSize="9" orientation="portrait" horizontalDpi="0" verticalDpi="0"/>
  <legacyDrawing r:id="rId1"/>
</worksheet>
</file>

<file path=xl/worksheets/sheet8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000-000000000000}">
  <dimension ref="A1:L152"/>
  <sheetViews>
    <sheetView zoomScale="86" zoomScaleNormal="140" workbookViewId="0">
      <pane xSplit="2" ySplit="1" topLeftCell="C2" activePane="bottomRight" state="frozen"/>
      <selection pane="topRight" activeCell="C1" sqref="C1"/>
      <selection pane="bottomLeft" activeCell="A2" sqref="A2"/>
      <selection pane="bottomRight" activeCell="C1" sqref="C1"/>
    </sheetView>
  </sheetViews>
  <sheetFormatPr baseColWidth="10" defaultColWidth="11" defaultRowHeight="16" x14ac:dyDescent="0.2"/>
  <cols>
    <col min="1" max="1" width="27.5" bestFit="1" customWidth="1"/>
    <col min="2" max="2" width="0" hidden="1"/>
    <col min="3" max="6" width="10.1640625" bestFit="1" customWidth="1"/>
    <col min="7" max="7" width="13" customWidth="1"/>
    <col min="8" max="8" width="12.1640625" customWidth="1"/>
  </cols>
  <sheetData>
    <row r="1" spans="1:12" x14ac:dyDescent="0.2">
      <c r="B1" s="46" t="s">
        <v>0</v>
      </c>
      <c r="C1" s="80" t="s">
        <v>1</v>
      </c>
      <c r="D1" s="80" t="s">
        <v>2</v>
      </c>
      <c r="E1" s="81" t="s">
        <v>3</v>
      </c>
      <c r="F1" s="81" t="s">
        <v>4</v>
      </c>
      <c r="G1" s="81" t="s">
        <v>5</v>
      </c>
    </row>
    <row r="2" spans="1:12" x14ac:dyDescent="0.2">
      <c r="A2" t="s">
        <v>17</v>
      </c>
      <c r="B2" s="82"/>
      <c r="C2" s="67">
        <v>24990000</v>
      </c>
      <c r="D2" s="67">
        <v>24990000</v>
      </c>
      <c r="E2" s="71">
        <v>24490000</v>
      </c>
      <c r="F2" s="39">
        <v>24990000</v>
      </c>
      <c r="G2" s="39">
        <v>24990000</v>
      </c>
    </row>
    <row r="3" spans="1:12" x14ac:dyDescent="0.2">
      <c r="A3" t="s">
        <v>18</v>
      </c>
      <c r="B3" s="82"/>
      <c r="C3" s="67">
        <v>31490000</v>
      </c>
      <c r="D3" s="67">
        <v>31490000</v>
      </c>
      <c r="E3" s="71">
        <v>30990000</v>
      </c>
      <c r="F3" s="37">
        <v>31390000</v>
      </c>
      <c r="G3" s="39">
        <v>30990000</v>
      </c>
    </row>
    <row r="4" spans="1:12" x14ac:dyDescent="0.2">
      <c r="A4" t="s">
        <v>19</v>
      </c>
      <c r="B4" s="82"/>
      <c r="C4" s="67">
        <v>34990000</v>
      </c>
      <c r="D4" s="67">
        <v>34990000</v>
      </c>
      <c r="E4" s="71">
        <v>33990000</v>
      </c>
      <c r="F4" s="39">
        <v>34990000</v>
      </c>
      <c r="G4" s="39">
        <v>34790000</v>
      </c>
    </row>
    <row r="5" spans="1:12" x14ac:dyDescent="0.2">
      <c r="A5" t="s">
        <v>20</v>
      </c>
      <c r="B5" s="82"/>
      <c r="C5" s="67">
        <v>37990000</v>
      </c>
      <c r="D5" s="67">
        <v>37990000</v>
      </c>
      <c r="E5" s="71">
        <v>37990000</v>
      </c>
      <c r="F5" s="39">
        <v>37990000</v>
      </c>
      <c r="G5" s="39">
        <v>37990000</v>
      </c>
    </row>
    <row r="6" spans="1:12" x14ac:dyDescent="0.2">
      <c r="A6" t="s">
        <v>21</v>
      </c>
      <c r="B6" s="82"/>
      <c r="C6" s="66">
        <v>14990000</v>
      </c>
      <c r="D6" s="75">
        <v>14990000</v>
      </c>
      <c r="E6" s="34">
        <v>16990000</v>
      </c>
      <c r="F6" s="39">
        <v>14990000</v>
      </c>
      <c r="G6" s="39">
        <v>15290000</v>
      </c>
    </row>
    <row r="7" spans="1:12" x14ac:dyDescent="0.2">
      <c r="A7" t="s">
        <v>181</v>
      </c>
      <c r="B7" s="70"/>
      <c r="C7" s="73">
        <v>21390000</v>
      </c>
      <c r="D7" s="72">
        <v>21090000</v>
      </c>
      <c r="E7" s="39">
        <v>21290000</v>
      </c>
      <c r="F7" s="37">
        <v>21190000</v>
      </c>
      <c r="G7" s="39">
        <v>20990000</v>
      </c>
    </row>
    <row r="8" spans="1:12" x14ac:dyDescent="0.2">
      <c r="A8" t="s">
        <v>24</v>
      </c>
      <c r="B8" s="3"/>
      <c r="C8" s="52">
        <v>24990000</v>
      </c>
      <c r="D8" s="61">
        <v>24990000</v>
      </c>
      <c r="E8" s="39">
        <v>24990000</v>
      </c>
      <c r="F8" s="39">
        <v>24890000</v>
      </c>
      <c r="G8" s="39">
        <v>24690000</v>
      </c>
    </row>
    <row r="9" spans="1:12" x14ac:dyDescent="0.2">
      <c r="A9" t="s">
        <v>182</v>
      </c>
      <c r="B9" s="25"/>
      <c r="C9" s="39" t="s">
        <v>22</v>
      </c>
      <c r="D9" s="39" t="s">
        <v>22</v>
      </c>
      <c r="E9" s="39" t="s">
        <v>22</v>
      </c>
      <c r="F9" s="39">
        <v>25590000</v>
      </c>
      <c r="G9" s="39">
        <v>24990000</v>
      </c>
    </row>
    <row r="10" spans="1:12" x14ac:dyDescent="0.2">
      <c r="A10" t="s">
        <v>183</v>
      </c>
      <c r="B10" s="3"/>
      <c r="C10" s="53">
        <v>30490000</v>
      </c>
      <c r="D10" s="61">
        <v>30390000</v>
      </c>
      <c r="E10" s="25">
        <v>29990000</v>
      </c>
      <c r="F10" s="39">
        <v>30490000</v>
      </c>
      <c r="G10" s="39">
        <v>30390000</v>
      </c>
    </row>
    <row r="11" spans="1:12" x14ac:dyDescent="0.2">
      <c r="A11" t="s">
        <v>25</v>
      </c>
      <c r="B11" s="25"/>
      <c r="C11" s="53">
        <v>17290000</v>
      </c>
      <c r="D11" s="61">
        <v>16990000</v>
      </c>
      <c r="E11" s="34">
        <v>16990000</v>
      </c>
      <c r="F11" s="37">
        <v>16990000</v>
      </c>
      <c r="G11" s="39">
        <v>16590000</v>
      </c>
    </row>
    <row r="12" spans="1:12" x14ac:dyDescent="0.2">
      <c r="A12" t="s">
        <v>26</v>
      </c>
      <c r="B12" s="25"/>
      <c r="C12" s="52">
        <v>19590000</v>
      </c>
      <c r="D12" s="63" t="s">
        <v>22</v>
      </c>
      <c r="E12" s="25">
        <v>18490000</v>
      </c>
      <c r="F12" s="37">
        <v>17690000</v>
      </c>
      <c r="G12" s="39">
        <v>18490000</v>
      </c>
    </row>
    <row r="13" spans="1:12" x14ac:dyDescent="0.2">
      <c r="A13" t="s">
        <v>27</v>
      </c>
      <c r="B13" s="25"/>
      <c r="C13" s="53">
        <v>13890000</v>
      </c>
      <c r="D13" s="63">
        <v>13790000</v>
      </c>
      <c r="E13" s="25">
        <v>13490000</v>
      </c>
      <c r="F13" s="34">
        <v>13690000</v>
      </c>
      <c r="G13" s="39">
        <v>13490000</v>
      </c>
    </row>
    <row r="14" spans="1:12" x14ac:dyDescent="0.2">
      <c r="A14" t="s">
        <v>28</v>
      </c>
      <c r="B14" s="3"/>
      <c r="C14" s="52">
        <v>12490000</v>
      </c>
      <c r="D14" s="53">
        <v>12190000</v>
      </c>
      <c r="E14" s="34">
        <v>12190000</v>
      </c>
      <c r="F14" s="34">
        <v>12190000</v>
      </c>
      <c r="G14" s="39">
        <v>11890000</v>
      </c>
    </row>
    <row r="15" spans="1:12" x14ac:dyDescent="0.2">
      <c r="A15" t="s">
        <v>29</v>
      </c>
      <c r="B15" s="25"/>
      <c r="C15" s="52">
        <v>13590000</v>
      </c>
      <c r="D15" s="61">
        <v>13590000</v>
      </c>
      <c r="E15" s="25">
        <v>13290000</v>
      </c>
      <c r="F15" s="38">
        <v>11790000</v>
      </c>
      <c r="G15" s="39">
        <v>11590000</v>
      </c>
    </row>
    <row r="16" spans="1:12" x14ac:dyDescent="0.2">
      <c r="A16" t="s">
        <v>30</v>
      </c>
      <c r="B16" s="3"/>
      <c r="C16" s="53">
        <v>9190000</v>
      </c>
      <c r="D16" s="61">
        <v>9190000</v>
      </c>
      <c r="E16" s="25">
        <v>9190000</v>
      </c>
      <c r="F16" s="34">
        <v>9390000</v>
      </c>
      <c r="G16" s="39">
        <v>8990000</v>
      </c>
      <c r="H16" s="26"/>
      <c r="J16" t="s">
        <v>31</v>
      </c>
      <c r="K16" t="s">
        <v>38</v>
      </c>
      <c r="L16" t="b">
        <v>1</v>
      </c>
    </row>
    <row r="17" spans="1:12" x14ac:dyDescent="0.2">
      <c r="A17" t="s">
        <v>33</v>
      </c>
      <c r="B17" s="3"/>
      <c r="C17" s="53">
        <v>15990000</v>
      </c>
      <c r="D17" s="61">
        <v>15990000</v>
      </c>
      <c r="E17" s="34">
        <v>15590000</v>
      </c>
      <c r="F17" s="34">
        <v>16390000</v>
      </c>
      <c r="G17" s="39">
        <v>15990000</v>
      </c>
      <c r="H17" s="26"/>
      <c r="J17" t="s">
        <v>2</v>
      </c>
      <c r="K17" t="s">
        <v>34</v>
      </c>
      <c r="L17" t="b">
        <v>1</v>
      </c>
    </row>
    <row r="18" spans="1:12" x14ac:dyDescent="0.2">
      <c r="A18" t="s">
        <v>37</v>
      </c>
      <c r="B18" s="25"/>
      <c r="C18" s="53">
        <v>21590000</v>
      </c>
      <c r="D18" s="63">
        <v>21590000</v>
      </c>
      <c r="E18" s="25">
        <v>20490000</v>
      </c>
      <c r="F18" s="38">
        <v>19490000</v>
      </c>
      <c r="G18" s="37">
        <v>19990000</v>
      </c>
      <c r="H18" s="26"/>
      <c r="J18" t="s">
        <v>3</v>
      </c>
      <c r="K18" t="s">
        <v>36</v>
      </c>
      <c r="L18" t="b">
        <v>1</v>
      </c>
    </row>
    <row r="19" spans="1:12" x14ac:dyDescent="0.2">
      <c r="A19" t="s">
        <v>184</v>
      </c>
      <c r="B19" s="25"/>
      <c r="C19" s="52">
        <v>27990000</v>
      </c>
      <c r="D19" s="63">
        <v>27990000</v>
      </c>
      <c r="E19" s="25" t="s">
        <v>22</v>
      </c>
      <c r="F19" s="34">
        <v>28290000</v>
      </c>
      <c r="G19" s="38">
        <v>27890000</v>
      </c>
      <c r="J19" t="s">
        <v>4</v>
      </c>
      <c r="K19" t="s">
        <v>32</v>
      </c>
      <c r="L19" t="b">
        <v>1</v>
      </c>
    </row>
    <row r="20" spans="1:12" x14ac:dyDescent="0.2">
      <c r="A20" t="s">
        <v>185</v>
      </c>
      <c r="B20" s="3"/>
      <c r="C20" s="25" t="s">
        <v>22</v>
      </c>
      <c r="D20" s="63">
        <v>36290000</v>
      </c>
      <c r="E20" s="25">
        <v>34490000</v>
      </c>
      <c r="F20" s="34">
        <v>36490000</v>
      </c>
      <c r="G20" s="39">
        <v>33690000</v>
      </c>
      <c r="J20" t="s">
        <v>41</v>
      </c>
      <c r="K20" t="s">
        <v>42</v>
      </c>
      <c r="L20" t="b">
        <v>1</v>
      </c>
    </row>
    <row r="21" spans="1:12" x14ac:dyDescent="0.2">
      <c r="A21" t="s">
        <v>44</v>
      </c>
      <c r="B21" s="25"/>
      <c r="C21" s="63">
        <v>6990000</v>
      </c>
      <c r="D21" s="61">
        <v>6790000</v>
      </c>
      <c r="E21" s="25">
        <v>6690000</v>
      </c>
      <c r="F21" s="34">
        <v>6790000</v>
      </c>
      <c r="G21" s="34">
        <v>6790000</v>
      </c>
    </row>
    <row r="22" spans="1:12" x14ac:dyDescent="0.2">
      <c r="A22" t="s">
        <v>45</v>
      </c>
      <c r="B22" s="25"/>
      <c r="C22" s="63">
        <v>8490000</v>
      </c>
      <c r="D22" s="63">
        <v>8490000</v>
      </c>
      <c r="E22" s="25">
        <v>8190000</v>
      </c>
      <c r="F22" s="38">
        <v>8490000</v>
      </c>
      <c r="G22" s="38">
        <v>8490000</v>
      </c>
    </row>
    <row r="23" spans="1:12" x14ac:dyDescent="0.2">
      <c r="A23" t="s">
        <v>46</v>
      </c>
      <c r="B23" s="25"/>
      <c r="C23" s="63">
        <v>7850000</v>
      </c>
      <c r="D23" s="63">
        <v>7849000</v>
      </c>
      <c r="E23" s="25">
        <v>7690000</v>
      </c>
      <c r="F23" s="38">
        <v>7840000</v>
      </c>
      <c r="G23" s="34">
        <v>7690000</v>
      </c>
    </row>
    <row r="24" spans="1:12" x14ac:dyDescent="0.2">
      <c r="A24" t="s">
        <v>47</v>
      </c>
      <c r="B24" s="25"/>
      <c r="C24" s="51" t="s">
        <v>22</v>
      </c>
      <c r="D24" s="63">
        <v>9349000</v>
      </c>
      <c r="E24" s="25">
        <v>8990000</v>
      </c>
      <c r="F24" s="38">
        <v>9340000</v>
      </c>
      <c r="G24" s="38">
        <v>9340000</v>
      </c>
    </row>
    <row r="25" spans="1:12" x14ac:dyDescent="0.2">
      <c r="A25" t="s">
        <v>48</v>
      </c>
      <c r="B25" s="3"/>
      <c r="C25" s="63">
        <v>11490000</v>
      </c>
      <c r="D25" s="63">
        <v>11490000</v>
      </c>
      <c r="E25" s="25">
        <v>11290000</v>
      </c>
      <c r="F25" s="38">
        <v>11490000</v>
      </c>
      <c r="G25" s="34">
        <v>11390000</v>
      </c>
    </row>
    <row r="26" spans="1:12" x14ac:dyDescent="0.2">
      <c r="A26" t="s">
        <v>49</v>
      </c>
      <c r="B26" s="3"/>
      <c r="C26" s="63">
        <v>14490000</v>
      </c>
      <c r="D26" s="63">
        <v>14490000</v>
      </c>
      <c r="E26" s="25">
        <v>14190000</v>
      </c>
      <c r="F26" s="38">
        <v>14490000</v>
      </c>
      <c r="G26" s="38">
        <v>14490000</v>
      </c>
    </row>
    <row r="27" spans="1:12" x14ac:dyDescent="0.2">
      <c r="A27" t="s">
        <v>50</v>
      </c>
      <c r="B27" s="3"/>
      <c r="C27" s="63">
        <v>12350000</v>
      </c>
      <c r="D27" s="63">
        <v>12349000</v>
      </c>
      <c r="E27" s="25">
        <v>12190000</v>
      </c>
      <c r="F27" s="34">
        <v>11990000</v>
      </c>
      <c r="G27" s="38">
        <v>12349000</v>
      </c>
    </row>
    <row r="28" spans="1:12" x14ac:dyDescent="0.2">
      <c r="A28" t="s">
        <v>51</v>
      </c>
      <c r="B28" s="3"/>
      <c r="C28" s="63">
        <v>15350000</v>
      </c>
      <c r="D28" s="63">
        <v>15349000</v>
      </c>
      <c r="E28" s="25">
        <v>14990000</v>
      </c>
      <c r="F28" s="38">
        <v>15349000</v>
      </c>
      <c r="G28" s="38">
        <v>15349000</v>
      </c>
    </row>
    <row r="29" spans="1:12" x14ac:dyDescent="0.2">
      <c r="A29" t="s">
        <v>172</v>
      </c>
      <c r="B29" s="25"/>
      <c r="C29" s="52">
        <v>21890000</v>
      </c>
      <c r="D29" s="63">
        <v>21890000</v>
      </c>
      <c r="E29" s="25">
        <v>20490000</v>
      </c>
      <c r="F29" s="39">
        <v>21290000</v>
      </c>
      <c r="G29" s="39">
        <v>22990000</v>
      </c>
    </row>
    <row r="30" spans="1:12" x14ac:dyDescent="0.2">
      <c r="A30" t="s">
        <v>52</v>
      </c>
      <c r="B30" s="25"/>
      <c r="C30" s="63">
        <v>23990000</v>
      </c>
      <c r="D30" s="63">
        <v>23990000</v>
      </c>
      <c r="E30" s="25">
        <v>23490000</v>
      </c>
      <c r="F30" s="39">
        <v>23990000</v>
      </c>
      <c r="G30" s="39">
        <v>23990000</v>
      </c>
    </row>
    <row r="31" spans="1:12" x14ac:dyDescent="0.2">
      <c r="A31" t="s">
        <v>53</v>
      </c>
      <c r="B31" s="3"/>
      <c r="C31" s="53">
        <v>5290000</v>
      </c>
      <c r="D31" s="61">
        <v>5390000</v>
      </c>
      <c r="E31" s="25">
        <v>5590000</v>
      </c>
      <c r="F31" s="39">
        <v>5490000</v>
      </c>
      <c r="G31" s="39">
        <v>5590000</v>
      </c>
    </row>
    <row r="32" spans="1:12" x14ac:dyDescent="0.2">
      <c r="A32" t="s">
        <v>54</v>
      </c>
      <c r="B32" s="3"/>
      <c r="C32" s="53">
        <v>4590000</v>
      </c>
      <c r="D32" s="61">
        <v>4490000</v>
      </c>
      <c r="E32" s="25">
        <v>4490000</v>
      </c>
      <c r="F32" s="37">
        <v>4590000</v>
      </c>
      <c r="G32" s="37">
        <v>4590000</v>
      </c>
    </row>
    <row r="33" spans="1:7" x14ac:dyDescent="0.2">
      <c r="A33" t="s">
        <v>55</v>
      </c>
      <c r="B33" s="3"/>
      <c r="C33" s="53">
        <v>3390000</v>
      </c>
      <c r="D33" s="63">
        <v>3490000</v>
      </c>
      <c r="E33" s="25">
        <v>3490000</v>
      </c>
      <c r="F33" s="37">
        <v>3490000</v>
      </c>
      <c r="G33" s="37">
        <v>3490000</v>
      </c>
    </row>
    <row r="34" spans="1:7" x14ac:dyDescent="0.2">
      <c r="A34" t="s">
        <v>56</v>
      </c>
      <c r="B34" s="3"/>
      <c r="C34" s="39">
        <v>6790000</v>
      </c>
      <c r="D34" s="63">
        <v>6790000</v>
      </c>
      <c r="E34" s="25">
        <v>6590000</v>
      </c>
      <c r="F34" s="25">
        <v>6790000</v>
      </c>
      <c r="G34" s="39">
        <v>6690000</v>
      </c>
    </row>
    <row r="35" spans="1:7" x14ac:dyDescent="0.2">
      <c r="A35" t="s">
        <v>186</v>
      </c>
      <c r="B35" s="25"/>
      <c r="C35" s="52">
        <v>19690000</v>
      </c>
      <c r="D35" s="61">
        <v>19690000</v>
      </c>
      <c r="E35" s="36"/>
      <c r="F35" s="34">
        <v>19690000</v>
      </c>
      <c r="G35" s="39">
        <v>19690000</v>
      </c>
    </row>
    <row r="36" spans="1:7" x14ac:dyDescent="0.2">
      <c r="A36" t="s">
        <v>59</v>
      </c>
      <c r="B36" s="3"/>
      <c r="C36" s="53">
        <v>25190000</v>
      </c>
      <c r="D36" s="63">
        <v>25290000</v>
      </c>
      <c r="E36" s="36"/>
      <c r="F36" s="34">
        <v>25090000</v>
      </c>
      <c r="G36" s="39">
        <v>25190000</v>
      </c>
    </row>
    <row r="37" spans="1:7" x14ac:dyDescent="0.2">
      <c r="A37" t="s">
        <v>61</v>
      </c>
      <c r="B37" s="25"/>
      <c r="C37" s="63">
        <v>30390000</v>
      </c>
      <c r="D37" s="61">
        <v>29890000</v>
      </c>
      <c r="E37" s="36"/>
      <c r="F37" s="38">
        <v>29290000</v>
      </c>
      <c r="G37" s="39">
        <v>29290000</v>
      </c>
    </row>
    <row r="38" spans="1:7" x14ac:dyDescent="0.2">
      <c r="A38" t="s">
        <v>187</v>
      </c>
      <c r="B38" s="25"/>
      <c r="C38" s="52">
        <v>38090000</v>
      </c>
      <c r="D38" s="63">
        <v>37990000</v>
      </c>
      <c r="E38" s="36"/>
      <c r="F38" s="39">
        <v>38590000</v>
      </c>
      <c r="G38" s="39">
        <v>38290000</v>
      </c>
    </row>
    <row r="39" spans="1:7" x14ac:dyDescent="0.2">
      <c r="A39" t="s">
        <v>261</v>
      </c>
      <c r="B39" s="25"/>
      <c r="C39" s="63">
        <v>64990000</v>
      </c>
      <c r="D39" s="63">
        <v>64990000</v>
      </c>
      <c r="E39" s="36"/>
      <c r="F39" s="39"/>
      <c r="G39" s="39">
        <v>63990000</v>
      </c>
    </row>
    <row r="40" spans="1:7" x14ac:dyDescent="0.2">
      <c r="C40" s="59"/>
      <c r="D40" s="59"/>
    </row>
    <row r="41" spans="1:7" x14ac:dyDescent="0.2">
      <c r="C41" s="59"/>
      <c r="D41" s="59"/>
    </row>
    <row r="42" spans="1:7" x14ac:dyDescent="0.2">
      <c r="C42" s="59"/>
      <c r="D42" s="59"/>
    </row>
    <row r="43" spans="1:7" x14ac:dyDescent="0.2">
      <c r="C43" s="59"/>
      <c r="D43" s="59"/>
    </row>
    <row r="44" spans="1:7" x14ac:dyDescent="0.2">
      <c r="C44" s="59"/>
      <c r="D44" s="59"/>
    </row>
    <row r="45" spans="1:7" x14ac:dyDescent="0.2">
      <c r="C45" s="59"/>
      <c r="D45" s="59"/>
    </row>
    <row r="46" spans="1:7" x14ac:dyDescent="0.2">
      <c r="C46" s="59"/>
      <c r="D46" s="59"/>
    </row>
    <row r="47" spans="1:7" x14ac:dyDescent="0.2">
      <c r="C47" s="59"/>
      <c r="D47" s="59"/>
    </row>
    <row r="48" spans="1:7" x14ac:dyDescent="0.2">
      <c r="C48" s="59"/>
      <c r="D48" s="59"/>
    </row>
    <row r="49" spans="3:4" x14ac:dyDescent="0.2">
      <c r="C49" s="59"/>
      <c r="D49" s="59"/>
    </row>
    <row r="50" spans="3:4" x14ac:dyDescent="0.2">
      <c r="C50" s="59"/>
      <c r="D50" s="59"/>
    </row>
    <row r="51" spans="3:4" x14ac:dyDescent="0.2">
      <c r="C51" s="59"/>
      <c r="D51" s="59"/>
    </row>
    <row r="52" spans="3:4" x14ac:dyDescent="0.2">
      <c r="C52" s="59"/>
      <c r="D52" s="59"/>
    </row>
    <row r="53" spans="3:4" x14ac:dyDescent="0.2">
      <c r="C53" s="59"/>
      <c r="D53" s="59"/>
    </row>
    <row r="54" spans="3:4" x14ac:dyDescent="0.2">
      <c r="C54" s="59"/>
      <c r="D54" s="59"/>
    </row>
    <row r="55" spans="3:4" x14ac:dyDescent="0.2">
      <c r="C55" s="59"/>
      <c r="D55" s="59"/>
    </row>
    <row r="56" spans="3:4" x14ac:dyDescent="0.2">
      <c r="C56" s="59"/>
      <c r="D56" s="59"/>
    </row>
    <row r="57" spans="3:4" x14ac:dyDescent="0.2">
      <c r="C57" s="59"/>
      <c r="D57" s="59"/>
    </row>
    <row r="58" spans="3:4" x14ac:dyDescent="0.2">
      <c r="C58" s="59"/>
      <c r="D58" s="59"/>
    </row>
    <row r="59" spans="3:4" x14ac:dyDescent="0.2">
      <c r="C59" s="59"/>
      <c r="D59" s="59"/>
    </row>
    <row r="60" spans="3:4" x14ac:dyDescent="0.2">
      <c r="C60" s="59"/>
      <c r="D60" s="59"/>
    </row>
    <row r="61" spans="3:4" x14ac:dyDescent="0.2">
      <c r="C61" s="59"/>
      <c r="D61" s="59"/>
    </row>
    <row r="62" spans="3:4" x14ac:dyDescent="0.2">
      <c r="C62" s="59"/>
      <c r="D62" s="59"/>
    </row>
    <row r="63" spans="3:4" x14ac:dyDescent="0.2">
      <c r="C63" s="59"/>
      <c r="D63" s="59"/>
    </row>
    <row r="64" spans="3:4" x14ac:dyDescent="0.2">
      <c r="C64" s="59"/>
      <c r="D64" s="59"/>
    </row>
    <row r="65" spans="3:4" x14ac:dyDescent="0.2">
      <c r="C65" s="59"/>
      <c r="D65" s="59"/>
    </row>
    <row r="66" spans="3:4" x14ac:dyDescent="0.2">
      <c r="C66" s="59"/>
      <c r="D66" s="59"/>
    </row>
    <row r="67" spans="3:4" x14ac:dyDescent="0.2">
      <c r="C67" s="59"/>
      <c r="D67" s="59"/>
    </row>
    <row r="68" spans="3:4" x14ac:dyDescent="0.2">
      <c r="C68" s="59"/>
      <c r="D68" s="59"/>
    </row>
    <row r="69" spans="3:4" x14ac:dyDescent="0.2">
      <c r="C69" s="59"/>
      <c r="D69" s="59"/>
    </row>
    <row r="70" spans="3:4" x14ac:dyDescent="0.2">
      <c r="C70" s="59"/>
      <c r="D70" s="59"/>
    </row>
    <row r="71" spans="3:4" x14ac:dyDescent="0.2">
      <c r="C71" s="59"/>
      <c r="D71" s="59"/>
    </row>
    <row r="72" spans="3:4" x14ac:dyDescent="0.2">
      <c r="C72" s="59"/>
      <c r="D72" s="59"/>
    </row>
    <row r="73" spans="3:4" x14ac:dyDescent="0.2">
      <c r="C73" s="59"/>
      <c r="D73" s="59"/>
    </row>
    <row r="74" spans="3:4" x14ac:dyDescent="0.2">
      <c r="C74" s="59"/>
      <c r="D74" s="59"/>
    </row>
    <row r="75" spans="3:4" x14ac:dyDescent="0.2">
      <c r="C75" s="59"/>
      <c r="D75" s="59"/>
    </row>
    <row r="76" spans="3:4" x14ac:dyDescent="0.2">
      <c r="C76" s="59"/>
      <c r="D76" s="59"/>
    </row>
    <row r="77" spans="3:4" x14ac:dyDescent="0.2">
      <c r="C77" s="59"/>
      <c r="D77" s="59"/>
    </row>
    <row r="78" spans="3:4" x14ac:dyDescent="0.2">
      <c r="C78" s="59"/>
      <c r="D78" s="59"/>
    </row>
    <row r="79" spans="3:4" x14ac:dyDescent="0.2">
      <c r="C79" s="59"/>
      <c r="D79" s="59"/>
    </row>
    <row r="80" spans="3:4" x14ac:dyDescent="0.2">
      <c r="C80" s="59"/>
      <c r="D80" s="59"/>
    </row>
    <row r="81" spans="3:4" x14ac:dyDescent="0.2">
      <c r="C81" s="59"/>
      <c r="D81" s="59"/>
    </row>
    <row r="82" spans="3:4" x14ac:dyDescent="0.2">
      <c r="C82" s="59"/>
      <c r="D82" s="59"/>
    </row>
    <row r="83" spans="3:4" x14ac:dyDescent="0.2">
      <c r="C83" s="59"/>
      <c r="D83" s="59"/>
    </row>
    <row r="84" spans="3:4" x14ac:dyDescent="0.2">
      <c r="C84" s="59"/>
      <c r="D84" s="59"/>
    </row>
    <row r="85" spans="3:4" x14ac:dyDescent="0.2">
      <c r="C85" s="59"/>
      <c r="D85" s="59"/>
    </row>
    <row r="86" spans="3:4" x14ac:dyDescent="0.2">
      <c r="C86" s="59"/>
      <c r="D86" s="59"/>
    </row>
    <row r="87" spans="3:4" x14ac:dyDescent="0.2">
      <c r="C87" s="59"/>
      <c r="D87" s="59"/>
    </row>
    <row r="88" spans="3:4" x14ac:dyDescent="0.2">
      <c r="C88" s="59"/>
      <c r="D88" s="59"/>
    </row>
    <row r="89" spans="3:4" x14ac:dyDescent="0.2">
      <c r="C89" s="59"/>
      <c r="D89" s="59"/>
    </row>
    <row r="90" spans="3:4" x14ac:dyDescent="0.2">
      <c r="C90" s="59"/>
      <c r="D90" s="59"/>
    </row>
    <row r="91" spans="3:4" x14ac:dyDescent="0.2">
      <c r="C91" s="59"/>
      <c r="D91" s="59"/>
    </row>
    <row r="92" spans="3:4" x14ac:dyDescent="0.2">
      <c r="C92" s="59"/>
      <c r="D92" s="59"/>
    </row>
    <row r="93" spans="3:4" x14ac:dyDescent="0.2">
      <c r="C93" s="59"/>
      <c r="D93" s="59"/>
    </row>
    <row r="94" spans="3:4" x14ac:dyDescent="0.2">
      <c r="C94" s="59"/>
      <c r="D94" s="59"/>
    </row>
    <row r="95" spans="3:4" x14ac:dyDescent="0.2">
      <c r="C95" s="59"/>
      <c r="D95" s="59"/>
    </row>
    <row r="96" spans="3:4" x14ac:dyDescent="0.2">
      <c r="C96" s="59"/>
      <c r="D96" s="59"/>
    </row>
    <row r="97" spans="3:4" x14ac:dyDescent="0.2">
      <c r="C97" s="59"/>
      <c r="D97" s="59"/>
    </row>
    <row r="98" spans="3:4" x14ac:dyDescent="0.2">
      <c r="C98" s="59"/>
      <c r="D98" s="59"/>
    </row>
    <row r="99" spans="3:4" x14ac:dyDescent="0.2">
      <c r="C99" s="59"/>
      <c r="D99" s="59"/>
    </row>
    <row r="100" spans="3:4" x14ac:dyDescent="0.2">
      <c r="C100" s="59"/>
      <c r="D100" s="59"/>
    </row>
    <row r="101" spans="3:4" x14ac:dyDescent="0.2">
      <c r="C101" s="59"/>
      <c r="D101" s="59"/>
    </row>
    <row r="102" spans="3:4" x14ac:dyDescent="0.2">
      <c r="C102" s="59"/>
      <c r="D102" s="59"/>
    </row>
    <row r="103" spans="3:4" x14ac:dyDescent="0.2">
      <c r="C103" s="59"/>
      <c r="D103" s="59"/>
    </row>
    <row r="104" spans="3:4" x14ac:dyDescent="0.2">
      <c r="C104" s="59"/>
      <c r="D104" s="59"/>
    </row>
    <row r="105" spans="3:4" x14ac:dyDescent="0.2">
      <c r="C105" s="59"/>
      <c r="D105" s="59"/>
    </row>
    <row r="106" spans="3:4" x14ac:dyDescent="0.2">
      <c r="C106" s="59"/>
      <c r="D106" s="59"/>
    </row>
    <row r="107" spans="3:4" x14ac:dyDescent="0.2">
      <c r="C107" s="59"/>
      <c r="D107" s="59"/>
    </row>
    <row r="108" spans="3:4" x14ac:dyDescent="0.2">
      <c r="C108" s="59"/>
      <c r="D108" s="59"/>
    </row>
    <row r="109" spans="3:4" x14ac:dyDescent="0.2">
      <c r="C109" s="59"/>
      <c r="D109" s="59"/>
    </row>
    <row r="110" spans="3:4" x14ac:dyDescent="0.2">
      <c r="C110" s="59"/>
      <c r="D110" s="59"/>
    </row>
    <row r="111" spans="3:4" x14ac:dyDescent="0.2">
      <c r="C111" s="59"/>
      <c r="D111" s="59"/>
    </row>
    <row r="112" spans="3:4" x14ac:dyDescent="0.2">
      <c r="C112" s="59"/>
      <c r="D112" s="59"/>
    </row>
    <row r="113" spans="3:4" x14ac:dyDescent="0.2">
      <c r="C113" s="59"/>
      <c r="D113" s="59"/>
    </row>
    <row r="114" spans="3:4" x14ac:dyDescent="0.2">
      <c r="C114" s="59"/>
      <c r="D114" s="59"/>
    </row>
    <row r="115" spans="3:4" x14ac:dyDescent="0.2">
      <c r="C115" s="59"/>
      <c r="D115" s="59"/>
    </row>
    <row r="116" spans="3:4" x14ac:dyDescent="0.2">
      <c r="C116" s="59"/>
      <c r="D116" s="59"/>
    </row>
    <row r="117" spans="3:4" x14ac:dyDescent="0.2">
      <c r="C117" s="59"/>
      <c r="D117" s="59"/>
    </row>
    <row r="118" spans="3:4" x14ac:dyDescent="0.2">
      <c r="C118" s="59"/>
      <c r="D118" s="59"/>
    </row>
    <row r="119" spans="3:4" x14ac:dyDescent="0.2">
      <c r="C119" s="59"/>
      <c r="D119" s="59"/>
    </row>
    <row r="120" spans="3:4" x14ac:dyDescent="0.2">
      <c r="C120" s="59"/>
      <c r="D120" s="59"/>
    </row>
    <row r="121" spans="3:4" x14ac:dyDescent="0.2">
      <c r="C121" s="59"/>
      <c r="D121" s="59"/>
    </row>
    <row r="122" spans="3:4" x14ac:dyDescent="0.2">
      <c r="C122" s="59"/>
      <c r="D122" s="59"/>
    </row>
    <row r="123" spans="3:4" x14ac:dyDescent="0.2">
      <c r="C123" s="59"/>
      <c r="D123" s="59"/>
    </row>
    <row r="124" spans="3:4" x14ac:dyDescent="0.2">
      <c r="C124" s="59"/>
      <c r="D124" s="59"/>
    </row>
    <row r="125" spans="3:4" x14ac:dyDescent="0.2">
      <c r="C125" s="59"/>
      <c r="D125" s="59"/>
    </row>
    <row r="126" spans="3:4" x14ac:dyDescent="0.2">
      <c r="C126" s="59"/>
      <c r="D126" s="59"/>
    </row>
    <row r="127" spans="3:4" x14ac:dyDescent="0.2">
      <c r="C127" s="59"/>
      <c r="D127" s="59"/>
    </row>
    <row r="128" spans="3:4" x14ac:dyDescent="0.2">
      <c r="C128" s="59"/>
      <c r="D128" s="59"/>
    </row>
    <row r="129" spans="3:4" x14ac:dyDescent="0.2">
      <c r="C129" s="59"/>
      <c r="D129" s="59"/>
    </row>
    <row r="130" spans="3:4" x14ac:dyDescent="0.2">
      <c r="C130" s="59"/>
      <c r="D130" s="59"/>
    </row>
    <row r="131" spans="3:4" x14ac:dyDescent="0.2">
      <c r="C131" s="59"/>
      <c r="D131" s="59"/>
    </row>
    <row r="132" spans="3:4" x14ac:dyDescent="0.2">
      <c r="C132" s="59"/>
      <c r="D132" s="59"/>
    </row>
    <row r="133" spans="3:4" x14ac:dyDescent="0.2">
      <c r="C133" s="59"/>
      <c r="D133" s="59"/>
    </row>
    <row r="134" spans="3:4" x14ac:dyDescent="0.2">
      <c r="C134" s="59"/>
      <c r="D134" s="59"/>
    </row>
    <row r="135" spans="3:4" x14ac:dyDescent="0.2">
      <c r="C135" s="59"/>
      <c r="D135" s="59"/>
    </row>
    <row r="136" spans="3:4" x14ac:dyDescent="0.2">
      <c r="C136" s="59"/>
      <c r="D136" s="59"/>
    </row>
    <row r="137" spans="3:4" x14ac:dyDescent="0.2">
      <c r="C137" s="59"/>
      <c r="D137" s="59"/>
    </row>
    <row r="138" spans="3:4" x14ac:dyDescent="0.2">
      <c r="C138" s="59"/>
      <c r="D138" s="59"/>
    </row>
    <row r="139" spans="3:4" x14ac:dyDescent="0.2">
      <c r="C139" s="59"/>
      <c r="D139" s="59"/>
    </row>
    <row r="140" spans="3:4" x14ac:dyDescent="0.2">
      <c r="C140" s="59"/>
      <c r="D140" s="59"/>
    </row>
    <row r="141" spans="3:4" x14ac:dyDescent="0.2">
      <c r="C141" s="59"/>
      <c r="D141" s="59"/>
    </row>
    <row r="142" spans="3:4" x14ac:dyDescent="0.2">
      <c r="C142" s="59"/>
      <c r="D142" s="59"/>
    </row>
    <row r="143" spans="3:4" x14ac:dyDescent="0.2">
      <c r="C143" s="59"/>
      <c r="D143" s="59"/>
    </row>
    <row r="144" spans="3:4" x14ac:dyDescent="0.2">
      <c r="C144" s="59"/>
      <c r="D144" s="59"/>
    </row>
    <row r="145" spans="3:4" x14ac:dyDescent="0.2">
      <c r="C145" s="59"/>
      <c r="D145" s="59"/>
    </row>
    <row r="146" spans="3:4" x14ac:dyDescent="0.2">
      <c r="C146" s="59"/>
      <c r="D146" s="59"/>
    </row>
    <row r="147" spans="3:4" x14ac:dyDescent="0.2">
      <c r="C147" s="59"/>
      <c r="D147" s="59"/>
    </row>
    <row r="148" spans="3:4" x14ac:dyDescent="0.2">
      <c r="C148" s="59"/>
      <c r="D148" s="59"/>
    </row>
    <row r="149" spans="3:4" x14ac:dyDescent="0.2">
      <c r="C149" s="59"/>
      <c r="D149" s="59"/>
    </row>
    <row r="150" spans="3:4" x14ac:dyDescent="0.2">
      <c r="C150" s="59"/>
      <c r="D150" s="59"/>
    </row>
    <row r="151" spans="3:4" x14ac:dyDescent="0.2">
      <c r="C151" s="59"/>
      <c r="D151" s="59"/>
    </row>
    <row r="152" spans="3:4" x14ac:dyDescent="0.2">
      <c r="C152" s="59"/>
      <c r="D152" s="59"/>
    </row>
  </sheetData>
  <pageMargins left="0.7" right="0.7" top="0.75" bottom="0.75" header="0.3" footer="0.3"/>
  <pageSetup paperSize="9" orientation="portrait" horizontalDpi="0" verticalDpi="0"/>
  <legacyDrawing r:id="rId1"/>
</worksheet>
</file>

<file path=xl/worksheets/sheet8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100-000000000000}">
  <dimension ref="A1:L151"/>
  <sheetViews>
    <sheetView zoomScale="94" zoomScaleNormal="120" workbookViewId="0">
      <pane xSplit="2" ySplit="1" topLeftCell="C2" activePane="bottomRight" state="frozen"/>
      <selection pane="topRight" activeCell="C1" sqref="C1"/>
      <selection pane="bottomLeft" activeCell="A2" sqref="A2"/>
      <selection pane="bottomRight" activeCell="C1" sqref="C1"/>
    </sheetView>
  </sheetViews>
  <sheetFormatPr baseColWidth="10" defaultColWidth="11" defaultRowHeight="16" x14ac:dyDescent="0.2"/>
  <cols>
    <col min="1" max="1" width="27.5" bestFit="1" customWidth="1"/>
    <col min="2" max="2" width="0" hidden="1"/>
    <col min="3" max="6" width="10.1640625" bestFit="1" customWidth="1"/>
    <col min="7" max="7" width="13" customWidth="1"/>
    <col min="8" max="8" width="12.1640625" customWidth="1"/>
  </cols>
  <sheetData>
    <row r="1" spans="1:12" x14ac:dyDescent="0.2">
      <c r="B1" s="46" t="s">
        <v>0</v>
      </c>
      <c r="C1" s="80" t="s">
        <v>1</v>
      </c>
      <c r="D1" s="80" t="s">
        <v>2</v>
      </c>
      <c r="E1" s="81" t="s">
        <v>3</v>
      </c>
      <c r="F1" s="81" t="s">
        <v>4</v>
      </c>
      <c r="G1" s="81" t="s">
        <v>5</v>
      </c>
    </row>
    <row r="2" spans="1:12" x14ac:dyDescent="0.2">
      <c r="A2" t="s">
        <v>17</v>
      </c>
      <c r="B2" s="82"/>
      <c r="C2" s="67">
        <v>24990000</v>
      </c>
      <c r="D2" s="67">
        <v>24990000</v>
      </c>
      <c r="E2" s="71">
        <v>24490000</v>
      </c>
      <c r="F2" s="39">
        <v>24990000</v>
      </c>
      <c r="G2" s="39">
        <v>24990000</v>
      </c>
    </row>
    <row r="3" spans="1:12" x14ac:dyDescent="0.2">
      <c r="A3" t="s">
        <v>18</v>
      </c>
      <c r="B3" s="82"/>
      <c r="C3" s="75">
        <v>30990000</v>
      </c>
      <c r="D3" s="67">
        <v>31490000</v>
      </c>
      <c r="E3" s="34">
        <v>30490000</v>
      </c>
      <c r="F3" s="37">
        <v>31390000</v>
      </c>
      <c r="G3" s="37">
        <v>30690000</v>
      </c>
    </row>
    <row r="4" spans="1:12" x14ac:dyDescent="0.2">
      <c r="A4" t="s">
        <v>19</v>
      </c>
      <c r="B4" s="82"/>
      <c r="C4" s="67">
        <v>34990000</v>
      </c>
      <c r="D4" s="67">
        <v>34990000</v>
      </c>
      <c r="E4" s="71">
        <v>33990000</v>
      </c>
      <c r="F4" s="39">
        <v>34990000</v>
      </c>
      <c r="G4" s="39">
        <v>34790000</v>
      </c>
    </row>
    <row r="5" spans="1:12" x14ac:dyDescent="0.2">
      <c r="A5" t="s">
        <v>20</v>
      </c>
      <c r="B5" s="82"/>
      <c r="C5" s="67">
        <v>37990000</v>
      </c>
      <c r="D5" s="67">
        <v>37990000</v>
      </c>
      <c r="E5" s="34">
        <v>37490000</v>
      </c>
      <c r="F5" s="39">
        <v>37990000</v>
      </c>
      <c r="G5" s="39">
        <v>37990000</v>
      </c>
    </row>
    <row r="6" spans="1:12" x14ac:dyDescent="0.2">
      <c r="A6" t="s">
        <v>21</v>
      </c>
      <c r="B6" s="82"/>
      <c r="C6" s="66">
        <v>14990000</v>
      </c>
      <c r="D6" s="67">
        <v>14990000</v>
      </c>
      <c r="E6" s="25">
        <v>16990000</v>
      </c>
      <c r="F6" s="39">
        <v>14990000</v>
      </c>
      <c r="G6" s="39">
        <v>15290000</v>
      </c>
    </row>
    <row r="7" spans="1:12" x14ac:dyDescent="0.2">
      <c r="A7" t="s">
        <v>181</v>
      </c>
      <c r="B7" s="70"/>
      <c r="C7" s="73">
        <v>21290000</v>
      </c>
      <c r="D7" s="69">
        <v>21090000</v>
      </c>
      <c r="E7" s="34">
        <v>20990000</v>
      </c>
      <c r="F7" s="37">
        <v>21190000</v>
      </c>
      <c r="G7" s="39">
        <v>20990000</v>
      </c>
    </row>
    <row r="8" spans="1:12" x14ac:dyDescent="0.2">
      <c r="A8" t="s">
        <v>24</v>
      </c>
      <c r="B8" s="3"/>
      <c r="C8" s="52">
        <v>24990000</v>
      </c>
      <c r="D8" s="61">
        <v>24690000</v>
      </c>
      <c r="E8" s="39">
        <v>24490000</v>
      </c>
      <c r="F8" s="39">
        <v>24890000</v>
      </c>
      <c r="G8" s="37">
        <v>24590000</v>
      </c>
    </row>
    <row r="9" spans="1:12" x14ac:dyDescent="0.2">
      <c r="A9" t="s">
        <v>182</v>
      </c>
      <c r="B9" s="25"/>
      <c r="C9" s="39" t="s">
        <v>22</v>
      </c>
      <c r="D9" s="39" t="s">
        <v>22</v>
      </c>
      <c r="E9" s="39">
        <v>24290000</v>
      </c>
      <c r="F9" s="39">
        <v>25590000</v>
      </c>
      <c r="G9" s="39">
        <v>24990000</v>
      </c>
    </row>
    <row r="10" spans="1:12" x14ac:dyDescent="0.2">
      <c r="A10" t="s">
        <v>183</v>
      </c>
      <c r="B10" s="3"/>
      <c r="C10" s="53">
        <v>30390000</v>
      </c>
      <c r="D10" s="61">
        <v>30590000</v>
      </c>
      <c r="E10" s="25">
        <v>29990000</v>
      </c>
      <c r="F10" s="39">
        <v>30490000</v>
      </c>
      <c r="G10" s="39">
        <v>30390000</v>
      </c>
    </row>
    <row r="11" spans="1:12" x14ac:dyDescent="0.2">
      <c r="A11" t="s">
        <v>25</v>
      </c>
      <c r="B11" s="25"/>
      <c r="C11" s="52">
        <v>17290000</v>
      </c>
      <c r="D11" s="63">
        <v>16990000</v>
      </c>
      <c r="E11" s="25">
        <v>16990000</v>
      </c>
      <c r="F11" s="37">
        <v>16990000</v>
      </c>
      <c r="G11" s="39">
        <v>16590000</v>
      </c>
    </row>
    <row r="12" spans="1:12" x14ac:dyDescent="0.2">
      <c r="A12" t="s">
        <v>26</v>
      </c>
      <c r="B12" s="25"/>
      <c r="C12" s="52">
        <v>19590000</v>
      </c>
      <c r="D12" s="63" t="s">
        <v>22</v>
      </c>
      <c r="E12" s="25">
        <v>18490000</v>
      </c>
      <c r="F12" s="37">
        <v>17690000</v>
      </c>
      <c r="G12" s="39">
        <v>18490000</v>
      </c>
    </row>
    <row r="13" spans="1:12" x14ac:dyDescent="0.2">
      <c r="A13" t="s">
        <v>27</v>
      </c>
      <c r="B13" s="25"/>
      <c r="C13" s="52">
        <v>13890000</v>
      </c>
      <c r="D13" s="61">
        <v>13690000</v>
      </c>
      <c r="E13" s="34">
        <v>13690000</v>
      </c>
      <c r="F13" s="34">
        <v>13690000</v>
      </c>
      <c r="G13" s="39">
        <v>13490000</v>
      </c>
    </row>
    <row r="14" spans="1:12" x14ac:dyDescent="0.2">
      <c r="A14" t="s">
        <v>28</v>
      </c>
      <c r="B14" s="3"/>
      <c r="C14" s="53">
        <v>12390000</v>
      </c>
      <c r="D14" s="53">
        <v>12090000</v>
      </c>
      <c r="E14" s="34">
        <v>12290000</v>
      </c>
      <c r="F14" s="34">
        <v>12190000</v>
      </c>
      <c r="G14" s="39">
        <v>11890000</v>
      </c>
    </row>
    <row r="15" spans="1:12" x14ac:dyDescent="0.2">
      <c r="A15" t="s">
        <v>29</v>
      </c>
      <c r="B15" s="25"/>
      <c r="C15" s="53">
        <v>11790000</v>
      </c>
      <c r="D15" s="61">
        <v>13490000</v>
      </c>
      <c r="E15" s="25">
        <v>13290000</v>
      </c>
      <c r="F15" s="38">
        <v>11790000</v>
      </c>
      <c r="G15" s="39">
        <v>11590000</v>
      </c>
    </row>
    <row r="16" spans="1:12" x14ac:dyDescent="0.2">
      <c r="A16" t="s">
        <v>30</v>
      </c>
      <c r="B16" s="3"/>
      <c r="C16" s="53">
        <v>8890000</v>
      </c>
      <c r="D16" s="63">
        <v>9190000</v>
      </c>
      <c r="E16" s="25">
        <v>9190000</v>
      </c>
      <c r="F16" s="34">
        <v>9390000</v>
      </c>
      <c r="G16" s="39">
        <v>8990000</v>
      </c>
      <c r="H16" s="26"/>
      <c r="J16" t="s">
        <v>31</v>
      </c>
      <c r="K16" t="s">
        <v>38</v>
      </c>
      <c r="L16" t="b">
        <v>1</v>
      </c>
    </row>
    <row r="17" spans="1:12" x14ac:dyDescent="0.2">
      <c r="A17" t="s">
        <v>33</v>
      </c>
      <c r="B17" s="3"/>
      <c r="C17" s="53">
        <v>13690000</v>
      </c>
      <c r="D17" s="61">
        <v>15890000</v>
      </c>
      <c r="E17" s="25">
        <v>15590000</v>
      </c>
      <c r="F17" s="34">
        <v>16390000</v>
      </c>
      <c r="G17" s="37">
        <v>15690000</v>
      </c>
      <c r="H17" s="26"/>
      <c r="J17" t="s">
        <v>2</v>
      </c>
      <c r="K17" t="s">
        <v>34</v>
      </c>
      <c r="L17" t="b">
        <v>1</v>
      </c>
    </row>
    <row r="18" spans="1:12" x14ac:dyDescent="0.2">
      <c r="A18" t="s">
        <v>37</v>
      </c>
      <c r="B18" s="25"/>
      <c r="C18" s="53">
        <v>19490000</v>
      </c>
      <c r="D18" s="63">
        <v>21590000</v>
      </c>
      <c r="E18" s="25">
        <v>20490000</v>
      </c>
      <c r="F18" s="38">
        <v>19490000</v>
      </c>
      <c r="G18" s="38">
        <v>19990000</v>
      </c>
      <c r="H18" s="26"/>
      <c r="J18" t="s">
        <v>3</v>
      </c>
      <c r="K18" t="s">
        <v>36</v>
      </c>
      <c r="L18" t="b">
        <v>1</v>
      </c>
    </row>
    <row r="19" spans="1:12" x14ac:dyDescent="0.2">
      <c r="A19" t="s">
        <v>184</v>
      </c>
      <c r="B19" s="25"/>
      <c r="C19" s="52">
        <v>27990000</v>
      </c>
      <c r="D19" s="63">
        <v>27990000</v>
      </c>
      <c r="E19" s="25" t="s">
        <v>22</v>
      </c>
      <c r="F19" s="34">
        <v>28290000</v>
      </c>
      <c r="G19" s="38">
        <v>27990000</v>
      </c>
      <c r="J19" t="s">
        <v>4</v>
      </c>
      <c r="K19" t="s">
        <v>32</v>
      </c>
      <c r="L19" t="b">
        <v>0</v>
      </c>
    </row>
    <row r="20" spans="1:12" x14ac:dyDescent="0.2">
      <c r="A20" t="s">
        <v>185</v>
      </c>
      <c r="B20" s="3"/>
      <c r="C20" s="25" t="s">
        <v>22</v>
      </c>
      <c r="D20" s="63">
        <v>36290000</v>
      </c>
      <c r="E20" s="25">
        <v>34490000</v>
      </c>
      <c r="F20" s="34">
        <v>36490000</v>
      </c>
      <c r="G20" s="39">
        <v>33690000</v>
      </c>
      <c r="J20" t="s">
        <v>41</v>
      </c>
      <c r="K20" t="s">
        <v>42</v>
      </c>
      <c r="L20" t="b">
        <v>1</v>
      </c>
    </row>
    <row r="21" spans="1:12" x14ac:dyDescent="0.2">
      <c r="A21" t="s">
        <v>44</v>
      </c>
      <c r="B21" s="25"/>
      <c r="C21" s="61">
        <v>6890000</v>
      </c>
      <c r="D21" s="61">
        <v>6690000</v>
      </c>
      <c r="E21" s="25">
        <v>6690000</v>
      </c>
      <c r="F21" s="34">
        <v>6790000</v>
      </c>
      <c r="G21" s="34">
        <v>6690000</v>
      </c>
    </row>
    <row r="22" spans="1:12" x14ac:dyDescent="0.2">
      <c r="A22" t="s">
        <v>45</v>
      </c>
      <c r="B22" s="25"/>
      <c r="C22" s="63">
        <v>8490000</v>
      </c>
      <c r="D22" s="63">
        <v>8490000</v>
      </c>
      <c r="E22" s="25">
        <v>8190000</v>
      </c>
      <c r="F22" s="38">
        <v>8490000</v>
      </c>
      <c r="G22" s="38">
        <v>8490000</v>
      </c>
    </row>
    <row r="23" spans="1:12" x14ac:dyDescent="0.2">
      <c r="A23" t="s">
        <v>46</v>
      </c>
      <c r="B23" s="25"/>
      <c r="C23" s="61">
        <v>7650000</v>
      </c>
      <c r="D23" s="63">
        <v>7849000</v>
      </c>
      <c r="E23" s="25">
        <v>7690000</v>
      </c>
      <c r="F23" s="38">
        <v>7840000</v>
      </c>
      <c r="G23" s="38">
        <v>7690000</v>
      </c>
    </row>
    <row r="24" spans="1:12" x14ac:dyDescent="0.2">
      <c r="A24" t="s">
        <v>47</v>
      </c>
      <c r="B24" s="25"/>
      <c r="C24" s="51" t="s">
        <v>22</v>
      </c>
      <c r="D24" s="63">
        <v>9350000</v>
      </c>
      <c r="E24" s="25">
        <v>8990000</v>
      </c>
      <c r="F24" s="38">
        <v>9340000</v>
      </c>
      <c r="G24" s="38">
        <v>9290000</v>
      </c>
    </row>
    <row r="25" spans="1:12" x14ac:dyDescent="0.2">
      <c r="A25" t="s">
        <v>48</v>
      </c>
      <c r="B25" s="3"/>
      <c r="C25" s="63">
        <v>11490000</v>
      </c>
      <c r="D25" s="63">
        <v>11490000</v>
      </c>
      <c r="E25" s="25">
        <v>11290000</v>
      </c>
      <c r="F25" s="38">
        <v>11490000</v>
      </c>
      <c r="G25" s="38">
        <v>11390000</v>
      </c>
    </row>
    <row r="26" spans="1:12" x14ac:dyDescent="0.2">
      <c r="A26" t="s">
        <v>49</v>
      </c>
      <c r="B26" s="3"/>
      <c r="C26" s="63">
        <v>14490000</v>
      </c>
      <c r="D26" s="63">
        <v>14490000</v>
      </c>
      <c r="E26" s="25">
        <v>14190000</v>
      </c>
      <c r="F26" s="38">
        <v>14490000</v>
      </c>
      <c r="G26" s="34">
        <v>14390000</v>
      </c>
    </row>
    <row r="27" spans="1:12" x14ac:dyDescent="0.2">
      <c r="A27" t="s">
        <v>50</v>
      </c>
      <c r="B27" s="3"/>
      <c r="C27" s="63">
        <v>12350000</v>
      </c>
      <c r="D27" s="63">
        <v>12350000</v>
      </c>
      <c r="E27" s="25">
        <v>12190000</v>
      </c>
      <c r="F27" s="34">
        <v>11990000</v>
      </c>
      <c r="G27" s="34">
        <v>11990000</v>
      </c>
    </row>
    <row r="28" spans="1:12" x14ac:dyDescent="0.2">
      <c r="A28" t="s">
        <v>51</v>
      </c>
      <c r="B28" s="3"/>
      <c r="C28" s="63">
        <v>15350000</v>
      </c>
      <c r="D28" s="63">
        <v>15350000</v>
      </c>
      <c r="E28" s="25">
        <v>14990000</v>
      </c>
      <c r="F28" s="38">
        <v>15349000</v>
      </c>
      <c r="G28" s="34">
        <v>15290000</v>
      </c>
    </row>
    <row r="29" spans="1:12" x14ac:dyDescent="0.2">
      <c r="A29" t="s">
        <v>52</v>
      </c>
      <c r="B29" s="25"/>
      <c r="C29" s="63">
        <v>23990000</v>
      </c>
      <c r="D29" s="61">
        <v>23790000</v>
      </c>
      <c r="E29" s="25">
        <v>23490000</v>
      </c>
      <c r="F29" s="39">
        <v>23990000</v>
      </c>
      <c r="G29" s="39">
        <v>23990000</v>
      </c>
    </row>
    <row r="30" spans="1:12" x14ac:dyDescent="0.2">
      <c r="A30" t="s">
        <v>53</v>
      </c>
      <c r="B30" s="3"/>
      <c r="C30" s="52">
        <v>5290000</v>
      </c>
      <c r="D30" s="63">
        <v>5390000</v>
      </c>
      <c r="E30" s="25">
        <v>5590000</v>
      </c>
      <c r="F30" s="39">
        <v>5490000</v>
      </c>
      <c r="G30" s="39">
        <v>5590000</v>
      </c>
    </row>
    <row r="31" spans="1:12" x14ac:dyDescent="0.2">
      <c r="A31" t="s">
        <v>54</v>
      </c>
      <c r="B31" s="3"/>
      <c r="C31" s="53">
        <v>4890000</v>
      </c>
      <c r="D31" s="61">
        <v>4490000</v>
      </c>
      <c r="E31" s="25">
        <v>4490000</v>
      </c>
      <c r="F31" s="37">
        <v>4590000</v>
      </c>
      <c r="G31" s="39">
        <v>4550000</v>
      </c>
    </row>
    <row r="32" spans="1:12" x14ac:dyDescent="0.2">
      <c r="A32" t="s">
        <v>55</v>
      </c>
      <c r="B32" s="3"/>
      <c r="C32" s="53">
        <v>3690000</v>
      </c>
      <c r="D32" s="63">
        <v>3390000</v>
      </c>
      <c r="E32" s="34">
        <v>3390000</v>
      </c>
      <c r="F32" s="37">
        <v>3490000</v>
      </c>
      <c r="G32" s="37">
        <v>3390000</v>
      </c>
    </row>
    <row r="33" spans="1:7" x14ac:dyDescent="0.2">
      <c r="A33" t="s">
        <v>56</v>
      </c>
      <c r="B33" s="3"/>
      <c r="C33" s="39">
        <v>6790000</v>
      </c>
      <c r="D33" s="63">
        <v>6790000</v>
      </c>
      <c r="E33" s="34">
        <v>6490000</v>
      </c>
      <c r="F33" s="25">
        <v>6790000</v>
      </c>
      <c r="G33" s="39">
        <v>6650000</v>
      </c>
    </row>
    <row r="34" spans="1:7" x14ac:dyDescent="0.2">
      <c r="A34" t="s">
        <v>186</v>
      </c>
      <c r="B34" s="25"/>
      <c r="C34" s="53">
        <v>19890000</v>
      </c>
      <c r="D34" s="61">
        <v>19790000</v>
      </c>
      <c r="E34" s="36"/>
      <c r="F34" s="34">
        <v>19690000</v>
      </c>
      <c r="G34" s="37">
        <v>18990000</v>
      </c>
    </row>
    <row r="35" spans="1:7" x14ac:dyDescent="0.2">
      <c r="A35" t="s">
        <v>59</v>
      </c>
      <c r="B35" s="3"/>
      <c r="C35" s="53">
        <v>24990000</v>
      </c>
      <c r="D35" s="61">
        <v>25190000</v>
      </c>
      <c r="E35" s="36"/>
      <c r="F35" s="34">
        <v>25090000</v>
      </c>
      <c r="G35" s="39">
        <v>25190000</v>
      </c>
    </row>
    <row r="36" spans="1:7" x14ac:dyDescent="0.2">
      <c r="A36" t="s">
        <v>61</v>
      </c>
      <c r="B36" s="25"/>
      <c r="C36" s="61">
        <v>29690000</v>
      </c>
      <c r="D36" s="63">
        <v>29890000</v>
      </c>
      <c r="E36" s="36"/>
      <c r="F36" s="38">
        <v>29290000</v>
      </c>
      <c r="G36" s="39">
        <v>29690000</v>
      </c>
    </row>
    <row r="37" spans="1:7" x14ac:dyDescent="0.2">
      <c r="A37" t="s">
        <v>187</v>
      </c>
      <c r="B37" s="25"/>
      <c r="C37" s="52">
        <v>38090000</v>
      </c>
      <c r="D37" s="63">
        <v>37990000</v>
      </c>
      <c r="E37" s="36"/>
      <c r="F37" s="39">
        <v>38590000</v>
      </c>
      <c r="G37" s="39">
        <v>38390000</v>
      </c>
    </row>
    <row r="38" spans="1:7" x14ac:dyDescent="0.2">
      <c r="A38" t="s">
        <v>261</v>
      </c>
      <c r="B38" s="25"/>
      <c r="C38" s="63">
        <v>64990000</v>
      </c>
      <c r="D38" s="63">
        <v>64990000</v>
      </c>
      <c r="E38" s="36"/>
      <c r="F38" s="39"/>
      <c r="G38" s="39">
        <v>63990000</v>
      </c>
    </row>
    <row r="39" spans="1:7" x14ac:dyDescent="0.2">
      <c r="C39" s="59"/>
      <c r="D39" s="59"/>
    </row>
    <row r="40" spans="1:7" x14ac:dyDescent="0.2">
      <c r="C40" s="59"/>
      <c r="D40" s="59"/>
    </row>
    <row r="41" spans="1:7" x14ac:dyDescent="0.2">
      <c r="C41" s="59"/>
      <c r="D41" s="59"/>
    </row>
    <row r="42" spans="1:7" x14ac:dyDescent="0.2">
      <c r="C42" s="59"/>
      <c r="D42" s="59"/>
    </row>
    <row r="43" spans="1:7" x14ac:dyDescent="0.2">
      <c r="C43" s="59"/>
      <c r="D43" s="59"/>
    </row>
    <row r="44" spans="1:7" x14ac:dyDescent="0.2">
      <c r="C44" s="59"/>
      <c r="D44" s="59"/>
    </row>
    <row r="45" spans="1:7" x14ac:dyDescent="0.2">
      <c r="C45" s="59"/>
      <c r="D45" s="59"/>
    </row>
    <row r="46" spans="1:7" x14ac:dyDescent="0.2">
      <c r="C46" s="59"/>
      <c r="D46" s="59"/>
    </row>
    <row r="47" spans="1:7" x14ac:dyDescent="0.2">
      <c r="C47" s="59"/>
      <c r="D47" s="59"/>
    </row>
    <row r="48" spans="1:7" x14ac:dyDescent="0.2">
      <c r="C48" s="59"/>
      <c r="D48" s="59"/>
    </row>
    <row r="49" spans="3:4" x14ac:dyDescent="0.2">
      <c r="C49" s="59"/>
      <c r="D49" s="59"/>
    </row>
    <row r="50" spans="3:4" x14ac:dyDescent="0.2">
      <c r="C50" s="59"/>
      <c r="D50" s="59"/>
    </row>
    <row r="51" spans="3:4" x14ac:dyDescent="0.2">
      <c r="C51" s="59"/>
      <c r="D51" s="59"/>
    </row>
    <row r="52" spans="3:4" x14ac:dyDescent="0.2">
      <c r="C52" s="59"/>
      <c r="D52" s="59"/>
    </row>
    <row r="53" spans="3:4" x14ac:dyDescent="0.2">
      <c r="C53" s="59"/>
      <c r="D53" s="59"/>
    </row>
    <row r="54" spans="3:4" x14ac:dyDescent="0.2">
      <c r="C54" s="59"/>
      <c r="D54" s="59"/>
    </row>
    <row r="55" spans="3:4" x14ac:dyDescent="0.2">
      <c r="C55" s="59"/>
      <c r="D55" s="59"/>
    </row>
    <row r="56" spans="3:4" x14ac:dyDescent="0.2">
      <c r="C56" s="59"/>
      <c r="D56" s="59"/>
    </row>
    <row r="57" spans="3:4" x14ac:dyDescent="0.2">
      <c r="C57" s="59"/>
      <c r="D57" s="59"/>
    </row>
    <row r="58" spans="3:4" x14ac:dyDescent="0.2">
      <c r="C58" s="59"/>
      <c r="D58" s="59"/>
    </row>
    <row r="59" spans="3:4" x14ac:dyDescent="0.2">
      <c r="C59" s="59"/>
      <c r="D59" s="59"/>
    </row>
    <row r="60" spans="3:4" x14ac:dyDescent="0.2">
      <c r="C60" s="59"/>
      <c r="D60" s="59"/>
    </row>
    <row r="61" spans="3:4" x14ac:dyDescent="0.2">
      <c r="C61" s="59"/>
      <c r="D61" s="59"/>
    </row>
    <row r="62" spans="3:4" x14ac:dyDescent="0.2">
      <c r="C62" s="59"/>
      <c r="D62" s="59"/>
    </row>
    <row r="63" spans="3:4" x14ac:dyDescent="0.2">
      <c r="C63" s="59"/>
      <c r="D63" s="59"/>
    </row>
    <row r="64" spans="3:4" x14ac:dyDescent="0.2">
      <c r="C64" s="59"/>
      <c r="D64" s="59"/>
    </row>
    <row r="65" spans="3:4" x14ac:dyDescent="0.2">
      <c r="C65" s="59"/>
      <c r="D65" s="59"/>
    </row>
    <row r="66" spans="3:4" x14ac:dyDescent="0.2">
      <c r="C66" s="59"/>
      <c r="D66" s="59"/>
    </row>
    <row r="67" spans="3:4" x14ac:dyDescent="0.2">
      <c r="C67" s="59"/>
      <c r="D67" s="59"/>
    </row>
    <row r="68" spans="3:4" x14ac:dyDescent="0.2">
      <c r="C68" s="59"/>
      <c r="D68" s="59"/>
    </row>
    <row r="69" spans="3:4" x14ac:dyDescent="0.2">
      <c r="C69" s="59"/>
      <c r="D69" s="59"/>
    </row>
    <row r="70" spans="3:4" x14ac:dyDescent="0.2">
      <c r="C70" s="59"/>
      <c r="D70" s="59"/>
    </row>
    <row r="71" spans="3:4" x14ac:dyDescent="0.2">
      <c r="C71" s="59"/>
      <c r="D71" s="59"/>
    </row>
    <row r="72" spans="3:4" x14ac:dyDescent="0.2">
      <c r="C72" s="59"/>
      <c r="D72" s="59"/>
    </row>
    <row r="73" spans="3:4" x14ac:dyDescent="0.2">
      <c r="C73" s="59"/>
      <c r="D73" s="59"/>
    </row>
    <row r="74" spans="3:4" x14ac:dyDescent="0.2">
      <c r="C74" s="59"/>
      <c r="D74" s="59"/>
    </row>
    <row r="75" spans="3:4" x14ac:dyDescent="0.2">
      <c r="C75" s="59"/>
      <c r="D75" s="59"/>
    </row>
    <row r="76" spans="3:4" x14ac:dyDescent="0.2">
      <c r="C76" s="59"/>
      <c r="D76" s="59"/>
    </row>
    <row r="77" spans="3:4" x14ac:dyDescent="0.2">
      <c r="C77" s="59"/>
      <c r="D77" s="59"/>
    </row>
    <row r="78" spans="3:4" x14ac:dyDescent="0.2">
      <c r="C78" s="59"/>
      <c r="D78" s="59"/>
    </row>
    <row r="79" spans="3:4" x14ac:dyDescent="0.2">
      <c r="C79" s="59"/>
      <c r="D79" s="59"/>
    </row>
    <row r="80" spans="3:4" x14ac:dyDescent="0.2">
      <c r="C80" s="59"/>
      <c r="D80" s="59"/>
    </row>
    <row r="81" spans="3:4" x14ac:dyDescent="0.2">
      <c r="C81" s="59"/>
      <c r="D81" s="59"/>
    </row>
    <row r="82" spans="3:4" x14ac:dyDescent="0.2">
      <c r="C82" s="59"/>
      <c r="D82" s="59"/>
    </row>
    <row r="83" spans="3:4" x14ac:dyDescent="0.2">
      <c r="C83" s="59"/>
      <c r="D83" s="59"/>
    </row>
    <row r="84" spans="3:4" x14ac:dyDescent="0.2">
      <c r="C84" s="59"/>
      <c r="D84" s="59"/>
    </row>
    <row r="85" spans="3:4" x14ac:dyDescent="0.2">
      <c r="C85" s="59"/>
      <c r="D85" s="59"/>
    </row>
    <row r="86" spans="3:4" x14ac:dyDescent="0.2">
      <c r="C86" s="59"/>
      <c r="D86" s="59"/>
    </row>
    <row r="87" spans="3:4" x14ac:dyDescent="0.2">
      <c r="C87" s="59"/>
      <c r="D87" s="59"/>
    </row>
    <row r="88" spans="3:4" x14ac:dyDescent="0.2">
      <c r="C88" s="59"/>
      <c r="D88" s="59"/>
    </row>
    <row r="89" spans="3:4" x14ac:dyDescent="0.2">
      <c r="C89" s="59"/>
      <c r="D89" s="59"/>
    </row>
    <row r="90" spans="3:4" x14ac:dyDescent="0.2">
      <c r="C90" s="59"/>
      <c r="D90" s="59"/>
    </row>
    <row r="91" spans="3:4" x14ac:dyDescent="0.2">
      <c r="C91" s="59"/>
      <c r="D91" s="59"/>
    </row>
    <row r="92" spans="3:4" x14ac:dyDescent="0.2">
      <c r="C92" s="59"/>
      <c r="D92" s="59"/>
    </row>
    <row r="93" spans="3:4" x14ac:dyDescent="0.2">
      <c r="C93" s="59"/>
      <c r="D93" s="59"/>
    </row>
    <row r="94" spans="3:4" x14ac:dyDescent="0.2">
      <c r="C94" s="59"/>
      <c r="D94" s="59"/>
    </row>
    <row r="95" spans="3:4" x14ac:dyDescent="0.2">
      <c r="C95" s="59"/>
      <c r="D95" s="59"/>
    </row>
    <row r="96" spans="3:4" x14ac:dyDescent="0.2">
      <c r="C96" s="59"/>
      <c r="D96" s="59"/>
    </row>
    <row r="97" spans="3:4" x14ac:dyDescent="0.2">
      <c r="C97" s="59"/>
      <c r="D97" s="59"/>
    </row>
    <row r="98" spans="3:4" x14ac:dyDescent="0.2">
      <c r="C98" s="59"/>
      <c r="D98" s="59"/>
    </row>
    <row r="99" spans="3:4" x14ac:dyDescent="0.2">
      <c r="C99" s="59"/>
      <c r="D99" s="59"/>
    </row>
    <row r="100" spans="3:4" x14ac:dyDescent="0.2">
      <c r="C100" s="59"/>
      <c r="D100" s="59"/>
    </row>
    <row r="101" spans="3:4" x14ac:dyDescent="0.2">
      <c r="C101" s="59"/>
      <c r="D101" s="59"/>
    </row>
    <row r="102" spans="3:4" x14ac:dyDescent="0.2">
      <c r="C102" s="59"/>
      <c r="D102" s="59"/>
    </row>
    <row r="103" spans="3:4" x14ac:dyDescent="0.2">
      <c r="C103" s="59"/>
      <c r="D103" s="59"/>
    </row>
    <row r="104" spans="3:4" x14ac:dyDescent="0.2">
      <c r="C104" s="59"/>
      <c r="D104" s="59"/>
    </row>
    <row r="105" spans="3:4" x14ac:dyDescent="0.2">
      <c r="C105" s="59"/>
      <c r="D105" s="59"/>
    </row>
    <row r="106" spans="3:4" x14ac:dyDescent="0.2">
      <c r="C106" s="59"/>
      <c r="D106" s="59"/>
    </row>
    <row r="107" spans="3:4" x14ac:dyDescent="0.2">
      <c r="C107" s="59"/>
      <c r="D107" s="59"/>
    </row>
    <row r="108" spans="3:4" x14ac:dyDescent="0.2">
      <c r="C108" s="59"/>
      <c r="D108" s="59"/>
    </row>
    <row r="109" spans="3:4" x14ac:dyDescent="0.2">
      <c r="C109" s="59"/>
      <c r="D109" s="59"/>
    </row>
    <row r="110" spans="3:4" x14ac:dyDescent="0.2">
      <c r="C110" s="59"/>
      <c r="D110" s="59"/>
    </row>
    <row r="111" spans="3:4" x14ac:dyDescent="0.2">
      <c r="C111" s="59"/>
      <c r="D111" s="59"/>
    </row>
    <row r="112" spans="3:4" x14ac:dyDescent="0.2">
      <c r="C112" s="59"/>
      <c r="D112" s="59"/>
    </row>
    <row r="113" spans="3:4" x14ac:dyDescent="0.2">
      <c r="C113" s="59"/>
      <c r="D113" s="59"/>
    </row>
    <row r="114" spans="3:4" x14ac:dyDescent="0.2">
      <c r="C114" s="59"/>
      <c r="D114" s="59"/>
    </row>
    <row r="115" spans="3:4" x14ac:dyDescent="0.2">
      <c r="C115" s="59"/>
      <c r="D115" s="59"/>
    </row>
    <row r="116" spans="3:4" x14ac:dyDescent="0.2">
      <c r="C116" s="59"/>
      <c r="D116" s="59"/>
    </row>
    <row r="117" spans="3:4" x14ac:dyDescent="0.2">
      <c r="C117" s="59"/>
      <c r="D117" s="59"/>
    </row>
    <row r="118" spans="3:4" x14ac:dyDescent="0.2">
      <c r="C118" s="59"/>
      <c r="D118" s="59"/>
    </row>
    <row r="119" spans="3:4" x14ac:dyDescent="0.2">
      <c r="C119" s="59"/>
      <c r="D119" s="59"/>
    </row>
    <row r="120" spans="3:4" x14ac:dyDescent="0.2">
      <c r="C120" s="59"/>
      <c r="D120" s="59"/>
    </row>
    <row r="121" spans="3:4" x14ac:dyDescent="0.2">
      <c r="C121" s="59"/>
      <c r="D121" s="59"/>
    </row>
    <row r="122" spans="3:4" x14ac:dyDescent="0.2">
      <c r="C122" s="59"/>
      <c r="D122" s="59"/>
    </row>
    <row r="123" spans="3:4" x14ac:dyDescent="0.2">
      <c r="C123" s="59"/>
      <c r="D123" s="59"/>
    </row>
    <row r="124" spans="3:4" x14ac:dyDescent="0.2">
      <c r="C124" s="59"/>
      <c r="D124" s="59"/>
    </row>
    <row r="125" spans="3:4" x14ac:dyDescent="0.2">
      <c r="C125" s="59"/>
      <c r="D125" s="59"/>
    </row>
    <row r="126" spans="3:4" x14ac:dyDescent="0.2">
      <c r="C126" s="59"/>
      <c r="D126" s="59"/>
    </row>
    <row r="127" spans="3:4" x14ac:dyDescent="0.2">
      <c r="C127" s="59"/>
      <c r="D127" s="59"/>
    </row>
    <row r="128" spans="3:4" x14ac:dyDescent="0.2">
      <c r="C128" s="59"/>
      <c r="D128" s="59"/>
    </row>
    <row r="129" spans="3:4" x14ac:dyDescent="0.2">
      <c r="C129" s="59"/>
      <c r="D129" s="59"/>
    </row>
    <row r="130" spans="3:4" x14ac:dyDescent="0.2">
      <c r="C130" s="59"/>
      <c r="D130" s="59"/>
    </row>
    <row r="131" spans="3:4" x14ac:dyDescent="0.2">
      <c r="C131" s="59"/>
      <c r="D131" s="59"/>
    </row>
    <row r="132" spans="3:4" x14ac:dyDescent="0.2">
      <c r="C132" s="59"/>
      <c r="D132" s="59"/>
    </row>
    <row r="133" spans="3:4" x14ac:dyDescent="0.2">
      <c r="C133" s="59"/>
      <c r="D133" s="59"/>
    </row>
    <row r="134" spans="3:4" x14ac:dyDescent="0.2">
      <c r="C134" s="59"/>
      <c r="D134" s="59"/>
    </row>
    <row r="135" spans="3:4" x14ac:dyDescent="0.2">
      <c r="C135" s="59"/>
      <c r="D135" s="59"/>
    </row>
    <row r="136" spans="3:4" x14ac:dyDescent="0.2">
      <c r="C136" s="59"/>
      <c r="D136" s="59"/>
    </row>
    <row r="137" spans="3:4" x14ac:dyDescent="0.2">
      <c r="C137" s="59"/>
      <c r="D137" s="59"/>
    </row>
    <row r="138" spans="3:4" x14ac:dyDescent="0.2">
      <c r="C138" s="59"/>
      <c r="D138" s="59"/>
    </row>
    <row r="139" spans="3:4" x14ac:dyDescent="0.2">
      <c r="C139" s="59"/>
      <c r="D139" s="59"/>
    </row>
    <row r="140" spans="3:4" x14ac:dyDescent="0.2">
      <c r="C140" s="59"/>
      <c r="D140" s="59"/>
    </row>
    <row r="141" spans="3:4" x14ac:dyDescent="0.2">
      <c r="C141" s="59"/>
      <c r="D141" s="59"/>
    </row>
    <row r="142" spans="3:4" x14ac:dyDescent="0.2">
      <c r="C142" s="59"/>
      <c r="D142" s="59"/>
    </row>
    <row r="143" spans="3:4" x14ac:dyDescent="0.2">
      <c r="C143" s="59"/>
      <c r="D143" s="59"/>
    </row>
    <row r="144" spans="3:4" x14ac:dyDescent="0.2">
      <c r="C144" s="59"/>
      <c r="D144" s="59"/>
    </row>
    <row r="145" spans="3:4" x14ac:dyDescent="0.2">
      <c r="C145" s="59"/>
      <c r="D145" s="59"/>
    </row>
    <row r="146" spans="3:4" x14ac:dyDescent="0.2">
      <c r="C146" s="59"/>
      <c r="D146" s="59"/>
    </row>
    <row r="147" spans="3:4" x14ac:dyDescent="0.2">
      <c r="C147" s="59"/>
      <c r="D147" s="59"/>
    </row>
    <row r="148" spans="3:4" x14ac:dyDescent="0.2">
      <c r="C148" s="59"/>
      <c r="D148" s="59"/>
    </row>
    <row r="149" spans="3:4" x14ac:dyDescent="0.2">
      <c r="C149" s="59"/>
      <c r="D149" s="59"/>
    </row>
    <row r="150" spans="3:4" x14ac:dyDescent="0.2">
      <c r="C150" s="59"/>
      <c r="D150" s="59"/>
    </row>
    <row r="151" spans="3:4" x14ac:dyDescent="0.2">
      <c r="C151" s="59"/>
      <c r="D151" s="59"/>
    </row>
  </sheetData>
  <pageMargins left="0.7" right="0.7" top="0.75" bottom="0.75" header="0.3" footer="0.3"/>
  <pageSetup paperSize="9" orientation="portrait" horizontalDpi="0" verticalDpi="0"/>
  <legacyDrawing r:id="rId1"/>
</worksheet>
</file>

<file path=xl/worksheets/sheet8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200-000000000000}">
  <dimension ref="A1:L151"/>
  <sheetViews>
    <sheetView zoomScale="93" zoomScaleNormal="120" workbookViewId="0">
      <pane xSplit="2" ySplit="1" topLeftCell="C2" activePane="bottomRight" state="frozen"/>
      <selection pane="topRight" activeCell="C1" sqref="C1"/>
      <selection pane="bottomLeft" activeCell="A2" sqref="A2"/>
      <selection pane="bottomRight" activeCell="C1" sqref="C1"/>
    </sheetView>
  </sheetViews>
  <sheetFormatPr baseColWidth="10" defaultColWidth="11" defaultRowHeight="16" x14ac:dyDescent="0.2"/>
  <cols>
    <col min="1" max="1" width="27.5" bestFit="1" customWidth="1"/>
    <col min="2" max="2" width="0" hidden="1"/>
    <col min="3" max="3" width="10.1640625" bestFit="1" customWidth="1"/>
    <col min="4" max="4" width="11.1640625" bestFit="1" customWidth="1"/>
    <col min="5" max="6" width="10.1640625" bestFit="1" customWidth="1"/>
    <col min="7" max="7" width="13" customWidth="1"/>
    <col min="8" max="8" width="12.1640625" customWidth="1"/>
  </cols>
  <sheetData>
    <row r="1" spans="1:12" x14ac:dyDescent="0.2">
      <c r="B1" s="46" t="s">
        <v>0</v>
      </c>
      <c r="C1" s="80" t="s">
        <v>1</v>
      </c>
      <c r="D1" s="80" t="s">
        <v>2</v>
      </c>
      <c r="E1" s="81" t="s">
        <v>3</v>
      </c>
      <c r="F1" s="81" t="s">
        <v>4</v>
      </c>
      <c r="G1" s="81" t="s">
        <v>5</v>
      </c>
    </row>
    <row r="2" spans="1:12" x14ac:dyDescent="0.2">
      <c r="A2" t="s">
        <v>17</v>
      </c>
      <c r="B2" s="82"/>
      <c r="C2" s="67">
        <v>24990000</v>
      </c>
      <c r="D2" s="67">
        <v>24990000</v>
      </c>
      <c r="E2" s="71">
        <v>24490000</v>
      </c>
      <c r="F2" s="39">
        <v>24990000</v>
      </c>
      <c r="G2" s="39">
        <v>24990000</v>
      </c>
    </row>
    <row r="3" spans="1:12" x14ac:dyDescent="0.2">
      <c r="A3" t="s">
        <v>18</v>
      </c>
      <c r="B3" s="82"/>
      <c r="C3" s="67">
        <v>30990000</v>
      </c>
      <c r="D3" s="75">
        <v>30890000</v>
      </c>
      <c r="E3" s="34">
        <v>29990000</v>
      </c>
      <c r="F3" s="37">
        <v>30890000</v>
      </c>
      <c r="G3" s="39">
        <v>30690000</v>
      </c>
      <c r="H3" s="26"/>
    </row>
    <row r="4" spans="1:12" x14ac:dyDescent="0.2">
      <c r="A4" t="s">
        <v>19</v>
      </c>
      <c r="B4" s="82"/>
      <c r="C4" s="67">
        <v>34990000</v>
      </c>
      <c r="D4" s="67">
        <v>34990000</v>
      </c>
      <c r="E4" s="71">
        <v>33990000</v>
      </c>
      <c r="F4" s="37">
        <v>33990000</v>
      </c>
      <c r="G4" s="37">
        <v>34490000</v>
      </c>
      <c r="H4" s="26">
        <v>-300</v>
      </c>
    </row>
    <row r="5" spans="1:12" x14ac:dyDescent="0.2">
      <c r="A5" t="s">
        <v>20</v>
      </c>
      <c r="B5" s="82"/>
      <c r="C5" s="67">
        <v>37990000</v>
      </c>
      <c r="D5" s="67">
        <v>37990000</v>
      </c>
      <c r="E5" s="71">
        <v>37490000</v>
      </c>
      <c r="F5" s="39">
        <v>37990000</v>
      </c>
      <c r="G5" s="37">
        <v>37690000</v>
      </c>
      <c r="H5" s="26">
        <v>-300</v>
      </c>
    </row>
    <row r="6" spans="1:12" x14ac:dyDescent="0.2">
      <c r="A6" t="s">
        <v>21</v>
      </c>
      <c r="B6" s="82"/>
      <c r="C6" s="66">
        <v>14990000</v>
      </c>
      <c r="D6" s="67">
        <v>14990000</v>
      </c>
      <c r="E6" s="71">
        <v>16990000</v>
      </c>
      <c r="F6" s="39">
        <v>16990000</v>
      </c>
      <c r="G6" s="37">
        <v>15190000</v>
      </c>
      <c r="H6" s="26">
        <v>-100</v>
      </c>
    </row>
    <row r="7" spans="1:12" x14ac:dyDescent="0.2">
      <c r="A7" t="s">
        <v>181</v>
      </c>
      <c r="B7" s="70"/>
      <c r="C7" s="68">
        <v>21290000</v>
      </c>
      <c r="D7" s="69">
        <v>21090000</v>
      </c>
      <c r="E7" s="34">
        <v>20990000</v>
      </c>
      <c r="F7" s="37">
        <v>20590000</v>
      </c>
      <c r="G7" s="77">
        <v>20990000</v>
      </c>
      <c r="H7" s="26"/>
    </row>
    <row r="8" spans="1:12" x14ac:dyDescent="0.2">
      <c r="A8" t="s">
        <v>24</v>
      </c>
      <c r="B8" s="3"/>
      <c r="C8" s="52">
        <v>24990000</v>
      </c>
      <c r="D8" s="63">
        <v>24690000</v>
      </c>
      <c r="E8" s="34">
        <v>24190000</v>
      </c>
      <c r="F8" s="39">
        <v>24590000</v>
      </c>
      <c r="G8" s="37">
        <v>23990000</v>
      </c>
      <c r="H8" s="26">
        <v>-600</v>
      </c>
    </row>
    <row r="9" spans="1:12" x14ac:dyDescent="0.2">
      <c r="A9" t="s">
        <v>182</v>
      </c>
      <c r="B9" s="25"/>
      <c r="C9" s="39" t="s">
        <v>22</v>
      </c>
      <c r="D9" s="39">
        <v>25590000</v>
      </c>
      <c r="E9" s="34">
        <v>24990000</v>
      </c>
      <c r="F9" s="39">
        <v>25590000</v>
      </c>
      <c r="G9" s="39">
        <v>24990000</v>
      </c>
      <c r="H9" s="26"/>
    </row>
    <row r="10" spans="1:12" x14ac:dyDescent="0.2">
      <c r="A10" t="s">
        <v>183</v>
      </c>
      <c r="B10" s="3"/>
      <c r="C10" s="53">
        <v>30590000</v>
      </c>
      <c r="D10" s="61">
        <v>30390000</v>
      </c>
      <c r="E10" s="34">
        <v>29690000</v>
      </c>
      <c r="F10" s="37">
        <v>29890000</v>
      </c>
      <c r="G10" s="37">
        <v>29890000</v>
      </c>
      <c r="H10" s="26"/>
    </row>
    <row r="11" spans="1:12" x14ac:dyDescent="0.2">
      <c r="A11" t="s">
        <v>25</v>
      </c>
      <c r="B11" s="25"/>
      <c r="C11" s="52">
        <v>17290000</v>
      </c>
      <c r="D11" s="61">
        <v>17090000</v>
      </c>
      <c r="E11" s="34">
        <v>16890000</v>
      </c>
      <c r="F11" s="37">
        <v>16890000</v>
      </c>
      <c r="G11" s="39">
        <v>16590000</v>
      </c>
      <c r="H11" s="26"/>
    </row>
    <row r="12" spans="1:12" x14ac:dyDescent="0.2">
      <c r="A12" t="s">
        <v>26</v>
      </c>
      <c r="B12" s="25"/>
      <c r="C12" s="52">
        <v>19590000</v>
      </c>
      <c r="D12" s="63" t="s">
        <v>22</v>
      </c>
      <c r="E12" s="25">
        <v>18490000</v>
      </c>
      <c r="F12" s="39">
        <v>17690000</v>
      </c>
      <c r="G12" s="39">
        <v>18490000</v>
      </c>
      <c r="H12" s="26"/>
    </row>
    <row r="13" spans="1:12" x14ac:dyDescent="0.2">
      <c r="A13" t="s">
        <v>27</v>
      </c>
      <c r="B13" s="25"/>
      <c r="C13" s="53">
        <v>13990000</v>
      </c>
      <c r="D13" s="63">
        <v>13690000</v>
      </c>
      <c r="E13" s="34">
        <v>13390000</v>
      </c>
      <c r="F13" s="37">
        <v>13390000</v>
      </c>
      <c r="G13" s="39">
        <v>13490000</v>
      </c>
      <c r="H13" s="26"/>
    </row>
    <row r="14" spans="1:12" x14ac:dyDescent="0.2">
      <c r="A14" t="s">
        <v>28</v>
      </c>
      <c r="B14" s="3"/>
      <c r="C14" s="52">
        <v>12390000</v>
      </c>
      <c r="D14" s="52">
        <v>12090000</v>
      </c>
      <c r="E14" s="34">
        <v>11990000</v>
      </c>
      <c r="F14" s="37">
        <v>11990000</v>
      </c>
      <c r="G14" s="39">
        <v>11890000</v>
      </c>
      <c r="H14" s="26"/>
    </row>
    <row r="15" spans="1:12" x14ac:dyDescent="0.2">
      <c r="A15" t="s">
        <v>29</v>
      </c>
      <c r="B15" s="25"/>
      <c r="C15" s="52">
        <v>11790000</v>
      </c>
      <c r="D15" s="61">
        <v>11790000</v>
      </c>
      <c r="E15" s="34">
        <v>11590000</v>
      </c>
      <c r="F15" s="39">
        <v>11790000</v>
      </c>
      <c r="G15" s="39">
        <v>11590000</v>
      </c>
      <c r="H15" s="26"/>
    </row>
    <row r="16" spans="1:12" x14ac:dyDescent="0.2">
      <c r="A16" t="s">
        <v>30</v>
      </c>
      <c r="B16" s="3"/>
      <c r="C16" s="53">
        <v>8790000</v>
      </c>
      <c r="D16" s="61">
        <v>8790000</v>
      </c>
      <c r="E16" s="34">
        <v>8790000</v>
      </c>
      <c r="F16" s="39">
        <v>8690000</v>
      </c>
      <c r="G16" s="37">
        <v>8490000</v>
      </c>
      <c r="H16" s="26">
        <v>-500</v>
      </c>
      <c r="J16" t="s">
        <v>31</v>
      </c>
      <c r="K16" t="s">
        <v>38</v>
      </c>
      <c r="L16" t="b">
        <v>1</v>
      </c>
    </row>
    <row r="17" spans="1:12" x14ac:dyDescent="0.2">
      <c r="A17" t="s">
        <v>33</v>
      </c>
      <c r="B17" s="3"/>
      <c r="C17" s="53">
        <v>13490000</v>
      </c>
      <c r="D17" s="63">
        <v>13690000</v>
      </c>
      <c r="E17" s="34">
        <v>13290000</v>
      </c>
      <c r="F17" s="39">
        <v>13390000</v>
      </c>
      <c r="G17" s="37">
        <v>13290000</v>
      </c>
      <c r="H17" s="26">
        <f>15990-13290</f>
        <v>2700</v>
      </c>
      <c r="J17" t="s">
        <v>2</v>
      </c>
      <c r="K17" t="s">
        <v>34</v>
      </c>
      <c r="L17" t="b">
        <v>1</v>
      </c>
    </row>
    <row r="18" spans="1:12" x14ac:dyDescent="0.2">
      <c r="A18" t="s">
        <v>37</v>
      </c>
      <c r="B18" s="25"/>
      <c r="C18" s="53">
        <v>19090000</v>
      </c>
      <c r="D18" s="63">
        <v>18890000</v>
      </c>
      <c r="E18" s="25">
        <v>20490000</v>
      </c>
      <c r="F18" s="39">
        <v>18890000</v>
      </c>
      <c r="G18" s="34">
        <v>18990000</v>
      </c>
      <c r="H18" s="26">
        <v>-1000</v>
      </c>
      <c r="J18" t="s">
        <v>3</v>
      </c>
      <c r="K18" t="s">
        <v>36</v>
      </c>
      <c r="L18" t="b">
        <v>1</v>
      </c>
    </row>
    <row r="19" spans="1:12" x14ac:dyDescent="0.2">
      <c r="A19" t="s">
        <v>184</v>
      </c>
      <c r="B19" s="25"/>
      <c r="C19" s="25" t="s">
        <v>22</v>
      </c>
      <c r="D19" s="63">
        <v>27990000</v>
      </c>
      <c r="E19" s="25" t="s">
        <v>22</v>
      </c>
      <c r="F19" s="37">
        <v>27990000</v>
      </c>
      <c r="G19" s="38">
        <v>27990000</v>
      </c>
      <c r="H19" s="26"/>
      <c r="J19" t="s">
        <v>4</v>
      </c>
      <c r="K19" t="s">
        <v>32</v>
      </c>
      <c r="L19" t="b">
        <v>1</v>
      </c>
    </row>
    <row r="20" spans="1:12" x14ac:dyDescent="0.2">
      <c r="A20" t="s">
        <v>185</v>
      </c>
      <c r="B20" s="3"/>
      <c r="C20" s="63">
        <v>36290000</v>
      </c>
      <c r="D20" s="63">
        <v>36290000</v>
      </c>
      <c r="E20" s="25">
        <v>34490000</v>
      </c>
      <c r="F20" s="39">
        <v>36490000</v>
      </c>
      <c r="G20" s="39">
        <v>33690000</v>
      </c>
      <c r="H20" s="26"/>
      <c r="J20" t="s">
        <v>41</v>
      </c>
      <c r="K20" t="s">
        <v>42</v>
      </c>
      <c r="L20" t="b">
        <v>1</v>
      </c>
    </row>
    <row r="21" spans="1:12" x14ac:dyDescent="0.2">
      <c r="A21" t="s">
        <v>44</v>
      </c>
      <c r="B21" s="25"/>
      <c r="C21" s="61">
        <v>6690000</v>
      </c>
      <c r="D21" s="63">
        <v>6690000</v>
      </c>
      <c r="E21" s="25">
        <v>6690000</v>
      </c>
      <c r="F21" s="37">
        <v>5990000</v>
      </c>
      <c r="G21" s="38">
        <v>6690000</v>
      </c>
      <c r="H21" s="26"/>
    </row>
    <row r="22" spans="1:12" x14ac:dyDescent="0.2">
      <c r="A22" t="s">
        <v>45</v>
      </c>
      <c r="B22" s="25"/>
      <c r="C22" s="61">
        <v>8290000</v>
      </c>
      <c r="D22" s="63">
        <v>8490000</v>
      </c>
      <c r="E22" s="25">
        <v>8190000</v>
      </c>
      <c r="F22" s="37">
        <v>8190000</v>
      </c>
      <c r="G22" s="38">
        <v>8490000</v>
      </c>
      <c r="H22" s="26"/>
    </row>
    <row r="23" spans="1:12" x14ac:dyDescent="0.2">
      <c r="A23" t="s">
        <v>46</v>
      </c>
      <c r="B23" s="25"/>
      <c r="C23" s="63">
        <v>7650000</v>
      </c>
      <c r="D23" s="61">
        <v>7650000</v>
      </c>
      <c r="E23" s="25">
        <v>7690000</v>
      </c>
      <c r="F23" s="37">
        <v>7290000</v>
      </c>
      <c r="G23" s="38">
        <v>7690000</v>
      </c>
      <c r="H23" s="26"/>
    </row>
    <row r="24" spans="1:12" x14ac:dyDescent="0.2">
      <c r="A24" t="s">
        <v>47</v>
      </c>
      <c r="B24" s="25"/>
      <c r="C24" s="63">
        <v>9090000</v>
      </c>
      <c r="D24" s="63">
        <v>9350000</v>
      </c>
      <c r="E24" s="25">
        <v>8990000</v>
      </c>
      <c r="F24" s="39">
        <v>8990000</v>
      </c>
      <c r="G24" s="38">
        <v>9290000</v>
      </c>
      <c r="H24" s="26"/>
    </row>
    <row r="25" spans="1:12" x14ac:dyDescent="0.2">
      <c r="A25" t="s">
        <v>48</v>
      </c>
      <c r="B25" s="3"/>
      <c r="C25" s="61">
        <v>11290000</v>
      </c>
      <c r="D25" s="63">
        <v>11490000</v>
      </c>
      <c r="E25" s="25">
        <v>11290000</v>
      </c>
      <c r="F25" s="37">
        <v>10790000</v>
      </c>
      <c r="G25" s="34">
        <v>11290000</v>
      </c>
      <c r="H25" s="26">
        <v>-100</v>
      </c>
    </row>
    <row r="26" spans="1:12" x14ac:dyDescent="0.2">
      <c r="A26" t="s">
        <v>49</v>
      </c>
      <c r="B26" s="3"/>
      <c r="C26" s="63">
        <v>14490000</v>
      </c>
      <c r="D26" s="63">
        <v>14490000</v>
      </c>
      <c r="E26" s="25">
        <v>14190000</v>
      </c>
      <c r="F26" s="39">
        <v>14290000</v>
      </c>
      <c r="G26" s="38">
        <v>14390000</v>
      </c>
      <c r="H26" s="26"/>
    </row>
    <row r="27" spans="1:12" x14ac:dyDescent="0.2">
      <c r="A27" t="s">
        <v>50</v>
      </c>
      <c r="B27" s="3"/>
      <c r="C27" s="61">
        <v>12090000</v>
      </c>
      <c r="D27" s="63">
        <v>12350000</v>
      </c>
      <c r="E27" s="25">
        <v>12190000</v>
      </c>
      <c r="F27" s="37">
        <v>11790000</v>
      </c>
      <c r="G27" s="38">
        <v>11990000</v>
      </c>
      <c r="H27" s="26"/>
    </row>
    <row r="28" spans="1:12" x14ac:dyDescent="0.2">
      <c r="A28" t="s">
        <v>51</v>
      </c>
      <c r="B28" s="3"/>
      <c r="C28" s="63">
        <v>15350000</v>
      </c>
      <c r="D28" s="63">
        <v>15350000</v>
      </c>
      <c r="E28" s="25">
        <v>14990000</v>
      </c>
      <c r="F28" s="37">
        <v>15290000</v>
      </c>
      <c r="G28" s="38">
        <v>15290000</v>
      </c>
      <c r="H28" s="26"/>
    </row>
    <row r="29" spans="1:12" x14ac:dyDescent="0.2">
      <c r="A29" t="s">
        <v>52</v>
      </c>
      <c r="B29" s="25"/>
      <c r="C29" s="63">
        <v>23990000</v>
      </c>
      <c r="D29" s="61">
        <v>23990000</v>
      </c>
      <c r="E29" s="25">
        <v>23490000</v>
      </c>
      <c r="F29" s="39">
        <v>23990000</v>
      </c>
      <c r="G29" s="38">
        <v>23990000</v>
      </c>
      <c r="H29" s="26"/>
    </row>
    <row r="30" spans="1:12" x14ac:dyDescent="0.2">
      <c r="A30" t="s">
        <v>53</v>
      </c>
      <c r="B30" s="3"/>
      <c r="C30" s="53">
        <v>5090000</v>
      </c>
      <c r="D30" s="61">
        <v>5290000</v>
      </c>
      <c r="E30" s="25">
        <v>5590000</v>
      </c>
      <c r="F30" s="37">
        <v>4790000</v>
      </c>
      <c r="G30" s="38">
        <v>5590000</v>
      </c>
      <c r="H30" s="26"/>
    </row>
    <row r="31" spans="1:12" x14ac:dyDescent="0.2">
      <c r="A31" t="s">
        <v>54</v>
      </c>
      <c r="B31" s="3"/>
      <c r="C31" s="53">
        <v>4590000</v>
      </c>
      <c r="D31" s="61">
        <v>4290000</v>
      </c>
      <c r="E31" s="34">
        <v>4390000</v>
      </c>
      <c r="F31" s="39">
        <v>4390000</v>
      </c>
      <c r="G31" s="37">
        <v>4390000</v>
      </c>
      <c r="H31" s="26">
        <v>-200</v>
      </c>
    </row>
    <row r="32" spans="1:12" x14ac:dyDescent="0.2">
      <c r="A32" t="s">
        <v>55</v>
      </c>
      <c r="B32" s="3"/>
      <c r="C32" s="53">
        <v>3190000</v>
      </c>
      <c r="D32" s="63">
        <v>2990000</v>
      </c>
      <c r="E32" s="34">
        <v>2990000</v>
      </c>
      <c r="F32" s="38">
        <v>3090000</v>
      </c>
      <c r="G32" s="37">
        <v>2990000</v>
      </c>
      <c r="H32" s="26">
        <f>3390-2990</f>
        <v>400</v>
      </c>
    </row>
    <row r="33" spans="1:8" x14ac:dyDescent="0.2">
      <c r="A33" t="s">
        <v>56</v>
      </c>
      <c r="B33" s="3"/>
      <c r="C33" s="37">
        <v>6690000</v>
      </c>
      <c r="D33" s="63">
        <v>6790000</v>
      </c>
      <c r="E33" s="71">
        <v>6490000</v>
      </c>
      <c r="F33" s="39">
        <v>6790000</v>
      </c>
      <c r="G33" s="37">
        <v>6590000</v>
      </c>
      <c r="H33" s="26">
        <v>-100</v>
      </c>
    </row>
    <row r="34" spans="1:8" x14ac:dyDescent="0.2">
      <c r="A34" t="s">
        <v>186</v>
      </c>
      <c r="B34" s="25"/>
      <c r="C34" s="53">
        <v>19690000</v>
      </c>
      <c r="D34" s="63">
        <v>19690000</v>
      </c>
      <c r="E34" s="36"/>
      <c r="F34" s="39">
        <v>19690000</v>
      </c>
      <c r="G34" s="39">
        <v>18990000</v>
      </c>
      <c r="H34" s="26"/>
    </row>
    <row r="35" spans="1:8" x14ac:dyDescent="0.2">
      <c r="A35" t="s">
        <v>59</v>
      </c>
      <c r="B35" s="3"/>
      <c r="C35" s="53">
        <v>25290000</v>
      </c>
      <c r="D35" s="63">
        <v>25190000</v>
      </c>
      <c r="E35" s="36"/>
      <c r="F35" s="39">
        <v>24990000</v>
      </c>
      <c r="G35" s="37">
        <v>24290000</v>
      </c>
      <c r="H35" s="26">
        <f>25190-24290</f>
        <v>900</v>
      </c>
    </row>
    <row r="36" spans="1:8" x14ac:dyDescent="0.2">
      <c r="A36" t="s">
        <v>61</v>
      </c>
      <c r="B36" s="25"/>
      <c r="C36" s="61">
        <v>29990000</v>
      </c>
      <c r="D36" s="61">
        <v>29390000</v>
      </c>
      <c r="E36" s="36"/>
      <c r="F36" s="39">
        <v>29990000</v>
      </c>
      <c r="G36" s="37">
        <v>29690000</v>
      </c>
      <c r="H36" s="26">
        <f>29690-28290</f>
        <v>1400</v>
      </c>
    </row>
    <row r="37" spans="1:8" x14ac:dyDescent="0.2">
      <c r="A37" t="s">
        <v>187</v>
      </c>
      <c r="B37" s="25"/>
      <c r="C37" s="52">
        <v>38090000</v>
      </c>
      <c r="D37" s="63">
        <v>37990000</v>
      </c>
      <c r="E37" s="36"/>
      <c r="F37" s="39">
        <v>38590000</v>
      </c>
      <c r="G37" s="39">
        <v>38390000</v>
      </c>
      <c r="H37" s="26"/>
    </row>
    <row r="38" spans="1:8" x14ac:dyDescent="0.2">
      <c r="A38" t="s">
        <v>188</v>
      </c>
      <c r="B38" s="25"/>
      <c r="C38" s="63">
        <v>64990000</v>
      </c>
      <c r="D38" s="63">
        <v>64990000</v>
      </c>
      <c r="E38" s="36"/>
      <c r="F38" s="39">
        <v>63990000</v>
      </c>
      <c r="G38" s="39">
        <v>63990000</v>
      </c>
    </row>
    <row r="39" spans="1:8" x14ac:dyDescent="0.2">
      <c r="C39" s="59"/>
      <c r="D39" s="59"/>
    </row>
    <row r="40" spans="1:8" x14ac:dyDescent="0.2">
      <c r="C40" s="59"/>
      <c r="D40" s="59"/>
    </row>
    <row r="41" spans="1:8" x14ac:dyDescent="0.2">
      <c r="C41" s="59"/>
      <c r="D41" s="59"/>
    </row>
    <row r="42" spans="1:8" x14ac:dyDescent="0.2">
      <c r="C42" s="59"/>
      <c r="D42" s="59"/>
    </row>
    <row r="43" spans="1:8" x14ac:dyDescent="0.2">
      <c r="C43" s="59"/>
      <c r="D43" s="59"/>
    </row>
    <row r="44" spans="1:8" x14ac:dyDescent="0.2">
      <c r="C44" s="59"/>
      <c r="D44" s="59"/>
    </row>
    <row r="45" spans="1:8" x14ac:dyDescent="0.2">
      <c r="C45" s="59"/>
      <c r="D45" s="59"/>
    </row>
    <row r="46" spans="1:8" x14ac:dyDescent="0.2">
      <c r="C46" s="59"/>
      <c r="D46" s="59"/>
    </row>
    <row r="47" spans="1:8" x14ac:dyDescent="0.2">
      <c r="C47" s="59"/>
      <c r="D47" s="59"/>
    </row>
    <row r="48" spans="1:8" x14ac:dyDescent="0.2">
      <c r="C48" s="59"/>
      <c r="D48" s="59"/>
    </row>
    <row r="49" spans="3:4" x14ac:dyDescent="0.2">
      <c r="C49" s="59"/>
      <c r="D49" s="59"/>
    </row>
    <row r="50" spans="3:4" x14ac:dyDescent="0.2">
      <c r="C50" s="59"/>
      <c r="D50" s="59"/>
    </row>
    <row r="51" spans="3:4" x14ac:dyDescent="0.2">
      <c r="C51" s="59"/>
      <c r="D51" s="59"/>
    </row>
    <row r="52" spans="3:4" x14ac:dyDescent="0.2">
      <c r="C52" s="59"/>
      <c r="D52" s="59"/>
    </row>
    <row r="53" spans="3:4" x14ac:dyDescent="0.2">
      <c r="C53" s="59"/>
      <c r="D53" s="59"/>
    </row>
    <row r="54" spans="3:4" x14ac:dyDescent="0.2">
      <c r="C54" s="59"/>
      <c r="D54" s="59"/>
    </row>
    <row r="55" spans="3:4" x14ac:dyDescent="0.2">
      <c r="C55" s="59"/>
      <c r="D55" s="59"/>
    </row>
    <row r="56" spans="3:4" x14ac:dyDescent="0.2">
      <c r="C56" s="59"/>
      <c r="D56" s="59"/>
    </row>
    <row r="57" spans="3:4" x14ac:dyDescent="0.2">
      <c r="C57" s="59"/>
      <c r="D57" s="59"/>
    </row>
    <row r="58" spans="3:4" x14ac:dyDescent="0.2">
      <c r="C58" s="59"/>
      <c r="D58" s="59"/>
    </row>
    <row r="59" spans="3:4" x14ac:dyDescent="0.2">
      <c r="C59" s="59"/>
      <c r="D59" s="59"/>
    </row>
    <row r="60" spans="3:4" x14ac:dyDescent="0.2">
      <c r="C60" s="59"/>
      <c r="D60" s="59"/>
    </row>
    <row r="61" spans="3:4" x14ac:dyDescent="0.2">
      <c r="C61" s="59"/>
      <c r="D61" s="59"/>
    </row>
    <row r="62" spans="3:4" x14ac:dyDescent="0.2">
      <c r="C62" s="59"/>
      <c r="D62" s="59"/>
    </row>
    <row r="63" spans="3:4" x14ac:dyDescent="0.2">
      <c r="C63" s="59"/>
      <c r="D63" s="59"/>
    </row>
    <row r="64" spans="3:4" x14ac:dyDescent="0.2">
      <c r="C64" s="59"/>
      <c r="D64" s="59"/>
    </row>
    <row r="65" spans="3:4" x14ac:dyDescent="0.2">
      <c r="C65" s="59"/>
      <c r="D65" s="59"/>
    </row>
    <row r="66" spans="3:4" x14ac:dyDescent="0.2">
      <c r="C66" s="59"/>
      <c r="D66" s="59"/>
    </row>
    <row r="67" spans="3:4" x14ac:dyDescent="0.2">
      <c r="C67" s="59"/>
      <c r="D67" s="59"/>
    </row>
    <row r="68" spans="3:4" x14ac:dyDescent="0.2">
      <c r="C68" s="59"/>
      <c r="D68" s="59"/>
    </row>
    <row r="69" spans="3:4" x14ac:dyDescent="0.2">
      <c r="C69" s="59"/>
      <c r="D69" s="59"/>
    </row>
    <row r="70" spans="3:4" x14ac:dyDescent="0.2">
      <c r="C70" s="59"/>
      <c r="D70" s="59"/>
    </row>
    <row r="71" spans="3:4" x14ac:dyDescent="0.2">
      <c r="C71" s="59"/>
      <c r="D71" s="59"/>
    </row>
    <row r="72" spans="3:4" x14ac:dyDescent="0.2">
      <c r="C72" s="59"/>
      <c r="D72" s="59"/>
    </row>
    <row r="73" spans="3:4" x14ac:dyDescent="0.2">
      <c r="C73" s="59"/>
      <c r="D73" s="59"/>
    </row>
    <row r="74" spans="3:4" x14ac:dyDescent="0.2">
      <c r="C74" s="59"/>
      <c r="D74" s="59"/>
    </row>
    <row r="75" spans="3:4" x14ac:dyDescent="0.2">
      <c r="C75" s="59"/>
      <c r="D75" s="59"/>
    </row>
    <row r="76" spans="3:4" x14ac:dyDescent="0.2">
      <c r="C76" s="59"/>
      <c r="D76" s="59"/>
    </row>
    <row r="77" spans="3:4" x14ac:dyDescent="0.2">
      <c r="C77" s="59"/>
      <c r="D77" s="59"/>
    </row>
    <row r="78" spans="3:4" x14ac:dyDescent="0.2">
      <c r="C78" s="59"/>
      <c r="D78" s="59"/>
    </row>
    <row r="79" spans="3:4" x14ac:dyDescent="0.2">
      <c r="C79" s="59"/>
      <c r="D79" s="59"/>
    </row>
    <row r="80" spans="3:4" x14ac:dyDescent="0.2">
      <c r="C80" s="59"/>
      <c r="D80" s="59"/>
    </row>
    <row r="81" spans="3:4" x14ac:dyDescent="0.2">
      <c r="C81" s="59"/>
      <c r="D81" s="59"/>
    </row>
    <row r="82" spans="3:4" x14ac:dyDescent="0.2">
      <c r="C82" s="59"/>
      <c r="D82" s="59"/>
    </row>
    <row r="83" spans="3:4" x14ac:dyDescent="0.2">
      <c r="C83" s="59"/>
      <c r="D83" s="59"/>
    </row>
    <row r="84" spans="3:4" x14ac:dyDescent="0.2">
      <c r="C84" s="59"/>
      <c r="D84" s="59"/>
    </row>
    <row r="85" spans="3:4" x14ac:dyDescent="0.2">
      <c r="C85" s="59"/>
      <c r="D85" s="59"/>
    </row>
    <row r="86" spans="3:4" x14ac:dyDescent="0.2">
      <c r="C86" s="59"/>
      <c r="D86" s="59"/>
    </row>
    <row r="87" spans="3:4" x14ac:dyDescent="0.2">
      <c r="C87" s="59"/>
      <c r="D87" s="59"/>
    </row>
    <row r="88" spans="3:4" x14ac:dyDescent="0.2">
      <c r="C88" s="59"/>
      <c r="D88" s="59"/>
    </row>
    <row r="89" spans="3:4" x14ac:dyDescent="0.2">
      <c r="C89" s="59"/>
      <c r="D89" s="59"/>
    </row>
    <row r="90" spans="3:4" x14ac:dyDescent="0.2">
      <c r="C90" s="59"/>
      <c r="D90" s="59"/>
    </row>
    <row r="91" spans="3:4" x14ac:dyDescent="0.2">
      <c r="C91" s="59"/>
      <c r="D91" s="59"/>
    </row>
    <row r="92" spans="3:4" x14ac:dyDescent="0.2">
      <c r="C92" s="59"/>
      <c r="D92" s="59"/>
    </row>
    <row r="93" spans="3:4" x14ac:dyDescent="0.2">
      <c r="C93" s="59"/>
      <c r="D93" s="59"/>
    </row>
    <row r="94" spans="3:4" x14ac:dyDescent="0.2">
      <c r="C94" s="59"/>
      <c r="D94" s="59"/>
    </row>
    <row r="95" spans="3:4" x14ac:dyDescent="0.2">
      <c r="C95" s="59"/>
      <c r="D95" s="59"/>
    </row>
    <row r="96" spans="3:4" x14ac:dyDescent="0.2">
      <c r="C96" s="59"/>
      <c r="D96" s="59"/>
    </row>
    <row r="97" spans="3:4" x14ac:dyDescent="0.2">
      <c r="C97" s="59"/>
      <c r="D97" s="59"/>
    </row>
    <row r="98" spans="3:4" x14ac:dyDescent="0.2">
      <c r="C98" s="59"/>
      <c r="D98" s="59"/>
    </row>
    <row r="99" spans="3:4" x14ac:dyDescent="0.2">
      <c r="C99" s="59"/>
      <c r="D99" s="59"/>
    </row>
    <row r="100" spans="3:4" x14ac:dyDescent="0.2">
      <c r="C100" s="59"/>
      <c r="D100" s="59"/>
    </row>
    <row r="101" spans="3:4" x14ac:dyDescent="0.2">
      <c r="C101" s="59"/>
      <c r="D101" s="59"/>
    </row>
    <row r="102" spans="3:4" x14ac:dyDescent="0.2">
      <c r="C102" s="59"/>
      <c r="D102" s="59"/>
    </row>
    <row r="103" spans="3:4" x14ac:dyDescent="0.2">
      <c r="C103" s="59"/>
      <c r="D103" s="59"/>
    </row>
    <row r="104" spans="3:4" x14ac:dyDescent="0.2">
      <c r="C104" s="59"/>
      <c r="D104" s="59"/>
    </row>
    <row r="105" spans="3:4" x14ac:dyDescent="0.2">
      <c r="C105" s="59"/>
      <c r="D105" s="59"/>
    </row>
    <row r="106" spans="3:4" x14ac:dyDescent="0.2">
      <c r="C106" s="59"/>
      <c r="D106" s="59"/>
    </row>
    <row r="107" spans="3:4" x14ac:dyDescent="0.2">
      <c r="C107" s="59"/>
      <c r="D107" s="59"/>
    </row>
    <row r="108" spans="3:4" x14ac:dyDescent="0.2">
      <c r="C108" s="59"/>
      <c r="D108" s="59"/>
    </row>
    <row r="109" spans="3:4" x14ac:dyDescent="0.2">
      <c r="C109" s="59"/>
      <c r="D109" s="59"/>
    </row>
    <row r="110" spans="3:4" x14ac:dyDescent="0.2">
      <c r="C110" s="59"/>
      <c r="D110" s="59"/>
    </row>
    <row r="111" spans="3:4" x14ac:dyDescent="0.2">
      <c r="C111" s="59"/>
      <c r="D111" s="59"/>
    </row>
    <row r="112" spans="3:4" x14ac:dyDescent="0.2">
      <c r="C112" s="59"/>
      <c r="D112" s="59"/>
    </row>
    <row r="113" spans="3:4" x14ac:dyDescent="0.2">
      <c r="C113" s="59"/>
      <c r="D113" s="59"/>
    </row>
    <row r="114" spans="3:4" x14ac:dyDescent="0.2">
      <c r="C114" s="59"/>
      <c r="D114" s="59"/>
    </row>
    <row r="115" spans="3:4" x14ac:dyDescent="0.2">
      <c r="C115" s="59"/>
      <c r="D115" s="59"/>
    </row>
    <row r="116" spans="3:4" x14ac:dyDescent="0.2">
      <c r="C116" s="59"/>
      <c r="D116" s="59"/>
    </row>
    <row r="117" spans="3:4" x14ac:dyDescent="0.2">
      <c r="C117" s="59"/>
      <c r="D117" s="59"/>
    </row>
    <row r="118" spans="3:4" x14ac:dyDescent="0.2">
      <c r="C118" s="59"/>
      <c r="D118" s="59"/>
    </row>
    <row r="119" spans="3:4" x14ac:dyDescent="0.2">
      <c r="C119" s="59"/>
      <c r="D119" s="59"/>
    </row>
    <row r="120" spans="3:4" x14ac:dyDescent="0.2">
      <c r="C120" s="59"/>
      <c r="D120" s="59"/>
    </row>
    <row r="121" spans="3:4" x14ac:dyDescent="0.2">
      <c r="C121" s="59"/>
      <c r="D121" s="59"/>
    </row>
    <row r="122" spans="3:4" x14ac:dyDescent="0.2">
      <c r="C122" s="59"/>
      <c r="D122" s="59"/>
    </row>
    <row r="123" spans="3:4" x14ac:dyDescent="0.2">
      <c r="C123" s="59"/>
      <c r="D123" s="59"/>
    </row>
    <row r="124" spans="3:4" x14ac:dyDescent="0.2">
      <c r="C124" s="59"/>
      <c r="D124" s="59"/>
    </row>
    <row r="125" spans="3:4" x14ac:dyDescent="0.2">
      <c r="C125" s="59"/>
      <c r="D125" s="59"/>
    </row>
    <row r="126" spans="3:4" x14ac:dyDescent="0.2">
      <c r="C126" s="59"/>
      <c r="D126" s="59"/>
    </row>
    <row r="127" spans="3:4" x14ac:dyDescent="0.2">
      <c r="C127" s="59"/>
      <c r="D127" s="59"/>
    </row>
    <row r="128" spans="3:4" x14ac:dyDescent="0.2">
      <c r="C128" s="59"/>
      <c r="D128" s="59"/>
    </row>
    <row r="129" spans="3:4" x14ac:dyDescent="0.2">
      <c r="C129" s="59"/>
      <c r="D129" s="59"/>
    </row>
    <row r="130" spans="3:4" x14ac:dyDescent="0.2">
      <c r="C130" s="59"/>
      <c r="D130" s="59"/>
    </row>
    <row r="131" spans="3:4" x14ac:dyDescent="0.2">
      <c r="C131" s="59"/>
      <c r="D131" s="59"/>
    </row>
    <row r="132" spans="3:4" x14ac:dyDescent="0.2">
      <c r="C132" s="59"/>
      <c r="D132" s="59"/>
    </row>
    <row r="133" spans="3:4" x14ac:dyDescent="0.2">
      <c r="C133" s="59"/>
      <c r="D133" s="59"/>
    </row>
    <row r="134" spans="3:4" x14ac:dyDescent="0.2">
      <c r="C134" s="59"/>
      <c r="D134" s="59"/>
    </row>
    <row r="135" spans="3:4" x14ac:dyDescent="0.2">
      <c r="C135" s="59"/>
      <c r="D135" s="59"/>
    </row>
    <row r="136" spans="3:4" x14ac:dyDescent="0.2">
      <c r="C136" s="59"/>
      <c r="D136" s="59"/>
    </row>
    <row r="137" spans="3:4" x14ac:dyDescent="0.2">
      <c r="C137" s="59"/>
      <c r="D137" s="59"/>
    </row>
    <row r="138" spans="3:4" x14ac:dyDescent="0.2">
      <c r="C138" s="59"/>
      <c r="D138" s="59"/>
    </row>
    <row r="139" spans="3:4" x14ac:dyDescent="0.2">
      <c r="C139" s="59"/>
      <c r="D139" s="59"/>
    </row>
    <row r="140" spans="3:4" x14ac:dyDescent="0.2">
      <c r="C140" s="59"/>
      <c r="D140" s="59"/>
    </row>
    <row r="141" spans="3:4" x14ac:dyDescent="0.2">
      <c r="C141" s="59"/>
      <c r="D141" s="59"/>
    </row>
    <row r="142" spans="3:4" x14ac:dyDescent="0.2">
      <c r="C142" s="59"/>
      <c r="D142" s="59"/>
    </row>
    <row r="143" spans="3:4" x14ac:dyDescent="0.2">
      <c r="C143" s="59"/>
      <c r="D143" s="59"/>
    </row>
    <row r="144" spans="3:4" x14ac:dyDescent="0.2">
      <c r="C144" s="59"/>
      <c r="D144" s="59"/>
    </row>
    <row r="145" spans="3:4" x14ac:dyDescent="0.2">
      <c r="C145" s="59"/>
      <c r="D145" s="59"/>
    </row>
    <row r="146" spans="3:4" x14ac:dyDescent="0.2">
      <c r="C146" s="59"/>
      <c r="D146" s="59"/>
    </row>
    <row r="147" spans="3:4" x14ac:dyDescent="0.2">
      <c r="C147" s="59"/>
      <c r="D147" s="59"/>
    </row>
    <row r="148" spans="3:4" x14ac:dyDescent="0.2">
      <c r="C148" s="59"/>
      <c r="D148" s="59"/>
    </row>
    <row r="149" spans="3:4" x14ac:dyDescent="0.2">
      <c r="C149" s="59"/>
      <c r="D149" s="59"/>
    </row>
    <row r="150" spans="3:4" x14ac:dyDescent="0.2">
      <c r="C150" s="59"/>
      <c r="D150" s="59"/>
    </row>
    <row r="151" spans="3:4" x14ac:dyDescent="0.2">
      <c r="C151" s="59"/>
      <c r="D151" s="59"/>
    </row>
  </sheetData>
  <pageMargins left="0.7" right="0.7" top="0.75" bottom="0.75" header="0.3" footer="0.3"/>
  <pageSetup paperSize="9" orientation="portrait" horizontalDpi="0" verticalDpi="0"/>
  <legacyDrawing r:id="rId1"/>
</worksheet>
</file>

<file path=xl/worksheets/sheet8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300-000000000000}">
  <dimension ref="A1:L153"/>
  <sheetViews>
    <sheetView zoomScale="80" zoomScaleNormal="80" workbookViewId="0">
      <pane xSplit="2" ySplit="1" topLeftCell="C9" activePane="bottomRight" state="frozen"/>
      <selection pane="topRight" activeCell="C1" sqref="C1"/>
      <selection pane="bottomLeft" activeCell="A2" sqref="A2"/>
      <selection pane="bottomRight" activeCell="C1" sqref="C1"/>
    </sheetView>
  </sheetViews>
  <sheetFormatPr baseColWidth="10" defaultColWidth="11" defaultRowHeight="16" x14ac:dyDescent="0.2"/>
  <cols>
    <col min="1" max="1" width="27.5" bestFit="1" customWidth="1"/>
    <col min="2" max="2" width="0" hidden="1"/>
    <col min="3" max="3" width="10.1640625" bestFit="1" customWidth="1"/>
    <col min="4" max="4" width="11.1640625" bestFit="1" customWidth="1"/>
    <col min="5" max="6" width="10.1640625" bestFit="1" customWidth="1"/>
    <col min="7" max="7" width="13" customWidth="1"/>
    <col min="8" max="8" width="12.1640625" customWidth="1"/>
  </cols>
  <sheetData>
    <row r="1" spans="1:12" x14ac:dyDescent="0.2">
      <c r="B1" s="46" t="s">
        <v>0</v>
      </c>
      <c r="C1" s="80" t="s">
        <v>1</v>
      </c>
      <c r="D1" s="80" t="s">
        <v>2</v>
      </c>
      <c r="E1" s="81" t="s">
        <v>3</v>
      </c>
      <c r="F1" s="81" t="s">
        <v>4</v>
      </c>
      <c r="G1" s="81" t="s">
        <v>5</v>
      </c>
    </row>
    <row r="2" spans="1:12" x14ac:dyDescent="0.2">
      <c r="A2" t="s">
        <v>17</v>
      </c>
      <c r="B2" s="82"/>
      <c r="C2" s="67">
        <v>24990000</v>
      </c>
      <c r="D2" s="67">
        <v>24990000</v>
      </c>
      <c r="E2" s="71">
        <v>24490000</v>
      </c>
      <c r="F2" s="39">
        <v>24990000</v>
      </c>
      <c r="G2" s="39">
        <v>24990000</v>
      </c>
    </row>
    <row r="3" spans="1:12" x14ac:dyDescent="0.2">
      <c r="A3" t="s">
        <v>18</v>
      </c>
      <c r="B3" s="82"/>
      <c r="C3" s="67">
        <v>30990000</v>
      </c>
      <c r="D3" s="75">
        <v>30390000</v>
      </c>
      <c r="E3" s="25">
        <v>29990000</v>
      </c>
      <c r="F3" s="37">
        <v>30890000</v>
      </c>
      <c r="G3" s="37">
        <v>30290000</v>
      </c>
      <c r="H3" s="26">
        <v>-400</v>
      </c>
    </row>
    <row r="4" spans="1:12" x14ac:dyDescent="0.2">
      <c r="A4" t="s">
        <v>19</v>
      </c>
      <c r="B4" s="82"/>
      <c r="C4" s="67">
        <v>34990000</v>
      </c>
      <c r="D4" s="75">
        <v>34790000</v>
      </c>
      <c r="E4" s="71">
        <v>33990000</v>
      </c>
      <c r="F4" s="37">
        <v>33990000</v>
      </c>
      <c r="G4" s="37">
        <v>34290000</v>
      </c>
      <c r="H4" s="26">
        <v>-200</v>
      </c>
    </row>
    <row r="5" spans="1:12" x14ac:dyDescent="0.2">
      <c r="A5" t="s">
        <v>20</v>
      </c>
      <c r="B5" s="82"/>
      <c r="C5" s="67">
        <v>37990000</v>
      </c>
      <c r="D5" s="67">
        <v>37990000</v>
      </c>
      <c r="E5" s="71">
        <v>37490000</v>
      </c>
      <c r="F5" s="39">
        <v>37990000</v>
      </c>
      <c r="G5" s="37">
        <v>37490000</v>
      </c>
      <c r="H5" s="26">
        <v>-200</v>
      </c>
    </row>
    <row r="6" spans="1:12" x14ac:dyDescent="0.2">
      <c r="A6" t="s">
        <v>21</v>
      </c>
      <c r="B6" s="82"/>
      <c r="C6" s="66">
        <v>14990000</v>
      </c>
      <c r="D6" s="67">
        <v>14990000</v>
      </c>
      <c r="E6" s="71">
        <v>12490000</v>
      </c>
      <c r="F6" s="39">
        <v>16990000</v>
      </c>
      <c r="G6" s="39">
        <v>15190000</v>
      </c>
      <c r="H6" s="26"/>
    </row>
    <row r="7" spans="1:12" x14ac:dyDescent="0.2">
      <c r="A7" t="s">
        <v>181</v>
      </c>
      <c r="B7" s="70"/>
      <c r="C7" s="68">
        <v>21290000</v>
      </c>
      <c r="D7" s="72">
        <v>20690000</v>
      </c>
      <c r="E7" s="25">
        <v>20990000</v>
      </c>
      <c r="F7" s="37">
        <v>20590000</v>
      </c>
      <c r="G7" s="39">
        <v>20990000</v>
      </c>
      <c r="H7" s="26"/>
    </row>
    <row r="8" spans="1:12" x14ac:dyDescent="0.2">
      <c r="A8" t="s">
        <v>24</v>
      </c>
      <c r="B8" s="3"/>
      <c r="C8" s="52">
        <v>24990000</v>
      </c>
      <c r="D8" s="63">
        <v>24690000</v>
      </c>
      <c r="E8" s="25">
        <v>24190000</v>
      </c>
      <c r="F8" s="39">
        <v>24590000</v>
      </c>
      <c r="G8" s="37">
        <v>24490000</v>
      </c>
      <c r="H8" s="26">
        <v>500</v>
      </c>
    </row>
    <row r="9" spans="1:12" x14ac:dyDescent="0.2">
      <c r="A9" t="s">
        <v>182</v>
      </c>
      <c r="B9" s="25"/>
      <c r="C9" s="39" t="s">
        <v>22</v>
      </c>
      <c r="D9" s="39">
        <v>25590000</v>
      </c>
      <c r="E9" s="25">
        <v>24990000</v>
      </c>
      <c r="F9" s="39">
        <v>25590000</v>
      </c>
      <c r="G9" s="39">
        <v>24990000</v>
      </c>
      <c r="H9" s="26"/>
    </row>
    <row r="10" spans="1:12" x14ac:dyDescent="0.2">
      <c r="A10" t="s">
        <v>183</v>
      </c>
      <c r="B10" s="3"/>
      <c r="C10" s="52">
        <v>30590000</v>
      </c>
      <c r="D10" s="61">
        <v>29990000</v>
      </c>
      <c r="E10" s="25">
        <v>29690000</v>
      </c>
      <c r="F10" s="37">
        <v>29890000</v>
      </c>
      <c r="G10" s="37">
        <v>29690000</v>
      </c>
      <c r="H10" s="26">
        <v>-200</v>
      </c>
    </row>
    <row r="11" spans="1:12" x14ac:dyDescent="0.2">
      <c r="A11" t="s">
        <v>25</v>
      </c>
      <c r="B11" s="25"/>
      <c r="C11" s="52">
        <v>17290000</v>
      </c>
      <c r="D11" s="61">
        <v>16090000</v>
      </c>
      <c r="E11" s="25">
        <v>16790000</v>
      </c>
      <c r="F11" s="37">
        <v>16890000</v>
      </c>
      <c r="G11" s="39">
        <v>16590000</v>
      </c>
      <c r="H11" s="26"/>
    </row>
    <row r="12" spans="1:12" x14ac:dyDescent="0.2">
      <c r="A12" t="s">
        <v>26</v>
      </c>
      <c r="B12" s="25"/>
      <c r="C12" s="52">
        <v>19590000</v>
      </c>
      <c r="D12" s="63" t="s">
        <v>22</v>
      </c>
      <c r="E12" s="25">
        <v>18490000</v>
      </c>
      <c r="F12" s="39">
        <v>17690000</v>
      </c>
      <c r="G12" s="39">
        <v>18490000</v>
      </c>
      <c r="H12" s="26"/>
    </row>
    <row r="13" spans="1:12" x14ac:dyDescent="0.2">
      <c r="A13" t="s">
        <v>27</v>
      </c>
      <c r="B13" s="25"/>
      <c r="C13" s="52">
        <v>13990000</v>
      </c>
      <c r="D13" s="61">
        <v>13490000</v>
      </c>
      <c r="E13" s="25">
        <v>13390000</v>
      </c>
      <c r="F13" s="37">
        <v>13390000</v>
      </c>
      <c r="G13" s="39">
        <v>13490000</v>
      </c>
      <c r="H13" s="26"/>
    </row>
    <row r="14" spans="1:12" x14ac:dyDescent="0.2">
      <c r="A14" t="s">
        <v>28</v>
      </c>
      <c r="B14" s="3"/>
      <c r="C14" s="52">
        <v>12390000</v>
      </c>
      <c r="D14" s="53">
        <v>11990000</v>
      </c>
      <c r="E14" s="25">
        <v>11990000</v>
      </c>
      <c r="F14" s="37">
        <v>11990000</v>
      </c>
      <c r="G14" s="39">
        <v>11890000</v>
      </c>
      <c r="H14" s="26"/>
    </row>
    <row r="15" spans="1:12" x14ac:dyDescent="0.2">
      <c r="A15" t="s">
        <v>29</v>
      </c>
      <c r="B15" s="25"/>
      <c r="C15" s="52">
        <v>11790000</v>
      </c>
      <c r="D15" s="63">
        <v>11790000</v>
      </c>
      <c r="E15" s="25">
        <v>11590000</v>
      </c>
      <c r="F15" s="39">
        <v>11790000</v>
      </c>
      <c r="G15" s="39">
        <v>11590000</v>
      </c>
      <c r="H15" s="26"/>
    </row>
    <row r="16" spans="1:12" x14ac:dyDescent="0.2">
      <c r="A16" t="s">
        <v>30</v>
      </c>
      <c r="B16" s="3"/>
      <c r="C16" s="53">
        <v>8490000</v>
      </c>
      <c r="D16" s="61">
        <v>8490000</v>
      </c>
      <c r="E16" s="34">
        <v>8390000</v>
      </c>
      <c r="F16" s="39">
        <v>8690000</v>
      </c>
      <c r="G16" s="37">
        <v>8390000</v>
      </c>
      <c r="H16" s="26">
        <v>-100</v>
      </c>
      <c r="J16" t="s">
        <v>31</v>
      </c>
      <c r="K16" t="s">
        <v>38</v>
      </c>
      <c r="L16" t="b">
        <v>1</v>
      </c>
    </row>
    <row r="17" spans="1:12" x14ac:dyDescent="0.2">
      <c r="A17" t="s">
        <v>33</v>
      </c>
      <c r="B17" s="3"/>
      <c r="C17" s="53">
        <v>13190000</v>
      </c>
      <c r="D17" s="61">
        <v>13190000</v>
      </c>
      <c r="E17" s="34">
        <v>12790000</v>
      </c>
      <c r="F17" s="39">
        <v>13390000</v>
      </c>
      <c r="G17" s="37">
        <v>13190000</v>
      </c>
      <c r="H17" s="26">
        <v>-100</v>
      </c>
      <c r="J17" t="s">
        <v>2</v>
      </c>
      <c r="K17" t="s">
        <v>34</v>
      </c>
      <c r="L17" t="b">
        <v>1</v>
      </c>
    </row>
    <row r="18" spans="1:12" x14ac:dyDescent="0.2">
      <c r="A18" t="s">
        <v>37</v>
      </c>
      <c r="B18" s="25"/>
      <c r="C18" s="53">
        <v>18890000</v>
      </c>
      <c r="D18" s="63">
        <v>18890000</v>
      </c>
      <c r="E18" s="25">
        <v>20490000</v>
      </c>
      <c r="F18" s="39">
        <v>18890000</v>
      </c>
      <c r="G18" s="34">
        <v>18890000</v>
      </c>
      <c r="H18" s="78">
        <v>-100</v>
      </c>
      <c r="J18" t="s">
        <v>3</v>
      </c>
      <c r="K18" t="s">
        <v>36</v>
      </c>
      <c r="L18" t="b">
        <v>1</v>
      </c>
    </row>
    <row r="19" spans="1:12" x14ac:dyDescent="0.2">
      <c r="A19" t="s">
        <v>184</v>
      </c>
      <c r="B19" s="25"/>
      <c r="C19" s="25" t="s">
        <v>22</v>
      </c>
      <c r="D19" s="63">
        <v>27990000</v>
      </c>
      <c r="E19" s="25" t="s">
        <v>22</v>
      </c>
      <c r="F19" s="37">
        <v>28190000</v>
      </c>
      <c r="G19" s="38">
        <v>27990000</v>
      </c>
      <c r="H19" s="26"/>
      <c r="J19" t="s">
        <v>4</v>
      </c>
      <c r="K19" t="s">
        <v>32</v>
      </c>
      <c r="L19" t="b">
        <v>1</v>
      </c>
    </row>
    <row r="20" spans="1:12" x14ac:dyDescent="0.2">
      <c r="A20" t="s">
        <v>185</v>
      </c>
      <c r="B20" s="3"/>
      <c r="C20" s="25" t="s">
        <v>22</v>
      </c>
      <c r="D20" s="63">
        <v>36290000</v>
      </c>
      <c r="E20" s="25">
        <v>34490000</v>
      </c>
      <c r="F20" s="39">
        <v>36490000</v>
      </c>
      <c r="G20" s="39">
        <v>33690000</v>
      </c>
      <c r="H20" s="26"/>
      <c r="J20" t="s">
        <v>41</v>
      </c>
      <c r="K20" t="s">
        <v>42</v>
      </c>
      <c r="L20" t="b">
        <v>1</v>
      </c>
    </row>
    <row r="21" spans="1:12" x14ac:dyDescent="0.2">
      <c r="A21" t="s">
        <v>40</v>
      </c>
      <c r="B21" s="3"/>
      <c r="C21" s="63">
        <v>29990000</v>
      </c>
      <c r="D21" s="63">
        <v>29990000</v>
      </c>
      <c r="E21" s="25">
        <v>29490000</v>
      </c>
      <c r="F21" s="39">
        <v>29990000</v>
      </c>
      <c r="G21" s="39">
        <v>29590000</v>
      </c>
      <c r="H21" s="26"/>
    </row>
    <row r="22" spans="1:12" x14ac:dyDescent="0.2">
      <c r="A22" t="s">
        <v>43</v>
      </c>
      <c r="B22" s="3"/>
      <c r="C22" s="25">
        <v>39990000</v>
      </c>
      <c r="D22" s="25">
        <v>39990000</v>
      </c>
      <c r="E22" s="25">
        <v>39490000</v>
      </c>
      <c r="F22" s="39">
        <v>39990000</v>
      </c>
      <c r="G22" s="39">
        <v>39590000</v>
      </c>
      <c r="H22" s="26"/>
    </row>
    <row r="23" spans="1:12" x14ac:dyDescent="0.2">
      <c r="A23" t="s">
        <v>44</v>
      </c>
      <c r="B23" s="25"/>
      <c r="C23" s="61">
        <v>6390000</v>
      </c>
      <c r="D23" s="61">
        <v>6290000</v>
      </c>
      <c r="E23" s="34">
        <v>6590000</v>
      </c>
      <c r="F23" s="37">
        <v>5990000</v>
      </c>
      <c r="G23" s="38">
        <v>6690000</v>
      </c>
      <c r="H23" s="26"/>
    </row>
    <row r="24" spans="1:12" x14ac:dyDescent="0.2">
      <c r="A24" t="s">
        <v>45</v>
      </c>
      <c r="B24" s="25"/>
      <c r="C24" s="63">
        <v>8290000</v>
      </c>
      <c r="D24" s="61">
        <v>8290000</v>
      </c>
      <c r="E24" s="34">
        <v>7990000</v>
      </c>
      <c r="F24" s="37">
        <v>8190000</v>
      </c>
      <c r="G24" s="34">
        <v>8290000</v>
      </c>
      <c r="H24" s="26">
        <v>-200</v>
      </c>
    </row>
    <row r="25" spans="1:12" x14ac:dyDescent="0.2">
      <c r="A25" t="s">
        <v>46</v>
      </c>
      <c r="B25" s="25"/>
      <c r="C25" s="61">
        <v>7390000</v>
      </c>
      <c r="D25" s="61">
        <v>7390000</v>
      </c>
      <c r="E25" s="34">
        <v>7290000</v>
      </c>
      <c r="F25" s="37">
        <v>7290000</v>
      </c>
      <c r="G25" s="34">
        <v>7590000</v>
      </c>
      <c r="H25" s="26">
        <v>-100</v>
      </c>
    </row>
    <row r="26" spans="1:12" x14ac:dyDescent="0.2">
      <c r="A26" t="s">
        <v>47</v>
      </c>
      <c r="B26" s="25"/>
      <c r="C26" s="63">
        <v>9090000</v>
      </c>
      <c r="D26" s="63">
        <v>9350000</v>
      </c>
      <c r="E26" s="34">
        <v>8790000</v>
      </c>
      <c r="F26" s="39">
        <v>8990000</v>
      </c>
      <c r="G26" s="34">
        <v>8990000</v>
      </c>
      <c r="H26" s="26">
        <v>-300</v>
      </c>
    </row>
    <row r="27" spans="1:12" x14ac:dyDescent="0.2">
      <c r="A27" t="s">
        <v>48</v>
      </c>
      <c r="B27" s="3"/>
      <c r="C27" s="61">
        <v>10990000</v>
      </c>
      <c r="D27" s="61">
        <v>11890000</v>
      </c>
      <c r="E27" s="34">
        <v>10990000</v>
      </c>
      <c r="F27" s="37">
        <v>10790000</v>
      </c>
      <c r="G27" s="34">
        <v>11090000</v>
      </c>
      <c r="H27" s="26">
        <v>-200</v>
      </c>
    </row>
    <row r="28" spans="1:12" x14ac:dyDescent="0.2">
      <c r="A28" t="s">
        <v>49</v>
      </c>
      <c r="B28" s="3"/>
      <c r="C28" s="63">
        <v>14490000</v>
      </c>
      <c r="D28" s="61">
        <v>14290000</v>
      </c>
      <c r="E28" s="34">
        <v>13590000</v>
      </c>
      <c r="F28" s="39">
        <v>14290000</v>
      </c>
      <c r="G28" s="34">
        <v>14290000</v>
      </c>
      <c r="H28" s="26">
        <v>-100</v>
      </c>
    </row>
    <row r="29" spans="1:12" x14ac:dyDescent="0.2">
      <c r="A29" t="s">
        <v>50</v>
      </c>
      <c r="B29" s="3"/>
      <c r="C29" s="63">
        <v>12090000</v>
      </c>
      <c r="D29" s="61">
        <v>11790000</v>
      </c>
      <c r="E29" s="34">
        <v>11490000</v>
      </c>
      <c r="F29" s="37">
        <v>11790000</v>
      </c>
      <c r="G29" s="38">
        <v>11990000</v>
      </c>
      <c r="H29" s="26"/>
    </row>
    <row r="30" spans="1:12" x14ac:dyDescent="0.2">
      <c r="A30" t="s">
        <v>51</v>
      </c>
      <c r="B30" s="3"/>
      <c r="C30" s="63">
        <v>15350000</v>
      </c>
      <c r="D30" s="63">
        <v>15350000</v>
      </c>
      <c r="E30" s="34">
        <v>14390000</v>
      </c>
      <c r="F30" s="37">
        <v>15290000</v>
      </c>
      <c r="G30" s="38">
        <v>15290000</v>
      </c>
      <c r="H30" s="26"/>
    </row>
    <row r="31" spans="1:12" x14ac:dyDescent="0.2">
      <c r="A31" t="s">
        <v>52</v>
      </c>
      <c r="B31" s="25"/>
      <c r="C31" s="63">
        <v>23990000</v>
      </c>
      <c r="D31" s="61">
        <v>23990000</v>
      </c>
      <c r="E31" s="25">
        <v>23490000</v>
      </c>
      <c r="F31" s="39">
        <v>23990000</v>
      </c>
      <c r="G31" s="38">
        <v>23990000</v>
      </c>
      <c r="H31" s="26"/>
    </row>
    <row r="32" spans="1:12" x14ac:dyDescent="0.2">
      <c r="A32" t="s">
        <v>53</v>
      </c>
      <c r="B32" s="3"/>
      <c r="C32" s="53">
        <v>4790000</v>
      </c>
      <c r="D32" s="61">
        <v>5290000</v>
      </c>
      <c r="E32" s="25">
        <v>5590000</v>
      </c>
      <c r="F32" s="37">
        <v>4790000</v>
      </c>
      <c r="G32" s="38">
        <v>5590000</v>
      </c>
      <c r="H32" s="26"/>
    </row>
    <row r="33" spans="1:8" x14ac:dyDescent="0.2">
      <c r="A33" t="s">
        <v>54</v>
      </c>
      <c r="B33" s="3"/>
      <c r="C33" s="53">
        <v>4290000</v>
      </c>
      <c r="D33" s="63">
        <v>4290000</v>
      </c>
      <c r="E33" s="34">
        <v>4190000</v>
      </c>
      <c r="F33" s="39">
        <v>4390000</v>
      </c>
      <c r="G33" s="38">
        <v>4390000</v>
      </c>
      <c r="H33" s="26"/>
    </row>
    <row r="34" spans="1:8" x14ac:dyDescent="0.2">
      <c r="A34" t="s">
        <v>55</v>
      </c>
      <c r="B34" s="3"/>
      <c r="C34" s="53">
        <v>3090000</v>
      </c>
      <c r="D34" s="61">
        <v>2990000</v>
      </c>
      <c r="E34" s="34">
        <v>2890000</v>
      </c>
      <c r="F34" s="38">
        <v>3090000</v>
      </c>
      <c r="G34" s="37">
        <v>2890000</v>
      </c>
      <c r="H34" s="26">
        <v>-100</v>
      </c>
    </row>
    <row r="35" spans="1:8" x14ac:dyDescent="0.2">
      <c r="A35" t="s">
        <v>56</v>
      </c>
      <c r="B35" s="3"/>
      <c r="C35" s="39">
        <v>6690000</v>
      </c>
      <c r="D35" s="61">
        <v>6690000</v>
      </c>
      <c r="E35" s="71">
        <v>6490000</v>
      </c>
      <c r="F35" s="39">
        <v>6790000</v>
      </c>
      <c r="G35" s="37">
        <v>6390000</v>
      </c>
      <c r="H35" s="26">
        <v>-200</v>
      </c>
    </row>
    <row r="36" spans="1:8" x14ac:dyDescent="0.2">
      <c r="A36" t="s">
        <v>186</v>
      </c>
      <c r="B36" s="25"/>
      <c r="C36" s="52">
        <v>19690000</v>
      </c>
      <c r="D36" s="63">
        <v>19690000</v>
      </c>
      <c r="E36" s="36"/>
      <c r="F36" s="39">
        <v>19690000</v>
      </c>
      <c r="G36" s="39">
        <v>18990000</v>
      </c>
      <c r="H36" s="26"/>
    </row>
    <row r="37" spans="1:8" x14ac:dyDescent="0.2">
      <c r="A37" t="s">
        <v>59</v>
      </c>
      <c r="B37" s="3"/>
      <c r="C37" s="52">
        <v>25290000</v>
      </c>
      <c r="D37" s="61">
        <v>24990000</v>
      </c>
      <c r="E37" s="36"/>
      <c r="F37" s="39">
        <v>24990000</v>
      </c>
      <c r="G37" s="39">
        <v>24290000</v>
      </c>
      <c r="H37" s="26"/>
    </row>
    <row r="38" spans="1:8" x14ac:dyDescent="0.2">
      <c r="A38" t="s">
        <v>61</v>
      </c>
      <c r="B38" s="25"/>
      <c r="C38" s="61">
        <v>29590000</v>
      </c>
      <c r="D38" s="61">
        <v>28990000</v>
      </c>
      <c r="E38" s="36"/>
      <c r="F38" s="39">
        <v>28990000</v>
      </c>
      <c r="G38" s="37">
        <v>28290000</v>
      </c>
      <c r="H38" s="26">
        <v>-1400</v>
      </c>
    </row>
    <row r="39" spans="1:8" x14ac:dyDescent="0.2">
      <c r="A39" t="s">
        <v>187</v>
      </c>
      <c r="B39" s="25"/>
      <c r="C39" s="52" t="s">
        <v>22</v>
      </c>
      <c r="D39" s="63">
        <v>37990000</v>
      </c>
      <c r="E39" s="36"/>
      <c r="F39" s="39">
        <v>38590000</v>
      </c>
      <c r="G39" s="37">
        <v>38990000</v>
      </c>
      <c r="H39" s="26">
        <v>600</v>
      </c>
    </row>
    <row r="40" spans="1:8" x14ac:dyDescent="0.2">
      <c r="A40" t="s">
        <v>62</v>
      </c>
      <c r="B40" s="25"/>
      <c r="C40" s="63">
        <v>41990000</v>
      </c>
      <c r="D40" s="63">
        <v>41990000</v>
      </c>
      <c r="E40" s="36"/>
      <c r="F40" s="39">
        <v>41990000</v>
      </c>
      <c r="G40" s="39">
        <v>41990000</v>
      </c>
      <c r="H40" s="26"/>
    </row>
    <row r="41" spans="1:8" x14ac:dyDescent="0.2">
      <c r="A41" t="s">
        <v>188</v>
      </c>
      <c r="B41" s="25"/>
      <c r="C41" s="52"/>
      <c r="D41" s="63">
        <v>64990000</v>
      </c>
      <c r="E41" s="36"/>
      <c r="F41" s="39">
        <v>63990000</v>
      </c>
      <c r="G41" s="39">
        <v>63990000</v>
      </c>
    </row>
    <row r="42" spans="1:8" x14ac:dyDescent="0.2">
      <c r="C42" s="59"/>
      <c r="D42" s="59"/>
    </row>
    <row r="43" spans="1:8" x14ac:dyDescent="0.2">
      <c r="C43" s="59"/>
      <c r="D43" s="59"/>
    </row>
    <row r="44" spans="1:8" x14ac:dyDescent="0.2">
      <c r="C44" s="59"/>
      <c r="D44" s="59"/>
    </row>
    <row r="45" spans="1:8" x14ac:dyDescent="0.2">
      <c r="C45" s="59"/>
      <c r="D45" s="59"/>
    </row>
    <row r="46" spans="1:8" x14ac:dyDescent="0.2">
      <c r="C46" s="59"/>
      <c r="D46" s="59"/>
    </row>
    <row r="47" spans="1:8" x14ac:dyDescent="0.2">
      <c r="C47" s="59"/>
      <c r="D47" s="59"/>
    </row>
    <row r="48" spans="1:8" x14ac:dyDescent="0.2">
      <c r="C48" s="59"/>
      <c r="D48" s="59"/>
    </row>
    <row r="49" spans="3:4" x14ac:dyDescent="0.2">
      <c r="C49" s="59"/>
      <c r="D49" s="59"/>
    </row>
    <row r="50" spans="3:4" x14ac:dyDescent="0.2">
      <c r="C50" s="59"/>
      <c r="D50" s="59"/>
    </row>
    <row r="51" spans="3:4" x14ac:dyDescent="0.2">
      <c r="C51" s="59"/>
      <c r="D51" s="59"/>
    </row>
    <row r="52" spans="3:4" x14ac:dyDescent="0.2">
      <c r="C52" s="59"/>
      <c r="D52" s="59"/>
    </row>
    <row r="53" spans="3:4" x14ac:dyDescent="0.2">
      <c r="C53" s="59"/>
      <c r="D53" s="59"/>
    </row>
    <row r="54" spans="3:4" x14ac:dyDescent="0.2">
      <c r="C54" s="59"/>
      <c r="D54" s="59"/>
    </row>
    <row r="55" spans="3:4" x14ac:dyDescent="0.2">
      <c r="C55" s="59"/>
      <c r="D55" s="59"/>
    </row>
    <row r="56" spans="3:4" x14ac:dyDescent="0.2">
      <c r="C56" s="59"/>
      <c r="D56" s="59"/>
    </row>
    <row r="57" spans="3:4" x14ac:dyDescent="0.2">
      <c r="C57" s="59"/>
      <c r="D57" s="59"/>
    </row>
    <row r="58" spans="3:4" x14ac:dyDescent="0.2">
      <c r="C58" s="59"/>
      <c r="D58" s="59"/>
    </row>
    <row r="59" spans="3:4" x14ac:dyDescent="0.2">
      <c r="C59" s="59"/>
      <c r="D59" s="59"/>
    </row>
    <row r="60" spans="3:4" x14ac:dyDescent="0.2">
      <c r="C60" s="59"/>
      <c r="D60" s="59"/>
    </row>
    <row r="61" spans="3:4" x14ac:dyDescent="0.2">
      <c r="C61" s="59"/>
      <c r="D61" s="59"/>
    </row>
    <row r="62" spans="3:4" x14ac:dyDescent="0.2">
      <c r="C62" s="59"/>
      <c r="D62" s="59"/>
    </row>
    <row r="63" spans="3:4" x14ac:dyDescent="0.2">
      <c r="C63" s="59"/>
      <c r="D63" s="59"/>
    </row>
    <row r="64" spans="3:4" x14ac:dyDescent="0.2">
      <c r="C64" s="59"/>
      <c r="D64" s="59"/>
    </row>
    <row r="65" spans="3:4" x14ac:dyDescent="0.2">
      <c r="C65" s="59"/>
      <c r="D65" s="59"/>
    </row>
    <row r="66" spans="3:4" x14ac:dyDescent="0.2">
      <c r="C66" s="59"/>
      <c r="D66" s="59"/>
    </row>
    <row r="67" spans="3:4" x14ac:dyDescent="0.2">
      <c r="C67" s="59"/>
      <c r="D67" s="59"/>
    </row>
    <row r="68" spans="3:4" x14ac:dyDescent="0.2">
      <c r="C68" s="59"/>
      <c r="D68" s="59"/>
    </row>
    <row r="69" spans="3:4" x14ac:dyDescent="0.2">
      <c r="C69" s="59"/>
      <c r="D69" s="59"/>
    </row>
    <row r="70" spans="3:4" x14ac:dyDescent="0.2">
      <c r="C70" s="59"/>
      <c r="D70" s="59"/>
    </row>
    <row r="71" spans="3:4" x14ac:dyDescent="0.2">
      <c r="C71" s="59"/>
      <c r="D71" s="59"/>
    </row>
    <row r="72" spans="3:4" x14ac:dyDescent="0.2">
      <c r="C72" s="59"/>
      <c r="D72" s="59"/>
    </row>
    <row r="73" spans="3:4" x14ac:dyDescent="0.2">
      <c r="C73" s="59"/>
      <c r="D73" s="59"/>
    </row>
    <row r="74" spans="3:4" x14ac:dyDescent="0.2">
      <c r="C74" s="59"/>
      <c r="D74" s="59"/>
    </row>
    <row r="75" spans="3:4" x14ac:dyDescent="0.2">
      <c r="C75" s="59"/>
      <c r="D75" s="59"/>
    </row>
    <row r="76" spans="3:4" x14ac:dyDescent="0.2">
      <c r="C76" s="59"/>
      <c r="D76" s="59"/>
    </row>
    <row r="77" spans="3:4" x14ac:dyDescent="0.2">
      <c r="C77" s="59"/>
      <c r="D77" s="59"/>
    </row>
    <row r="78" spans="3:4" x14ac:dyDescent="0.2">
      <c r="C78" s="59"/>
      <c r="D78" s="59"/>
    </row>
    <row r="79" spans="3:4" x14ac:dyDescent="0.2">
      <c r="C79" s="59"/>
      <c r="D79" s="59"/>
    </row>
    <row r="80" spans="3:4" x14ac:dyDescent="0.2">
      <c r="C80" s="59"/>
      <c r="D80" s="59"/>
    </row>
    <row r="81" spans="3:4" x14ac:dyDescent="0.2">
      <c r="C81" s="59"/>
      <c r="D81" s="59"/>
    </row>
    <row r="82" spans="3:4" x14ac:dyDescent="0.2">
      <c r="C82" s="59"/>
      <c r="D82" s="59"/>
    </row>
    <row r="83" spans="3:4" x14ac:dyDescent="0.2">
      <c r="C83" s="59"/>
      <c r="D83" s="59"/>
    </row>
    <row r="84" spans="3:4" x14ac:dyDescent="0.2">
      <c r="C84" s="59"/>
      <c r="D84" s="59"/>
    </row>
    <row r="85" spans="3:4" x14ac:dyDescent="0.2">
      <c r="C85" s="59"/>
      <c r="D85" s="59"/>
    </row>
    <row r="86" spans="3:4" x14ac:dyDescent="0.2">
      <c r="C86" s="59"/>
      <c r="D86" s="59"/>
    </row>
    <row r="87" spans="3:4" x14ac:dyDescent="0.2">
      <c r="C87" s="59"/>
      <c r="D87" s="59"/>
    </row>
    <row r="88" spans="3:4" x14ac:dyDescent="0.2">
      <c r="C88" s="59"/>
      <c r="D88" s="59"/>
    </row>
    <row r="89" spans="3:4" x14ac:dyDescent="0.2">
      <c r="C89" s="59"/>
      <c r="D89" s="59"/>
    </row>
    <row r="90" spans="3:4" x14ac:dyDescent="0.2">
      <c r="C90" s="59"/>
      <c r="D90" s="59"/>
    </row>
    <row r="91" spans="3:4" x14ac:dyDescent="0.2">
      <c r="C91" s="59"/>
      <c r="D91" s="59"/>
    </row>
    <row r="92" spans="3:4" x14ac:dyDescent="0.2">
      <c r="C92" s="59"/>
      <c r="D92" s="59"/>
    </row>
    <row r="93" spans="3:4" x14ac:dyDescent="0.2">
      <c r="C93" s="59"/>
      <c r="D93" s="59"/>
    </row>
    <row r="94" spans="3:4" x14ac:dyDescent="0.2">
      <c r="C94" s="59"/>
      <c r="D94" s="59"/>
    </row>
    <row r="95" spans="3:4" x14ac:dyDescent="0.2">
      <c r="C95" s="59"/>
      <c r="D95" s="59"/>
    </row>
    <row r="96" spans="3:4" x14ac:dyDescent="0.2">
      <c r="C96" s="59"/>
      <c r="D96" s="59"/>
    </row>
    <row r="97" spans="3:4" x14ac:dyDescent="0.2">
      <c r="C97" s="59"/>
      <c r="D97" s="59"/>
    </row>
    <row r="98" spans="3:4" x14ac:dyDescent="0.2">
      <c r="C98" s="59"/>
      <c r="D98" s="59"/>
    </row>
    <row r="99" spans="3:4" x14ac:dyDescent="0.2">
      <c r="C99" s="59"/>
      <c r="D99" s="59"/>
    </row>
    <row r="100" spans="3:4" x14ac:dyDescent="0.2">
      <c r="C100" s="59"/>
      <c r="D100" s="59"/>
    </row>
    <row r="101" spans="3:4" x14ac:dyDescent="0.2">
      <c r="C101" s="59"/>
      <c r="D101" s="59"/>
    </row>
    <row r="102" spans="3:4" x14ac:dyDescent="0.2">
      <c r="C102" s="59"/>
      <c r="D102" s="59"/>
    </row>
    <row r="103" spans="3:4" x14ac:dyDescent="0.2">
      <c r="C103" s="59"/>
      <c r="D103" s="59"/>
    </row>
    <row r="104" spans="3:4" x14ac:dyDescent="0.2">
      <c r="C104" s="59"/>
      <c r="D104" s="59"/>
    </row>
    <row r="105" spans="3:4" x14ac:dyDescent="0.2">
      <c r="C105" s="59"/>
      <c r="D105" s="59"/>
    </row>
    <row r="106" spans="3:4" x14ac:dyDescent="0.2">
      <c r="C106" s="59"/>
      <c r="D106" s="59"/>
    </row>
    <row r="107" spans="3:4" x14ac:dyDescent="0.2">
      <c r="C107" s="59"/>
      <c r="D107" s="59"/>
    </row>
    <row r="108" spans="3:4" x14ac:dyDescent="0.2">
      <c r="C108" s="59"/>
      <c r="D108" s="59"/>
    </row>
    <row r="109" spans="3:4" x14ac:dyDescent="0.2">
      <c r="C109" s="59"/>
      <c r="D109" s="59"/>
    </row>
    <row r="110" spans="3:4" x14ac:dyDescent="0.2">
      <c r="C110" s="59"/>
      <c r="D110" s="59"/>
    </row>
    <row r="111" spans="3:4" x14ac:dyDescent="0.2">
      <c r="C111" s="59"/>
      <c r="D111" s="59"/>
    </row>
    <row r="112" spans="3:4" x14ac:dyDescent="0.2">
      <c r="C112" s="59"/>
      <c r="D112" s="59"/>
    </row>
    <row r="113" spans="3:4" x14ac:dyDescent="0.2">
      <c r="C113" s="59"/>
      <c r="D113" s="59"/>
    </row>
    <row r="114" spans="3:4" x14ac:dyDescent="0.2">
      <c r="C114" s="59"/>
      <c r="D114" s="59"/>
    </row>
    <row r="115" spans="3:4" x14ac:dyDescent="0.2">
      <c r="C115" s="59"/>
      <c r="D115" s="59"/>
    </row>
    <row r="116" spans="3:4" x14ac:dyDescent="0.2">
      <c r="C116" s="59"/>
      <c r="D116" s="59"/>
    </row>
    <row r="117" spans="3:4" x14ac:dyDescent="0.2">
      <c r="C117" s="59"/>
      <c r="D117" s="59"/>
    </row>
    <row r="118" spans="3:4" x14ac:dyDescent="0.2">
      <c r="C118" s="59"/>
      <c r="D118" s="59"/>
    </row>
    <row r="119" spans="3:4" x14ac:dyDescent="0.2">
      <c r="C119" s="59"/>
      <c r="D119" s="59"/>
    </row>
    <row r="120" spans="3:4" x14ac:dyDescent="0.2">
      <c r="C120" s="59"/>
      <c r="D120" s="59"/>
    </row>
    <row r="121" spans="3:4" x14ac:dyDescent="0.2">
      <c r="C121" s="59"/>
      <c r="D121" s="59"/>
    </row>
    <row r="122" spans="3:4" x14ac:dyDescent="0.2">
      <c r="C122" s="59"/>
      <c r="D122" s="59"/>
    </row>
    <row r="123" spans="3:4" x14ac:dyDescent="0.2">
      <c r="C123" s="59"/>
      <c r="D123" s="59"/>
    </row>
    <row r="124" spans="3:4" x14ac:dyDescent="0.2">
      <c r="C124" s="59"/>
      <c r="D124" s="59"/>
    </row>
    <row r="125" spans="3:4" x14ac:dyDescent="0.2">
      <c r="C125" s="59"/>
      <c r="D125" s="59"/>
    </row>
    <row r="126" spans="3:4" x14ac:dyDescent="0.2">
      <c r="C126" s="59"/>
      <c r="D126" s="59"/>
    </row>
    <row r="127" spans="3:4" x14ac:dyDescent="0.2">
      <c r="C127" s="59"/>
      <c r="D127" s="59"/>
    </row>
    <row r="128" spans="3:4" x14ac:dyDescent="0.2">
      <c r="C128" s="59"/>
      <c r="D128" s="59"/>
    </row>
    <row r="129" spans="3:4" x14ac:dyDescent="0.2">
      <c r="C129" s="59"/>
      <c r="D129" s="59"/>
    </row>
    <row r="130" spans="3:4" x14ac:dyDescent="0.2">
      <c r="C130" s="59"/>
      <c r="D130" s="59"/>
    </row>
    <row r="131" spans="3:4" x14ac:dyDescent="0.2">
      <c r="C131" s="59"/>
      <c r="D131" s="59"/>
    </row>
    <row r="132" spans="3:4" x14ac:dyDescent="0.2">
      <c r="C132" s="59"/>
      <c r="D132" s="59"/>
    </row>
    <row r="133" spans="3:4" x14ac:dyDescent="0.2">
      <c r="C133" s="59"/>
      <c r="D133" s="59"/>
    </row>
    <row r="134" spans="3:4" x14ac:dyDescent="0.2">
      <c r="C134" s="59"/>
      <c r="D134" s="59"/>
    </row>
    <row r="135" spans="3:4" x14ac:dyDescent="0.2">
      <c r="C135" s="59"/>
      <c r="D135" s="59"/>
    </row>
    <row r="136" spans="3:4" x14ac:dyDescent="0.2">
      <c r="C136" s="59"/>
      <c r="D136" s="59"/>
    </row>
    <row r="137" spans="3:4" x14ac:dyDescent="0.2">
      <c r="C137" s="59"/>
      <c r="D137" s="59"/>
    </row>
    <row r="138" spans="3:4" x14ac:dyDescent="0.2">
      <c r="C138" s="59"/>
      <c r="D138" s="59"/>
    </row>
    <row r="139" spans="3:4" x14ac:dyDescent="0.2">
      <c r="C139" s="59"/>
      <c r="D139" s="59"/>
    </row>
    <row r="140" spans="3:4" x14ac:dyDescent="0.2">
      <c r="C140" s="59"/>
      <c r="D140" s="59"/>
    </row>
    <row r="141" spans="3:4" x14ac:dyDescent="0.2">
      <c r="C141" s="59"/>
      <c r="D141" s="59"/>
    </row>
    <row r="142" spans="3:4" x14ac:dyDescent="0.2">
      <c r="C142" s="59"/>
      <c r="D142" s="59"/>
    </row>
    <row r="143" spans="3:4" x14ac:dyDescent="0.2">
      <c r="C143" s="59"/>
      <c r="D143" s="59"/>
    </row>
    <row r="144" spans="3:4" x14ac:dyDescent="0.2">
      <c r="C144" s="59"/>
      <c r="D144" s="59"/>
    </row>
    <row r="145" spans="3:4" x14ac:dyDescent="0.2">
      <c r="C145" s="59"/>
      <c r="D145" s="59"/>
    </row>
    <row r="146" spans="3:4" x14ac:dyDescent="0.2">
      <c r="C146" s="59"/>
      <c r="D146" s="59"/>
    </row>
    <row r="147" spans="3:4" x14ac:dyDescent="0.2">
      <c r="C147" s="59"/>
      <c r="D147" s="59"/>
    </row>
    <row r="148" spans="3:4" x14ac:dyDescent="0.2">
      <c r="C148" s="59"/>
      <c r="D148" s="59"/>
    </row>
    <row r="149" spans="3:4" x14ac:dyDescent="0.2">
      <c r="C149" s="59"/>
      <c r="D149" s="59"/>
    </row>
    <row r="150" spans="3:4" x14ac:dyDescent="0.2">
      <c r="C150" s="59"/>
      <c r="D150" s="59"/>
    </row>
    <row r="151" spans="3:4" x14ac:dyDescent="0.2">
      <c r="C151" s="59"/>
      <c r="D151" s="59"/>
    </row>
    <row r="152" spans="3:4" x14ac:dyDescent="0.2">
      <c r="C152" s="59"/>
      <c r="D152" s="59"/>
    </row>
    <row r="153" spans="3:4" x14ac:dyDescent="0.2">
      <c r="C153" s="59"/>
      <c r="D153" s="59"/>
    </row>
  </sheetData>
  <pageMargins left="0.7" right="0.7" top="0.75" bottom="0.75" header="0.3" footer="0.3"/>
  <pageSetup paperSize="9" orientation="portrait" horizontalDpi="0" verticalDpi="0"/>
  <legacyDrawing r:id="rId1"/>
</worksheet>
</file>

<file path=xl/worksheets/sheet8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400-000000000000}">
  <dimension ref="A1:L153"/>
  <sheetViews>
    <sheetView zoomScaleNormal="100" workbookViewId="0">
      <pane xSplit="2" ySplit="1" topLeftCell="C2" activePane="bottomRight" state="frozen"/>
      <selection pane="topRight" activeCell="C1" sqref="C1"/>
      <selection pane="bottomLeft" activeCell="A2" sqref="A2"/>
      <selection pane="bottomRight" activeCell="C1" sqref="C1"/>
    </sheetView>
  </sheetViews>
  <sheetFormatPr baseColWidth="10" defaultColWidth="11" defaultRowHeight="16" x14ac:dyDescent="0.2"/>
  <cols>
    <col min="1" max="1" width="27.5" bestFit="1" customWidth="1"/>
    <col min="2" max="2" width="0" hidden="1"/>
    <col min="3" max="3" width="10.1640625" bestFit="1" customWidth="1"/>
    <col min="4" max="4" width="11.1640625" bestFit="1" customWidth="1"/>
    <col min="5" max="6" width="10.1640625" bestFit="1" customWidth="1"/>
    <col min="7" max="7" width="13" customWidth="1"/>
    <col min="8" max="8" width="12.1640625" customWidth="1"/>
  </cols>
  <sheetData>
    <row r="1" spans="1:12" x14ac:dyDescent="0.2">
      <c r="B1" s="46" t="s">
        <v>0</v>
      </c>
      <c r="C1" s="80" t="s">
        <v>1</v>
      </c>
      <c r="D1" s="80" t="s">
        <v>2</v>
      </c>
      <c r="E1" s="81" t="s">
        <v>3</v>
      </c>
      <c r="F1" s="81" t="s">
        <v>4</v>
      </c>
      <c r="G1" s="81" t="s">
        <v>5</v>
      </c>
    </row>
    <row r="2" spans="1:12" x14ac:dyDescent="0.2">
      <c r="A2" t="s">
        <v>17</v>
      </c>
      <c r="B2" s="82"/>
      <c r="C2" s="67">
        <v>24990000</v>
      </c>
      <c r="D2" s="67">
        <v>24990000</v>
      </c>
      <c r="E2" s="71">
        <v>24490000</v>
      </c>
      <c r="F2" s="39">
        <v>24990000</v>
      </c>
      <c r="G2" s="39">
        <v>24990000</v>
      </c>
    </row>
    <row r="3" spans="1:12" x14ac:dyDescent="0.2">
      <c r="A3" t="s">
        <v>18</v>
      </c>
      <c r="B3" s="82"/>
      <c r="C3" s="67">
        <v>30990000</v>
      </c>
      <c r="D3" s="75">
        <v>30790000</v>
      </c>
      <c r="E3" s="25">
        <v>29990000</v>
      </c>
      <c r="F3" s="37">
        <v>30890000</v>
      </c>
      <c r="G3" s="37">
        <v>29990000</v>
      </c>
      <c r="H3" s="26">
        <v>-300</v>
      </c>
    </row>
    <row r="4" spans="1:12" x14ac:dyDescent="0.2">
      <c r="A4" t="s">
        <v>19</v>
      </c>
      <c r="B4" s="82"/>
      <c r="C4" s="67">
        <v>34990000</v>
      </c>
      <c r="D4" s="75">
        <v>34790000</v>
      </c>
      <c r="E4" s="34">
        <v>33490000</v>
      </c>
      <c r="F4" s="37">
        <v>33990000</v>
      </c>
      <c r="G4" s="37">
        <v>34190000</v>
      </c>
      <c r="H4" s="26">
        <v>-100</v>
      </c>
    </row>
    <row r="5" spans="1:12" x14ac:dyDescent="0.2">
      <c r="A5" t="s">
        <v>20</v>
      </c>
      <c r="B5" s="82"/>
      <c r="C5" s="67">
        <v>37990000</v>
      </c>
      <c r="D5" s="67">
        <v>37990000</v>
      </c>
      <c r="E5" s="34">
        <v>37190000</v>
      </c>
      <c r="F5" s="39">
        <v>37990000</v>
      </c>
      <c r="G5" s="39">
        <v>37490000</v>
      </c>
      <c r="H5" s="26"/>
    </row>
    <row r="6" spans="1:12" x14ac:dyDescent="0.2">
      <c r="A6" t="s">
        <v>21</v>
      </c>
      <c r="B6" s="82"/>
      <c r="C6" s="66">
        <v>14990000</v>
      </c>
      <c r="D6" s="67">
        <v>14990000</v>
      </c>
      <c r="E6" s="71">
        <v>12490000</v>
      </c>
      <c r="F6" s="71">
        <v>12490000</v>
      </c>
      <c r="G6" s="39">
        <v>15190000</v>
      </c>
      <c r="H6" s="26"/>
    </row>
    <row r="7" spans="1:12" x14ac:dyDescent="0.2">
      <c r="A7" t="s">
        <v>181</v>
      </c>
      <c r="B7" s="70"/>
      <c r="C7" s="68">
        <v>21290000</v>
      </c>
      <c r="D7" s="72">
        <v>20990000</v>
      </c>
      <c r="E7" s="34">
        <v>20490000</v>
      </c>
      <c r="F7" s="37">
        <v>20990000</v>
      </c>
      <c r="G7" s="37">
        <v>20790000</v>
      </c>
      <c r="H7" s="26">
        <v>-200</v>
      </c>
    </row>
    <row r="8" spans="1:12" x14ac:dyDescent="0.2">
      <c r="A8" t="s">
        <v>24</v>
      </c>
      <c r="B8" s="3"/>
      <c r="C8" s="53">
        <v>25090000</v>
      </c>
      <c r="D8" s="63">
        <v>24790000</v>
      </c>
      <c r="E8" s="34">
        <v>23490000</v>
      </c>
      <c r="F8" s="39">
        <v>24590000</v>
      </c>
      <c r="G8" s="39">
        <v>24490000</v>
      </c>
      <c r="H8" s="26"/>
    </row>
    <row r="9" spans="1:12" x14ac:dyDescent="0.2">
      <c r="A9" t="s">
        <v>182</v>
      </c>
      <c r="B9" s="25"/>
      <c r="C9" s="39" t="s">
        <v>22</v>
      </c>
      <c r="D9" s="39">
        <v>25590000</v>
      </c>
      <c r="E9" s="25">
        <v>24990000</v>
      </c>
      <c r="F9" s="79">
        <v>25690000</v>
      </c>
      <c r="G9" s="39">
        <v>24990000</v>
      </c>
      <c r="H9" s="26"/>
    </row>
    <row r="10" spans="1:12" x14ac:dyDescent="0.2">
      <c r="A10" t="s">
        <v>183</v>
      </c>
      <c r="B10" s="3"/>
      <c r="C10" s="52">
        <v>30590000</v>
      </c>
      <c r="D10" s="61">
        <v>30490000</v>
      </c>
      <c r="E10" s="25">
        <v>29690000</v>
      </c>
      <c r="F10" s="37">
        <v>30590000</v>
      </c>
      <c r="G10" s="39">
        <v>29690000</v>
      </c>
      <c r="H10" s="26"/>
    </row>
    <row r="11" spans="1:12" x14ac:dyDescent="0.2">
      <c r="A11" t="s">
        <v>25</v>
      </c>
      <c r="B11" s="25"/>
      <c r="C11" s="52">
        <v>17290000</v>
      </c>
      <c r="D11" s="61">
        <v>16990000</v>
      </c>
      <c r="E11" s="34">
        <v>16690000</v>
      </c>
      <c r="F11" s="37">
        <v>16990000</v>
      </c>
      <c r="G11" s="39">
        <v>16590000</v>
      </c>
      <c r="H11" s="26"/>
    </row>
    <row r="12" spans="1:12" x14ac:dyDescent="0.2">
      <c r="A12" t="s">
        <v>26</v>
      </c>
      <c r="B12" s="25"/>
      <c r="C12" s="52">
        <v>19590000</v>
      </c>
      <c r="D12" s="63" t="s">
        <v>22</v>
      </c>
      <c r="E12" s="25">
        <v>18490000</v>
      </c>
      <c r="F12" s="39">
        <v>17690000</v>
      </c>
      <c r="G12" s="39">
        <v>18490000</v>
      </c>
      <c r="H12" s="26"/>
    </row>
    <row r="13" spans="1:12" x14ac:dyDescent="0.2">
      <c r="A13" t="s">
        <v>27</v>
      </c>
      <c r="B13" s="25"/>
      <c r="C13" s="52">
        <v>13990000</v>
      </c>
      <c r="D13" s="61">
        <v>13690000</v>
      </c>
      <c r="E13" s="25">
        <v>13390000</v>
      </c>
      <c r="F13" s="37">
        <v>13590000</v>
      </c>
      <c r="G13" s="37">
        <v>12990000</v>
      </c>
      <c r="H13" s="26">
        <v>-500</v>
      </c>
    </row>
    <row r="14" spans="1:12" x14ac:dyDescent="0.2">
      <c r="A14" t="s">
        <v>28</v>
      </c>
      <c r="B14" s="3"/>
      <c r="C14" s="53">
        <v>12490000</v>
      </c>
      <c r="D14" s="53">
        <v>12190000</v>
      </c>
      <c r="E14" s="25">
        <v>11990000</v>
      </c>
      <c r="F14" s="37">
        <v>12190000</v>
      </c>
      <c r="G14" s="39">
        <v>11890000</v>
      </c>
      <c r="H14" s="26"/>
    </row>
    <row r="15" spans="1:12" x14ac:dyDescent="0.2">
      <c r="A15" t="s">
        <v>29</v>
      </c>
      <c r="B15" s="25"/>
      <c r="C15" s="53">
        <v>13590000</v>
      </c>
      <c r="D15" s="63">
        <v>13590000</v>
      </c>
      <c r="E15" s="34">
        <v>13290000</v>
      </c>
      <c r="F15" s="37">
        <v>13590000</v>
      </c>
      <c r="G15" s="39">
        <v>11590000</v>
      </c>
      <c r="H15" s="26"/>
    </row>
    <row r="16" spans="1:12" x14ac:dyDescent="0.2">
      <c r="A16" t="s">
        <v>30</v>
      </c>
      <c r="B16" s="3"/>
      <c r="C16" s="53">
        <v>9390000</v>
      </c>
      <c r="D16" s="61">
        <v>9490000</v>
      </c>
      <c r="E16" s="34">
        <v>9190000</v>
      </c>
      <c r="F16" s="37">
        <v>9390000</v>
      </c>
      <c r="G16" s="37">
        <v>8890000</v>
      </c>
      <c r="H16" s="26">
        <v>500</v>
      </c>
      <c r="J16" t="s">
        <v>31</v>
      </c>
      <c r="K16" t="s">
        <v>38</v>
      </c>
      <c r="L16" t="b">
        <v>1</v>
      </c>
    </row>
    <row r="17" spans="1:12" x14ac:dyDescent="0.2">
      <c r="A17" t="s">
        <v>33</v>
      </c>
      <c r="B17" s="3"/>
      <c r="C17" s="53">
        <v>16190000</v>
      </c>
      <c r="D17" s="61">
        <v>16190000</v>
      </c>
      <c r="E17" s="34">
        <v>15590000</v>
      </c>
      <c r="F17" s="37">
        <v>16190000</v>
      </c>
      <c r="G17" s="37">
        <v>15490000</v>
      </c>
      <c r="H17" s="26">
        <v>2300</v>
      </c>
      <c r="I17" s="26"/>
      <c r="J17" t="s">
        <v>2</v>
      </c>
      <c r="K17" t="s">
        <v>34</v>
      </c>
      <c r="L17" t="b">
        <v>1</v>
      </c>
    </row>
    <row r="18" spans="1:12" x14ac:dyDescent="0.2">
      <c r="A18" t="s">
        <v>37</v>
      </c>
      <c r="B18" s="25"/>
      <c r="C18" s="53">
        <v>21490000</v>
      </c>
      <c r="D18" s="61">
        <v>21490000</v>
      </c>
      <c r="E18" s="25">
        <v>20490000</v>
      </c>
      <c r="F18" s="37">
        <v>21490000</v>
      </c>
      <c r="G18" s="34">
        <v>21390000</v>
      </c>
      <c r="H18" s="78">
        <v>2500</v>
      </c>
      <c r="J18" t="s">
        <v>3</v>
      </c>
      <c r="K18" t="s">
        <v>36</v>
      </c>
      <c r="L18" t="b">
        <v>1</v>
      </c>
    </row>
    <row r="19" spans="1:12" x14ac:dyDescent="0.2">
      <c r="A19" t="s">
        <v>184</v>
      </c>
      <c r="B19" s="25"/>
      <c r="C19" s="25" t="s">
        <v>22</v>
      </c>
      <c r="D19" s="63">
        <v>27990000</v>
      </c>
      <c r="E19" s="25" t="s">
        <v>22</v>
      </c>
      <c r="F19" s="37">
        <v>27990000</v>
      </c>
      <c r="G19" s="34">
        <v>27190000</v>
      </c>
      <c r="H19" s="26">
        <v>-800</v>
      </c>
      <c r="J19" t="s">
        <v>4</v>
      </c>
      <c r="K19" t="s">
        <v>32</v>
      </c>
      <c r="L19" t="b">
        <v>1</v>
      </c>
    </row>
    <row r="20" spans="1:12" x14ac:dyDescent="0.2">
      <c r="A20" t="s">
        <v>185</v>
      </c>
      <c r="B20" s="3"/>
      <c r="C20" s="25" t="s">
        <v>22</v>
      </c>
      <c r="D20" s="63">
        <v>36290000</v>
      </c>
      <c r="E20" s="34">
        <v>34290000</v>
      </c>
      <c r="F20" s="39">
        <v>36490000</v>
      </c>
      <c r="G20" s="39">
        <v>33690000</v>
      </c>
      <c r="H20" s="26"/>
      <c r="J20" t="s">
        <v>41</v>
      </c>
      <c r="K20" t="s">
        <v>42</v>
      </c>
      <c r="L20" t="b">
        <v>1</v>
      </c>
    </row>
    <row r="21" spans="1:12" x14ac:dyDescent="0.2">
      <c r="A21" t="s">
        <v>40</v>
      </c>
      <c r="B21" s="3"/>
      <c r="C21" s="63">
        <v>29990000</v>
      </c>
      <c r="D21" s="63">
        <v>29990000</v>
      </c>
      <c r="E21" s="34">
        <v>28990000</v>
      </c>
      <c r="F21" s="39">
        <v>29990000</v>
      </c>
      <c r="G21" s="39">
        <v>29590000</v>
      </c>
      <c r="H21" s="26"/>
    </row>
    <row r="22" spans="1:12" x14ac:dyDescent="0.2">
      <c r="A22" t="s">
        <v>43</v>
      </c>
      <c r="B22" s="3"/>
      <c r="C22" s="25">
        <v>39990000</v>
      </c>
      <c r="D22" s="25">
        <v>39990000</v>
      </c>
      <c r="E22" s="34">
        <v>38990000</v>
      </c>
      <c r="F22" s="39">
        <v>39990000</v>
      </c>
      <c r="G22" s="39">
        <v>39590000</v>
      </c>
      <c r="H22" s="26"/>
    </row>
    <row r="23" spans="1:12" x14ac:dyDescent="0.2">
      <c r="A23" t="s">
        <v>44</v>
      </c>
      <c r="B23" s="25"/>
      <c r="C23" s="61">
        <v>6190000</v>
      </c>
      <c r="D23" s="61">
        <v>6090000</v>
      </c>
      <c r="E23" s="25">
        <v>6590000</v>
      </c>
      <c r="F23" s="79">
        <v>5990000</v>
      </c>
      <c r="G23" s="38">
        <v>6690000</v>
      </c>
      <c r="H23" s="26"/>
    </row>
    <row r="24" spans="1:12" x14ac:dyDescent="0.2">
      <c r="A24" t="s">
        <v>45</v>
      </c>
      <c r="B24" s="25"/>
      <c r="C24" s="61">
        <v>8090000</v>
      </c>
      <c r="D24" s="61">
        <v>8090000</v>
      </c>
      <c r="E24" s="25">
        <v>7990000</v>
      </c>
      <c r="F24" s="79">
        <v>8190000</v>
      </c>
      <c r="G24" s="39">
        <v>8290000</v>
      </c>
      <c r="H24" s="26"/>
    </row>
    <row r="25" spans="1:12" x14ac:dyDescent="0.2">
      <c r="A25" t="s">
        <v>46</v>
      </c>
      <c r="B25" s="25"/>
      <c r="C25" s="61">
        <v>7190000</v>
      </c>
      <c r="D25" s="61">
        <v>7190000</v>
      </c>
      <c r="E25" s="25">
        <v>7290000</v>
      </c>
      <c r="F25" s="79">
        <v>7290000</v>
      </c>
      <c r="G25" s="39">
        <v>7590000</v>
      </c>
      <c r="H25" s="26"/>
    </row>
    <row r="26" spans="1:12" x14ac:dyDescent="0.2">
      <c r="A26" t="s">
        <v>47</v>
      </c>
      <c r="B26" s="25"/>
      <c r="C26" s="61">
        <v>8790000</v>
      </c>
      <c r="D26" s="61">
        <v>8790000</v>
      </c>
      <c r="E26" s="25">
        <v>8790000</v>
      </c>
      <c r="F26" s="39">
        <v>8990000</v>
      </c>
      <c r="G26" s="39">
        <v>8990000</v>
      </c>
      <c r="H26" s="26"/>
    </row>
    <row r="27" spans="1:12" x14ac:dyDescent="0.2">
      <c r="A27" t="s">
        <v>48</v>
      </c>
      <c r="B27" s="3"/>
      <c r="C27" s="61">
        <v>10690000</v>
      </c>
      <c r="D27" s="61">
        <v>10690000</v>
      </c>
      <c r="E27" s="34">
        <v>10790000</v>
      </c>
      <c r="F27" s="37">
        <v>10890000</v>
      </c>
      <c r="G27" s="39">
        <v>11090000</v>
      </c>
      <c r="H27" s="26"/>
    </row>
    <row r="28" spans="1:12" x14ac:dyDescent="0.2">
      <c r="A28" t="s">
        <v>49</v>
      </c>
      <c r="B28" s="3"/>
      <c r="C28" s="61">
        <v>14090000</v>
      </c>
      <c r="D28" s="61">
        <v>14190000</v>
      </c>
      <c r="E28" s="25">
        <v>13590000</v>
      </c>
      <c r="F28" s="39">
        <v>14290000</v>
      </c>
      <c r="G28" s="39">
        <v>14290000</v>
      </c>
      <c r="H28" s="26"/>
    </row>
    <row r="29" spans="1:12" x14ac:dyDescent="0.2">
      <c r="A29" t="s">
        <v>50</v>
      </c>
      <c r="B29" s="3"/>
      <c r="C29" s="61">
        <v>11890000</v>
      </c>
      <c r="D29" s="61">
        <v>11790000</v>
      </c>
      <c r="E29" s="34">
        <v>12190000</v>
      </c>
      <c r="F29" s="79">
        <v>11790000</v>
      </c>
      <c r="G29" s="39">
        <v>11990000</v>
      </c>
      <c r="H29" s="26"/>
    </row>
    <row r="30" spans="1:12" x14ac:dyDescent="0.2">
      <c r="A30" t="s">
        <v>51</v>
      </c>
      <c r="B30" s="3"/>
      <c r="C30" s="61">
        <v>14990000</v>
      </c>
      <c r="D30" s="61">
        <v>19900000</v>
      </c>
      <c r="E30" s="25">
        <v>14390000</v>
      </c>
      <c r="F30" s="37">
        <v>15090000</v>
      </c>
      <c r="G30" s="38">
        <v>15290000</v>
      </c>
      <c r="H30" s="26"/>
    </row>
    <row r="31" spans="1:12" x14ac:dyDescent="0.2">
      <c r="A31" t="s">
        <v>52</v>
      </c>
      <c r="B31" s="25"/>
      <c r="C31" s="61">
        <v>23590000</v>
      </c>
      <c r="D31" s="61">
        <v>23590000</v>
      </c>
      <c r="E31" s="25">
        <v>23490000</v>
      </c>
      <c r="F31" s="37">
        <v>23590000</v>
      </c>
      <c r="G31" s="38">
        <v>23990000</v>
      </c>
      <c r="H31" s="26"/>
    </row>
    <row r="32" spans="1:12" x14ac:dyDescent="0.2">
      <c r="A32" t="s">
        <v>53</v>
      </c>
      <c r="B32" s="3"/>
      <c r="C32" s="53">
        <v>5190000</v>
      </c>
      <c r="D32" s="61">
        <v>5290000</v>
      </c>
      <c r="E32" s="34">
        <v>4290000</v>
      </c>
      <c r="F32" s="37">
        <v>5190000</v>
      </c>
      <c r="G32" s="38">
        <v>5590000</v>
      </c>
      <c r="H32" s="26"/>
    </row>
    <row r="33" spans="1:8" x14ac:dyDescent="0.2">
      <c r="A33" t="s">
        <v>54</v>
      </c>
      <c r="B33" s="3"/>
      <c r="C33" s="53">
        <v>4790000</v>
      </c>
      <c r="D33" s="61">
        <v>4690000</v>
      </c>
      <c r="E33" s="34">
        <v>4490000</v>
      </c>
      <c r="F33" s="37">
        <v>4690000</v>
      </c>
      <c r="G33" s="34">
        <v>4490000</v>
      </c>
      <c r="H33" s="26">
        <v>100</v>
      </c>
    </row>
    <row r="34" spans="1:8" x14ac:dyDescent="0.2">
      <c r="A34" t="s">
        <v>55</v>
      </c>
      <c r="B34" s="3"/>
      <c r="C34" s="53">
        <v>3590000</v>
      </c>
      <c r="D34" s="61">
        <v>3550000</v>
      </c>
      <c r="E34" s="34">
        <v>3290000</v>
      </c>
      <c r="F34" s="34">
        <v>3550000</v>
      </c>
      <c r="G34" s="37">
        <v>3390000</v>
      </c>
      <c r="H34" s="26">
        <v>400</v>
      </c>
    </row>
    <row r="35" spans="1:8" x14ac:dyDescent="0.2">
      <c r="A35" t="s">
        <v>56</v>
      </c>
      <c r="B35" s="3"/>
      <c r="C35" s="37">
        <v>6790000</v>
      </c>
      <c r="D35" s="61">
        <v>6790000</v>
      </c>
      <c r="E35" s="71">
        <v>6490000</v>
      </c>
      <c r="F35" s="39">
        <v>6790000</v>
      </c>
      <c r="G35" s="37">
        <v>6590000</v>
      </c>
      <c r="H35" s="26">
        <v>200</v>
      </c>
    </row>
    <row r="36" spans="1:8" x14ac:dyDescent="0.2">
      <c r="A36" t="s">
        <v>186</v>
      </c>
      <c r="B36" s="25"/>
      <c r="C36" s="52">
        <v>19690000</v>
      </c>
      <c r="D36" s="63">
        <v>19690000</v>
      </c>
      <c r="E36" s="36"/>
      <c r="F36" s="39">
        <v>19690000</v>
      </c>
      <c r="G36" s="39">
        <v>18990000</v>
      </c>
      <c r="H36" s="26"/>
    </row>
    <row r="37" spans="1:8" x14ac:dyDescent="0.2">
      <c r="A37" t="s">
        <v>59</v>
      </c>
      <c r="B37" s="3"/>
      <c r="C37" s="52">
        <v>25290000</v>
      </c>
      <c r="D37" s="63">
        <v>24990000</v>
      </c>
      <c r="E37" s="36"/>
      <c r="F37" s="39">
        <v>24990000</v>
      </c>
      <c r="G37" s="39">
        <v>24490000</v>
      </c>
      <c r="H37" s="26">
        <v>200</v>
      </c>
    </row>
    <row r="38" spans="1:8" x14ac:dyDescent="0.2">
      <c r="A38" t="s">
        <v>61</v>
      </c>
      <c r="B38" s="25"/>
      <c r="C38" s="61">
        <v>29290000</v>
      </c>
      <c r="D38" s="61">
        <v>29990000</v>
      </c>
      <c r="E38" s="36"/>
      <c r="F38" s="37">
        <v>29990000</v>
      </c>
      <c r="G38" s="37">
        <v>29990000</v>
      </c>
      <c r="H38" s="26">
        <v>1700</v>
      </c>
    </row>
    <row r="39" spans="1:8" x14ac:dyDescent="0.2">
      <c r="A39" t="s">
        <v>187</v>
      </c>
      <c r="B39" s="25"/>
      <c r="C39" s="52" t="s">
        <v>22</v>
      </c>
      <c r="D39" s="63">
        <v>37990000</v>
      </c>
      <c r="E39" s="36"/>
      <c r="F39" s="39">
        <v>38590000</v>
      </c>
      <c r="G39" s="37">
        <v>38390000</v>
      </c>
      <c r="H39" s="26">
        <v>-600</v>
      </c>
    </row>
    <row r="40" spans="1:8" x14ac:dyDescent="0.2">
      <c r="A40" t="s">
        <v>62</v>
      </c>
      <c r="B40" s="25"/>
      <c r="C40" s="63">
        <v>41990000</v>
      </c>
      <c r="D40" s="63">
        <v>41990000</v>
      </c>
      <c r="E40" s="36"/>
      <c r="F40" s="39">
        <v>41990000</v>
      </c>
      <c r="G40" s="39">
        <v>41990000</v>
      </c>
      <c r="H40" s="26"/>
    </row>
    <row r="41" spans="1:8" x14ac:dyDescent="0.2">
      <c r="A41" t="s">
        <v>188</v>
      </c>
      <c r="B41" s="25"/>
      <c r="C41" s="52"/>
      <c r="D41" s="63">
        <v>64990000</v>
      </c>
      <c r="E41" s="36"/>
      <c r="F41" s="39">
        <v>63990000</v>
      </c>
      <c r="G41" s="39">
        <v>63990000</v>
      </c>
    </row>
    <row r="42" spans="1:8" x14ac:dyDescent="0.2">
      <c r="C42" s="59"/>
      <c r="D42" s="59"/>
    </row>
    <row r="43" spans="1:8" x14ac:dyDescent="0.2">
      <c r="C43" s="59"/>
      <c r="D43" s="59"/>
    </row>
    <row r="44" spans="1:8" x14ac:dyDescent="0.2">
      <c r="C44" s="59"/>
      <c r="D44" s="59"/>
    </row>
    <row r="45" spans="1:8" x14ac:dyDescent="0.2">
      <c r="C45" s="59"/>
      <c r="D45" s="59"/>
    </row>
    <row r="46" spans="1:8" x14ac:dyDescent="0.2">
      <c r="C46" s="59"/>
      <c r="D46" s="59"/>
    </row>
    <row r="47" spans="1:8" x14ac:dyDescent="0.2">
      <c r="C47" s="59"/>
      <c r="D47" s="59"/>
    </row>
    <row r="48" spans="1:8" x14ac:dyDescent="0.2">
      <c r="C48" s="59"/>
      <c r="D48" s="59"/>
    </row>
    <row r="49" spans="3:4" x14ac:dyDescent="0.2">
      <c r="C49" s="59"/>
      <c r="D49" s="59"/>
    </row>
    <row r="50" spans="3:4" x14ac:dyDescent="0.2">
      <c r="C50" s="59"/>
      <c r="D50" s="59"/>
    </row>
    <row r="51" spans="3:4" x14ac:dyDescent="0.2">
      <c r="C51" s="59"/>
      <c r="D51" s="59"/>
    </row>
    <row r="52" spans="3:4" x14ac:dyDescent="0.2">
      <c r="C52" s="59"/>
      <c r="D52" s="59"/>
    </row>
    <row r="53" spans="3:4" x14ac:dyDescent="0.2">
      <c r="C53" s="59"/>
      <c r="D53" s="59"/>
    </row>
    <row r="54" spans="3:4" x14ac:dyDescent="0.2">
      <c r="C54" s="59"/>
      <c r="D54" s="59"/>
    </row>
    <row r="55" spans="3:4" x14ac:dyDescent="0.2">
      <c r="C55" s="59"/>
      <c r="D55" s="59"/>
    </row>
    <row r="56" spans="3:4" x14ac:dyDescent="0.2">
      <c r="C56" s="59"/>
      <c r="D56" s="59"/>
    </row>
    <row r="57" spans="3:4" x14ac:dyDescent="0.2">
      <c r="C57" s="59"/>
      <c r="D57" s="59"/>
    </row>
    <row r="58" spans="3:4" x14ac:dyDescent="0.2">
      <c r="C58" s="59"/>
      <c r="D58" s="59"/>
    </row>
    <row r="59" spans="3:4" x14ac:dyDescent="0.2">
      <c r="C59" s="59"/>
      <c r="D59" s="59"/>
    </row>
    <row r="60" spans="3:4" x14ac:dyDescent="0.2">
      <c r="C60" s="59"/>
      <c r="D60" s="59"/>
    </row>
    <row r="61" spans="3:4" x14ac:dyDescent="0.2">
      <c r="C61" s="59"/>
      <c r="D61" s="59"/>
    </row>
    <row r="62" spans="3:4" x14ac:dyDescent="0.2">
      <c r="C62" s="59"/>
      <c r="D62" s="59"/>
    </row>
    <row r="63" spans="3:4" x14ac:dyDescent="0.2">
      <c r="C63" s="59"/>
      <c r="D63" s="59"/>
    </row>
    <row r="64" spans="3:4" x14ac:dyDescent="0.2">
      <c r="C64" s="59"/>
      <c r="D64" s="59"/>
    </row>
    <row r="65" spans="3:4" x14ac:dyDescent="0.2">
      <c r="C65" s="59"/>
      <c r="D65" s="59"/>
    </row>
    <row r="66" spans="3:4" x14ac:dyDescent="0.2">
      <c r="C66" s="59"/>
      <c r="D66" s="59"/>
    </row>
    <row r="67" spans="3:4" x14ac:dyDescent="0.2">
      <c r="C67" s="59"/>
      <c r="D67" s="59"/>
    </row>
    <row r="68" spans="3:4" x14ac:dyDescent="0.2">
      <c r="C68" s="59"/>
      <c r="D68" s="59"/>
    </row>
    <row r="69" spans="3:4" x14ac:dyDescent="0.2">
      <c r="C69" s="59"/>
      <c r="D69" s="59"/>
    </row>
    <row r="70" spans="3:4" x14ac:dyDescent="0.2">
      <c r="C70" s="59"/>
      <c r="D70" s="59"/>
    </row>
    <row r="71" spans="3:4" x14ac:dyDescent="0.2">
      <c r="C71" s="59"/>
      <c r="D71" s="59"/>
    </row>
    <row r="72" spans="3:4" x14ac:dyDescent="0.2">
      <c r="C72" s="59"/>
      <c r="D72" s="59"/>
    </row>
    <row r="73" spans="3:4" x14ac:dyDescent="0.2">
      <c r="C73" s="59"/>
      <c r="D73" s="59"/>
    </row>
    <row r="74" spans="3:4" x14ac:dyDescent="0.2">
      <c r="C74" s="59"/>
      <c r="D74" s="59"/>
    </row>
    <row r="75" spans="3:4" x14ac:dyDescent="0.2">
      <c r="C75" s="59"/>
      <c r="D75" s="59"/>
    </row>
    <row r="76" spans="3:4" x14ac:dyDescent="0.2">
      <c r="C76" s="59"/>
      <c r="D76" s="59"/>
    </row>
    <row r="77" spans="3:4" x14ac:dyDescent="0.2">
      <c r="C77" s="59"/>
      <c r="D77" s="59"/>
    </row>
    <row r="78" spans="3:4" x14ac:dyDescent="0.2">
      <c r="C78" s="59"/>
      <c r="D78" s="59"/>
    </row>
    <row r="79" spans="3:4" x14ac:dyDescent="0.2">
      <c r="C79" s="59"/>
      <c r="D79" s="59"/>
    </row>
    <row r="80" spans="3:4" x14ac:dyDescent="0.2">
      <c r="C80" s="59"/>
      <c r="D80" s="59"/>
    </row>
    <row r="81" spans="3:4" x14ac:dyDescent="0.2">
      <c r="C81" s="59"/>
      <c r="D81" s="59"/>
    </row>
    <row r="82" spans="3:4" x14ac:dyDescent="0.2">
      <c r="C82" s="59"/>
      <c r="D82" s="59"/>
    </row>
    <row r="83" spans="3:4" x14ac:dyDescent="0.2">
      <c r="C83" s="59"/>
      <c r="D83" s="59"/>
    </row>
    <row r="84" spans="3:4" x14ac:dyDescent="0.2">
      <c r="C84" s="59"/>
      <c r="D84" s="59"/>
    </row>
    <row r="85" spans="3:4" x14ac:dyDescent="0.2">
      <c r="C85" s="59"/>
      <c r="D85" s="59"/>
    </row>
    <row r="86" spans="3:4" x14ac:dyDescent="0.2">
      <c r="C86" s="59"/>
      <c r="D86" s="59"/>
    </row>
    <row r="87" spans="3:4" x14ac:dyDescent="0.2">
      <c r="C87" s="59"/>
      <c r="D87" s="59"/>
    </row>
    <row r="88" spans="3:4" x14ac:dyDescent="0.2">
      <c r="C88" s="59"/>
      <c r="D88" s="59"/>
    </row>
    <row r="89" spans="3:4" x14ac:dyDescent="0.2">
      <c r="C89" s="59"/>
      <c r="D89" s="59"/>
    </row>
    <row r="90" spans="3:4" x14ac:dyDescent="0.2">
      <c r="C90" s="59"/>
      <c r="D90" s="59"/>
    </row>
    <row r="91" spans="3:4" x14ac:dyDescent="0.2">
      <c r="C91" s="59"/>
      <c r="D91" s="59"/>
    </row>
    <row r="92" spans="3:4" x14ac:dyDescent="0.2">
      <c r="C92" s="59"/>
      <c r="D92" s="59"/>
    </row>
    <row r="93" spans="3:4" x14ac:dyDescent="0.2">
      <c r="C93" s="59"/>
      <c r="D93" s="59"/>
    </row>
    <row r="94" spans="3:4" x14ac:dyDescent="0.2">
      <c r="C94" s="59"/>
      <c r="D94" s="59"/>
    </row>
    <row r="95" spans="3:4" x14ac:dyDescent="0.2">
      <c r="C95" s="59"/>
      <c r="D95" s="59"/>
    </row>
    <row r="96" spans="3:4" x14ac:dyDescent="0.2">
      <c r="C96" s="59"/>
      <c r="D96" s="59"/>
    </row>
    <row r="97" spans="3:4" x14ac:dyDescent="0.2">
      <c r="C97" s="59"/>
      <c r="D97" s="59"/>
    </row>
    <row r="98" spans="3:4" x14ac:dyDescent="0.2">
      <c r="C98" s="59"/>
      <c r="D98" s="59"/>
    </row>
    <row r="99" spans="3:4" x14ac:dyDescent="0.2">
      <c r="C99" s="59"/>
      <c r="D99" s="59"/>
    </row>
    <row r="100" spans="3:4" x14ac:dyDescent="0.2">
      <c r="C100" s="59"/>
      <c r="D100" s="59"/>
    </row>
    <row r="101" spans="3:4" x14ac:dyDescent="0.2">
      <c r="C101" s="59"/>
      <c r="D101" s="59"/>
    </row>
    <row r="102" spans="3:4" x14ac:dyDescent="0.2">
      <c r="C102" s="59"/>
      <c r="D102" s="59"/>
    </row>
    <row r="103" spans="3:4" x14ac:dyDescent="0.2">
      <c r="C103" s="59"/>
      <c r="D103" s="59"/>
    </row>
    <row r="104" spans="3:4" x14ac:dyDescent="0.2">
      <c r="C104" s="59"/>
      <c r="D104" s="59"/>
    </row>
    <row r="105" spans="3:4" x14ac:dyDescent="0.2">
      <c r="C105" s="59"/>
      <c r="D105" s="59"/>
    </row>
    <row r="106" spans="3:4" x14ac:dyDescent="0.2">
      <c r="C106" s="59"/>
      <c r="D106" s="59"/>
    </row>
    <row r="107" spans="3:4" x14ac:dyDescent="0.2">
      <c r="C107" s="59"/>
      <c r="D107" s="59"/>
    </row>
    <row r="108" spans="3:4" x14ac:dyDescent="0.2">
      <c r="C108" s="59"/>
      <c r="D108" s="59"/>
    </row>
    <row r="109" spans="3:4" x14ac:dyDescent="0.2">
      <c r="C109" s="59"/>
      <c r="D109" s="59"/>
    </row>
    <row r="110" spans="3:4" x14ac:dyDescent="0.2">
      <c r="C110" s="59"/>
      <c r="D110" s="59"/>
    </row>
    <row r="111" spans="3:4" x14ac:dyDescent="0.2">
      <c r="C111" s="59"/>
      <c r="D111" s="59"/>
    </row>
    <row r="112" spans="3:4" x14ac:dyDescent="0.2">
      <c r="C112" s="59"/>
      <c r="D112" s="59"/>
    </row>
    <row r="113" spans="3:4" x14ac:dyDescent="0.2">
      <c r="C113" s="59"/>
      <c r="D113" s="59"/>
    </row>
    <row r="114" spans="3:4" x14ac:dyDescent="0.2">
      <c r="C114" s="59"/>
      <c r="D114" s="59"/>
    </row>
    <row r="115" spans="3:4" x14ac:dyDescent="0.2">
      <c r="C115" s="59"/>
      <c r="D115" s="59"/>
    </row>
    <row r="116" spans="3:4" x14ac:dyDescent="0.2">
      <c r="C116" s="59"/>
      <c r="D116" s="59"/>
    </row>
    <row r="117" spans="3:4" x14ac:dyDescent="0.2">
      <c r="C117" s="59"/>
      <c r="D117" s="59"/>
    </row>
    <row r="118" spans="3:4" x14ac:dyDescent="0.2">
      <c r="C118" s="59"/>
      <c r="D118" s="59"/>
    </row>
    <row r="119" spans="3:4" x14ac:dyDescent="0.2">
      <c r="C119" s="59"/>
      <c r="D119" s="59"/>
    </row>
    <row r="120" spans="3:4" x14ac:dyDescent="0.2">
      <c r="C120" s="59"/>
      <c r="D120" s="59"/>
    </row>
    <row r="121" spans="3:4" x14ac:dyDescent="0.2">
      <c r="C121" s="59"/>
      <c r="D121" s="59"/>
    </row>
    <row r="122" spans="3:4" x14ac:dyDescent="0.2">
      <c r="C122" s="59"/>
      <c r="D122" s="59"/>
    </row>
    <row r="123" spans="3:4" x14ac:dyDescent="0.2">
      <c r="C123" s="59"/>
      <c r="D123" s="59"/>
    </row>
    <row r="124" spans="3:4" x14ac:dyDescent="0.2">
      <c r="C124" s="59"/>
      <c r="D124" s="59"/>
    </row>
    <row r="125" spans="3:4" x14ac:dyDescent="0.2">
      <c r="C125" s="59"/>
      <c r="D125" s="59"/>
    </row>
    <row r="126" spans="3:4" x14ac:dyDescent="0.2">
      <c r="C126" s="59"/>
      <c r="D126" s="59"/>
    </row>
    <row r="127" spans="3:4" x14ac:dyDescent="0.2">
      <c r="C127" s="59"/>
      <c r="D127" s="59"/>
    </row>
    <row r="128" spans="3:4" x14ac:dyDescent="0.2">
      <c r="C128" s="59"/>
      <c r="D128" s="59"/>
    </row>
    <row r="129" spans="3:4" x14ac:dyDescent="0.2">
      <c r="C129" s="59"/>
      <c r="D129" s="59"/>
    </row>
    <row r="130" spans="3:4" x14ac:dyDescent="0.2">
      <c r="C130" s="59"/>
      <c r="D130" s="59"/>
    </row>
    <row r="131" spans="3:4" x14ac:dyDescent="0.2">
      <c r="C131" s="59"/>
      <c r="D131" s="59"/>
    </row>
    <row r="132" spans="3:4" x14ac:dyDescent="0.2">
      <c r="C132" s="59"/>
      <c r="D132" s="59"/>
    </row>
    <row r="133" spans="3:4" x14ac:dyDescent="0.2">
      <c r="C133" s="59"/>
      <c r="D133" s="59"/>
    </row>
    <row r="134" spans="3:4" x14ac:dyDescent="0.2">
      <c r="C134" s="59"/>
      <c r="D134" s="59"/>
    </row>
    <row r="135" spans="3:4" x14ac:dyDescent="0.2">
      <c r="C135" s="59"/>
      <c r="D135" s="59"/>
    </row>
    <row r="136" spans="3:4" x14ac:dyDescent="0.2">
      <c r="C136" s="59"/>
      <c r="D136" s="59"/>
    </row>
    <row r="137" spans="3:4" x14ac:dyDescent="0.2">
      <c r="C137" s="59"/>
      <c r="D137" s="59"/>
    </row>
    <row r="138" spans="3:4" x14ac:dyDescent="0.2">
      <c r="C138" s="59"/>
      <c r="D138" s="59"/>
    </row>
    <row r="139" spans="3:4" x14ac:dyDescent="0.2">
      <c r="C139" s="59"/>
      <c r="D139" s="59"/>
    </row>
    <row r="140" spans="3:4" x14ac:dyDescent="0.2">
      <c r="C140" s="59"/>
      <c r="D140" s="59"/>
    </row>
    <row r="141" spans="3:4" x14ac:dyDescent="0.2">
      <c r="C141" s="59"/>
      <c r="D141" s="59"/>
    </row>
    <row r="142" spans="3:4" x14ac:dyDescent="0.2">
      <c r="C142" s="59"/>
      <c r="D142" s="59"/>
    </row>
    <row r="143" spans="3:4" x14ac:dyDescent="0.2">
      <c r="C143" s="59"/>
      <c r="D143" s="59"/>
    </row>
    <row r="144" spans="3:4" x14ac:dyDescent="0.2">
      <c r="C144" s="59"/>
      <c r="D144" s="59"/>
    </row>
    <row r="145" spans="3:4" x14ac:dyDescent="0.2">
      <c r="C145" s="59"/>
      <c r="D145" s="59"/>
    </row>
    <row r="146" spans="3:4" x14ac:dyDescent="0.2">
      <c r="C146" s="59"/>
      <c r="D146" s="59"/>
    </row>
    <row r="147" spans="3:4" x14ac:dyDescent="0.2">
      <c r="C147" s="59"/>
      <c r="D147" s="59"/>
    </row>
    <row r="148" spans="3:4" x14ac:dyDescent="0.2">
      <c r="C148" s="59"/>
      <c r="D148" s="59"/>
    </row>
    <row r="149" spans="3:4" x14ac:dyDescent="0.2">
      <c r="C149" s="59"/>
      <c r="D149" s="59"/>
    </row>
    <row r="150" spans="3:4" x14ac:dyDescent="0.2">
      <c r="C150" s="59"/>
      <c r="D150" s="59"/>
    </row>
    <row r="151" spans="3:4" x14ac:dyDescent="0.2">
      <c r="C151" s="59"/>
      <c r="D151" s="59"/>
    </row>
    <row r="152" spans="3:4" x14ac:dyDescent="0.2">
      <c r="C152" s="59"/>
      <c r="D152" s="59"/>
    </row>
    <row r="153" spans="3:4" x14ac:dyDescent="0.2">
      <c r="C153" s="59"/>
      <c r="D153" s="59"/>
    </row>
  </sheetData>
  <pageMargins left="0.7" right="0.7" top="0.75" bottom="0.75" header="0.3" footer="0.3"/>
  <pageSetup paperSize="9" orientation="portrait" horizontalDpi="0" verticalDpi="0"/>
  <legacyDrawing r:id="rId1"/>
</worksheet>
</file>

<file path=xl/worksheets/sheet8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500-000000000000}">
  <dimension ref="A1:L153"/>
  <sheetViews>
    <sheetView zoomScale="130" zoomScaleNormal="130" workbookViewId="0">
      <pane xSplit="2" ySplit="1" topLeftCell="C2" activePane="bottomRight" state="frozen"/>
      <selection pane="topRight" activeCell="C1" sqref="C1"/>
      <selection pane="bottomLeft" activeCell="A2" sqref="A2"/>
      <selection pane="bottomRight" activeCell="C1" sqref="C1"/>
    </sheetView>
  </sheetViews>
  <sheetFormatPr baseColWidth="10" defaultColWidth="11" defaultRowHeight="16" x14ac:dyDescent="0.2"/>
  <cols>
    <col min="1" max="1" width="27.5" bestFit="1" customWidth="1"/>
    <col min="2" max="2" width="0" hidden="1"/>
    <col min="3" max="3" width="10.1640625" bestFit="1" customWidth="1"/>
    <col min="4" max="4" width="11.1640625" bestFit="1" customWidth="1"/>
    <col min="5" max="6" width="10.1640625" bestFit="1" customWidth="1"/>
    <col min="7" max="7" width="13" customWidth="1"/>
    <col min="8" max="8" width="12.1640625" customWidth="1"/>
  </cols>
  <sheetData>
    <row r="1" spans="1:12" x14ac:dyDescent="0.2">
      <c r="B1" s="46" t="s">
        <v>0</v>
      </c>
      <c r="C1" s="80" t="s">
        <v>1</v>
      </c>
      <c r="D1" s="80" t="s">
        <v>2</v>
      </c>
      <c r="E1" s="81" t="s">
        <v>3</v>
      </c>
      <c r="F1" s="81" t="s">
        <v>4</v>
      </c>
      <c r="G1" s="81" t="s">
        <v>5</v>
      </c>
    </row>
    <row r="2" spans="1:12" x14ac:dyDescent="0.2">
      <c r="A2" t="s">
        <v>17</v>
      </c>
      <c r="B2" s="82"/>
      <c r="C2" s="67">
        <v>24990000</v>
      </c>
      <c r="D2" s="67">
        <v>24990000</v>
      </c>
      <c r="E2" s="71">
        <v>24490000</v>
      </c>
      <c r="F2" s="39">
        <v>24990000</v>
      </c>
      <c r="G2" s="39">
        <v>24990000</v>
      </c>
    </row>
    <row r="3" spans="1:12" x14ac:dyDescent="0.2">
      <c r="A3" t="s">
        <v>18</v>
      </c>
      <c r="B3" s="82"/>
      <c r="C3" s="67">
        <v>30990000</v>
      </c>
      <c r="D3" s="67">
        <v>30790000</v>
      </c>
      <c r="E3" s="25">
        <v>29990000</v>
      </c>
      <c r="F3" s="37">
        <v>30790000</v>
      </c>
      <c r="G3" s="39">
        <v>29990000</v>
      </c>
      <c r="H3" s="26"/>
    </row>
    <row r="4" spans="1:12" x14ac:dyDescent="0.2">
      <c r="A4" t="s">
        <v>19</v>
      </c>
      <c r="B4" s="82"/>
      <c r="C4" s="67">
        <v>34990000</v>
      </c>
      <c r="D4" s="75">
        <v>33990000</v>
      </c>
      <c r="E4" s="25">
        <v>33490000</v>
      </c>
      <c r="F4" s="37">
        <v>34590000</v>
      </c>
      <c r="G4" s="37">
        <v>33990000</v>
      </c>
      <c r="H4" s="26">
        <v>-200</v>
      </c>
    </row>
    <row r="5" spans="1:12" x14ac:dyDescent="0.2">
      <c r="A5" t="s">
        <v>20</v>
      </c>
      <c r="B5" s="82"/>
      <c r="C5" s="67">
        <v>37990000</v>
      </c>
      <c r="D5" s="67">
        <v>37990000</v>
      </c>
      <c r="E5" s="34">
        <v>36490000</v>
      </c>
      <c r="F5" s="37">
        <v>37890000</v>
      </c>
      <c r="G5" s="37">
        <v>37290000</v>
      </c>
      <c r="H5" s="26">
        <v>-200</v>
      </c>
    </row>
    <row r="6" spans="1:12" x14ac:dyDescent="0.2">
      <c r="A6" t="s">
        <v>21</v>
      </c>
      <c r="B6" s="82"/>
      <c r="C6" s="66">
        <v>14990000</v>
      </c>
      <c r="D6" s="67">
        <v>14990000</v>
      </c>
      <c r="E6" s="71">
        <v>12490000</v>
      </c>
      <c r="F6" s="71">
        <v>12490000</v>
      </c>
      <c r="G6" s="39">
        <v>15190000</v>
      </c>
      <c r="H6" s="26"/>
    </row>
    <row r="7" spans="1:12" x14ac:dyDescent="0.2">
      <c r="A7" t="s">
        <v>181</v>
      </c>
      <c r="B7" s="70"/>
      <c r="C7" s="68">
        <v>21290000</v>
      </c>
      <c r="D7" s="69">
        <v>20990000</v>
      </c>
      <c r="E7" s="25">
        <v>20490000</v>
      </c>
      <c r="F7" s="39">
        <v>20990000</v>
      </c>
      <c r="G7" s="37">
        <v>20590000</v>
      </c>
      <c r="H7" s="26">
        <v>-200</v>
      </c>
    </row>
    <row r="8" spans="1:12" x14ac:dyDescent="0.2">
      <c r="A8" t="s">
        <v>24</v>
      </c>
      <c r="B8" s="3"/>
      <c r="C8" s="52">
        <v>25090000</v>
      </c>
      <c r="D8" s="63">
        <v>24790000</v>
      </c>
      <c r="E8" s="25">
        <v>23490000</v>
      </c>
      <c r="F8" s="39">
        <v>24690000</v>
      </c>
      <c r="G8" s="37">
        <v>23990000</v>
      </c>
      <c r="H8" s="26">
        <v>-500</v>
      </c>
    </row>
    <row r="9" spans="1:12" x14ac:dyDescent="0.2">
      <c r="A9" t="s">
        <v>182</v>
      </c>
      <c r="B9" s="25"/>
      <c r="C9" s="39">
        <v>25590000</v>
      </c>
      <c r="D9" s="39">
        <v>25590000</v>
      </c>
      <c r="E9" s="25">
        <v>24990000</v>
      </c>
      <c r="F9" s="37">
        <v>25490000</v>
      </c>
      <c r="G9" s="39">
        <v>24990000</v>
      </c>
      <c r="H9" s="26"/>
    </row>
    <row r="10" spans="1:12" x14ac:dyDescent="0.2">
      <c r="A10" t="s">
        <v>183</v>
      </c>
      <c r="B10" s="3"/>
      <c r="C10" s="53">
        <v>31590000</v>
      </c>
      <c r="D10" s="61">
        <v>31490000</v>
      </c>
      <c r="E10" s="25">
        <v>30990000</v>
      </c>
      <c r="F10" s="37">
        <v>31390000</v>
      </c>
      <c r="G10" s="37">
        <v>29990000</v>
      </c>
      <c r="H10" s="26">
        <v>300</v>
      </c>
    </row>
    <row r="11" spans="1:12" x14ac:dyDescent="0.2">
      <c r="A11" t="s">
        <v>25</v>
      </c>
      <c r="B11" s="25"/>
      <c r="C11" s="52">
        <v>17290000</v>
      </c>
      <c r="D11" s="61">
        <v>17090000</v>
      </c>
      <c r="E11" s="25">
        <v>16690000</v>
      </c>
      <c r="F11" s="39">
        <v>16990000</v>
      </c>
      <c r="G11" s="39">
        <v>16590000</v>
      </c>
      <c r="H11" s="26"/>
    </row>
    <row r="12" spans="1:12" x14ac:dyDescent="0.2">
      <c r="A12" t="s">
        <v>26</v>
      </c>
      <c r="B12" s="25"/>
      <c r="C12" s="52">
        <v>19590000</v>
      </c>
      <c r="D12" s="63" t="s">
        <v>22</v>
      </c>
      <c r="E12" s="63" t="s">
        <v>22</v>
      </c>
      <c r="F12" s="39">
        <v>17690000</v>
      </c>
      <c r="G12" s="39">
        <v>18490000</v>
      </c>
      <c r="H12" s="26"/>
    </row>
    <row r="13" spans="1:12" x14ac:dyDescent="0.2">
      <c r="A13" t="s">
        <v>27</v>
      </c>
      <c r="B13" s="25"/>
      <c r="C13" s="52">
        <v>13990000</v>
      </c>
      <c r="D13" s="63">
        <v>13690000</v>
      </c>
      <c r="E13" s="25">
        <v>13390000</v>
      </c>
      <c r="F13" s="39">
        <v>13590000</v>
      </c>
      <c r="G13" s="39">
        <v>12990000</v>
      </c>
      <c r="H13" s="26">
        <v>-500</v>
      </c>
    </row>
    <row r="14" spans="1:12" x14ac:dyDescent="0.2">
      <c r="A14" t="s">
        <v>28</v>
      </c>
      <c r="B14" s="3"/>
      <c r="C14" s="52">
        <v>12490000</v>
      </c>
      <c r="D14" s="53">
        <v>11990000</v>
      </c>
      <c r="E14" s="25">
        <v>11990000</v>
      </c>
      <c r="F14" s="39">
        <v>12190000</v>
      </c>
      <c r="G14" s="39">
        <v>11890000</v>
      </c>
      <c r="H14" s="26"/>
    </row>
    <row r="15" spans="1:12" x14ac:dyDescent="0.2">
      <c r="A15" t="s">
        <v>29</v>
      </c>
      <c r="B15" s="25"/>
      <c r="C15" s="52">
        <v>13590000</v>
      </c>
      <c r="D15" s="63">
        <v>13590000</v>
      </c>
      <c r="E15" s="25">
        <v>13290000</v>
      </c>
      <c r="F15" s="39">
        <v>13590000</v>
      </c>
      <c r="G15" s="39">
        <v>11590000</v>
      </c>
      <c r="H15" s="26"/>
    </row>
    <row r="16" spans="1:12" x14ac:dyDescent="0.2">
      <c r="A16" t="s">
        <v>30</v>
      </c>
      <c r="B16" s="3"/>
      <c r="C16" s="52">
        <v>9390000</v>
      </c>
      <c r="D16" s="61">
        <v>9190000</v>
      </c>
      <c r="E16" s="25">
        <v>9190000</v>
      </c>
      <c r="F16" s="39">
        <v>9390000</v>
      </c>
      <c r="G16" s="39">
        <v>8890000</v>
      </c>
      <c r="H16" s="26"/>
      <c r="J16" t="s">
        <v>31</v>
      </c>
      <c r="K16" t="s">
        <v>38</v>
      </c>
      <c r="L16" t="b">
        <v>1</v>
      </c>
    </row>
    <row r="17" spans="1:12" x14ac:dyDescent="0.2">
      <c r="A17" t="s">
        <v>33</v>
      </c>
      <c r="B17" s="3"/>
      <c r="C17" s="52">
        <v>16190000</v>
      </c>
      <c r="D17" s="63">
        <v>16190000</v>
      </c>
      <c r="E17" s="25">
        <v>15590000</v>
      </c>
      <c r="F17" s="39">
        <v>16190000</v>
      </c>
      <c r="G17" s="39">
        <v>15490000</v>
      </c>
      <c r="H17" s="26"/>
      <c r="I17" s="26"/>
      <c r="J17" t="s">
        <v>2</v>
      </c>
      <c r="K17" t="s">
        <v>34</v>
      </c>
      <c r="L17" t="b">
        <v>1</v>
      </c>
    </row>
    <row r="18" spans="1:12" x14ac:dyDescent="0.2">
      <c r="A18" t="s">
        <v>37</v>
      </c>
      <c r="B18" s="25"/>
      <c r="C18" s="52">
        <v>21490000</v>
      </c>
      <c r="D18" s="63">
        <v>21490000</v>
      </c>
      <c r="E18" s="25">
        <v>20490000</v>
      </c>
      <c r="F18" s="39">
        <v>21490000</v>
      </c>
      <c r="G18" s="39">
        <v>21390000</v>
      </c>
      <c r="H18" s="78"/>
      <c r="J18" t="s">
        <v>3</v>
      </c>
      <c r="K18" t="s">
        <v>36</v>
      </c>
      <c r="L18" t="b">
        <v>1</v>
      </c>
    </row>
    <row r="19" spans="1:12" x14ac:dyDescent="0.2">
      <c r="A19" t="s">
        <v>184</v>
      </c>
      <c r="B19" s="25"/>
      <c r="C19" s="25" t="s">
        <v>22</v>
      </c>
      <c r="D19" s="63">
        <v>27990000</v>
      </c>
      <c r="E19" s="25" t="s">
        <v>22</v>
      </c>
      <c r="F19" s="39">
        <v>27990000</v>
      </c>
      <c r="G19" s="39">
        <v>27190000</v>
      </c>
      <c r="H19" s="26"/>
      <c r="J19" t="s">
        <v>4</v>
      </c>
      <c r="K19" t="s">
        <v>32</v>
      </c>
      <c r="L19" t="b">
        <v>1</v>
      </c>
    </row>
    <row r="20" spans="1:12" x14ac:dyDescent="0.2">
      <c r="A20" t="s">
        <v>185</v>
      </c>
      <c r="B20" s="3"/>
      <c r="C20" s="25" t="s">
        <v>22</v>
      </c>
      <c r="D20" s="63">
        <v>36290000</v>
      </c>
      <c r="E20" s="25" t="s">
        <v>22</v>
      </c>
      <c r="F20" s="39">
        <v>36490000</v>
      </c>
      <c r="G20" s="39">
        <v>33690000</v>
      </c>
      <c r="H20" s="26"/>
      <c r="J20" t="s">
        <v>41</v>
      </c>
      <c r="K20" t="s">
        <v>42</v>
      </c>
      <c r="L20" t="b">
        <v>1</v>
      </c>
    </row>
    <row r="21" spans="1:12" x14ac:dyDescent="0.2">
      <c r="A21" t="s">
        <v>40</v>
      </c>
      <c r="B21" s="3"/>
      <c r="C21" s="63">
        <v>29990000</v>
      </c>
      <c r="D21" s="63">
        <v>29990000</v>
      </c>
      <c r="E21" s="25">
        <v>28990000</v>
      </c>
      <c r="F21" s="39">
        <v>29990000</v>
      </c>
      <c r="G21" s="37">
        <v>28990000</v>
      </c>
      <c r="H21" s="26">
        <v>-600</v>
      </c>
    </row>
    <row r="22" spans="1:12" x14ac:dyDescent="0.2">
      <c r="A22" t="s">
        <v>43</v>
      </c>
      <c r="B22" s="3"/>
      <c r="C22" s="25">
        <v>39990000</v>
      </c>
      <c r="D22" s="25">
        <v>39990000</v>
      </c>
      <c r="E22" s="25">
        <v>38990000</v>
      </c>
      <c r="F22" s="39">
        <v>39990000</v>
      </c>
      <c r="G22" s="39">
        <v>39590000</v>
      </c>
      <c r="H22" s="26"/>
    </row>
    <row r="23" spans="1:12" x14ac:dyDescent="0.2">
      <c r="A23" t="s">
        <v>44</v>
      </c>
      <c r="B23" s="25"/>
      <c r="C23" s="61">
        <v>5990000</v>
      </c>
      <c r="D23" s="61">
        <v>5890000</v>
      </c>
      <c r="E23" s="34">
        <v>6190000</v>
      </c>
      <c r="F23" s="39">
        <v>5990000</v>
      </c>
      <c r="G23" s="38">
        <v>6690000</v>
      </c>
      <c r="H23" s="26"/>
    </row>
    <row r="24" spans="1:12" x14ac:dyDescent="0.2">
      <c r="A24" t="s">
        <v>45</v>
      </c>
      <c r="B24" s="25"/>
      <c r="C24" s="61">
        <v>7990000</v>
      </c>
      <c r="D24" s="61">
        <v>7990000</v>
      </c>
      <c r="E24" s="34">
        <v>7690000</v>
      </c>
      <c r="F24" s="37">
        <v>7990000</v>
      </c>
      <c r="G24" s="37">
        <v>7990000</v>
      </c>
      <c r="H24" s="26">
        <v>-300</v>
      </c>
    </row>
    <row r="25" spans="1:12" x14ac:dyDescent="0.2">
      <c r="A25" t="s">
        <v>46</v>
      </c>
      <c r="B25" s="25"/>
      <c r="C25" s="63">
        <v>7190000</v>
      </c>
      <c r="D25" s="63">
        <v>7190000</v>
      </c>
      <c r="E25" s="34">
        <v>7190000</v>
      </c>
      <c r="F25" s="37">
        <v>7190000</v>
      </c>
      <c r="G25" s="37">
        <v>7190000</v>
      </c>
      <c r="H25" s="26">
        <v>-400</v>
      </c>
    </row>
    <row r="26" spans="1:12" x14ac:dyDescent="0.2">
      <c r="A26" t="s">
        <v>47</v>
      </c>
      <c r="B26" s="25"/>
      <c r="C26" s="63">
        <v>8790000</v>
      </c>
      <c r="D26" s="61">
        <v>8790000</v>
      </c>
      <c r="E26" s="34">
        <v>8490000</v>
      </c>
      <c r="F26" s="37">
        <v>8790000</v>
      </c>
      <c r="G26" s="39">
        <v>8990000</v>
      </c>
      <c r="H26" s="26"/>
    </row>
    <row r="27" spans="1:12" x14ac:dyDescent="0.2">
      <c r="A27" t="s">
        <v>48</v>
      </c>
      <c r="B27" s="3"/>
      <c r="C27" s="61">
        <v>10590000</v>
      </c>
      <c r="D27" s="61">
        <v>10490000</v>
      </c>
      <c r="E27" s="34">
        <v>10790000</v>
      </c>
      <c r="F27" s="37">
        <v>10490000</v>
      </c>
      <c r="G27" s="37">
        <v>9990000</v>
      </c>
      <c r="H27" s="26">
        <v>-1100</v>
      </c>
    </row>
    <row r="28" spans="1:12" x14ac:dyDescent="0.2">
      <c r="A28" t="s">
        <v>49</v>
      </c>
      <c r="B28" s="3"/>
      <c r="C28" s="61">
        <v>13990000</v>
      </c>
      <c r="D28" s="61">
        <v>13990000</v>
      </c>
      <c r="E28" s="34">
        <v>13690000</v>
      </c>
      <c r="F28" s="37">
        <v>13690000</v>
      </c>
      <c r="G28" s="37">
        <v>13990000</v>
      </c>
      <c r="H28" s="26">
        <v>-300</v>
      </c>
    </row>
    <row r="29" spans="1:12" x14ac:dyDescent="0.2">
      <c r="A29" t="s">
        <v>50</v>
      </c>
      <c r="B29" s="3"/>
      <c r="C29" s="63">
        <v>11890000</v>
      </c>
      <c r="D29" s="63">
        <v>11790000</v>
      </c>
      <c r="E29" s="34">
        <v>11690000</v>
      </c>
      <c r="F29" s="79">
        <v>11890000</v>
      </c>
      <c r="G29" s="37">
        <v>11750000</v>
      </c>
      <c r="H29" s="26">
        <v>-200</v>
      </c>
    </row>
    <row r="30" spans="1:12" x14ac:dyDescent="0.2">
      <c r="A30" t="s">
        <v>51</v>
      </c>
      <c r="B30" s="3"/>
      <c r="C30" s="61">
        <v>14890000</v>
      </c>
      <c r="D30" s="61">
        <v>14890000</v>
      </c>
      <c r="E30" s="34">
        <v>14490000</v>
      </c>
      <c r="F30" s="37">
        <v>14890000</v>
      </c>
      <c r="G30" s="38">
        <v>15290000</v>
      </c>
      <c r="H30" s="26"/>
    </row>
    <row r="31" spans="1:12" x14ac:dyDescent="0.2">
      <c r="A31" t="s">
        <v>52</v>
      </c>
      <c r="B31" s="25"/>
      <c r="C31" s="61">
        <v>23390000</v>
      </c>
      <c r="D31" s="61">
        <v>23390000</v>
      </c>
      <c r="E31" s="25">
        <v>23490000</v>
      </c>
      <c r="F31" s="37">
        <v>23390000</v>
      </c>
      <c r="G31" s="38">
        <v>23990000</v>
      </c>
      <c r="H31" s="26"/>
    </row>
    <row r="32" spans="1:12" x14ac:dyDescent="0.2">
      <c r="A32" t="s">
        <v>53</v>
      </c>
      <c r="B32" s="3"/>
      <c r="C32" s="53">
        <v>4990000</v>
      </c>
      <c r="D32" s="61">
        <v>5290000</v>
      </c>
      <c r="E32" s="25">
        <v>4290000</v>
      </c>
      <c r="F32" s="37">
        <v>5090000</v>
      </c>
      <c r="G32" s="38">
        <v>5590000</v>
      </c>
      <c r="H32" s="26"/>
    </row>
    <row r="33" spans="1:8" x14ac:dyDescent="0.2">
      <c r="A33" t="s">
        <v>54</v>
      </c>
      <c r="B33" s="3"/>
      <c r="C33" s="53">
        <v>4490000</v>
      </c>
      <c r="D33" s="61">
        <v>4490000</v>
      </c>
      <c r="E33" s="34">
        <v>4290000</v>
      </c>
      <c r="F33" s="37">
        <v>4490000</v>
      </c>
      <c r="G33" s="38">
        <v>4490000</v>
      </c>
      <c r="H33" s="26"/>
    </row>
    <row r="34" spans="1:8" x14ac:dyDescent="0.2">
      <c r="A34" t="s">
        <v>55</v>
      </c>
      <c r="B34" s="3"/>
      <c r="C34" s="53">
        <v>3090000</v>
      </c>
      <c r="D34" s="61">
        <v>3090000</v>
      </c>
      <c r="E34" s="34">
        <v>3190000</v>
      </c>
      <c r="F34" s="34">
        <v>3090000</v>
      </c>
      <c r="G34" s="37">
        <v>3390000</v>
      </c>
      <c r="H34" s="26">
        <v>100</v>
      </c>
    </row>
    <row r="35" spans="1:8" x14ac:dyDescent="0.2">
      <c r="A35" t="s">
        <v>56</v>
      </c>
      <c r="B35" s="3"/>
      <c r="C35" s="39">
        <v>6790000</v>
      </c>
      <c r="D35" s="61">
        <v>6790000</v>
      </c>
      <c r="E35" s="71">
        <v>6490000</v>
      </c>
      <c r="F35" s="39">
        <v>6790000</v>
      </c>
      <c r="G35" s="37">
        <v>6390000</v>
      </c>
      <c r="H35" s="26">
        <v>100</v>
      </c>
    </row>
    <row r="36" spans="1:8" x14ac:dyDescent="0.2">
      <c r="A36" t="s">
        <v>186</v>
      </c>
      <c r="B36" s="25"/>
      <c r="C36" s="52">
        <v>19690000</v>
      </c>
      <c r="D36" s="61">
        <v>19390000</v>
      </c>
      <c r="E36" s="36"/>
      <c r="F36" s="37">
        <v>19490000</v>
      </c>
      <c r="G36" s="39">
        <v>18990000</v>
      </c>
      <c r="H36" s="26"/>
    </row>
    <row r="37" spans="1:8" x14ac:dyDescent="0.2">
      <c r="A37" t="s">
        <v>59</v>
      </c>
      <c r="B37" s="3"/>
      <c r="C37" s="52">
        <v>25290000</v>
      </c>
      <c r="D37" s="61">
        <v>24490000</v>
      </c>
      <c r="E37" s="36"/>
      <c r="F37" s="37">
        <v>25090000</v>
      </c>
      <c r="G37" s="39">
        <v>24490000</v>
      </c>
      <c r="H37" s="26"/>
    </row>
    <row r="38" spans="1:8" x14ac:dyDescent="0.2">
      <c r="A38" t="s">
        <v>61</v>
      </c>
      <c r="B38" s="25"/>
      <c r="C38" s="61">
        <v>29990000</v>
      </c>
      <c r="D38" s="63">
        <v>29990000</v>
      </c>
      <c r="E38" s="36"/>
      <c r="F38" s="39">
        <v>29990000</v>
      </c>
      <c r="G38" s="39">
        <v>29990000</v>
      </c>
      <c r="H38" s="26"/>
    </row>
    <row r="39" spans="1:8" x14ac:dyDescent="0.2">
      <c r="A39" t="s">
        <v>187</v>
      </c>
      <c r="B39" s="25"/>
      <c r="C39" s="52" t="s">
        <v>22</v>
      </c>
      <c r="D39" s="63">
        <v>37990000</v>
      </c>
      <c r="E39" s="36"/>
      <c r="F39" s="39">
        <v>38590000</v>
      </c>
      <c r="G39" s="39">
        <v>38390000</v>
      </c>
      <c r="H39" s="26"/>
    </row>
    <row r="40" spans="1:8" x14ac:dyDescent="0.2">
      <c r="A40" t="s">
        <v>62</v>
      </c>
      <c r="B40" s="25"/>
      <c r="C40" s="63">
        <v>41990000</v>
      </c>
      <c r="D40" s="63">
        <v>41990000</v>
      </c>
      <c r="E40" s="36"/>
      <c r="F40" s="39">
        <v>41990000</v>
      </c>
      <c r="G40" s="39">
        <v>41990000</v>
      </c>
      <c r="H40" s="26"/>
    </row>
    <row r="41" spans="1:8" x14ac:dyDescent="0.2">
      <c r="A41" t="s">
        <v>188</v>
      </c>
      <c r="B41" s="25"/>
      <c r="C41" s="52" t="s">
        <v>22</v>
      </c>
      <c r="D41" s="63">
        <v>64490000</v>
      </c>
      <c r="E41" s="36"/>
      <c r="F41" s="39">
        <v>63990000</v>
      </c>
      <c r="G41" s="39">
        <v>63990000</v>
      </c>
    </row>
    <row r="42" spans="1:8" x14ac:dyDescent="0.2">
      <c r="C42" s="59"/>
      <c r="D42" s="59"/>
    </row>
    <row r="43" spans="1:8" x14ac:dyDescent="0.2">
      <c r="C43" s="59"/>
      <c r="D43" s="59"/>
    </row>
    <row r="44" spans="1:8" x14ac:dyDescent="0.2">
      <c r="C44" s="59"/>
      <c r="D44" s="59"/>
    </row>
    <row r="45" spans="1:8" x14ac:dyDescent="0.2">
      <c r="C45" s="59"/>
      <c r="D45" s="59"/>
    </row>
    <row r="46" spans="1:8" x14ac:dyDescent="0.2">
      <c r="C46" s="59"/>
      <c r="D46" s="59"/>
    </row>
    <row r="47" spans="1:8" x14ac:dyDescent="0.2">
      <c r="C47" s="59"/>
      <c r="D47" s="59"/>
    </row>
    <row r="48" spans="1:8" x14ac:dyDescent="0.2">
      <c r="C48" s="59"/>
      <c r="D48" s="59"/>
    </row>
    <row r="49" spans="3:4" x14ac:dyDescent="0.2">
      <c r="C49" s="59"/>
      <c r="D49" s="59"/>
    </row>
    <row r="50" spans="3:4" x14ac:dyDescent="0.2">
      <c r="C50" s="59"/>
      <c r="D50" s="59"/>
    </row>
    <row r="51" spans="3:4" x14ac:dyDescent="0.2">
      <c r="C51" s="59"/>
      <c r="D51" s="59"/>
    </row>
    <row r="52" spans="3:4" x14ac:dyDescent="0.2">
      <c r="C52" s="59"/>
      <c r="D52" s="59"/>
    </row>
    <row r="53" spans="3:4" x14ac:dyDescent="0.2">
      <c r="C53" s="59"/>
      <c r="D53" s="59"/>
    </row>
    <row r="54" spans="3:4" x14ac:dyDescent="0.2">
      <c r="C54" s="59"/>
      <c r="D54" s="59"/>
    </row>
    <row r="55" spans="3:4" x14ac:dyDescent="0.2">
      <c r="C55" s="59"/>
      <c r="D55" s="59"/>
    </row>
    <row r="56" spans="3:4" x14ac:dyDescent="0.2">
      <c r="C56" s="59"/>
      <c r="D56" s="59"/>
    </row>
    <row r="57" spans="3:4" x14ac:dyDescent="0.2">
      <c r="C57" s="59"/>
      <c r="D57" s="59"/>
    </row>
    <row r="58" spans="3:4" x14ac:dyDescent="0.2">
      <c r="C58" s="59"/>
      <c r="D58" s="59"/>
    </row>
    <row r="59" spans="3:4" x14ac:dyDescent="0.2">
      <c r="C59" s="59"/>
      <c r="D59" s="59"/>
    </row>
    <row r="60" spans="3:4" x14ac:dyDescent="0.2">
      <c r="C60" s="59"/>
      <c r="D60" s="59"/>
    </row>
    <row r="61" spans="3:4" x14ac:dyDescent="0.2">
      <c r="C61" s="59"/>
      <c r="D61" s="59"/>
    </row>
    <row r="62" spans="3:4" x14ac:dyDescent="0.2">
      <c r="C62" s="59"/>
      <c r="D62" s="59"/>
    </row>
    <row r="63" spans="3:4" x14ac:dyDescent="0.2">
      <c r="C63" s="59"/>
      <c r="D63" s="59"/>
    </row>
    <row r="64" spans="3:4" x14ac:dyDescent="0.2">
      <c r="C64" s="59"/>
      <c r="D64" s="59"/>
    </row>
    <row r="65" spans="3:4" x14ac:dyDescent="0.2">
      <c r="C65" s="59"/>
      <c r="D65" s="59"/>
    </row>
    <row r="66" spans="3:4" x14ac:dyDescent="0.2">
      <c r="C66" s="59"/>
      <c r="D66" s="59"/>
    </row>
    <row r="67" spans="3:4" x14ac:dyDescent="0.2">
      <c r="C67" s="59"/>
      <c r="D67" s="59"/>
    </row>
    <row r="68" spans="3:4" x14ac:dyDescent="0.2">
      <c r="C68" s="59"/>
      <c r="D68" s="59"/>
    </row>
    <row r="69" spans="3:4" x14ac:dyDescent="0.2">
      <c r="C69" s="59"/>
      <c r="D69" s="59"/>
    </row>
    <row r="70" spans="3:4" x14ac:dyDescent="0.2">
      <c r="C70" s="59"/>
      <c r="D70" s="59"/>
    </row>
    <row r="71" spans="3:4" x14ac:dyDescent="0.2">
      <c r="C71" s="59"/>
      <c r="D71" s="59"/>
    </row>
    <row r="72" spans="3:4" x14ac:dyDescent="0.2">
      <c r="C72" s="59"/>
      <c r="D72" s="59"/>
    </row>
    <row r="73" spans="3:4" x14ac:dyDescent="0.2">
      <c r="C73" s="59"/>
      <c r="D73" s="59"/>
    </row>
    <row r="74" spans="3:4" x14ac:dyDescent="0.2">
      <c r="C74" s="59"/>
      <c r="D74" s="59"/>
    </row>
    <row r="75" spans="3:4" x14ac:dyDescent="0.2">
      <c r="C75" s="59"/>
      <c r="D75" s="59"/>
    </row>
    <row r="76" spans="3:4" x14ac:dyDescent="0.2">
      <c r="C76" s="59"/>
      <c r="D76" s="59"/>
    </row>
    <row r="77" spans="3:4" x14ac:dyDescent="0.2">
      <c r="C77" s="59"/>
      <c r="D77" s="59"/>
    </row>
    <row r="78" spans="3:4" x14ac:dyDescent="0.2">
      <c r="C78" s="59"/>
      <c r="D78" s="59"/>
    </row>
    <row r="79" spans="3:4" x14ac:dyDescent="0.2">
      <c r="C79" s="59"/>
      <c r="D79" s="59"/>
    </row>
    <row r="80" spans="3:4" x14ac:dyDescent="0.2">
      <c r="C80" s="59"/>
      <c r="D80" s="59"/>
    </row>
    <row r="81" spans="3:4" x14ac:dyDescent="0.2">
      <c r="C81" s="59"/>
      <c r="D81" s="59"/>
    </row>
    <row r="82" spans="3:4" x14ac:dyDescent="0.2">
      <c r="C82" s="59"/>
      <c r="D82" s="59"/>
    </row>
    <row r="83" spans="3:4" x14ac:dyDescent="0.2">
      <c r="C83" s="59"/>
      <c r="D83" s="59"/>
    </row>
    <row r="84" spans="3:4" x14ac:dyDescent="0.2">
      <c r="C84" s="59"/>
      <c r="D84" s="59"/>
    </row>
    <row r="85" spans="3:4" x14ac:dyDescent="0.2">
      <c r="C85" s="59"/>
      <c r="D85" s="59"/>
    </row>
    <row r="86" spans="3:4" x14ac:dyDescent="0.2">
      <c r="C86" s="59"/>
      <c r="D86" s="59"/>
    </row>
    <row r="87" spans="3:4" x14ac:dyDescent="0.2">
      <c r="C87" s="59"/>
      <c r="D87" s="59"/>
    </row>
    <row r="88" spans="3:4" x14ac:dyDescent="0.2">
      <c r="C88" s="59"/>
      <c r="D88" s="59"/>
    </row>
    <row r="89" spans="3:4" x14ac:dyDescent="0.2">
      <c r="C89" s="59"/>
      <c r="D89" s="59"/>
    </row>
    <row r="90" spans="3:4" x14ac:dyDescent="0.2">
      <c r="C90" s="59"/>
      <c r="D90" s="59"/>
    </row>
    <row r="91" spans="3:4" x14ac:dyDescent="0.2">
      <c r="C91" s="59"/>
      <c r="D91" s="59"/>
    </row>
    <row r="92" spans="3:4" x14ac:dyDescent="0.2">
      <c r="C92" s="59"/>
      <c r="D92" s="59"/>
    </row>
    <row r="93" spans="3:4" x14ac:dyDescent="0.2">
      <c r="C93" s="59"/>
      <c r="D93" s="59"/>
    </row>
    <row r="94" spans="3:4" x14ac:dyDescent="0.2">
      <c r="C94" s="59"/>
      <c r="D94" s="59"/>
    </row>
    <row r="95" spans="3:4" x14ac:dyDescent="0.2">
      <c r="C95" s="59"/>
      <c r="D95" s="59"/>
    </row>
    <row r="96" spans="3:4" x14ac:dyDescent="0.2">
      <c r="C96" s="59"/>
      <c r="D96" s="59"/>
    </row>
    <row r="97" spans="3:4" x14ac:dyDescent="0.2">
      <c r="C97" s="59"/>
      <c r="D97" s="59"/>
    </row>
    <row r="98" spans="3:4" x14ac:dyDescent="0.2">
      <c r="C98" s="59"/>
      <c r="D98" s="59"/>
    </row>
    <row r="99" spans="3:4" x14ac:dyDescent="0.2">
      <c r="C99" s="59"/>
      <c r="D99" s="59"/>
    </row>
    <row r="100" spans="3:4" x14ac:dyDescent="0.2">
      <c r="C100" s="59"/>
      <c r="D100" s="59"/>
    </row>
    <row r="101" spans="3:4" x14ac:dyDescent="0.2">
      <c r="C101" s="59"/>
      <c r="D101" s="59"/>
    </row>
    <row r="102" spans="3:4" x14ac:dyDescent="0.2">
      <c r="C102" s="59"/>
      <c r="D102" s="59"/>
    </row>
    <row r="103" spans="3:4" x14ac:dyDescent="0.2">
      <c r="C103" s="59"/>
      <c r="D103" s="59"/>
    </row>
    <row r="104" spans="3:4" x14ac:dyDescent="0.2">
      <c r="C104" s="59"/>
      <c r="D104" s="59"/>
    </row>
    <row r="105" spans="3:4" x14ac:dyDescent="0.2">
      <c r="C105" s="59"/>
      <c r="D105" s="59"/>
    </row>
    <row r="106" spans="3:4" x14ac:dyDescent="0.2">
      <c r="C106" s="59"/>
      <c r="D106" s="59"/>
    </row>
    <row r="107" spans="3:4" x14ac:dyDescent="0.2">
      <c r="C107" s="59"/>
      <c r="D107" s="59"/>
    </row>
    <row r="108" spans="3:4" x14ac:dyDescent="0.2">
      <c r="C108" s="59"/>
      <c r="D108" s="59"/>
    </row>
    <row r="109" spans="3:4" x14ac:dyDescent="0.2">
      <c r="C109" s="59"/>
      <c r="D109" s="59"/>
    </row>
    <row r="110" spans="3:4" x14ac:dyDescent="0.2">
      <c r="C110" s="59"/>
      <c r="D110" s="59"/>
    </row>
    <row r="111" spans="3:4" x14ac:dyDescent="0.2">
      <c r="C111" s="59"/>
      <c r="D111" s="59"/>
    </row>
    <row r="112" spans="3:4" x14ac:dyDescent="0.2">
      <c r="C112" s="59"/>
      <c r="D112" s="59"/>
    </row>
    <row r="113" spans="3:4" x14ac:dyDescent="0.2">
      <c r="C113" s="59"/>
      <c r="D113" s="59"/>
    </row>
    <row r="114" spans="3:4" x14ac:dyDescent="0.2">
      <c r="C114" s="59"/>
      <c r="D114" s="59"/>
    </row>
    <row r="115" spans="3:4" x14ac:dyDescent="0.2">
      <c r="C115" s="59"/>
      <c r="D115" s="59"/>
    </row>
    <row r="116" spans="3:4" x14ac:dyDescent="0.2">
      <c r="C116" s="59"/>
      <c r="D116" s="59"/>
    </row>
    <row r="117" spans="3:4" x14ac:dyDescent="0.2">
      <c r="C117" s="59"/>
      <c r="D117" s="59"/>
    </row>
    <row r="118" spans="3:4" x14ac:dyDescent="0.2">
      <c r="C118" s="59"/>
      <c r="D118" s="59"/>
    </row>
    <row r="119" spans="3:4" x14ac:dyDescent="0.2">
      <c r="C119" s="59"/>
      <c r="D119" s="59"/>
    </row>
    <row r="120" spans="3:4" x14ac:dyDescent="0.2">
      <c r="C120" s="59"/>
      <c r="D120" s="59"/>
    </row>
    <row r="121" spans="3:4" x14ac:dyDescent="0.2">
      <c r="C121" s="59"/>
      <c r="D121" s="59"/>
    </row>
    <row r="122" spans="3:4" x14ac:dyDescent="0.2">
      <c r="C122" s="59"/>
      <c r="D122" s="59"/>
    </row>
    <row r="123" spans="3:4" x14ac:dyDescent="0.2">
      <c r="C123" s="59"/>
      <c r="D123" s="59"/>
    </row>
    <row r="124" spans="3:4" x14ac:dyDescent="0.2">
      <c r="C124" s="59"/>
      <c r="D124" s="59"/>
    </row>
    <row r="125" spans="3:4" x14ac:dyDescent="0.2">
      <c r="C125" s="59"/>
      <c r="D125" s="59"/>
    </row>
    <row r="126" spans="3:4" x14ac:dyDescent="0.2">
      <c r="C126" s="59"/>
      <c r="D126" s="59"/>
    </row>
    <row r="127" spans="3:4" x14ac:dyDescent="0.2">
      <c r="C127" s="59"/>
      <c r="D127" s="59"/>
    </row>
    <row r="128" spans="3:4" x14ac:dyDescent="0.2">
      <c r="C128" s="59"/>
      <c r="D128" s="59"/>
    </row>
    <row r="129" spans="3:4" x14ac:dyDescent="0.2">
      <c r="C129" s="59"/>
      <c r="D129" s="59"/>
    </row>
    <row r="130" spans="3:4" x14ac:dyDescent="0.2">
      <c r="C130" s="59"/>
      <c r="D130" s="59"/>
    </row>
    <row r="131" spans="3:4" x14ac:dyDescent="0.2">
      <c r="C131" s="59"/>
      <c r="D131" s="59"/>
    </row>
    <row r="132" spans="3:4" x14ac:dyDescent="0.2">
      <c r="C132" s="59"/>
      <c r="D132" s="59"/>
    </row>
    <row r="133" spans="3:4" x14ac:dyDescent="0.2">
      <c r="C133" s="59"/>
      <c r="D133" s="59"/>
    </row>
    <row r="134" spans="3:4" x14ac:dyDescent="0.2">
      <c r="C134" s="59"/>
      <c r="D134" s="59"/>
    </row>
    <row r="135" spans="3:4" x14ac:dyDescent="0.2">
      <c r="C135" s="59"/>
      <c r="D135" s="59"/>
    </row>
    <row r="136" spans="3:4" x14ac:dyDescent="0.2">
      <c r="C136" s="59"/>
      <c r="D136" s="59"/>
    </row>
    <row r="137" spans="3:4" x14ac:dyDescent="0.2">
      <c r="C137" s="59"/>
      <c r="D137" s="59"/>
    </row>
    <row r="138" spans="3:4" x14ac:dyDescent="0.2">
      <c r="C138" s="59"/>
      <c r="D138" s="59"/>
    </row>
    <row r="139" spans="3:4" x14ac:dyDescent="0.2">
      <c r="C139" s="59"/>
      <c r="D139" s="59"/>
    </row>
    <row r="140" spans="3:4" x14ac:dyDescent="0.2">
      <c r="C140" s="59"/>
      <c r="D140" s="59"/>
    </row>
    <row r="141" spans="3:4" x14ac:dyDescent="0.2">
      <c r="C141" s="59"/>
      <c r="D141" s="59"/>
    </row>
    <row r="142" spans="3:4" x14ac:dyDescent="0.2">
      <c r="C142" s="59"/>
      <c r="D142" s="59"/>
    </row>
    <row r="143" spans="3:4" x14ac:dyDescent="0.2">
      <c r="C143" s="59"/>
      <c r="D143" s="59"/>
    </row>
    <row r="144" spans="3:4" x14ac:dyDescent="0.2">
      <c r="C144" s="59"/>
      <c r="D144" s="59"/>
    </row>
    <row r="145" spans="3:4" x14ac:dyDescent="0.2">
      <c r="C145" s="59"/>
      <c r="D145" s="59"/>
    </row>
    <row r="146" spans="3:4" x14ac:dyDescent="0.2">
      <c r="C146" s="59"/>
      <c r="D146" s="59"/>
    </row>
    <row r="147" spans="3:4" x14ac:dyDescent="0.2">
      <c r="C147" s="59"/>
      <c r="D147" s="59"/>
    </row>
    <row r="148" spans="3:4" x14ac:dyDescent="0.2">
      <c r="C148" s="59"/>
      <c r="D148" s="59"/>
    </row>
    <row r="149" spans="3:4" x14ac:dyDescent="0.2">
      <c r="C149" s="59"/>
      <c r="D149" s="59"/>
    </row>
    <row r="150" spans="3:4" x14ac:dyDescent="0.2">
      <c r="C150" s="59"/>
      <c r="D150" s="59"/>
    </row>
    <row r="151" spans="3:4" x14ac:dyDescent="0.2">
      <c r="C151" s="59"/>
      <c r="D151" s="59"/>
    </row>
    <row r="152" spans="3:4" x14ac:dyDescent="0.2">
      <c r="C152" s="59"/>
      <c r="D152" s="59"/>
    </row>
    <row r="153" spans="3:4" x14ac:dyDescent="0.2">
      <c r="C153" s="59"/>
      <c r="D153" s="59"/>
    </row>
  </sheetData>
  <pageMargins left="0.7" right="0.7" top="0.75" bottom="0.75" header="0.3" footer="0.3"/>
  <pageSetup paperSize="9" orientation="portrait" horizontalDpi="0" verticalDpi="0"/>
  <legacyDrawing r:id="rId1"/>
</worksheet>
</file>

<file path=xl/worksheets/sheet8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600-000000000000}">
  <dimension ref="A1:L153"/>
  <sheetViews>
    <sheetView zoomScale="93" zoomScaleNormal="130" workbookViewId="0">
      <pane xSplit="2" ySplit="1" topLeftCell="C22" activePane="bottomRight" state="frozen"/>
      <selection pane="topRight" activeCell="C1" sqref="C1"/>
      <selection pane="bottomLeft" activeCell="A2" sqref="A2"/>
      <selection pane="bottomRight" activeCell="C1" sqref="C1"/>
    </sheetView>
  </sheetViews>
  <sheetFormatPr baseColWidth="10" defaultColWidth="11" defaultRowHeight="16" x14ac:dyDescent="0.2"/>
  <cols>
    <col min="1" max="1" width="27.5" bestFit="1" customWidth="1"/>
    <col min="2" max="2" width="0" hidden="1"/>
    <col min="3" max="3" width="10.1640625" bestFit="1" customWidth="1"/>
    <col min="4" max="4" width="11.1640625" bestFit="1" customWidth="1"/>
    <col min="5" max="6" width="10.1640625" bestFit="1" customWidth="1"/>
    <col min="7" max="7" width="13" customWidth="1"/>
    <col min="8" max="8" width="12.1640625" customWidth="1"/>
  </cols>
  <sheetData>
    <row r="1" spans="1:12" x14ac:dyDescent="0.2">
      <c r="B1" s="46" t="s">
        <v>0</v>
      </c>
      <c r="C1" s="80" t="s">
        <v>1</v>
      </c>
      <c r="D1" s="80" t="s">
        <v>2</v>
      </c>
      <c r="E1" s="81" t="s">
        <v>3</v>
      </c>
      <c r="F1" s="81" t="s">
        <v>4</v>
      </c>
      <c r="G1" s="81" t="s">
        <v>5</v>
      </c>
    </row>
    <row r="2" spans="1:12" x14ac:dyDescent="0.2">
      <c r="A2" t="s">
        <v>17</v>
      </c>
      <c r="B2" s="82"/>
      <c r="C2" s="67">
        <v>24990000</v>
      </c>
      <c r="D2" s="75">
        <v>24890000</v>
      </c>
      <c r="E2" s="71">
        <v>24490000</v>
      </c>
      <c r="F2" s="37">
        <v>24690000</v>
      </c>
      <c r="G2" s="37">
        <v>24690000</v>
      </c>
    </row>
    <row r="3" spans="1:12" x14ac:dyDescent="0.2">
      <c r="A3" t="s">
        <v>18</v>
      </c>
      <c r="B3" s="82"/>
      <c r="C3" s="75">
        <v>30890000</v>
      </c>
      <c r="D3" s="75">
        <v>30590000</v>
      </c>
      <c r="E3" s="25">
        <v>29990000</v>
      </c>
      <c r="F3" s="37">
        <v>30590000</v>
      </c>
      <c r="G3" s="39">
        <v>29990000</v>
      </c>
      <c r="H3" s="26"/>
    </row>
    <row r="4" spans="1:12" x14ac:dyDescent="0.2">
      <c r="A4" t="s">
        <v>19</v>
      </c>
      <c r="B4" s="82"/>
      <c r="C4" s="75">
        <v>34690000</v>
      </c>
      <c r="D4" s="75">
        <v>34390000</v>
      </c>
      <c r="E4" s="25">
        <v>33490000</v>
      </c>
      <c r="F4" s="37">
        <v>34390000</v>
      </c>
      <c r="G4" s="39">
        <v>33990000</v>
      </c>
      <c r="H4" s="26"/>
    </row>
    <row r="5" spans="1:12" x14ac:dyDescent="0.2">
      <c r="A5" t="s">
        <v>20</v>
      </c>
      <c r="B5" s="82"/>
      <c r="C5" s="67">
        <v>37990000</v>
      </c>
      <c r="D5" s="67">
        <v>37990000</v>
      </c>
      <c r="E5" s="34">
        <v>36690000</v>
      </c>
      <c r="F5" s="39">
        <v>37890000</v>
      </c>
      <c r="G5" s="39">
        <v>37290000</v>
      </c>
      <c r="H5" s="26"/>
    </row>
    <row r="6" spans="1:12" x14ac:dyDescent="0.2">
      <c r="A6" t="s">
        <v>21</v>
      </c>
      <c r="B6" s="82"/>
      <c r="C6" s="75">
        <v>15190000</v>
      </c>
      <c r="D6" s="75">
        <v>15190000</v>
      </c>
      <c r="E6" s="71">
        <v>12490000</v>
      </c>
      <c r="F6" s="71">
        <v>12490000</v>
      </c>
      <c r="G6" s="39">
        <v>15190000</v>
      </c>
      <c r="H6" s="26"/>
    </row>
    <row r="7" spans="1:12" x14ac:dyDescent="0.2">
      <c r="A7" t="s">
        <v>181</v>
      </c>
      <c r="B7" s="70"/>
      <c r="C7" s="72">
        <v>21190000</v>
      </c>
      <c r="D7" s="69">
        <v>20890000</v>
      </c>
      <c r="E7" s="25">
        <v>20490000</v>
      </c>
      <c r="F7" s="39">
        <v>20890000</v>
      </c>
      <c r="G7" s="39">
        <v>20590000</v>
      </c>
      <c r="H7" s="26"/>
    </row>
    <row r="8" spans="1:12" x14ac:dyDescent="0.2">
      <c r="A8" t="s">
        <v>24</v>
      </c>
      <c r="B8" s="3"/>
      <c r="C8" s="61">
        <v>24890000</v>
      </c>
      <c r="D8" s="61">
        <v>24590000</v>
      </c>
      <c r="E8" s="25">
        <v>23490000</v>
      </c>
      <c r="F8" s="39">
        <v>24590000</v>
      </c>
      <c r="G8" s="39">
        <v>23990000</v>
      </c>
      <c r="H8" s="26"/>
    </row>
    <row r="9" spans="1:12" x14ac:dyDescent="0.2">
      <c r="A9" t="s">
        <v>182</v>
      </c>
      <c r="B9" s="25"/>
      <c r="C9" s="39">
        <v>25590000</v>
      </c>
      <c r="D9" s="39">
        <v>25590000</v>
      </c>
      <c r="E9" s="25">
        <v>24990000</v>
      </c>
      <c r="F9" s="39">
        <v>25490000</v>
      </c>
      <c r="G9" s="39">
        <v>24990000</v>
      </c>
      <c r="H9" s="26"/>
    </row>
    <row r="10" spans="1:12" x14ac:dyDescent="0.2">
      <c r="A10" t="s">
        <v>183</v>
      </c>
      <c r="B10" s="3"/>
      <c r="C10" s="61">
        <v>31290000</v>
      </c>
      <c r="D10" s="61">
        <v>30990000</v>
      </c>
      <c r="E10" s="34">
        <v>30490000</v>
      </c>
      <c r="F10" s="37">
        <v>30990000</v>
      </c>
      <c r="G10" s="37">
        <v>30490000</v>
      </c>
      <c r="H10" s="26"/>
    </row>
    <row r="11" spans="1:12" x14ac:dyDescent="0.2">
      <c r="A11" t="s">
        <v>25</v>
      </c>
      <c r="B11" s="25"/>
      <c r="C11" s="63">
        <v>17290000</v>
      </c>
      <c r="D11" s="61">
        <v>16990000</v>
      </c>
      <c r="E11" s="25">
        <v>16690000</v>
      </c>
      <c r="F11" s="39">
        <v>16990000</v>
      </c>
      <c r="G11" s="39">
        <v>16590000</v>
      </c>
      <c r="H11" s="26"/>
    </row>
    <row r="12" spans="1:12" x14ac:dyDescent="0.2">
      <c r="A12" t="s">
        <v>26</v>
      </c>
      <c r="B12" s="25"/>
      <c r="C12" s="63">
        <v>19590000</v>
      </c>
      <c r="D12" s="63" t="s">
        <v>22</v>
      </c>
      <c r="E12" s="63" t="s">
        <v>22</v>
      </c>
      <c r="F12" s="39">
        <v>17690000</v>
      </c>
      <c r="G12" s="39">
        <v>18490000</v>
      </c>
      <c r="H12" s="26"/>
    </row>
    <row r="13" spans="1:12" x14ac:dyDescent="0.2">
      <c r="A13" t="s">
        <v>27</v>
      </c>
      <c r="B13" s="25"/>
      <c r="C13" s="63">
        <v>13990000</v>
      </c>
      <c r="D13" s="63">
        <v>13690000</v>
      </c>
      <c r="E13" s="25">
        <v>13390000</v>
      </c>
      <c r="F13" s="39">
        <v>13590000</v>
      </c>
      <c r="G13" s="39">
        <v>12990000</v>
      </c>
      <c r="H13" s="26"/>
    </row>
    <row r="14" spans="1:12" x14ac:dyDescent="0.2">
      <c r="A14" t="s">
        <v>28</v>
      </c>
      <c r="B14" s="3"/>
      <c r="C14" s="63">
        <v>12490000</v>
      </c>
      <c r="D14" s="53">
        <v>12190000</v>
      </c>
      <c r="E14" s="25">
        <v>11990000</v>
      </c>
      <c r="F14" s="39">
        <v>12090000</v>
      </c>
      <c r="G14" s="39">
        <v>11890000</v>
      </c>
      <c r="H14" s="26"/>
    </row>
    <row r="15" spans="1:12" x14ac:dyDescent="0.2">
      <c r="A15" t="s">
        <v>29</v>
      </c>
      <c r="B15" s="25"/>
      <c r="C15" s="61">
        <v>11790000</v>
      </c>
      <c r="D15" s="63">
        <v>11790000</v>
      </c>
      <c r="E15" s="34">
        <v>11290000</v>
      </c>
      <c r="F15" s="37">
        <v>11790000</v>
      </c>
      <c r="G15" s="39">
        <v>11590000</v>
      </c>
      <c r="H15" s="26"/>
    </row>
    <row r="16" spans="1:12" x14ac:dyDescent="0.2">
      <c r="A16" t="s">
        <v>30</v>
      </c>
      <c r="B16" s="3"/>
      <c r="C16" s="61">
        <v>8690000</v>
      </c>
      <c r="D16" s="61">
        <v>8690000</v>
      </c>
      <c r="E16" s="34">
        <v>8490000</v>
      </c>
      <c r="F16" s="37">
        <v>8690000</v>
      </c>
      <c r="G16" s="37">
        <v>8490000</v>
      </c>
      <c r="H16" s="26"/>
      <c r="J16" t="s">
        <v>31</v>
      </c>
      <c r="K16" t="s">
        <v>38</v>
      </c>
      <c r="L16" t="b">
        <v>1</v>
      </c>
    </row>
    <row r="17" spans="1:12" x14ac:dyDescent="0.2">
      <c r="A17" t="s">
        <v>33</v>
      </c>
      <c r="B17" s="3"/>
      <c r="C17" s="61">
        <v>13290000</v>
      </c>
      <c r="D17" s="61">
        <v>13290000</v>
      </c>
      <c r="E17" s="34">
        <v>12990000</v>
      </c>
      <c r="F17" s="37">
        <v>13290000</v>
      </c>
      <c r="G17" s="37">
        <v>13190000</v>
      </c>
      <c r="H17" s="26"/>
      <c r="I17" s="26"/>
      <c r="J17" t="s">
        <v>2</v>
      </c>
      <c r="K17" t="s">
        <v>34</v>
      </c>
      <c r="L17" t="b">
        <v>1</v>
      </c>
    </row>
    <row r="18" spans="1:12" x14ac:dyDescent="0.2">
      <c r="A18" t="s">
        <v>37</v>
      </c>
      <c r="B18" s="25"/>
      <c r="C18" s="61">
        <v>19290000</v>
      </c>
      <c r="D18" s="61">
        <v>19290000</v>
      </c>
      <c r="E18" s="25">
        <v>20490000</v>
      </c>
      <c r="F18" s="37">
        <v>19290000</v>
      </c>
      <c r="G18" s="37">
        <v>18690000</v>
      </c>
      <c r="H18" s="78"/>
      <c r="J18" t="s">
        <v>3</v>
      </c>
      <c r="K18" t="s">
        <v>36</v>
      </c>
      <c r="L18" t="b">
        <v>1</v>
      </c>
    </row>
    <row r="19" spans="1:12" x14ac:dyDescent="0.2">
      <c r="A19" t="s">
        <v>184</v>
      </c>
      <c r="B19" s="25"/>
      <c r="C19" s="25" t="s">
        <v>22</v>
      </c>
      <c r="D19" s="63">
        <v>27990000</v>
      </c>
      <c r="E19" s="25" t="s">
        <v>22</v>
      </c>
      <c r="F19" s="37">
        <v>28190000</v>
      </c>
      <c r="G19" s="39">
        <v>27190000</v>
      </c>
      <c r="H19" s="26"/>
      <c r="J19" t="s">
        <v>4</v>
      </c>
      <c r="K19" t="s">
        <v>32</v>
      </c>
      <c r="L19" t="b">
        <v>1</v>
      </c>
    </row>
    <row r="20" spans="1:12" x14ac:dyDescent="0.2">
      <c r="A20" t="s">
        <v>185</v>
      </c>
      <c r="B20" s="3"/>
      <c r="C20" s="25" t="s">
        <v>22</v>
      </c>
      <c r="D20" s="63">
        <v>36290000</v>
      </c>
      <c r="E20" s="25" t="s">
        <v>22</v>
      </c>
      <c r="F20" s="37">
        <v>36290000</v>
      </c>
      <c r="G20" s="39">
        <v>33690000</v>
      </c>
      <c r="H20" s="26"/>
      <c r="J20" t="s">
        <v>41</v>
      </c>
      <c r="K20" t="s">
        <v>42</v>
      </c>
      <c r="L20" t="b">
        <v>1</v>
      </c>
    </row>
    <row r="21" spans="1:12" x14ac:dyDescent="0.2">
      <c r="A21" t="s">
        <v>40</v>
      </c>
      <c r="B21" s="3"/>
      <c r="C21" s="63">
        <v>29990000</v>
      </c>
      <c r="D21" s="63">
        <v>29990000</v>
      </c>
      <c r="E21" s="25">
        <v>28990000</v>
      </c>
      <c r="F21" s="39">
        <v>29990000</v>
      </c>
      <c r="G21" s="39">
        <v>28990000</v>
      </c>
      <c r="H21" s="26"/>
    </row>
    <row r="22" spans="1:12" x14ac:dyDescent="0.2">
      <c r="A22" t="s">
        <v>43</v>
      </c>
      <c r="B22" s="3"/>
      <c r="C22" s="25">
        <v>39990000</v>
      </c>
      <c r="D22" s="25">
        <v>39990000</v>
      </c>
      <c r="E22" s="25">
        <v>38990000</v>
      </c>
      <c r="F22" s="39">
        <v>39990000</v>
      </c>
      <c r="G22" s="39">
        <v>39590000</v>
      </c>
      <c r="H22" s="26"/>
    </row>
    <row r="23" spans="1:12" x14ac:dyDescent="0.2">
      <c r="A23" t="s">
        <v>44</v>
      </c>
      <c r="B23" s="25"/>
      <c r="C23" s="61">
        <v>5890000</v>
      </c>
      <c r="D23" s="61">
        <v>5690000</v>
      </c>
      <c r="E23" s="34">
        <v>5890000</v>
      </c>
      <c r="F23" s="37">
        <v>5590000</v>
      </c>
      <c r="G23" s="34">
        <v>5990000</v>
      </c>
      <c r="H23" s="26"/>
    </row>
    <row r="24" spans="1:12" x14ac:dyDescent="0.2">
      <c r="A24" t="s">
        <v>45</v>
      </c>
      <c r="B24" s="25"/>
      <c r="C24" s="61">
        <v>7790000</v>
      </c>
      <c r="D24" s="61">
        <v>7990000</v>
      </c>
      <c r="E24" s="34">
        <v>7490000</v>
      </c>
      <c r="F24" s="37">
        <v>7690000</v>
      </c>
      <c r="G24" s="37">
        <v>7790000</v>
      </c>
      <c r="H24" s="26"/>
    </row>
    <row r="25" spans="1:12" x14ac:dyDescent="0.2">
      <c r="A25" t="s">
        <v>46</v>
      </c>
      <c r="B25" s="25"/>
      <c r="C25" s="61">
        <v>6990000</v>
      </c>
      <c r="D25" s="61">
        <v>6990000</v>
      </c>
      <c r="E25" s="34">
        <v>6490000</v>
      </c>
      <c r="F25" s="39">
        <v>7190000</v>
      </c>
      <c r="G25" s="39">
        <v>7190000</v>
      </c>
      <c r="H25" s="26"/>
    </row>
    <row r="26" spans="1:12" x14ac:dyDescent="0.2">
      <c r="A26" t="s">
        <v>47</v>
      </c>
      <c r="B26" s="25"/>
      <c r="C26" s="61">
        <v>8590000</v>
      </c>
      <c r="D26" s="63">
        <v>8790000</v>
      </c>
      <c r="E26" s="34">
        <v>7990000</v>
      </c>
      <c r="F26" s="39">
        <v>8790000</v>
      </c>
      <c r="G26" s="37">
        <v>8490000</v>
      </c>
      <c r="H26" s="26"/>
    </row>
    <row r="27" spans="1:12" x14ac:dyDescent="0.2">
      <c r="A27" t="s">
        <v>48</v>
      </c>
      <c r="B27" s="3"/>
      <c r="C27" s="61">
        <v>9290000</v>
      </c>
      <c r="D27" s="61">
        <v>9290000</v>
      </c>
      <c r="E27" s="34">
        <v>8490000</v>
      </c>
      <c r="F27" s="37">
        <v>9190000</v>
      </c>
      <c r="G27" s="37">
        <v>9190000</v>
      </c>
      <c r="H27" s="26"/>
    </row>
    <row r="28" spans="1:12" x14ac:dyDescent="0.2">
      <c r="A28" t="s">
        <v>49</v>
      </c>
      <c r="B28" s="3"/>
      <c r="C28" s="61">
        <v>12190000</v>
      </c>
      <c r="D28" s="61">
        <v>13990000</v>
      </c>
      <c r="E28" s="34">
        <v>11490000</v>
      </c>
      <c r="F28" s="37">
        <v>13690000</v>
      </c>
      <c r="G28" s="37">
        <v>13990000</v>
      </c>
      <c r="H28" s="26"/>
    </row>
    <row r="29" spans="1:12" x14ac:dyDescent="0.2">
      <c r="A29" t="s">
        <v>50</v>
      </c>
      <c r="B29" s="3"/>
      <c r="C29" s="61">
        <v>10150000</v>
      </c>
      <c r="D29" s="63">
        <v>10090000</v>
      </c>
      <c r="E29" s="34">
        <v>9190000</v>
      </c>
      <c r="F29" s="37">
        <v>10090000</v>
      </c>
      <c r="G29" s="37">
        <v>10150000</v>
      </c>
      <c r="H29" s="26"/>
    </row>
    <row r="30" spans="1:12" x14ac:dyDescent="0.2">
      <c r="A30" t="s">
        <v>51</v>
      </c>
      <c r="B30" s="3"/>
      <c r="C30" s="63">
        <v>14890000</v>
      </c>
      <c r="D30" s="61">
        <v>13090000</v>
      </c>
      <c r="E30" s="34">
        <v>12490000</v>
      </c>
      <c r="F30" s="37">
        <v>13290000</v>
      </c>
      <c r="G30" s="34">
        <v>13190000</v>
      </c>
      <c r="H30" s="26"/>
    </row>
    <row r="31" spans="1:12" x14ac:dyDescent="0.2">
      <c r="A31" t="s">
        <v>52</v>
      </c>
      <c r="B31" s="25"/>
      <c r="C31" s="61">
        <v>23190000</v>
      </c>
      <c r="D31" s="61">
        <v>23190000</v>
      </c>
      <c r="E31" s="34">
        <v>22990000</v>
      </c>
      <c r="F31" s="37">
        <v>22990000</v>
      </c>
      <c r="G31" s="34">
        <v>23390000</v>
      </c>
      <c r="H31" s="26"/>
    </row>
    <row r="32" spans="1:12" x14ac:dyDescent="0.2">
      <c r="A32" t="s">
        <v>53</v>
      </c>
      <c r="B32" s="3"/>
      <c r="C32" s="63">
        <v>4990000</v>
      </c>
      <c r="D32" s="61">
        <v>4290000</v>
      </c>
      <c r="E32" s="25">
        <v>4290000</v>
      </c>
      <c r="F32" s="37">
        <v>4990000</v>
      </c>
      <c r="G32" s="38">
        <v>5590000</v>
      </c>
      <c r="H32" s="26"/>
      <c r="J32" s="83"/>
    </row>
    <row r="33" spans="1:8" x14ac:dyDescent="0.2">
      <c r="A33" t="s">
        <v>54</v>
      </c>
      <c r="B33" s="3"/>
      <c r="C33" s="63">
        <v>4490000</v>
      </c>
      <c r="D33" s="61">
        <v>4390000</v>
      </c>
      <c r="E33" s="34">
        <v>4390000</v>
      </c>
      <c r="F33" s="37">
        <v>4490000</v>
      </c>
      <c r="G33" s="34">
        <v>4390000</v>
      </c>
      <c r="H33" s="26"/>
    </row>
    <row r="34" spans="1:8" x14ac:dyDescent="0.2">
      <c r="A34" t="s">
        <v>55</v>
      </c>
      <c r="B34" s="3"/>
      <c r="C34" s="63">
        <v>3090000</v>
      </c>
      <c r="D34" s="61">
        <v>2990000</v>
      </c>
      <c r="E34" s="34">
        <v>2990000</v>
      </c>
      <c r="F34" s="34">
        <v>2990000</v>
      </c>
      <c r="G34" s="37">
        <v>2990000</v>
      </c>
      <c r="H34" s="26"/>
    </row>
    <row r="35" spans="1:8" x14ac:dyDescent="0.2">
      <c r="A35" t="s">
        <v>56</v>
      </c>
      <c r="B35" s="3"/>
      <c r="C35" s="39">
        <v>6790000</v>
      </c>
      <c r="D35" s="63">
        <v>6790000</v>
      </c>
      <c r="E35" s="71">
        <v>6490000</v>
      </c>
      <c r="F35" s="39">
        <v>6790000</v>
      </c>
      <c r="G35" s="39">
        <v>6390000</v>
      </c>
      <c r="H35" s="26"/>
    </row>
    <row r="36" spans="1:8" x14ac:dyDescent="0.2">
      <c r="A36" t="s">
        <v>186</v>
      </c>
      <c r="B36" s="25"/>
      <c r="C36" s="63">
        <v>19690000</v>
      </c>
      <c r="D36" s="61">
        <v>19690000</v>
      </c>
      <c r="E36" s="36"/>
      <c r="F36" s="37">
        <v>19690000</v>
      </c>
      <c r="G36" s="39">
        <v>18990000</v>
      </c>
      <c r="H36" s="26"/>
    </row>
    <row r="37" spans="1:8" x14ac:dyDescent="0.2">
      <c r="A37" t="s">
        <v>59</v>
      </c>
      <c r="B37" s="3"/>
      <c r="C37" s="63">
        <v>25290000</v>
      </c>
      <c r="D37" s="61">
        <v>25090000</v>
      </c>
      <c r="E37" s="36"/>
      <c r="F37" s="37">
        <v>24990000</v>
      </c>
      <c r="G37" s="37">
        <v>24990000</v>
      </c>
      <c r="H37" s="26"/>
    </row>
    <row r="38" spans="1:8" x14ac:dyDescent="0.2">
      <c r="A38" t="s">
        <v>61</v>
      </c>
      <c r="B38" s="25"/>
      <c r="C38" s="63">
        <v>29990000</v>
      </c>
      <c r="D38" s="63">
        <v>29990000</v>
      </c>
      <c r="E38" s="36"/>
      <c r="F38" s="39">
        <v>29990000</v>
      </c>
      <c r="G38" s="37">
        <v>28290000</v>
      </c>
      <c r="H38" s="26"/>
    </row>
    <row r="39" spans="1:8" x14ac:dyDescent="0.2">
      <c r="A39" t="s">
        <v>187</v>
      </c>
      <c r="B39" s="25"/>
      <c r="C39" s="63" t="s">
        <v>22</v>
      </c>
      <c r="D39" s="63">
        <v>37990000</v>
      </c>
      <c r="E39" s="36"/>
      <c r="F39" s="39">
        <v>38590000</v>
      </c>
      <c r="G39" s="39">
        <v>38390000</v>
      </c>
      <c r="H39" s="26"/>
    </row>
    <row r="40" spans="1:8" x14ac:dyDescent="0.2">
      <c r="A40" t="s">
        <v>62</v>
      </c>
      <c r="B40" s="25"/>
      <c r="C40" s="63">
        <v>41990000</v>
      </c>
      <c r="D40" s="63">
        <v>41990000</v>
      </c>
      <c r="E40" s="36"/>
      <c r="F40" s="39">
        <v>41990000</v>
      </c>
      <c r="G40" s="39">
        <v>41990000</v>
      </c>
      <c r="H40" s="26"/>
    </row>
    <row r="41" spans="1:8" x14ac:dyDescent="0.2">
      <c r="A41" t="s">
        <v>188</v>
      </c>
      <c r="B41" s="25"/>
      <c r="C41" s="63" t="s">
        <v>22</v>
      </c>
      <c r="D41" s="63">
        <v>64490000</v>
      </c>
      <c r="E41" s="36"/>
      <c r="F41" s="39">
        <v>63990000</v>
      </c>
      <c r="G41" s="39">
        <v>63990000</v>
      </c>
    </row>
    <row r="42" spans="1:8" x14ac:dyDescent="0.2">
      <c r="C42" s="59"/>
      <c r="D42" s="59"/>
    </row>
    <row r="43" spans="1:8" x14ac:dyDescent="0.2">
      <c r="C43" s="59"/>
      <c r="D43" s="59"/>
    </row>
    <row r="44" spans="1:8" x14ac:dyDescent="0.2">
      <c r="C44" s="59"/>
      <c r="D44" s="59"/>
    </row>
    <row r="45" spans="1:8" x14ac:dyDescent="0.2">
      <c r="C45" s="59"/>
      <c r="D45" s="59"/>
    </row>
    <row r="46" spans="1:8" x14ac:dyDescent="0.2">
      <c r="C46" s="59"/>
      <c r="D46" s="59"/>
    </row>
    <row r="47" spans="1:8" x14ac:dyDescent="0.2">
      <c r="C47" s="59"/>
      <c r="D47" s="59"/>
    </row>
    <row r="48" spans="1:8" x14ac:dyDescent="0.2">
      <c r="C48" s="59"/>
      <c r="D48" s="59"/>
    </row>
    <row r="49" spans="3:4" x14ac:dyDescent="0.2">
      <c r="C49" s="59"/>
      <c r="D49" s="59"/>
    </row>
    <row r="50" spans="3:4" x14ac:dyDescent="0.2">
      <c r="C50" s="59"/>
      <c r="D50" s="59"/>
    </row>
    <row r="51" spans="3:4" x14ac:dyDescent="0.2">
      <c r="C51" s="59"/>
      <c r="D51" s="59"/>
    </row>
    <row r="52" spans="3:4" x14ac:dyDescent="0.2">
      <c r="C52" s="59"/>
      <c r="D52" s="59"/>
    </row>
    <row r="53" spans="3:4" x14ac:dyDescent="0.2">
      <c r="C53" s="59"/>
      <c r="D53" s="59"/>
    </row>
    <row r="54" spans="3:4" x14ac:dyDescent="0.2">
      <c r="C54" s="59"/>
      <c r="D54" s="59"/>
    </row>
    <row r="55" spans="3:4" x14ac:dyDescent="0.2">
      <c r="C55" s="59"/>
      <c r="D55" s="59"/>
    </row>
    <row r="56" spans="3:4" x14ac:dyDescent="0.2">
      <c r="C56" s="59"/>
      <c r="D56" s="59"/>
    </row>
    <row r="57" spans="3:4" x14ac:dyDescent="0.2">
      <c r="C57" s="59"/>
      <c r="D57" s="59"/>
    </row>
    <row r="58" spans="3:4" x14ac:dyDescent="0.2">
      <c r="C58" s="59"/>
      <c r="D58" s="59"/>
    </row>
    <row r="59" spans="3:4" x14ac:dyDescent="0.2">
      <c r="C59" s="59"/>
      <c r="D59" s="59"/>
    </row>
    <row r="60" spans="3:4" x14ac:dyDescent="0.2">
      <c r="C60" s="59"/>
      <c r="D60" s="59"/>
    </row>
    <row r="61" spans="3:4" x14ac:dyDescent="0.2">
      <c r="C61" s="59"/>
      <c r="D61" s="59"/>
    </row>
    <row r="62" spans="3:4" x14ac:dyDescent="0.2">
      <c r="C62" s="59"/>
      <c r="D62" s="59"/>
    </row>
    <row r="63" spans="3:4" x14ac:dyDescent="0.2">
      <c r="C63" s="59"/>
      <c r="D63" s="59"/>
    </row>
    <row r="64" spans="3:4" x14ac:dyDescent="0.2">
      <c r="C64" s="59"/>
      <c r="D64" s="59"/>
    </row>
    <row r="65" spans="3:4" x14ac:dyDescent="0.2">
      <c r="C65" s="59"/>
      <c r="D65" s="59"/>
    </row>
    <row r="66" spans="3:4" x14ac:dyDescent="0.2">
      <c r="C66" s="59"/>
      <c r="D66" s="59"/>
    </row>
    <row r="67" spans="3:4" x14ac:dyDescent="0.2">
      <c r="C67" s="59"/>
      <c r="D67" s="59"/>
    </row>
    <row r="68" spans="3:4" x14ac:dyDescent="0.2">
      <c r="C68" s="59"/>
      <c r="D68" s="59"/>
    </row>
    <row r="69" spans="3:4" x14ac:dyDescent="0.2">
      <c r="C69" s="59"/>
      <c r="D69" s="59"/>
    </row>
    <row r="70" spans="3:4" x14ac:dyDescent="0.2">
      <c r="C70" s="59"/>
      <c r="D70" s="59"/>
    </row>
    <row r="71" spans="3:4" x14ac:dyDescent="0.2">
      <c r="C71" s="59"/>
      <c r="D71" s="59"/>
    </row>
    <row r="72" spans="3:4" x14ac:dyDescent="0.2">
      <c r="C72" s="59"/>
      <c r="D72" s="59"/>
    </row>
    <row r="73" spans="3:4" x14ac:dyDescent="0.2">
      <c r="C73" s="59"/>
      <c r="D73" s="59"/>
    </row>
    <row r="74" spans="3:4" x14ac:dyDescent="0.2">
      <c r="C74" s="59"/>
      <c r="D74" s="59"/>
    </row>
    <row r="75" spans="3:4" x14ac:dyDescent="0.2">
      <c r="C75" s="59"/>
      <c r="D75" s="59"/>
    </row>
    <row r="76" spans="3:4" x14ac:dyDescent="0.2">
      <c r="C76" s="59"/>
      <c r="D76" s="59"/>
    </row>
    <row r="77" spans="3:4" x14ac:dyDescent="0.2">
      <c r="C77" s="59"/>
      <c r="D77" s="59"/>
    </row>
    <row r="78" spans="3:4" x14ac:dyDescent="0.2">
      <c r="C78" s="59"/>
      <c r="D78" s="59"/>
    </row>
    <row r="79" spans="3:4" x14ac:dyDescent="0.2">
      <c r="C79" s="59"/>
      <c r="D79" s="59"/>
    </row>
    <row r="80" spans="3:4" x14ac:dyDescent="0.2">
      <c r="C80" s="59"/>
      <c r="D80" s="59"/>
    </row>
    <row r="81" spans="3:4" x14ac:dyDescent="0.2">
      <c r="C81" s="59"/>
      <c r="D81" s="59"/>
    </row>
    <row r="82" spans="3:4" x14ac:dyDescent="0.2">
      <c r="C82" s="59"/>
      <c r="D82" s="59"/>
    </row>
    <row r="83" spans="3:4" x14ac:dyDescent="0.2">
      <c r="C83" s="59"/>
      <c r="D83" s="59"/>
    </row>
    <row r="84" spans="3:4" x14ac:dyDescent="0.2">
      <c r="C84" s="59"/>
      <c r="D84" s="59"/>
    </row>
    <row r="85" spans="3:4" x14ac:dyDescent="0.2">
      <c r="C85" s="59"/>
      <c r="D85" s="59"/>
    </row>
    <row r="86" spans="3:4" x14ac:dyDescent="0.2">
      <c r="C86" s="59"/>
      <c r="D86" s="59"/>
    </row>
    <row r="87" spans="3:4" x14ac:dyDescent="0.2">
      <c r="C87" s="59"/>
      <c r="D87" s="59"/>
    </row>
    <row r="88" spans="3:4" x14ac:dyDescent="0.2">
      <c r="C88" s="59"/>
      <c r="D88" s="59"/>
    </row>
    <row r="89" spans="3:4" x14ac:dyDescent="0.2">
      <c r="C89" s="59"/>
      <c r="D89" s="59"/>
    </row>
    <row r="90" spans="3:4" x14ac:dyDescent="0.2">
      <c r="C90" s="59"/>
      <c r="D90" s="59"/>
    </row>
    <row r="91" spans="3:4" x14ac:dyDescent="0.2">
      <c r="C91" s="59"/>
      <c r="D91" s="59"/>
    </row>
    <row r="92" spans="3:4" x14ac:dyDescent="0.2">
      <c r="C92" s="59"/>
      <c r="D92" s="59"/>
    </row>
    <row r="93" spans="3:4" x14ac:dyDescent="0.2">
      <c r="C93" s="59"/>
      <c r="D93" s="59"/>
    </row>
    <row r="94" spans="3:4" x14ac:dyDescent="0.2">
      <c r="C94" s="59"/>
      <c r="D94" s="59"/>
    </row>
    <row r="95" spans="3:4" x14ac:dyDescent="0.2">
      <c r="C95" s="59"/>
      <c r="D95" s="59"/>
    </row>
    <row r="96" spans="3:4" x14ac:dyDescent="0.2">
      <c r="C96" s="59"/>
      <c r="D96" s="59"/>
    </row>
    <row r="97" spans="3:4" x14ac:dyDescent="0.2">
      <c r="C97" s="59"/>
      <c r="D97" s="59"/>
    </row>
    <row r="98" spans="3:4" x14ac:dyDescent="0.2">
      <c r="C98" s="59"/>
      <c r="D98" s="59"/>
    </row>
    <row r="99" spans="3:4" x14ac:dyDescent="0.2">
      <c r="C99" s="59"/>
      <c r="D99" s="59"/>
    </row>
    <row r="100" spans="3:4" x14ac:dyDescent="0.2">
      <c r="C100" s="59"/>
      <c r="D100" s="59"/>
    </row>
    <row r="101" spans="3:4" x14ac:dyDescent="0.2">
      <c r="C101" s="59"/>
      <c r="D101" s="59"/>
    </row>
    <row r="102" spans="3:4" x14ac:dyDescent="0.2">
      <c r="C102" s="59"/>
      <c r="D102" s="59"/>
    </row>
    <row r="103" spans="3:4" x14ac:dyDescent="0.2">
      <c r="C103" s="59"/>
      <c r="D103" s="59"/>
    </row>
    <row r="104" spans="3:4" x14ac:dyDescent="0.2">
      <c r="C104" s="59"/>
      <c r="D104" s="59"/>
    </row>
    <row r="105" spans="3:4" x14ac:dyDescent="0.2">
      <c r="C105" s="59"/>
      <c r="D105" s="59"/>
    </row>
    <row r="106" spans="3:4" x14ac:dyDescent="0.2">
      <c r="C106" s="59"/>
      <c r="D106" s="59"/>
    </row>
    <row r="107" spans="3:4" x14ac:dyDescent="0.2">
      <c r="C107" s="59"/>
      <c r="D107" s="59"/>
    </row>
    <row r="108" spans="3:4" x14ac:dyDescent="0.2">
      <c r="C108" s="59"/>
      <c r="D108" s="59"/>
    </row>
    <row r="109" spans="3:4" x14ac:dyDescent="0.2">
      <c r="C109" s="59"/>
      <c r="D109" s="59"/>
    </row>
    <row r="110" spans="3:4" x14ac:dyDescent="0.2">
      <c r="C110" s="59"/>
      <c r="D110" s="59"/>
    </row>
    <row r="111" spans="3:4" x14ac:dyDescent="0.2">
      <c r="C111" s="59"/>
      <c r="D111" s="59"/>
    </row>
    <row r="112" spans="3:4" x14ac:dyDescent="0.2">
      <c r="C112" s="59"/>
      <c r="D112" s="59"/>
    </row>
    <row r="113" spans="3:4" x14ac:dyDescent="0.2">
      <c r="C113" s="59"/>
      <c r="D113" s="59"/>
    </row>
    <row r="114" spans="3:4" x14ac:dyDescent="0.2">
      <c r="C114" s="59"/>
      <c r="D114" s="59"/>
    </row>
    <row r="115" spans="3:4" x14ac:dyDescent="0.2">
      <c r="C115" s="59"/>
      <c r="D115" s="59"/>
    </row>
    <row r="116" spans="3:4" x14ac:dyDescent="0.2">
      <c r="C116" s="59"/>
      <c r="D116" s="59"/>
    </row>
    <row r="117" spans="3:4" x14ac:dyDescent="0.2">
      <c r="C117" s="59"/>
      <c r="D117" s="59"/>
    </row>
    <row r="118" spans="3:4" x14ac:dyDescent="0.2">
      <c r="C118" s="59"/>
      <c r="D118" s="59"/>
    </row>
    <row r="119" spans="3:4" x14ac:dyDescent="0.2">
      <c r="C119" s="59"/>
      <c r="D119" s="59"/>
    </row>
    <row r="120" spans="3:4" x14ac:dyDescent="0.2">
      <c r="C120" s="59"/>
      <c r="D120" s="59"/>
    </row>
    <row r="121" spans="3:4" x14ac:dyDescent="0.2">
      <c r="C121" s="59"/>
      <c r="D121" s="59"/>
    </row>
    <row r="122" spans="3:4" x14ac:dyDescent="0.2">
      <c r="C122" s="59"/>
      <c r="D122" s="59"/>
    </row>
    <row r="123" spans="3:4" x14ac:dyDescent="0.2">
      <c r="C123" s="59"/>
      <c r="D123" s="59"/>
    </row>
    <row r="124" spans="3:4" x14ac:dyDescent="0.2">
      <c r="C124" s="59"/>
      <c r="D124" s="59"/>
    </row>
    <row r="125" spans="3:4" x14ac:dyDescent="0.2">
      <c r="C125" s="59"/>
      <c r="D125" s="59"/>
    </row>
    <row r="126" spans="3:4" x14ac:dyDescent="0.2">
      <c r="C126" s="59"/>
      <c r="D126" s="59"/>
    </row>
    <row r="127" spans="3:4" x14ac:dyDescent="0.2">
      <c r="C127" s="59"/>
      <c r="D127" s="59"/>
    </row>
    <row r="128" spans="3:4" x14ac:dyDescent="0.2">
      <c r="C128" s="59"/>
      <c r="D128" s="59"/>
    </row>
    <row r="129" spans="3:4" x14ac:dyDescent="0.2">
      <c r="C129" s="59"/>
      <c r="D129" s="59"/>
    </row>
    <row r="130" spans="3:4" x14ac:dyDescent="0.2">
      <c r="C130" s="59"/>
      <c r="D130" s="59"/>
    </row>
    <row r="131" spans="3:4" x14ac:dyDescent="0.2">
      <c r="C131" s="59"/>
      <c r="D131" s="59"/>
    </row>
    <row r="132" spans="3:4" x14ac:dyDescent="0.2">
      <c r="C132" s="59"/>
      <c r="D132" s="59"/>
    </row>
    <row r="133" spans="3:4" x14ac:dyDescent="0.2">
      <c r="C133" s="59"/>
      <c r="D133" s="59"/>
    </row>
    <row r="134" spans="3:4" x14ac:dyDescent="0.2">
      <c r="C134" s="59"/>
      <c r="D134" s="59"/>
    </row>
    <row r="135" spans="3:4" x14ac:dyDescent="0.2">
      <c r="C135" s="59"/>
      <c r="D135" s="59"/>
    </row>
    <row r="136" spans="3:4" x14ac:dyDescent="0.2">
      <c r="C136" s="59"/>
      <c r="D136" s="59"/>
    </row>
    <row r="137" spans="3:4" x14ac:dyDescent="0.2">
      <c r="C137" s="59"/>
      <c r="D137" s="59"/>
    </row>
    <row r="138" spans="3:4" x14ac:dyDescent="0.2">
      <c r="C138" s="59"/>
      <c r="D138" s="59"/>
    </row>
    <row r="139" spans="3:4" x14ac:dyDescent="0.2">
      <c r="C139" s="59"/>
      <c r="D139" s="59"/>
    </row>
    <row r="140" spans="3:4" x14ac:dyDescent="0.2">
      <c r="C140" s="59"/>
      <c r="D140" s="59"/>
    </row>
    <row r="141" spans="3:4" x14ac:dyDescent="0.2">
      <c r="C141" s="59"/>
      <c r="D141" s="59"/>
    </row>
    <row r="142" spans="3:4" x14ac:dyDescent="0.2">
      <c r="C142" s="59"/>
      <c r="D142" s="59"/>
    </row>
    <row r="143" spans="3:4" x14ac:dyDescent="0.2">
      <c r="C143" s="59"/>
      <c r="D143" s="59"/>
    </row>
    <row r="144" spans="3:4" x14ac:dyDescent="0.2">
      <c r="C144" s="59"/>
      <c r="D144" s="59"/>
    </row>
    <row r="145" spans="3:4" x14ac:dyDescent="0.2">
      <c r="C145" s="59"/>
      <c r="D145" s="59"/>
    </row>
    <row r="146" spans="3:4" x14ac:dyDescent="0.2">
      <c r="C146" s="59"/>
      <c r="D146" s="59"/>
    </row>
    <row r="147" spans="3:4" x14ac:dyDescent="0.2">
      <c r="C147" s="59"/>
      <c r="D147" s="59"/>
    </row>
    <row r="148" spans="3:4" x14ac:dyDescent="0.2">
      <c r="C148" s="59"/>
      <c r="D148" s="59"/>
    </row>
    <row r="149" spans="3:4" x14ac:dyDescent="0.2">
      <c r="C149" s="59"/>
      <c r="D149" s="59"/>
    </row>
    <row r="150" spans="3:4" x14ac:dyDescent="0.2">
      <c r="C150" s="59"/>
      <c r="D150" s="59"/>
    </row>
    <row r="151" spans="3:4" x14ac:dyDescent="0.2">
      <c r="C151" s="59"/>
      <c r="D151" s="59"/>
    </row>
    <row r="152" spans="3:4" x14ac:dyDescent="0.2">
      <c r="C152" s="59"/>
      <c r="D152" s="59"/>
    </row>
    <row r="153" spans="3:4" x14ac:dyDescent="0.2">
      <c r="C153" s="59"/>
      <c r="D153" s="59"/>
    </row>
  </sheetData>
  <pageMargins left="0.7" right="0.7" top="0.75" bottom="0.75" header="0.3" footer="0.3"/>
  <pageSetup paperSize="9" orientation="portrait" horizontalDpi="0" verticalDpi="0"/>
  <legacyDrawing r:id="rId1"/>
</worksheet>
</file>

<file path=xl/worksheets/sheet8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700-000000000000}">
  <dimension ref="A1:L153"/>
  <sheetViews>
    <sheetView zoomScale="75" zoomScaleNormal="130" workbookViewId="0">
      <pane xSplit="2" ySplit="1" topLeftCell="C2" activePane="bottomRight" state="frozen"/>
      <selection pane="topRight" activeCell="C1" sqref="C1"/>
      <selection pane="bottomLeft" activeCell="A2" sqref="A2"/>
      <selection pane="bottomRight" activeCell="C1" sqref="C1"/>
    </sheetView>
  </sheetViews>
  <sheetFormatPr baseColWidth="10" defaultColWidth="11" defaultRowHeight="16" x14ac:dyDescent="0.2"/>
  <cols>
    <col min="1" max="1" width="27.5" bestFit="1" customWidth="1"/>
    <col min="2" max="2" width="0" hidden="1"/>
    <col min="3" max="3" width="14.83203125" customWidth="1"/>
    <col min="4" max="4" width="16" customWidth="1"/>
    <col min="5" max="5" width="15.5" customWidth="1"/>
    <col min="6" max="6" width="14.33203125" customWidth="1"/>
    <col min="7" max="7" width="13" customWidth="1"/>
    <col min="8" max="8" width="12.1640625" customWidth="1"/>
  </cols>
  <sheetData>
    <row r="1" spans="1:12" x14ac:dyDescent="0.2">
      <c r="B1" s="46" t="s">
        <v>0</v>
      </c>
      <c r="C1" s="80" t="s">
        <v>1</v>
      </c>
      <c r="D1" s="80" t="s">
        <v>2</v>
      </c>
      <c r="E1" s="81" t="s">
        <v>3</v>
      </c>
      <c r="F1" s="81" t="s">
        <v>4</v>
      </c>
      <c r="G1" s="81" t="s">
        <v>5</v>
      </c>
    </row>
    <row r="2" spans="1:12" x14ac:dyDescent="0.2">
      <c r="A2" t="s">
        <v>17</v>
      </c>
      <c r="B2" s="82"/>
      <c r="C2" s="67">
        <v>24990000</v>
      </c>
      <c r="D2" s="75">
        <v>24690000</v>
      </c>
      <c r="E2" s="34">
        <v>24190000</v>
      </c>
      <c r="F2" s="39">
        <v>24690000</v>
      </c>
      <c r="G2" s="39">
        <v>24690000</v>
      </c>
    </row>
    <row r="3" spans="1:12" x14ac:dyDescent="0.2">
      <c r="A3" t="s">
        <v>18</v>
      </c>
      <c r="B3" s="82"/>
      <c r="C3" s="75">
        <v>30290000</v>
      </c>
      <c r="D3" s="75">
        <v>29990000</v>
      </c>
      <c r="E3" s="25">
        <v>29990000</v>
      </c>
      <c r="F3" s="37">
        <v>29990000</v>
      </c>
      <c r="G3" s="39">
        <v>29990000</v>
      </c>
      <c r="H3" s="26"/>
    </row>
    <row r="4" spans="1:12" x14ac:dyDescent="0.2">
      <c r="A4" t="s">
        <v>19</v>
      </c>
      <c r="B4" s="82"/>
      <c r="C4" s="67">
        <v>34690000</v>
      </c>
      <c r="D4" s="67">
        <v>34390000</v>
      </c>
      <c r="E4" s="25">
        <v>33490000</v>
      </c>
      <c r="F4" s="39">
        <v>34390000</v>
      </c>
      <c r="G4" s="39">
        <v>33990000</v>
      </c>
      <c r="H4" s="26"/>
    </row>
    <row r="5" spans="1:12" x14ac:dyDescent="0.2">
      <c r="A5" t="s">
        <v>20</v>
      </c>
      <c r="B5" s="82"/>
      <c r="C5" s="67">
        <v>37990000</v>
      </c>
      <c r="D5" s="67">
        <v>37790000</v>
      </c>
      <c r="E5" s="34">
        <v>36490000</v>
      </c>
      <c r="F5" s="37">
        <v>37790000</v>
      </c>
      <c r="G5" s="37">
        <v>37190000</v>
      </c>
      <c r="H5" s="26">
        <v>-100</v>
      </c>
    </row>
    <row r="6" spans="1:12" x14ac:dyDescent="0.2">
      <c r="A6" t="s">
        <v>21</v>
      </c>
      <c r="B6" s="82"/>
      <c r="C6" s="67">
        <v>15190000</v>
      </c>
      <c r="D6" s="67">
        <v>15190000</v>
      </c>
      <c r="E6" s="71">
        <v>12490000</v>
      </c>
      <c r="F6" s="71">
        <v>12490000</v>
      </c>
      <c r="G6" s="39">
        <v>15190000</v>
      </c>
      <c r="H6" s="26"/>
    </row>
    <row r="7" spans="1:12" x14ac:dyDescent="0.2">
      <c r="A7" t="s">
        <v>181</v>
      </c>
      <c r="B7" s="70"/>
      <c r="C7" s="69">
        <v>21190000</v>
      </c>
      <c r="D7" s="69">
        <v>20890000</v>
      </c>
      <c r="E7" s="25">
        <v>20490000</v>
      </c>
      <c r="F7" s="39">
        <v>20890000</v>
      </c>
      <c r="G7" s="39">
        <v>20590000</v>
      </c>
      <c r="H7" s="26"/>
    </row>
    <row r="8" spans="1:12" x14ac:dyDescent="0.2">
      <c r="A8" t="s">
        <v>24</v>
      </c>
      <c r="B8" s="3"/>
      <c r="C8" s="63">
        <v>24890000</v>
      </c>
      <c r="D8" s="61">
        <v>24490000</v>
      </c>
      <c r="E8" s="25">
        <v>23490000</v>
      </c>
      <c r="F8" s="39">
        <v>24490000</v>
      </c>
      <c r="G8" s="39">
        <v>23990000</v>
      </c>
      <c r="H8" s="26"/>
    </row>
    <row r="9" spans="1:12" x14ac:dyDescent="0.2">
      <c r="A9" t="s">
        <v>182</v>
      </c>
      <c r="B9" s="25"/>
      <c r="C9" s="39">
        <v>25590000</v>
      </c>
      <c r="D9" s="39">
        <v>25490000</v>
      </c>
      <c r="E9" s="25">
        <v>24990000</v>
      </c>
      <c r="F9" s="39">
        <v>25390000</v>
      </c>
      <c r="G9" s="39">
        <v>24990000</v>
      </c>
      <c r="H9" s="26"/>
    </row>
    <row r="10" spans="1:12" x14ac:dyDescent="0.2">
      <c r="A10" t="s">
        <v>183</v>
      </c>
      <c r="B10" s="3"/>
      <c r="C10" s="63">
        <v>31290000</v>
      </c>
      <c r="D10" s="63">
        <v>30990000</v>
      </c>
      <c r="E10" s="25">
        <v>30490000</v>
      </c>
      <c r="F10" s="39">
        <v>30990000</v>
      </c>
      <c r="G10" s="37">
        <v>30990000</v>
      </c>
      <c r="H10" s="26">
        <v>500</v>
      </c>
    </row>
    <row r="11" spans="1:12" x14ac:dyDescent="0.2">
      <c r="A11" t="s">
        <v>25</v>
      </c>
      <c r="B11" s="25"/>
      <c r="C11" s="63">
        <v>17290000</v>
      </c>
      <c r="D11" s="63">
        <v>16990000</v>
      </c>
      <c r="E11" s="25">
        <v>16690000</v>
      </c>
      <c r="F11" s="39">
        <v>16990000</v>
      </c>
      <c r="G11" s="39">
        <v>16590000</v>
      </c>
      <c r="H11" s="26"/>
    </row>
    <row r="12" spans="1:12" x14ac:dyDescent="0.2">
      <c r="A12" t="s">
        <v>26</v>
      </c>
      <c r="B12" s="25"/>
      <c r="C12" s="63">
        <v>19590000</v>
      </c>
      <c r="D12" s="63" t="s">
        <v>22</v>
      </c>
      <c r="E12" s="63" t="s">
        <v>22</v>
      </c>
      <c r="F12" s="39">
        <v>17690000</v>
      </c>
      <c r="G12" s="39">
        <v>18490000</v>
      </c>
      <c r="H12" s="26"/>
    </row>
    <row r="13" spans="1:12" x14ac:dyDescent="0.2">
      <c r="A13" t="s">
        <v>27</v>
      </c>
      <c r="B13" s="25"/>
      <c r="C13" s="61">
        <v>13790000</v>
      </c>
      <c r="D13" s="63">
        <v>13590000</v>
      </c>
      <c r="E13" s="25">
        <v>13390000</v>
      </c>
      <c r="F13" s="39">
        <v>13590000</v>
      </c>
      <c r="G13" s="39">
        <v>12990000</v>
      </c>
      <c r="H13" s="26"/>
    </row>
    <row r="14" spans="1:12" x14ac:dyDescent="0.2">
      <c r="A14" t="s">
        <v>28</v>
      </c>
      <c r="B14" s="3"/>
      <c r="C14" s="61">
        <v>12390000</v>
      </c>
      <c r="D14" s="53">
        <v>12090000</v>
      </c>
      <c r="E14" s="25">
        <v>11990000</v>
      </c>
      <c r="F14" s="39">
        <v>12090000</v>
      </c>
      <c r="G14" s="39">
        <v>11890000</v>
      </c>
      <c r="H14" s="26"/>
    </row>
    <row r="15" spans="1:12" x14ac:dyDescent="0.2">
      <c r="A15" t="s">
        <v>29</v>
      </c>
      <c r="B15" s="25"/>
      <c r="C15" s="63">
        <v>11790000</v>
      </c>
      <c r="D15" s="63">
        <v>11790000</v>
      </c>
      <c r="E15" s="25">
        <v>11290000</v>
      </c>
      <c r="F15" s="39">
        <v>11790000</v>
      </c>
      <c r="G15" s="39">
        <v>11590000</v>
      </c>
      <c r="H15" s="26"/>
    </row>
    <row r="16" spans="1:12" x14ac:dyDescent="0.2">
      <c r="A16" t="s">
        <v>30</v>
      </c>
      <c r="B16" s="3"/>
      <c r="C16" s="63">
        <v>8690000</v>
      </c>
      <c r="D16" s="61">
        <v>8490000</v>
      </c>
      <c r="E16" s="34">
        <v>8390000</v>
      </c>
      <c r="F16" s="37">
        <v>8490000</v>
      </c>
      <c r="G16" s="39">
        <v>8490000</v>
      </c>
      <c r="H16" s="26"/>
      <c r="J16" t="s">
        <v>31</v>
      </c>
      <c r="K16" t="s">
        <v>38</v>
      </c>
      <c r="L16" t="b">
        <v>1</v>
      </c>
    </row>
    <row r="17" spans="1:12" x14ac:dyDescent="0.2">
      <c r="A17" t="s">
        <v>33</v>
      </c>
      <c r="B17" s="3"/>
      <c r="C17" s="61">
        <v>12890000</v>
      </c>
      <c r="D17" s="61">
        <v>12890000</v>
      </c>
      <c r="E17" s="34">
        <v>12490000</v>
      </c>
      <c r="F17" s="37">
        <v>12890000</v>
      </c>
      <c r="G17" s="37">
        <v>12890000</v>
      </c>
      <c r="H17" s="26">
        <v>-400</v>
      </c>
      <c r="I17" s="26"/>
      <c r="J17" t="s">
        <v>2</v>
      </c>
      <c r="K17" t="s">
        <v>34</v>
      </c>
      <c r="L17" t="b">
        <v>1</v>
      </c>
    </row>
    <row r="18" spans="1:12" x14ac:dyDescent="0.2">
      <c r="A18" t="s">
        <v>37</v>
      </c>
      <c r="B18" s="25"/>
      <c r="C18" s="61">
        <v>18690000</v>
      </c>
      <c r="D18" s="61">
        <v>18690000</v>
      </c>
      <c r="E18" s="25">
        <v>20490000</v>
      </c>
      <c r="F18" s="37">
        <v>18690000</v>
      </c>
      <c r="G18" s="39">
        <v>18690000</v>
      </c>
      <c r="H18" s="78"/>
      <c r="J18" t="s">
        <v>3</v>
      </c>
      <c r="K18" t="s">
        <v>36</v>
      </c>
      <c r="L18" t="b">
        <v>1</v>
      </c>
    </row>
    <row r="19" spans="1:12" x14ac:dyDescent="0.2">
      <c r="A19" t="s">
        <v>184</v>
      </c>
      <c r="B19" s="25"/>
      <c r="C19" s="25" t="s">
        <v>22</v>
      </c>
      <c r="D19" s="63">
        <v>27990000</v>
      </c>
      <c r="E19" s="25" t="s">
        <v>22</v>
      </c>
      <c r="F19" s="39">
        <v>28190000</v>
      </c>
      <c r="G19" s="39">
        <v>27190000</v>
      </c>
      <c r="H19" s="26"/>
      <c r="J19" t="s">
        <v>4</v>
      </c>
      <c r="K19" t="s">
        <v>32</v>
      </c>
      <c r="L19" t="b">
        <v>1</v>
      </c>
    </row>
    <row r="20" spans="1:12" x14ac:dyDescent="0.2">
      <c r="A20" t="s">
        <v>185</v>
      </c>
      <c r="B20" s="3"/>
      <c r="C20" s="25" t="s">
        <v>22</v>
      </c>
      <c r="D20" s="63">
        <v>36290000</v>
      </c>
      <c r="E20" s="25">
        <v>34290000</v>
      </c>
      <c r="F20" s="39">
        <v>36290000</v>
      </c>
      <c r="G20" s="39">
        <v>33690000</v>
      </c>
      <c r="H20" s="26"/>
      <c r="J20" t="s">
        <v>41</v>
      </c>
      <c r="K20" t="s">
        <v>42</v>
      </c>
      <c r="L20" t="b">
        <v>1</v>
      </c>
    </row>
    <row r="21" spans="1:12" x14ac:dyDescent="0.2">
      <c r="A21" t="s">
        <v>40</v>
      </c>
      <c r="B21" s="3"/>
      <c r="C21" s="63">
        <v>29990000</v>
      </c>
      <c r="D21" s="63">
        <v>29990000</v>
      </c>
      <c r="E21" s="25">
        <v>28990000</v>
      </c>
      <c r="F21" s="39">
        <v>29990000</v>
      </c>
      <c r="G21" s="39">
        <v>28990000</v>
      </c>
      <c r="H21" s="26"/>
    </row>
    <row r="22" spans="1:12" x14ac:dyDescent="0.2">
      <c r="A22" t="s">
        <v>43</v>
      </c>
      <c r="B22" s="3"/>
      <c r="C22" s="25">
        <v>39990000</v>
      </c>
      <c r="D22" s="25">
        <v>39990000</v>
      </c>
      <c r="E22" s="25">
        <v>38990000</v>
      </c>
      <c r="F22" s="39">
        <v>39990000</v>
      </c>
      <c r="G22" s="39">
        <v>39590000</v>
      </c>
      <c r="H22" s="26"/>
    </row>
    <row r="23" spans="1:12" x14ac:dyDescent="0.2">
      <c r="A23" t="s">
        <v>44</v>
      </c>
      <c r="B23" s="25"/>
      <c r="C23" s="61">
        <v>5590000</v>
      </c>
      <c r="D23" s="61">
        <v>5490000</v>
      </c>
      <c r="E23" s="25">
        <v>5890000</v>
      </c>
      <c r="F23" s="39">
        <v>5590000</v>
      </c>
      <c r="G23" s="39">
        <v>5990000</v>
      </c>
      <c r="H23" s="26"/>
    </row>
    <row r="24" spans="1:12" x14ac:dyDescent="0.2">
      <c r="A24" t="s">
        <v>45</v>
      </c>
      <c r="B24" s="25"/>
      <c r="C24" s="63">
        <v>7790000</v>
      </c>
      <c r="D24" s="61">
        <v>7590000</v>
      </c>
      <c r="E24" s="34">
        <v>7090000</v>
      </c>
      <c r="F24" s="39">
        <v>7590000</v>
      </c>
      <c r="G24" s="39">
        <v>7790000</v>
      </c>
      <c r="H24" s="26"/>
    </row>
    <row r="25" spans="1:12" x14ac:dyDescent="0.2">
      <c r="A25" t="s">
        <v>46</v>
      </c>
      <c r="B25" s="25"/>
      <c r="C25" s="63">
        <v>6990000</v>
      </c>
      <c r="D25" s="63">
        <v>6990000</v>
      </c>
      <c r="E25" s="25">
        <v>6490000</v>
      </c>
      <c r="F25" s="39">
        <v>7190000</v>
      </c>
      <c r="G25" s="39">
        <v>7190000</v>
      </c>
      <c r="H25" s="26"/>
    </row>
    <row r="26" spans="1:12" x14ac:dyDescent="0.2">
      <c r="A26" t="s">
        <v>47</v>
      </c>
      <c r="B26" s="25"/>
      <c r="C26" s="61">
        <v>8390000</v>
      </c>
      <c r="D26" s="63">
        <v>8290000</v>
      </c>
      <c r="E26" s="25">
        <v>7990000</v>
      </c>
      <c r="F26" s="39">
        <v>8790000</v>
      </c>
      <c r="G26" s="39">
        <v>8490000</v>
      </c>
      <c r="H26" s="26"/>
    </row>
    <row r="27" spans="1:12" x14ac:dyDescent="0.2">
      <c r="A27" t="s">
        <v>48</v>
      </c>
      <c r="B27" s="3"/>
      <c r="C27" s="61">
        <v>9190000</v>
      </c>
      <c r="D27" s="61">
        <v>9190000</v>
      </c>
      <c r="E27" s="25">
        <v>8490000</v>
      </c>
      <c r="F27" s="39">
        <v>9190000</v>
      </c>
      <c r="G27" s="39">
        <v>9190000</v>
      </c>
      <c r="H27" s="26"/>
    </row>
    <row r="28" spans="1:12" x14ac:dyDescent="0.2">
      <c r="A28" t="s">
        <v>49</v>
      </c>
      <c r="B28" s="3"/>
      <c r="C28" s="63">
        <v>12190000</v>
      </c>
      <c r="D28" s="61">
        <v>12190000</v>
      </c>
      <c r="E28" s="25">
        <v>11490000</v>
      </c>
      <c r="F28" s="37">
        <v>12390000</v>
      </c>
      <c r="G28" s="39">
        <v>13990000</v>
      </c>
      <c r="H28" s="26"/>
    </row>
    <row r="29" spans="1:12" x14ac:dyDescent="0.2">
      <c r="A29" t="s">
        <v>50</v>
      </c>
      <c r="B29" s="3"/>
      <c r="C29" s="61">
        <v>9990000</v>
      </c>
      <c r="D29" s="63">
        <v>9990000</v>
      </c>
      <c r="E29" s="25">
        <v>9190000</v>
      </c>
      <c r="F29" s="39">
        <v>9990000</v>
      </c>
      <c r="G29" s="39">
        <v>10150000</v>
      </c>
      <c r="H29" s="26"/>
    </row>
    <row r="30" spans="1:12" x14ac:dyDescent="0.2">
      <c r="A30" t="s">
        <v>51</v>
      </c>
      <c r="B30" s="3"/>
      <c r="C30" s="61">
        <v>13150000</v>
      </c>
      <c r="D30" s="63">
        <v>13090000</v>
      </c>
      <c r="E30" s="25">
        <v>12490000</v>
      </c>
      <c r="F30" s="39">
        <v>13290000</v>
      </c>
      <c r="G30" s="39">
        <v>13190000</v>
      </c>
      <c r="H30" s="26"/>
    </row>
    <row r="31" spans="1:12" x14ac:dyDescent="0.2">
      <c r="A31" t="s">
        <v>52</v>
      </c>
      <c r="B31" s="25"/>
      <c r="C31" s="63">
        <v>23190000</v>
      </c>
      <c r="D31" s="61">
        <v>23190000</v>
      </c>
      <c r="E31" s="25">
        <v>22990000</v>
      </c>
      <c r="F31" s="39">
        <v>22990000</v>
      </c>
      <c r="G31" s="39">
        <v>23390000</v>
      </c>
      <c r="H31" s="26"/>
    </row>
    <row r="32" spans="1:12" x14ac:dyDescent="0.2">
      <c r="A32" t="s">
        <v>53</v>
      </c>
      <c r="B32" s="3"/>
      <c r="C32" s="63">
        <v>4990000</v>
      </c>
      <c r="D32" s="61">
        <v>4990000</v>
      </c>
      <c r="E32" s="25">
        <v>4290000</v>
      </c>
      <c r="F32" s="39">
        <v>4950000</v>
      </c>
      <c r="G32" s="39">
        <v>5590000</v>
      </c>
      <c r="H32" s="26"/>
      <c r="J32" s="83"/>
    </row>
    <row r="33" spans="1:8" x14ac:dyDescent="0.2">
      <c r="A33" t="s">
        <v>54</v>
      </c>
      <c r="B33" s="3"/>
      <c r="C33" s="63">
        <v>4490000</v>
      </c>
      <c r="D33" s="63">
        <v>4390000</v>
      </c>
      <c r="E33" s="25">
        <v>4390000</v>
      </c>
      <c r="F33" s="39">
        <v>4450000</v>
      </c>
      <c r="G33" s="39">
        <v>4390000</v>
      </c>
      <c r="H33" s="26"/>
    </row>
    <row r="34" spans="1:8" x14ac:dyDescent="0.2">
      <c r="A34" t="s">
        <v>55</v>
      </c>
      <c r="B34" s="3"/>
      <c r="C34" s="63">
        <v>3090000</v>
      </c>
      <c r="D34" s="61">
        <v>3050000</v>
      </c>
      <c r="E34" s="25">
        <v>2990000</v>
      </c>
      <c r="F34" s="38">
        <v>3050000</v>
      </c>
      <c r="G34" s="39">
        <v>2990000</v>
      </c>
      <c r="H34" s="26"/>
    </row>
    <row r="35" spans="1:8" x14ac:dyDescent="0.2">
      <c r="A35" t="s">
        <v>56</v>
      </c>
      <c r="B35" s="3"/>
      <c r="C35" s="39">
        <v>6790000</v>
      </c>
      <c r="D35" s="63">
        <v>6790000</v>
      </c>
      <c r="E35" s="71">
        <v>6490000</v>
      </c>
      <c r="F35" s="39">
        <v>6790000</v>
      </c>
      <c r="G35" s="37">
        <v>6490000</v>
      </c>
      <c r="H35" s="26">
        <v>100</v>
      </c>
    </row>
    <row r="36" spans="1:8" x14ac:dyDescent="0.2">
      <c r="A36" t="s">
        <v>186</v>
      </c>
      <c r="B36" s="25"/>
      <c r="C36" s="63">
        <v>19690000</v>
      </c>
      <c r="D36" s="63">
        <v>19690000</v>
      </c>
      <c r="E36" s="36"/>
      <c r="F36" s="39">
        <v>19690000</v>
      </c>
      <c r="G36" s="39">
        <v>18990000</v>
      </c>
      <c r="H36" s="26"/>
    </row>
    <row r="37" spans="1:8" x14ac:dyDescent="0.2">
      <c r="A37" t="s">
        <v>59</v>
      </c>
      <c r="B37" s="3"/>
      <c r="C37" s="63">
        <v>25290000</v>
      </c>
      <c r="D37" s="61">
        <v>24990000</v>
      </c>
      <c r="E37" s="36"/>
      <c r="F37" s="39">
        <v>24990000</v>
      </c>
      <c r="G37" s="37">
        <v>24690000</v>
      </c>
      <c r="H37" s="26">
        <v>-300</v>
      </c>
    </row>
    <row r="38" spans="1:8" x14ac:dyDescent="0.2">
      <c r="A38" t="s">
        <v>61</v>
      </c>
      <c r="B38" s="25"/>
      <c r="C38" s="63">
        <v>29990000</v>
      </c>
      <c r="D38" s="63">
        <v>29990000</v>
      </c>
      <c r="E38" s="36"/>
      <c r="F38" s="39">
        <v>29990000</v>
      </c>
      <c r="G38" s="39">
        <v>28290000</v>
      </c>
      <c r="H38" s="26"/>
    </row>
    <row r="39" spans="1:8" x14ac:dyDescent="0.2">
      <c r="A39" t="s">
        <v>187</v>
      </c>
      <c r="B39" s="25"/>
      <c r="C39" s="63" t="s">
        <v>22</v>
      </c>
      <c r="D39" s="63">
        <v>37990000</v>
      </c>
      <c r="E39" s="36"/>
      <c r="F39" s="39">
        <v>38590000</v>
      </c>
      <c r="G39" s="39">
        <v>38390000</v>
      </c>
      <c r="H39" s="26"/>
    </row>
    <row r="40" spans="1:8" x14ac:dyDescent="0.2">
      <c r="A40" t="s">
        <v>62</v>
      </c>
      <c r="B40" s="25"/>
      <c r="C40" s="63">
        <v>41990000</v>
      </c>
      <c r="D40" s="63">
        <v>41990000</v>
      </c>
      <c r="E40" s="36"/>
      <c r="F40" s="39">
        <v>41990000</v>
      </c>
      <c r="G40" s="39">
        <v>41990000</v>
      </c>
      <c r="H40" s="26"/>
    </row>
    <row r="41" spans="1:8" x14ac:dyDescent="0.2">
      <c r="A41" t="s">
        <v>188</v>
      </c>
      <c r="B41" s="25"/>
      <c r="C41" s="63" t="s">
        <v>22</v>
      </c>
      <c r="D41" s="63">
        <v>64490000</v>
      </c>
      <c r="E41" s="36"/>
      <c r="F41" s="39">
        <v>63990000</v>
      </c>
      <c r="G41" s="39">
        <v>63990000</v>
      </c>
    </row>
    <row r="42" spans="1:8" x14ac:dyDescent="0.2">
      <c r="C42" s="59"/>
      <c r="D42" s="59"/>
    </row>
    <row r="43" spans="1:8" x14ac:dyDescent="0.2">
      <c r="C43" s="59"/>
      <c r="D43" s="59"/>
    </row>
    <row r="44" spans="1:8" x14ac:dyDescent="0.2">
      <c r="C44" s="59"/>
      <c r="D44" s="59"/>
    </row>
    <row r="45" spans="1:8" x14ac:dyDescent="0.2">
      <c r="C45" s="59"/>
      <c r="D45" s="59"/>
    </row>
    <row r="46" spans="1:8" x14ac:dyDescent="0.2">
      <c r="C46" s="59"/>
      <c r="D46" s="59"/>
    </row>
    <row r="47" spans="1:8" x14ac:dyDescent="0.2">
      <c r="C47" s="59"/>
      <c r="D47" s="59"/>
    </row>
    <row r="48" spans="1:8" x14ac:dyDescent="0.2">
      <c r="C48" s="59"/>
      <c r="D48" s="59"/>
    </row>
    <row r="49" spans="3:4" x14ac:dyDescent="0.2">
      <c r="C49" s="59"/>
      <c r="D49" s="59"/>
    </row>
    <row r="50" spans="3:4" x14ac:dyDescent="0.2">
      <c r="C50" s="59"/>
      <c r="D50" s="59"/>
    </row>
    <row r="51" spans="3:4" x14ac:dyDescent="0.2">
      <c r="C51" s="59"/>
      <c r="D51" s="59"/>
    </row>
    <row r="52" spans="3:4" x14ac:dyDescent="0.2">
      <c r="C52" s="59"/>
      <c r="D52" s="59"/>
    </row>
    <row r="53" spans="3:4" x14ac:dyDescent="0.2">
      <c r="C53" s="59"/>
      <c r="D53" s="59"/>
    </row>
    <row r="54" spans="3:4" x14ac:dyDescent="0.2">
      <c r="C54" s="59"/>
      <c r="D54" s="59"/>
    </row>
    <row r="55" spans="3:4" x14ac:dyDescent="0.2">
      <c r="C55" s="59"/>
      <c r="D55" s="59"/>
    </row>
    <row r="56" spans="3:4" x14ac:dyDescent="0.2">
      <c r="C56" s="59"/>
      <c r="D56" s="59"/>
    </row>
    <row r="57" spans="3:4" x14ac:dyDescent="0.2">
      <c r="C57" s="59"/>
      <c r="D57" s="59"/>
    </row>
    <row r="58" spans="3:4" x14ac:dyDescent="0.2">
      <c r="C58" s="59"/>
      <c r="D58" s="59"/>
    </row>
    <row r="59" spans="3:4" x14ac:dyDescent="0.2">
      <c r="C59" s="59"/>
      <c r="D59" s="59"/>
    </row>
    <row r="60" spans="3:4" x14ac:dyDescent="0.2">
      <c r="C60" s="59"/>
      <c r="D60" s="59"/>
    </row>
    <row r="61" spans="3:4" x14ac:dyDescent="0.2">
      <c r="C61" s="59"/>
      <c r="D61" s="59"/>
    </row>
    <row r="62" spans="3:4" x14ac:dyDescent="0.2">
      <c r="C62" s="59"/>
      <c r="D62" s="59"/>
    </row>
    <row r="63" spans="3:4" x14ac:dyDescent="0.2">
      <c r="C63" s="59"/>
      <c r="D63" s="59"/>
    </row>
    <row r="64" spans="3:4" x14ac:dyDescent="0.2">
      <c r="C64" s="59"/>
      <c r="D64" s="59"/>
    </row>
    <row r="65" spans="3:4" x14ac:dyDescent="0.2">
      <c r="C65" s="59"/>
      <c r="D65" s="59"/>
    </row>
    <row r="66" spans="3:4" x14ac:dyDescent="0.2">
      <c r="C66" s="59"/>
      <c r="D66" s="59"/>
    </row>
    <row r="67" spans="3:4" x14ac:dyDescent="0.2">
      <c r="C67" s="59"/>
      <c r="D67" s="59"/>
    </row>
    <row r="68" spans="3:4" x14ac:dyDescent="0.2">
      <c r="C68" s="59"/>
      <c r="D68" s="59"/>
    </row>
    <row r="69" spans="3:4" x14ac:dyDescent="0.2">
      <c r="C69" s="59"/>
      <c r="D69" s="59"/>
    </row>
    <row r="70" spans="3:4" x14ac:dyDescent="0.2">
      <c r="C70" s="59"/>
      <c r="D70" s="59"/>
    </row>
    <row r="71" spans="3:4" x14ac:dyDescent="0.2">
      <c r="C71" s="59"/>
      <c r="D71" s="59"/>
    </row>
    <row r="72" spans="3:4" x14ac:dyDescent="0.2">
      <c r="C72" s="59"/>
      <c r="D72" s="59"/>
    </row>
    <row r="73" spans="3:4" x14ac:dyDescent="0.2">
      <c r="C73" s="59"/>
      <c r="D73" s="59"/>
    </row>
    <row r="74" spans="3:4" x14ac:dyDescent="0.2">
      <c r="C74" s="59"/>
      <c r="D74" s="59"/>
    </row>
    <row r="75" spans="3:4" x14ac:dyDescent="0.2">
      <c r="C75" s="59"/>
      <c r="D75" s="59"/>
    </row>
    <row r="76" spans="3:4" x14ac:dyDescent="0.2">
      <c r="C76" s="59"/>
      <c r="D76" s="59"/>
    </row>
    <row r="77" spans="3:4" x14ac:dyDescent="0.2">
      <c r="C77" s="59"/>
      <c r="D77" s="59"/>
    </row>
    <row r="78" spans="3:4" x14ac:dyDescent="0.2">
      <c r="C78" s="59"/>
      <c r="D78" s="59"/>
    </row>
    <row r="79" spans="3:4" x14ac:dyDescent="0.2">
      <c r="C79" s="59"/>
      <c r="D79" s="59"/>
    </row>
    <row r="80" spans="3:4" x14ac:dyDescent="0.2">
      <c r="C80" s="59"/>
      <c r="D80" s="59"/>
    </row>
    <row r="81" spans="3:4" x14ac:dyDescent="0.2">
      <c r="C81" s="59"/>
      <c r="D81" s="59"/>
    </row>
    <row r="82" spans="3:4" x14ac:dyDescent="0.2">
      <c r="C82" s="59"/>
      <c r="D82" s="59"/>
    </row>
    <row r="83" spans="3:4" x14ac:dyDescent="0.2">
      <c r="C83" s="59"/>
      <c r="D83" s="59"/>
    </row>
    <row r="84" spans="3:4" x14ac:dyDescent="0.2">
      <c r="C84" s="59"/>
      <c r="D84" s="59"/>
    </row>
    <row r="85" spans="3:4" x14ac:dyDescent="0.2">
      <c r="C85" s="59"/>
      <c r="D85" s="59"/>
    </row>
    <row r="86" spans="3:4" x14ac:dyDescent="0.2">
      <c r="C86" s="59"/>
      <c r="D86" s="59"/>
    </row>
    <row r="87" spans="3:4" x14ac:dyDescent="0.2">
      <c r="C87" s="59"/>
      <c r="D87" s="59"/>
    </row>
    <row r="88" spans="3:4" x14ac:dyDescent="0.2">
      <c r="C88" s="59"/>
      <c r="D88" s="59"/>
    </row>
    <row r="89" spans="3:4" x14ac:dyDescent="0.2">
      <c r="C89" s="59"/>
      <c r="D89" s="59"/>
    </row>
    <row r="90" spans="3:4" x14ac:dyDescent="0.2">
      <c r="C90" s="59"/>
      <c r="D90" s="59"/>
    </row>
    <row r="91" spans="3:4" x14ac:dyDescent="0.2">
      <c r="C91" s="59"/>
      <c r="D91" s="59"/>
    </row>
    <row r="92" spans="3:4" x14ac:dyDescent="0.2">
      <c r="C92" s="59"/>
      <c r="D92" s="59"/>
    </row>
    <row r="93" spans="3:4" x14ac:dyDescent="0.2">
      <c r="C93" s="59"/>
      <c r="D93" s="59"/>
    </row>
    <row r="94" spans="3:4" x14ac:dyDescent="0.2">
      <c r="C94" s="59"/>
      <c r="D94" s="59"/>
    </row>
    <row r="95" spans="3:4" x14ac:dyDescent="0.2">
      <c r="C95" s="59"/>
      <c r="D95" s="59"/>
    </row>
    <row r="96" spans="3:4" x14ac:dyDescent="0.2">
      <c r="C96" s="59"/>
      <c r="D96" s="59"/>
    </row>
    <row r="97" spans="3:4" x14ac:dyDescent="0.2">
      <c r="C97" s="59"/>
      <c r="D97" s="59"/>
    </row>
    <row r="98" spans="3:4" x14ac:dyDescent="0.2">
      <c r="C98" s="59"/>
      <c r="D98" s="59"/>
    </row>
    <row r="99" spans="3:4" x14ac:dyDescent="0.2">
      <c r="C99" s="59"/>
      <c r="D99" s="59"/>
    </row>
    <row r="100" spans="3:4" x14ac:dyDescent="0.2">
      <c r="C100" s="59"/>
      <c r="D100" s="59"/>
    </row>
    <row r="101" spans="3:4" x14ac:dyDescent="0.2">
      <c r="C101" s="59"/>
      <c r="D101" s="59"/>
    </row>
    <row r="102" spans="3:4" x14ac:dyDescent="0.2">
      <c r="C102" s="59"/>
      <c r="D102" s="59"/>
    </row>
    <row r="103" spans="3:4" x14ac:dyDescent="0.2">
      <c r="C103" s="59"/>
      <c r="D103" s="59"/>
    </row>
    <row r="104" spans="3:4" x14ac:dyDescent="0.2">
      <c r="C104" s="59"/>
      <c r="D104" s="59"/>
    </row>
    <row r="105" spans="3:4" x14ac:dyDescent="0.2">
      <c r="C105" s="59"/>
      <c r="D105" s="59"/>
    </row>
    <row r="106" spans="3:4" x14ac:dyDescent="0.2">
      <c r="C106" s="59"/>
      <c r="D106" s="59"/>
    </row>
    <row r="107" spans="3:4" x14ac:dyDescent="0.2">
      <c r="C107" s="59"/>
      <c r="D107" s="59"/>
    </row>
    <row r="108" spans="3:4" x14ac:dyDescent="0.2">
      <c r="C108" s="59"/>
      <c r="D108" s="59"/>
    </row>
    <row r="109" spans="3:4" x14ac:dyDescent="0.2">
      <c r="C109" s="59"/>
      <c r="D109" s="59"/>
    </row>
    <row r="110" spans="3:4" x14ac:dyDescent="0.2">
      <c r="C110" s="59"/>
      <c r="D110" s="59"/>
    </row>
    <row r="111" spans="3:4" x14ac:dyDescent="0.2">
      <c r="C111" s="59"/>
      <c r="D111" s="59"/>
    </row>
    <row r="112" spans="3:4" x14ac:dyDescent="0.2">
      <c r="C112" s="59"/>
      <c r="D112" s="59"/>
    </row>
    <row r="113" spans="3:4" x14ac:dyDescent="0.2">
      <c r="C113" s="59"/>
      <c r="D113" s="59"/>
    </row>
    <row r="114" spans="3:4" x14ac:dyDescent="0.2">
      <c r="C114" s="59"/>
      <c r="D114" s="59"/>
    </row>
    <row r="115" spans="3:4" x14ac:dyDescent="0.2">
      <c r="C115" s="59"/>
      <c r="D115" s="59"/>
    </row>
    <row r="116" spans="3:4" x14ac:dyDescent="0.2">
      <c r="C116" s="59"/>
      <c r="D116" s="59"/>
    </row>
    <row r="117" spans="3:4" x14ac:dyDescent="0.2">
      <c r="C117" s="59"/>
      <c r="D117" s="59"/>
    </row>
    <row r="118" spans="3:4" x14ac:dyDescent="0.2">
      <c r="C118" s="59"/>
      <c r="D118" s="59"/>
    </row>
    <row r="119" spans="3:4" x14ac:dyDescent="0.2">
      <c r="C119" s="59"/>
      <c r="D119" s="59"/>
    </row>
    <row r="120" spans="3:4" x14ac:dyDescent="0.2">
      <c r="C120" s="59"/>
      <c r="D120" s="59"/>
    </row>
    <row r="121" spans="3:4" x14ac:dyDescent="0.2">
      <c r="C121" s="59"/>
      <c r="D121" s="59"/>
    </row>
    <row r="122" spans="3:4" x14ac:dyDescent="0.2">
      <c r="C122" s="59"/>
      <c r="D122" s="59"/>
    </row>
    <row r="123" spans="3:4" x14ac:dyDescent="0.2">
      <c r="C123" s="59"/>
      <c r="D123" s="59"/>
    </row>
    <row r="124" spans="3:4" x14ac:dyDescent="0.2">
      <c r="C124" s="59"/>
      <c r="D124" s="59"/>
    </row>
    <row r="125" spans="3:4" x14ac:dyDescent="0.2">
      <c r="C125" s="59"/>
      <c r="D125" s="59"/>
    </row>
    <row r="126" spans="3:4" x14ac:dyDescent="0.2">
      <c r="C126" s="59"/>
      <c r="D126" s="59"/>
    </row>
    <row r="127" spans="3:4" x14ac:dyDescent="0.2">
      <c r="C127" s="59"/>
      <c r="D127" s="59"/>
    </row>
    <row r="128" spans="3:4" x14ac:dyDescent="0.2">
      <c r="C128" s="59"/>
      <c r="D128" s="59"/>
    </row>
    <row r="129" spans="3:4" x14ac:dyDescent="0.2">
      <c r="C129" s="59"/>
      <c r="D129" s="59"/>
    </row>
    <row r="130" spans="3:4" x14ac:dyDescent="0.2">
      <c r="C130" s="59"/>
      <c r="D130" s="59"/>
    </row>
    <row r="131" spans="3:4" x14ac:dyDescent="0.2">
      <c r="C131" s="59"/>
      <c r="D131" s="59"/>
    </row>
    <row r="132" spans="3:4" x14ac:dyDescent="0.2">
      <c r="C132" s="59"/>
      <c r="D132" s="59"/>
    </row>
    <row r="133" spans="3:4" x14ac:dyDescent="0.2">
      <c r="C133" s="59"/>
      <c r="D133" s="59"/>
    </row>
    <row r="134" spans="3:4" x14ac:dyDescent="0.2">
      <c r="C134" s="59"/>
      <c r="D134" s="59"/>
    </row>
    <row r="135" spans="3:4" x14ac:dyDescent="0.2">
      <c r="C135" s="59"/>
      <c r="D135" s="59"/>
    </row>
    <row r="136" spans="3:4" x14ac:dyDescent="0.2">
      <c r="C136" s="59"/>
      <c r="D136" s="59"/>
    </row>
    <row r="137" spans="3:4" x14ac:dyDescent="0.2">
      <c r="C137" s="59"/>
      <c r="D137" s="59"/>
    </row>
    <row r="138" spans="3:4" x14ac:dyDescent="0.2">
      <c r="C138" s="59"/>
      <c r="D138" s="59"/>
    </row>
    <row r="139" spans="3:4" x14ac:dyDescent="0.2">
      <c r="C139" s="59"/>
      <c r="D139" s="59"/>
    </row>
    <row r="140" spans="3:4" x14ac:dyDescent="0.2">
      <c r="C140" s="59"/>
      <c r="D140" s="59"/>
    </row>
    <row r="141" spans="3:4" x14ac:dyDescent="0.2">
      <c r="C141" s="59"/>
      <c r="D141" s="59"/>
    </row>
    <row r="142" spans="3:4" x14ac:dyDescent="0.2">
      <c r="C142" s="59"/>
      <c r="D142" s="59"/>
    </row>
    <row r="143" spans="3:4" x14ac:dyDescent="0.2">
      <c r="C143" s="59"/>
      <c r="D143" s="59"/>
    </row>
    <row r="144" spans="3:4" x14ac:dyDescent="0.2">
      <c r="C144" s="59"/>
      <c r="D144" s="59"/>
    </row>
    <row r="145" spans="3:4" x14ac:dyDescent="0.2">
      <c r="C145" s="59"/>
      <c r="D145" s="59"/>
    </row>
    <row r="146" spans="3:4" x14ac:dyDescent="0.2">
      <c r="C146" s="59"/>
      <c r="D146" s="59"/>
    </row>
    <row r="147" spans="3:4" x14ac:dyDescent="0.2">
      <c r="C147" s="59"/>
      <c r="D147" s="59"/>
    </row>
    <row r="148" spans="3:4" x14ac:dyDescent="0.2">
      <c r="C148" s="59"/>
      <c r="D148" s="59"/>
    </row>
    <row r="149" spans="3:4" x14ac:dyDescent="0.2">
      <c r="C149" s="59"/>
      <c r="D149" s="59"/>
    </row>
    <row r="150" spans="3:4" x14ac:dyDescent="0.2">
      <c r="C150" s="59"/>
      <c r="D150" s="59"/>
    </row>
    <row r="151" spans="3:4" x14ac:dyDescent="0.2">
      <c r="C151" s="59"/>
      <c r="D151" s="59"/>
    </row>
    <row r="152" spans="3:4" x14ac:dyDescent="0.2">
      <c r="C152" s="59"/>
      <c r="D152" s="59"/>
    </row>
    <row r="153" spans="3:4" x14ac:dyDescent="0.2">
      <c r="C153" s="59"/>
      <c r="D153" s="59"/>
    </row>
  </sheetData>
  <pageMargins left="0.7" right="0.7" top="0.75" bottom="0.75" header="0.3" footer="0.3"/>
  <pageSetup paperSize="9" orientation="portrait" horizontalDpi="0" verticalDpi="0"/>
  <legacyDrawing r:id="rId1"/>
</worksheet>
</file>

<file path=xl/worksheets/sheet8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800-000000000000}">
  <dimension ref="A1:L153"/>
  <sheetViews>
    <sheetView zoomScaleNormal="130" workbookViewId="0">
      <pane xSplit="2" ySplit="1" topLeftCell="C2" activePane="bottomRight" state="frozen"/>
      <selection pane="topRight" activeCell="C1" sqref="C1"/>
      <selection pane="bottomLeft" activeCell="A2" sqref="A2"/>
      <selection pane="bottomRight" activeCell="C1" sqref="C1"/>
    </sheetView>
  </sheetViews>
  <sheetFormatPr baseColWidth="10" defaultColWidth="11" defaultRowHeight="16" x14ac:dyDescent="0.2"/>
  <cols>
    <col min="1" max="1" width="27.5" bestFit="1" customWidth="1"/>
    <col min="2" max="2" width="0" hidden="1"/>
    <col min="3" max="3" width="14.83203125" customWidth="1"/>
    <col min="4" max="4" width="16" customWidth="1"/>
    <col min="5" max="5" width="15.5" customWidth="1"/>
    <col min="6" max="6" width="14.33203125" customWidth="1"/>
    <col min="7" max="7" width="13" customWidth="1"/>
    <col min="8" max="8" width="13.5" customWidth="1"/>
  </cols>
  <sheetData>
    <row r="1" spans="1:12" x14ac:dyDescent="0.2">
      <c r="B1" s="46" t="s">
        <v>0</v>
      </c>
      <c r="C1" s="80" t="s">
        <v>1</v>
      </c>
      <c r="D1" s="80" t="s">
        <v>2</v>
      </c>
      <c r="E1" s="81" t="s">
        <v>3</v>
      </c>
      <c r="F1" s="81" t="s">
        <v>4</v>
      </c>
      <c r="G1" s="81" t="s">
        <v>5</v>
      </c>
    </row>
    <row r="2" spans="1:12" x14ac:dyDescent="0.2">
      <c r="A2" t="s">
        <v>17</v>
      </c>
      <c r="B2" s="82"/>
      <c r="C2" s="67">
        <v>24990000</v>
      </c>
      <c r="D2" s="75">
        <v>24490000</v>
      </c>
      <c r="E2" s="34">
        <v>24690000</v>
      </c>
      <c r="F2" s="37">
        <v>24890000</v>
      </c>
      <c r="G2" s="39">
        <v>24690000</v>
      </c>
    </row>
    <row r="3" spans="1:12" x14ac:dyDescent="0.2">
      <c r="A3" t="s">
        <v>18</v>
      </c>
      <c r="B3" s="82"/>
      <c r="C3" s="75">
        <v>26990000</v>
      </c>
      <c r="D3" s="75">
        <v>26490000</v>
      </c>
      <c r="E3" s="34">
        <v>25990000</v>
      </c>
      <c r="F3" s="37">
        <v>26490000</v>
      </c>
      <c r="G3" s="37">
        <v>25990000</v>
      </c>
      <c r="H3" s="26">
        <v>-4000</v>
      </c>
    </row>
    <row r="4" spans="1:12" x14ac:dyDescent="0.2">
      <c r="A4" t="s">
        <v>19</v>
      </c>
      <c r="B4" s="82"/>
      <c r="C4" s="67">
        <v>34690000</v>
      </c>
      <c r="D4" s="75">
        <v>33990000</v>
      </c>
      <c r="E4" s="34">
        <v>34090000</v>
      </c>
      <c r="F4" s="37">
        <v>34390000</v>
      </c>
      <c r="G4" s="39">
        <v>33990000</v>
      </c>
      <c r="H4" s="26"/>
    </row>
    <row r="5" spans="1:12" x14ac:dyDescent="0.2">
      <c r="A5" t="s">
        <v>20</v>
      </c>
      <c r="B5" s="82"/>
      <c r="C5" s="67">
        <v>37990000</v>
      </c>
      <c r="D5" s="75">
        <v>37690000</v>
      </c>
      <c r="E5" s="34">
        <v>36990000</v>
      </c>
      <c r="F5" s="37">
        <v>37690000</v>
      </c>
      <c r="G5" s="37">
        <v>36990000</v>
      </c>
      <c r="H5" s="26">
        <v>-200</v>
      </c>
    </row>
    <row r="6" spans="1:12" x14ac:dyDescent="0.2">
      <c r="A6" t="s">
        <v>21</v>
      </c>
      <c r="B6" s="82"/>
      <c r="C6" s="67">
        <v>15190000</v>
      </c>
      <c r="D6" s="67">
        <v>15990000</v>
      </c>
      <c r="E6" s="71">
        <v>12490000</v>
      </c>
      <c r="F6" s="71">
        <v>12490000</v>
      </c>
      <c r="G6" s="39">
        <v>15190000</v>
      </c>
      <c r="H6" s="26"/>
    </row>
    <row r="7" spans="1:12" x14ac:dyDescent="0.2">
      <c r="A7" t="s">
        <v>181</v>
      </c>
      <c r="B7" s="70"/>
      <c r="C7" s="72">
        <v>19990000</v>
      </c>
      <c r="D7" s="72">
        <v>19490000</v>
      </c>
      <c r="E7" s="34">
        <v>19690000</v>
      </c>
      <c r="F7" s="37">
        <v>19790000</v>
      </c>
      <c r="G7" s="37">
        <v>19690000</v>
      </c>
      <c r="H7" s="26">
        <v>-900</v>
      </c>
    </row>
    <row r="8" spans="1:12" x14ac:dyDescent="0.2">
      <c r="A8" t="s">
        <v>24</v>
      </c>
      <c r="B8" s="3"/>
      <c r="C8" s="61">
        <v>23990000</v>
      </c>
      <c r="D8" s="61">
        <v>23790000</v>
      </c>
      <c r="E8" s="25">
        <v>23490000</v>
      </c>
      <c r="F8" s="37">
        <v>23790000</v>
      </c>
      <c r="G8" s="37">
        <v>23390000</v>
      </c>
      <c r="H8" s="26">
        <v>-700</v>
      </c>
    </row>
    <row r="9" spans="1:12" x14ac:dyDescent="0.2">
      <c r="A9" t="s">
        <v>182</v>
      </c>
      <c r="B9" s="25"/>
      <c r="C9" s="63">
        <v>25590000</v>
      </c>
      <c r="D9" s="39">
        <v>25490000</v>
      </c>
      <c r="E9" s="25">
        <v>24990000</v>
      </c>
      <c r="F9" s="37">
        <v>25490000</v>
      </c>
      <c r="G9" s="39">
        <v>24990000</v>
      </c>
      <c r="H9" s="26"/>
    </row>
    <row r="10" spans="1:12" x14ac:dyDescent="0.2">
      <c r="A10" t="s">
        <v>183</v>
      </c>
      <c r="B10" s="3"/>
      <c r="C10" s="61">
        <v>31590000</v>
      </c>
      <c r="D10" s="61">
        <v>31290000</v>
      </c>
      <c r="E10" s="34">
        <v>30890000</v>
      </c>
      <c r="F10" s="37">
        <v>31390000</v>
      </c>
      <c r="G10" s="37">
        <v>31990000</v>
      </c>
      <c r="H10" s="26">
        <v>1000</v>
      </c>
    </row>
    <row r="11" spans="1:12" x14ac:dyDescent="0.2">
      <c r="A11" t="s">
        <v>25</v>
      </c>
      <c r="B11" s="25"/>
      <c r="C11" s="61">
        <v>16990000</v>
      </c>
      <c r="D11" s="61">
        <v>16490000</v>
      </c>
      <c r="E11" s="25">
        <v>16690000</v>
      </c>
      <c r="F11" s="37">
        <v>16790000</v>
      </c>
      <c r="G11" s="39">
        <v>16590000</v>
      </c>
      <c r="H11" s="26"/>
    </row>
    <row r="12" spans="1:12" x14ac:dyDescent="0.2">
      <c r="A12" t="s">
        <v>26</v>
      </c>
      <c r="B12" s="25"/>
      <c r="C12" s="63">
        <v>19590000</v>
      </c>
      <c r="D12" s="63" t="s">
        <v>22</v>
      </c>
      <c r="E12" s="63" t="s">
        <v>22</v>
      </c>
      <c r="F12" s="39">
        <v>17690000</v>
      </c>
      <c r="G12" s="39">
        <v>18490000</v>
      </c>
      <c r="H12" s="26"/>
    </row>
    <row r="13" spans="1:12" x14ac:dyDescent="0.2">
      <c r="A13" t="s">
        <v>27</v>
      </c>
      <c r="B13" s="25"/>
      <c r="C13" s="63">
        <v>13890000</v>
      </c>
      <c r="D13" s="61">
        <v>13390000</v>
      </c>
      <c r="E13" s="25">
        <v>13390000</v>
      </c>
      <c r="F13" s="39">
        <v>13590000</v>
      </c>
      <c r="G13" s="39">
        <v>12990000</v>
      </c>
      <c r="H13" s="26"/>
    </row>
    <row r="14" spans="1:12" x14ac:dyDescent="0.2">
      <c r="A14" t="s">
        <v>28</v>
      </c>
      <c r="B14" s="3"/>
      <c r="C14" s="63">
        <v>12490000</v>
      </c>
      <c r="D14" s="53">
        <v>11890000</v>
      </c>
      <c r="E14" s="25">
        <v>11990000</v>
      </c>
      <c r="F14" s="39">
        <v>12090000</v>
      </c>
      <c r="G14" s="39">
        <v>11890000</v>
      </c>
      <c r="H14" s="26"/>
    </row>
    <row r="15" spans="1:12" x14ac:dyDescent="0.2">
      <c r="A15" t="s">
        <v>29</v>
      </c>
      <c r="B15" s="25"/>
      <c r="C15" s="63">
        <v>11790000</v>
      </c>
      <c r="D15" s="61">
        <v>11490000</v>
      </c>
      <c r="E15" s="25">
        <v>11290000</v>
      </c>
      <c r="F15" s="39">
        <v>11790000</v>
      </c>
      <c r="G15" s="39">
        <v>11590000</v>
      </c>
      <c r="H15" s="26"/>
    </row>
    <row r="16" spans="1:12" x14ac:dyDescent="0.2">
      <c r="A16" t="s">
        <v>30</v>
      </c>
      <c r="B16" s="3"/>
      <c r="C16" s="61">
        <v>8490000</v>
      </c>
      <c r="D16" s="63">
        <v>8490000</v>
      </c>
      <c r="E16" s="34">
        <v>8490000</v>
      </c>
      <c r="F16" s="37">
        <v>8590000</v>
      </c>
      <c r="G16" s="37">
        <v>8390000</v>
      </c>
      <c r="H16" s="26">
        <v>-100</v>
      </c>
      <c r="J16" t="s">
        <v>31</v>
      </c>
      <c r="K16" t="s">
        <v>32</v>
      </c>
      <c r="L16" t="b">
        <v>1</v>
      </c>
    </row>
    <row r="17" spans="1:12" x14ac:dyDescent="0.2">
      <c r="A17" t="s">
        <v>33</v>
      </c>
      <c r="B17" s="3"/>
      <c r="C17" s="61">
        <v>15790000</v>
      </c>
      <c r="D17" s="61">
        <v>15790000</v>
      </c>
      <c r="E17" s="34">
        <v>15390000</v>
      </c>
      <c r="F17" s="37">
        <v>15790000</v>
      </c>
      <c r="G17" s="37">
        <v>15990000</v>
      </c>
      <c r="H17" s="26">
        <v>3100</v>
      </c>
      <c r="I17" s="26"/>
      <c r="J17" t="s">
        <v>2</v>
      </c>
      <c r="K17" t="s">
        <v>34</v>
      </c>
      <c r="L17" t="b">
        <v>1</v>
      </c>
    </row>
    <row r="18" spans="1:12" x14ac:dyDescent="0.2">
      <c r="A18" t="s">
        <v>37</v>
      </c>
      <c r="B18" s="25"/>
      <c r="C18" s="61">
        <v>21790000</v>
      </c>
      <c r="D18" s="61">
        <v>21190000</v>
      </c>
      <c r="E18" s="25">
        <v>20490000</v>
      </c>
      <c r="F18" s="37">
        <v>21390000</v>
      </c>
      <c r="G18" s="37">
        <v>20990000</v>
      </c>
      <c r="H18" s="78">
        <v>2300</v>
      </c>
      <c r="J18" t="s">
        <v>3</v>
      </c>
      <c r="K18" t="s">
        <v>36</v>
      </c>
      <c r="L18" t="b">
        <v>1</v>
      </c>
    </row>
    <row r="19" spans="1:12" x14ac:dyDescent="0.2">
      <c r="A19" t="s">
        <v>184</v>
      </c>
      <c r="B19" s="25"/>
      <c r="C19" s="25" t="s">
        <v>22</v>
      </c>
      <c r="D19" s="63">
        <v>27990000</v>
      </c>
      <c r="E19" s="25" t="s">
        <v>22</v>
      </c>
      <c r="F19" s="39">
        <v>28190000</v>
      </c>
      <c r="G19" s="25" t="s">
        <v>22</v>
      </c>
      <c r="H19" s="26"/>
      <c r="J19" t="s">
        <v>4</v>
      </c>
      <c r="K19" t="s">
        <v>38</v>
      </c>
      <c r="L19" t="b">
        <v>1</v>
      </c>
    </row>
    <row r="20" spans="1:12" x14ac:dyDescent="0.2">
      <c r="A20" t="s">
        <v>185</v>
      </c>
      <c r="B20" s="3"/>
      <c r="C20" s="25" t="s">
        <v>22</v>
      </c>
      <c r="D20" s="63">
        <v>36290000</v>
      </c>
      <c r="E20" s="25" t="s">
        <v>22</v>
      </c>
      <c r="F20" s="39">
        <v>36290000</v>
      </c>
      <c r="G20" s="25" t="s">
        <v>22</v>
      </c>
      <c r="H20" s="26"/>
      <c r="J20" t="s">
        <v>41</v>
      </c>
      <c r="K20" t="s">
        <v>42</v>
      </c>
      <c r="L20" t="b">
        <v>1</v>
      </c>
    </row>
    <row r="21" spans="1:12" x14ac:dyDescent="0.2">
      <c r="A21" t="s">
        <v>40</v>
      </c>
      <c r="B21" s="3"/>
      <c r="C21" s="63">
        <v>29990000</v>
      </c>
      <c r="D21" s="61">
        <v>29790000</v>
      </c>
      <c r="E21" s="25">
        <v>28990000</v>
      </c>
      <c r="F21" s="37">
        <v>29790000</v>
      </c>
      <c r="G21" s="39">
        <v>28990000</v>
      </c>
      <c r="H21" s="26"/>
    </row>
    <row r="22" spans="1:12" x14ac:dyDescent="0.2">
      <c r="A22" t="s">
        <v>43</v>
      </c>
      <c r="B22" s="3"/>
      <c r="C22" s="63">
        <v>39990000</v>
      </c>
      <c r="D22" s="25">
        <v>39990000</v>
      </c>
      <c r="E22" s="25">
        <v>38990000</v>
      </c>
      <c r="F22" s="39">
        <v>39990000</v>
      </c>
      <c r="G22" s="39">
        <v>39590000</v>
      </c>
      <c r="H22" s="26"/>
    </row>
    <row r="23" spans="1:12" x14ac:dyDescent="0.2">
      <c r="A23" t="s">
        <v>44</v>
      </c>
      <c r="B23" s="25"/>
      <c r="C23" s="63">
        <v>5690000</v>
      </c>
      <c r="D23" s="61">
        <v>5690000</v>
      </c>
      <c r="E23" s="34">
        <v>6190000</v>
      </c>
      <c r="F23" s="37">
        <v>6090000</v>
      </c>
      <c r="G23" s="37">
        <v>6390000</v>
      </c>
      <c r="H23" s="26">
        <v>400</v>
      </c>
    </row>
    <row r="24" spans="1:12" x14ac:dyDescent="0.2">
      <c r="A24" t="s">
        <v>45</v>
      </c>
      <c r="B24" s="25"/>
      <c r="C24" s="63">
        <v>7690000</v>
      </c>
      <c r="D24" s="61">
        <v>7690000</v>
      </c>
      <c r="E24" s="34">
        <v>7790000</v>
      </c>
      <c r="F24" s="37">
        <v>7790000</v>
      </c>
      <c r="G24" s="39">
        <v>7790000</v>
      </c>
      <c r="H24" s="26"/>
    </row>
    <row r="25" spans="1:12" x14ac:dyDescent="0.2">
      <c r="A25" t="s">
        <v>46</v>
      </c>
      <c r="B25" s="25"/>
      <c r="C25" s="63">
        <v>6990000</v>
      </c>
      <c r="D25" s="63">
        <v>6990000</v>
      </c>
      <c r="E25" s="34">
        <v>6990000</v>
      </c>
      <c r="F25" s="37">
        <v>6990000</v>
      </c>
      <c r="G25" s="37">
        <v>7290000</v>
      </c>
      <c r="H25" s="26">
        <v>100</v>
      </c>
    </row>
    <row r="26" spans="1:12" x14ac:dyDescent="0.2">
      <c r="A26" t="s">
        <v>47</v>
      </c>
      <c r="B26" s="25"/>
      <c r="C26" s="63">
        <v>8390000</v>
      </c>
      <c r="D26" s="61">
        <v>8290000</v>
      </c>
      <c r="E26" s="34">
        <v>8590000</v>
      </c>
      <c r="F26" s="37">
        <v>8490000</v>
      </c>
      <c r="G26" s="39">
        <v>8490000</v>
      </c>
      <c r="H26" s="26"/>
    </row>
    <row r="27" spans="1:12" x14ac:dyDescent="0.2">
      <c r="A27" t="s">
        <v>48</v>
      </c>
      <c r="B27" s="3"/>
      <c r="C27" s="63">
        <v>9290000</v>
      </c>
      <c r="D27" s="63">
        <v>9190000</v>
      </c>
      <c r="E27" s="34">
        <v>8990000</v>
      </c>
      <c r="F27" s="37">
        <v>9290000</v>
      </c>
      <c r="G27" s="37">
        <v>9390000</v>
      </c>
      <c r="H27" s="26">
        <v>200</v>
      </c>
    </row>
    <row r="28" spans="1:12" x14ac:dyDescent="0.2">
      <c r="A28" t="s">
        <v>49</v>
      </c>
      <c r="B28" s="3"/>
      <c r="C28" s="63">
        <v>12190000</v>
      </c>
      <c r="D28" s="61">
        <v>12190000</v>
      </c>
      <c r="E28" s="34">
        <v>11990000</v>
      </c>
      <c r="F28" s="39">
        <v>12390000</v>
      </c>
      <c r="G28" s="37">
        <v>12190000</v>
      </c>
      <c r="H28" s="26">
        <v>-1800</v>
      </c>
    </row>
    <row r="29" spans="1:12" x14ac:dyDescent="0.2">
      <c r="A29" t="s">
        <v>50</v>
      </c>
      <c r="B29" s="3"/>
      <c r="C29" s="63">
        <v>9990000</v>
      </c>
      <c r="D29" s="63">
        <v>9990000</v>
      </c>
      <c r="E29" s="34">
        <v>9690000</v>
      </c>
      <c r="F29" s="37">
        <v>10190000</v>
      </c>
      <c r="G29" s="39">
        <v>10150000</v>
      </c>
      <c r="H29" s="26"/>
    </row>
    <row r="30" spans="1:12" x14ac:dyDescent="0.2">
      <c r="A30" t="s">
        <v>51</v>
      </c>
      <c r="B30" s="3"/>
      <c r="C30" s="61" t="s">
        <v>22</v>
      </c>
      <c r="D30" s="61">
        <v>12990000</v>
      </c>
      <c r="E30" s="34">
        <v>12990000</v>
      </c>
      <c r="F30" s="39">
        <v>13290000</v>
      </c>
      <c r="G30" s="39">
        <v>13190000</v>
      </c>
      <c r="H30" s="26"/>
    </row>
    <row r="31" spans="1:12" x14ac:dyDescent="0.2">
      <c r="A31" t="s">
        <v>52</v>
      </c>
      <c r="B31" s="25"/>
      <c r="C31" s="63">
        <v>23190000</v>
      </c>
      <c r="D31" s="61">
        <v>23290000</v>
      </c>
      <c r="E31" s="34">
        <v>22490000</v>
      </c>
      <c r="F31" s="39">
        <v>22990000</v>
      </c>
      <c r="G31" s="37">
        <v>23290000</v>
      </c>
      <c r="H31" s="26">
        <v>-100</v>
      </c>
    </row>
    <row r="32" spans="1:12" x14ac:dyDescent="0.2">
      <c r="A32" t="s">
        <v>53</v>
      </c>
      <c r="B32" s="3"/>
      <c r="C32" s="63">
        <v>4990000</v>
      </c>
      <c r="D32" s="61">
        <v>4990000</v>
      </c>
      <c r="E32" s="34">
        <v>6490000</v>
      </c>
      <c r="F32" s="39">
        <v>4950000</v>
      </c>
      <c r="G32" s="39">
        <v>5590000</v>
      </c>
      <c r="H32" s="26"/>
      <c r="J32" s="83"/>
    </row>
    <row r="33" spans="1:8" x14ac:dyDescent="0.2">
      <c r="A33" t="s">
        <v>54</v>
      </c>
      <c r="B33" s="3"/>
      <c r="C33" s="63">
        <v>4490000</v>
      </c>
      <c r="D33" s="63">
        <v>4390000</v>
      </c>
      <c r="E33" s="25">
        <v>4390000</v>
      </c>
      <c r="F33" s="39">
        <v>4450000</v>
      </c>
      <c r="G33" s="39">
        <v>4390000</v>
      </c>
      <c r="H33" s="26"/>
    </row>
    <row r="34" spans="1:8" x14ac:dyDescent="0.2">
      <c r="A34" t="s">
        <v>55</v>
      </c>
      <c r="B34" s="3"/>
      <c r="C34" s="63">
        <v>3090000</v>
      </c>
      <c r="D34" s="63">
        <v>3050000</v>
      </c>
      <c r="E34" s="25">
        <v>2990000</v>
      </c>
      <c r="F34" s="38">
        <v>3050000</v>
      </c>
      <c r="G34" s="39">
        <v>2990000</v>
      </c>
      <c r="H34" s="26"/>
    </row>
    <row r="35" spans="1:8" x14ac:dyDescent="0.2">
      <c r="A35" t="s">
        <v>56</v>
      </c>
      <c r="B35" s="3"/>
      <c r="C35" s="63">
        <v>6790000</v>
      </c>
      <c r="D35" s="63">
        <v>6790000</v>
      </c>
      <c r="E35" s="71">
        <v>6490000</v>
      </c>
      <c r="F35" s="39">
        <v>6790000</v>
      </c>
      <c r="G35" s="39">
        <v>6490000</v>
      </c>
      <c r="H35" s="26"/>
    </row>
    <row r="36" spans="1:8" x14ac:dyDescent="0.2">
      <c r="A36" t="s">
        <v>186</v>
      </c>
      <c r="B36" s="25"/>
      <c r="C36" s="63">
        <v>19690000</v>
      </c>
      <c r="D36" s="61">
        <v>19190000</v>
      </c>
      <c r="E36" s="36"/>
      <c r="F36" s="39">
        <v>19690000</v>
      </c>
      <c r="G36" s="39">
        <v>18990000</v>
      </c>
      <c r="H36" s="26"/>
    </row>
    <row r="37" spans="1:8" x14ac:dyDescent="0.2">
      <c r="A37" t="s">
        <v>59</v>
      </c>
      <c r="B37" s="3"/>
      <c r="C37" s="63">
        <v>23990000</v>
      </c>
      <c r="D37" s="61">
        <v>24490000</v>
      </c>
      <c r="E37" s="36"/>
      <c r="F37" s="37">
        <v>23990000</v>
      </c>
      <c r="G37" s="37">
        <v>23690000</v>
      </c>
      <c r="H37" s="26">
        <v>-1000</v>
      </c>
    </row>
    <row r="38" spans="1:8" x14ac:dyDescent="0.2">
      <c r="A38" t="s">
        <v>61</v>
      </c>
      <c r="B38" s="25"/>
      <c r="C38" s="63">
        <v>29990000</v>
      </c>
      <c r="D38" s="61">
        <v>28990000</v>
      </c>
      <c r="E38" s="36"/>
      <c r="F38" s="37">
        <v>28990000</v>
      </c>
      <c r="G38" s="37">
        <v>28590000</v>
      </c>
      <c r="H38" s="26">
        <v>300</v>
      </c>
    </row>
    <row r="39" spans="1:8" x14ac:dyDescent="0.2">
      <c r="A39" t="s">
        <v>187</v>
      </c>
      <c r="B39" s="25"/>
      <c r="C39" s="63" t="s">
        <v>22</v>
      </c>
      <c r="D39" s="63">
        <v>37990000</v>
      </c>
      <c r="E39" s="36"/>
      <c r="F39" s="39">
        <v>38590000</v>
      </c>
      <c r="G39" s="39">
        <v>38390000</v>
      </c>
      <c r="H39" s="26"/>
    </row>
    <row r="40" spans="1:8" x14ac:dyDescent="0.2">
      <c r="A40" t="s">
        <v>62</v>
      </c>
      <c r="B40" s="25"/>
      <c r="C40" s="63">
        <v>41990000</v>
      </c>
      <c r="D40" s="63">
        <v>41990000</v>
      </c>
      <c r="E40" s="36"/>
      <c r="F40" s="39">
        <v>41990000</v>
      </c>
      <c r="G40" s="39">
        <v>41990000</v>
      </c>
      <c r="H40" s="26"/>
    </row>
    <row r="41" spans="1:8" x14ac:dyDescent="0.2">
      <c r="A41" t="s">
        <v>188</v>
      </c>
      <c r="B41" s="25"/>
      <c r="C41" s="63" t="s">
        <v>22</v>
      </c>
      <c r="D41" s="61">
        <v>63990000</v>
      </c>
      <c r="E41" s="36"/>
      <c r="F41" s="39">
        <v>63990000</v>
      </c>
      <c r="G41" s="39">
        <v>63990000</v>
      </c>
    </row>
    <row r="42" spans="1:8" x14ac:dyDescent="0.2">
      <c r="C42" s="59"/>
      <c r="D42" s="59"/>
    </row>
    <row r="43" spans="1:8" x14ac:dyDescent="0.2">
      <c r="C43" s="59"/>
      <c r="D43" s="59"/>
    </row>
    <row r="44" spans="1:8" x14ac:dyDescent="0.2">
      <c r="C44" s="59"/>
      <c r="D44" s="59"/>
    </row>
    <row r="45" spans="1:8" x14ac:dyDescent="0.2">
      <c r="C45" s="59"/>
      <c r="D45" s="59"/>
    </row>
    <row r="46" spans="1:8" x14ac:dyDescent="0.2">
      <c r="C46" s="59"/>
      <c r="D46" s="59"/>
    </row>
    <row r="47" spans="1:8" x14ac:dyDescent="0.2">
      <c r="C47" s="59"/>
      <c r="D47" s="59"/>
    </row>
    <row r="48" spans="1:8" x14ac:dyDescent="0.2">
      <c r="C48" s="59"/>
      <c r="D48" s="59"/>
    </row>
    <row r="49" spans="3:4" x14ac:dyDescent="0.2">
      <c r="C49" s="59"/>
      <c r="D49" s="59"/>
    </row>
    <row r="50" spans="3:4" x14ac:dyDescent="0.2">
      <c r="C50" s="59"/>
      <c r="D50" s="59"/>
    </row>
    <row r="51" spans="3:4" x14ac:dyDescent="0.2">
      <c r="C51" s="59"/>
      <c r="D51" s="59"/>
    </row>
    <row r="52" spans="3:4" x14ac:dyDescent="0.2">
      <c r="C52" s="59"/>
      <c r="D52" s="59"/>
    </row>
    <row r="53" spans="3:4" x14ac:dyDescent="0.2">
      <c r="C53" s="59"/>
      <c r="D53" s="59"/>
    </row>
    <row r="54" spans="3:4" x14ac:dyDescent="0.2">
      <c r="C54" s="59"/>
      <c r="D54" s="59"/>
    </row>
    <row r="55" spans="3:4" x14ac:dyDescent="0.2">
      <c r="C55" s="59"/>
      <c r="D55" s="59"/>
    </row>
    <row r="56" spans="3:4" x14ac:dyDescent="0.2">
      <c r="C56" s="59"/>
      <c r="D56" s="59"/>
    </row>
    <row r="57" spans="3:4" x14ac:dyDescent="0.2">
      <c r="C57" s="59"/>
      <c r="D57" s="59"/>
    </row>
    <row r="58" spans="3:4" x14ac:dyDescent="0.2">
      <c r="C58" s="59"/>
      <c r="D58" s="59"/>
    </row>
    <row r="59" spans="3:4" x14ac:dyDescent="0.2">
      <c r="C59" s="59"/>
      <c r="D59" s="59"/>
    </row>
    <row r="60" spans="3:4" x14ac:dyDescent="0.2">
      <c r="C60" s="59"/>
      <c r="D60" s="59"/>
    </row>
    <row r="61" spans="3:4" x14ac:dyDescent="0.2">
      <c r="C61" s="59"/>
      <c r="D61" s="59"/>
    </row>
    <row r="62" spans="3:4" x14ac:dyDescent="0.2">
      <c r="C62" s="59"/>
      <c r="D62" s="59"/>
    </row>
    <row r="63" spans="3:4" x14ac:dyDescent="0.2">
      <c r="C63" s="59"/>
      <c r="D63" s="59"/>
    </row>
    <row r="64" spans="3:4" x14ac:dyDescent="0.2">
      <c r="C64" s="59"/>
      <c r="D64" s="59"/>
    </row>
    <row r="65" spans="3:4" x14ac:dyDescent="0.2">
      <c r="C65" s="59"/>
      <c r="D65" s="59"/>
    </row>
    <row r="66" spans="3:4" x14ac:dyDescent="0.2">
      <c r="C66" s="59"/>
      <c r="D66" s="59"/>
    </row>
    <row r="67" spans="3:4" x14ac:dyDescent="0.2">
      <c r="C67" s="59"/>
      <c r="D67" s="59"/>
    </row>
    <row r="68" spans="3:4" x14ac:dyDescent="0.2">
      <c r="C68" s="59"/>
      <c r="D68" s="59"/>
    </row>
    <row r="69" spans="3:4" x14ac:dyDescent="0.2">
      <c r="C69" s="59"/>
      <c r="D69" s="59"/>
    </row>
    <row r="70" spans="3:4" x14ac:dyDescent="0.2">
      <c r="C70" s="59"/>
      <c r="D70" s="59"/>
    </row>
    <row r="71" spans="3:4" x14ac:dyDescent="0.2">
      <c r="C71" s="59"/>
      <c r="D71" s="59"/>
    </row>
    <row r="72" spans="3:4" x14ac:dyDescent="0.2">
      <c r="C72" s="59"/>
      <c r="D72" s="59"/>
    </row>
    <row r="73" spans="3:4" x14ac:dyDescent="0.2">
      <c r="C73" s="59"/>
      <c r="D73" s="59"/>
    </row>
    <row r="74" spans="3:4" x14ac:dyDescent="0.2">
      <c r="C74" s="59"/>
      <c r="D74" s="59"/>
    </row>
    <row r="75" spans="3:4" x14ac:dyDescent="0.2">
      <c r="C75" s="59"/>
      <c r="D75" s="59"/>
    </row>
    <row r="76" spans="3:4" x14ac:dyDescent="0.2">
      <c r="C76" s="59"/>
      <c r="D76" s="59"/>
    </row>
    <row r="77" spans="3:4" x14ac:dyDescent="0.2">
      <c r="C77" s="59"/>
      <c r="D77" s="59"/>
    </row>
    <row r="78" spans="3:4" x14ac:dyDescent="0.2">
      <c r="C78" s="59"/>
      <c r="D78" s="59"/>
    </row>
    <row r="79" spans="3:4" x14ac:dyDescent="0.2">
      <c r="C79" s="59"/>
      <c r="D79" s="59"/>
    </row>
    <row r="80" spans="3:4" x14ac:dyDescent="0.2">
      <c r="C80" s="59"/>
      <c r="D80" s="59"/>
    </row>
    <row r="81" spans="3:4" x14ac:dyDescent="0.2">
      <c r="C81" s="59"/>
      <c r="D81" s="59"/>
    </row>
    <row r="82" spans="3:4" x14ac:dyDescent="0.2">
      <c r="C82" s="59"/>
      <c r="D82" s="59"/>
    </row>
    <row r="83" spans="3:4" x14ac:dyDescent="0.2">
      <c r="C83" s="59"/>
      <c r="D83" s="59"/>
    </row>
    <row r="84" spans="3:4" x14ac:dyDescent="0.2">
      <c r="C84" s="59"/>
      <c r="D84" s="59"/>
    </row>
    <row r="85" spans="3:4" x14ac:dyDescent="0.2">
      <c r="C85" s="59"/>
      <c r="D85" s="59"/>
    </row>
    <row r="86" spans="3:4" x14ac:dyDescent="0.2">
      <c r="C86" s="59"/>
      <c r="D86" s="59"/>
    </row>
    <row r="87" spans="3:4" x14ac:dyDescent="0.2">
      <c r="C87" s="59"/>
      <c r="D87" s="59"/>
    </row>
    <row r="88" spans="3:4" x14ac:dyDescent="0.2">
      <c r="C88" s="59"/>
      <c r="D88" s="59"/>
    </row>
    <row r="89" spans="3:4" x14ac:dyDescent="0.2">
      <c r="C89" s="59"/>
      <c r="D89" s="59"/>
    </row>
    <row r="90" spans="3:4" x14ac:dyDescent="0.2">
      <c r="C90" s="59"/>
      <c r="D90" s="59"/>
    </row>
    <row r="91" spans="3:4" x14ac:dyDescent="0.2">
      <c r="C91" s="59"/>
      <c r="D91" s="59"/>
    </row>
    <row r="92" spans="3:4" x14ac:dyDescent="0.2">
      <c r="C92" s="59"/>
      <c r="D92" s="59"/>
    </row>
    <row r="93" spans="3:4" x14ac:dyDescent="0.2">
      <c r="C93" s="59"/>
      <c r="D93" s="59"/>
    </row>
    <row r="94" spans="3:4" x14ac:dyDescent="0.2">
      <c r="C94" s="59"/>
      <c r="D94" s="59"/>
    </row>
    <row r="95" spans="3:4" x14ac:dyDescent="0.2">
      <c r="C95" s="59"/>
      <c r="D95" s="59"/>
    </row>
    <row r="96" spans="3:4" x14ac:dyDescent="0.2">
      <c r="C96" s="59"/>
      <c r="D96" s="59"/>
    </row>
    <row r="97" spans="3:4" x14ac:dyDescent="0.2">
      <c r="C97" s="59"/>
      <c r="D97" s="59"/>
    </row>
    <row r="98" spans="3:4" x14ac:dyDescent="0.2">
      <c r="C98" s="59"/>
      <c r="D98" s="59"/>
    </row>
    <row r="99" spans="3:4" x14ac:dyDescent="0.2">
      <c r="C99" s="59"/>
      <c r="D99" s="59"/>
    </row>
    <row r="100" spans="3:4" x14ac:dyDescent="0.2">
      <c r="C100" s="59"/>
      <c r="D100" s="59"/>
    </row>
    <row r="101" spans="3:4" x14ac:dyDescent="0.2">
      <c r="C101" s="59"/>
      <c r="D101" s="59"/>
    </row>
    <row r="102" spans="3:4" x14ac:dyDescent="0.2">
      <c r="C102" s="59"/>
      <c r="D102" s="59"/>
    </row>
    <row r="103" spans="3:4" x14ac:dyDescent="0.2">
      <c r="C103" s="59"/>
      <c r="D103" s="59"/>
    </row>
    <row r="104" spans="3:4" x14ac:dyDescent="0.2">
      <c r="C104" s="59"/>
      <c r="D104" s="59"/>
    </row>
    <row r="105" spans="3:4" x14ac:dyDescent="0.2">
      <c r="C105" s="59"/>
      <c r="D105" s="59"/>
    </row>
    <row r="106" spans="3:4" x14ac:dyDescent="0.2">
      <c r="C106" s="59"/>
      <c r="D106" s="59"/>
    </row>
    <row r="107" spans="3:4" x14ac:dyDescent="0.2">
      <c r="C107" s="59"/>
      <c r="D107" s="59"/>
    </row>
    <row r="108" spans="3:4" x14ac:dyDescent="0.2">
      <c r="C108" s="59"/>
      <c r="D108" s="59"/>
    </row>
    <row r="109" spans="3:4" x14ac:dyDescent="0.2">
      <c r="C109" s="59"/>
      <c r="D109" s="59"/>
    </row>
    <row r="110" spans="3:4" x14ac:dyDescent="0.2">
      <c r="C110" s="59"/>
      <c r="D110" s="59"/>
    </row>
    <row r="111" spans="3:4" x14ac:dyDescent="0.2">
      <c r="C111" s="59"/>
      <c r="D111" s="59"/>
    </row>
    <row r="112" spans="3:4" x14ac:dyDescent="0.2">
      <c r="C112" s="59"/>
      <c r="D112" s="59"/>
    </row>
    <row r="113" spans="3:4" x14ac:dyDescent="0.2">
      <c r="C113" s="59"/>
      <c r="D113" s="59"/>
    </row>
    <row r="114" spans="3:4" x14ac:dyDescent="0.2">
      <c r="C114" s="59"/>
      <c r="D114" s="59"/>
    </row>
    <row r="115" spans="3:4" x14ac:dyDescent="0.2">
      <c r="C115" s="59"/>
      <c r="D115" s="59"/>
    </row>
    <row r="116" spans="3:4" x14ac:dyDescent="0.2">
      <c r="C116" s="59"/>
      <c r="D116" s="59"/>
    </row>
    <row r="117" spans="3:4" x14ac:dyDescent="0.2">
      <c r="C117" s="59"/>
      <c r="D117" s="59"/>
    </row>
    <row r="118" spans="3:4" x14ac:dyDescent="0.2">
      <c r="C118" s="59"/>
      <c r="D118" s="59"/>
    </row>
    <row r="119" spans="3:4" x14ac:dyDescent="0.2">
      <c r="C119" s="59"/>
      <c r="D119" s="59"/>
    </row>
    <row r="120" spans="3:4" x14ac:dyDescent="0.2">
      <c r="C120" s="59"/>
      <c r="D120" s="59"/>
    </row>
    <row r="121" spans="3:4" x14ac:dyDescent="0.2">
      <c r="C121" s="59"/>
      <c r="D121" s="59"/>
    </row>
    <row r="122" spans="3:4" x14ac:dyDescent="0.2">
      <c r="C122" s="59"/>
      <c r="D122" s="59"/>
    </row>
    <row r="123" spans="3:4" x14ac:dyDescent="0.2">
      <c r="C123" s="59"/>
      <c r="D123" s="59"/>
    </row>
    <row r="124" spans="3:4" x14ac:dyDescent="0.2">
      <c r="C124" s="59"/>
      <c r="D124" s="59"/>
    </row>
    <row r="125" spans="3:4" x14ac:dyDescent="0.2">
      <c r="C125" s="59"/>
      <c r="D125" s="59"/>
    </row>
    <row r="126" spans="3:4" x14ac:dyDescent="0.2">
      <c r="C126" s="59"/>
      <c r="D126" s="59"/>
    </row>
    <row r="127" spans="3:4" x14ac:dyDescent="0.2">
      <c r="C127" s="59"/>
      <c r="D127" s="59"/>
    </row>
    <row r="128" spans="3:4" x14ac:dyDescent="0.2">
      <c r="C128" s="59"/>
      <c r="D128" s="59"/>
    </row>
    <row r="129" spans="3:4" x14ac:dyDescent="0.2">
      <c r="C129" s="59"/>
      <c r="D129" s="59"/>
    </row>
    <row r="130" spans="3:4" x14ac:dyDescent="0.2">
      <c r="C130" s="59"/>
      <c r="D130" s="59"/>
    </row>
    <row r="131" spans="3:4" x14ac:dyDescent="0.2">
      <c r="C131" s="59"/>
      <c r="D131" s="59"/>
    </row>
    <row r="132" spans="3:4" x14ac:dyDescent="0.2">
      <c r="C132" s="59"/>
      <c r="D132" s="59"/>
    </row>
    <row r="133" spans="3:4" x14ac:dyDescent="0.2">
      <c r="C133" s="59"/>
      <c r="D133" s="59"/>
    </row>
    <row r="134" spans="3:4" x14ac:dyDescent="0.2">
      <c r="C134" s="59"/>
      <c r="D134" s="59"/>
    </row>
    <row r="135" spans="3:4" x14ac:dyDescent="0.2">
      <c r="C135" s="59"/>
      <c r="D135" s="59"/>
    </row>
    <row r="136" spans="3:4" x14ac:dyDescent="0.2">
      <c r="C136" s="59"/>
      <c r="D136" s="59"/>
    </row>
    <row r="137" spans="3:4" x14ac:dyDescent="0.2">
      <c r="C137" s="59"/>
      <c r="D137" s="59"/>
    </row>
    <row r="138" spans="3:4" x14ac:dyDescent="0.2">
      <c r="C138" s="59"/>
      <c r="D138" s="59"/>
    </row>
    <row r="139" spans="3:4" x14ac:dyDescent="0.2">
      <c r="C139" s="59"/>
      <c r="D139" s="59"/>
    </row>
    <row r="140" spans="3:4" x14ac:dyDescent="0.2">
      <c r="C140" s="59"/>
      <c r="D140" s="59"/>
    </row>
    <row r="141" spans="3:4" x14ac:dyDescent="0.2">
      <c r="C141" s="59"/>
      <c r="D141" s="59"/>
    </row>
    <row r="142" spans="3:4" x14ac:dyDescent="0.2">
      <c r="C142" s="59"/>
      <c r="D142" s="59"/>
    </row>
    <row r="143" spans="3:4" x14ac:dyDescent="0.2">
      <c r="C143" s="59"/>
      <c r="D143" s="59"/>
    </row>
    <row r="144" spans="3:4" x14ac:dyDescent="0.2">
      <c r="C144" s="59"/>
      <c r="D144" s="59"/>
    </row>
    <row r="145" spans="3:4" x14ac:dyDescent="0.2">
      <c r="C145" s="59"/>
      <c r="D145" s="59"/>
    </row>
    <row r="146" spans="3:4" x14ac:dyDescent="0.2">
      <c r="C146" s="59"/>
      <c r="D146" s="59"/>
    </row>
    <row r="147" spans="3:4" x14ac:dyDescent="0.2">
      <c r="C147" s="59"/>
      <c r="D147" s="59"/>
    </row>
    <row r="148" spans="3:4" x14ac:dyDescent="0.2">
      <c r="C148" s="59"/>
      <c r="D148" s="59"/>
    </row>
    <row r="149" spans="3:4" x14ac:dyDescent="0.2">
      <c r="C149" s="59"/>
      <c r="D149" s="59"/>
    </row>
    <row r="150" spans="3:4" x14ac:dyDescent="0.2">
      <c r="C150" s="59"/>
      <c r="D150" s="59"/>
    </row>
    <row r="151" spans="3:4" x14ac:dyDescent="0.2">
      <c r="C151" s="59"/>
      <c r="D151" s="59"/>
    </row>
    <row r="152" spans="3:4" x14ac:dyDescent="0.2">
      <c r="C152" s="59"/>
      <c r="D152" s="59"/>
    </row>
    <row r="153" spans="3:4" x14ac:dyDescent="0.2">
      <c r="C153" s="59"/>
      <c r="D153" s="59"/>
    </row>
  </sheetData>
  <pageMargins left="0.7" right="0.7" top="0.75" bottom="0.75" header="0.3" footer="0.3"/>
  <pageSetup paperSize="9" orientation="portrait" horizontalDpi="0" verticalDpi="0"/>
  <legacyDrawing r:id="rId1"/>
</worksheet>
</file>

<file path=xl/worksheets/sheet9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900-000000000000}">
  <dimension ref="A1:L153"/>
  <sheetViews>
    <sheetView zoomScale="125" zoomScaleNormal="130" workbookViewId="0">
      <pane xSplit="2" ySplit="1" topLeftCell="C19" activePane="bottomRight" state="frozen"/>
      <selection pane="topRight" activeCell="C1" sqref="C1"/>
      <selection pane="bottomLeft" activeCell="A2" sqref="A2"/>
      <selection pane="bottomRight" activeCell="C1" sqref="C1"/>
    </sheetView>
  </sheetViews>
  <sheetFormatPr baseColWidth="10" defaultColWidth="11" defaultRowHeight="16" x14ac:dyDescent="0.2"/>
  <cols>
    <col min="1" max="1" width="27.5" bestFit="1" customWidth="1"/>
    <col min="2" max="2" width="0" hidden="1"/>
    <col min="3" max="3" width="14.83203125" customWidth="1"/>
    <col min="4" max="4" width="16" customWidth="1"/>
    <col min="5" max="5" width="15.5" customWidth="1"/>
    <col min="6" max="6" width="14.33203125" customWidth="1"/>
    <col min="7" max="7" width="13" customWidth="1"/>
    <col min="8" max="8" width="13.5" customWidth="1"/>
  </cols>
  <sheetData>
    <row r="1" spans="1:12" x14ac:dyDescent="0.2">
      <c r="B1" s="46" t="s">
        <v>0</v>
      </c>
      <c r="C1" s="80" t="s">
        <v>1</v>
      </c>
      <c r="D1" s="80" t="s">
        <v>2</v>
      </c>
      <c r="E1" s="81" t="s">
        <v>3</v>
      </c>
      <c r="F1" s="81" t="s">
        <v>4</v>
      </c>
      <c r="G1" s="81" t="s">
        <v>5</v>
      </c>
    </row>
    <row r="2" spans="1:12" x14ac:dyDescent="0.2">
      <c r="A2" t="s">
        <v>17</v>
      </c>
      <c r="B2" s="82"/>
      <c r="C2" s="67">
        <v>24990000</v>
      </c>
      <c r="D2" s="75">
        <v>24990000</v>
      </c>
      <c r="E2" s="34">
        <v>24190000</v>
      </c>
      <c r="F2" s="37">
        <v>24990000</v>
      </c>
      <c r="G2" s="37">
        <v>24790000</v>
      </c>
      <c r="H2">
        <v>100</v>
      </c>
    </row>
    <row r="3" spans="1:12" x14ac:dyDescent="0.2">
      <c r="A3" t="s">
        <v>18</v>
      </c>
      <c r="B3" s="82"/>
      <c r="C3" s="75">
        <v>26790000</v>
      </c>
      <c r="D3" s="67">
        <v>26490000</v>
      </c>
      <c r="E3" s="34">
        <v>25490000</v>
      </c>
      <c r="F3" s="39">
        <v>26490000</v>
      </c>
      <c r="G3" s="39">
        <v>25990000</v>
      </c>
      <c r="H3" s="26"/>
    </row>
    <row r="4" spans="1:12" x14ac:dyDescent="0.2">
      <c r="A4" t="s">
        <v>19</v>
      </c>
      <c r="B4" s="82"/>
      <c r="C4" s="67">
        <v>34690000</v>
      </c>
      <c r="D4" s="75">
        <v>34390000</v>
      </c>
      <c r="E4" s="34">
        <v>34190000</v>
      </c>
      <c r="F4" s="39">
        <v>34390000</v>
      </c>
      <c r="G4" s="37">
        <v>34090000</v>
      </c>
      <c r="H4" s="26">
        <v>100</v>
      </c>
    </row>
    <row r="5" spans="1:12" x14ac:dyDescent="0.2">
      <c r="A5" t="s">
        <v>20</v>
      </c>
      <c r="B5" s="82"/>
      <c r="C5" s="67">
        <v>37990000</v>
      </c>
      <c r="D5" s="67">
        <v>37690000</v>
      </c>
      <c r="E5" s="34">
        <v>36490000</v>
      </c>
      <c r="F5" s="39">
        <v>37690000</v>
      </c>
      <c r="G5" s="37">
        <v>37290000</v>
      </c>
      <c r="H5" s="26">
        <v>300</v>
      </c>
    </row>
    <row r="6" spans="1:12" x14ac:dyDescent="0.2">
      <c r="A6" t="s">
        <v>21</v>
      </c>
      <c r="B6" s="82"/>
      <c r="C6" s="67">
        <v>15990000</v>
      </c>
      <c r="D6" s="75">
        <v>15190000</v>
      </c>
      <c r="E6" s="71">
        <v>12490000</v>
      </c>
      <c r="F6" s="71">
        <v>12490000</v>
      </c>
      <c r="G6" s="39">
        <v>15190000</v>
      </c>
      <c r="H6" s="26"/>
    </row>
    <row r="7" spans="1:12" x14ac:dyDescent="0.2">
      <c r="A7" t="s">
        <v>181</v>
      </c>
      <c r="B7" s="70"/>
      <c r="C7" s="69">
        <v>19990000</v>
      </c>
      <c r="D7" s="72">
        <v>19790000</v>
      </c>
      <c r="E7" s="34">
        <v>19490000</v>
      </c>
      <c r="F7" s="39">
        <v>19790000</v>
      </c>
      <c r="G7" s="39">
        <v>19690000</v>
      </c>
      <c r="H7" s="26"/>
    </row>
    <row r="8" spans="1:12" x14ac:dyDescent="0.2">
      <c r="A8" t="s">
        <v>24</v>
      </c>
      <c r="B8" s="3"/>
      <c r="C8" s="63">
        <v>23990000</v>
      </c>
      <c r="D8" s="63">
        <v>23790000</v>
      </c>
      <c r="E8" s="34">
        <v>23190000</v>
      </c>
      <c r="F8" s="39">
        <v>23790000</v>
      </c>
      <c r="G8" s="39">
        <v>23390000</v>
      </c>
      <c r="H8" s="26"/>
    </row>
    <row r="9" spans="1:12" x14ac:dyDescent="0.2">
      <c r="A9" t="s">
        <v>182</v>
      </c>
      <c r="B9" s="25"/>
      <c r="C9" s="63">
        <v>25590000</v>
      </c>
      <c r="D9" s="39">
        <v>25490000</v>
      </c>
      <c r="E9" s="25">
        <v>24990000</v>
      </c>
      <c r="F9" s="37">
        <v>25590000</v>
      </c>
      <c r="G9" s="39">
        <v>24990000</v>
      </c>
      <c r="H9" s="26"/>
    </row>
    <row r="10" spans="1:12" x14ac:dyDescent="0.2">
      <c r="A10" t="s">
        <v>183</v>
      </c>
      <c r="B10" s="3"/>
      <c r="C10" s="63">
        <v>31590000</v>
      </c>
      <c r="D10" s="61">
        <v>31590000</v>
      </c>
      <c r="E10" s="25">
        <v>30890000</v>
      </c>
      <c r="F10" s="37">
        <v>31590000</v>
      </c>
      <c r="G10" s="37">
        <v>31190000</v>
      </c>
      <c r="H10" s="26">
        <v>-800</v>
      </c>
    </row>
    <row r="11" spans="1:12" x14ac:dyDescent="0.2">
      <c r="A11" t="s">
        <v>25</v>
      </c>
      <c r="B11" s="25"/>
      <c r="C11" s="63">
        <v>16990000</v>
      </c>
      <c r="D11" s="61">
        <v>16890000</v>
      </c>
      <c r="E11" s="34">
        <v>16490000</v>
      </c>
      <c r="F11" s="37">
        <v>16890000</v>
      </c>
      <c r="G11" s="37">
        <v>16390000</v>
      </c>
      <c r="H11" s="26">
        <v>-200</v>
      </c>
    </row>
    <row r="12" spans="1:12" x14ac:dyDescent="0.2">
      <c r="A12" t="s">
        <v>26</v>
      </c>
      <c r="B12" s="25"/>
      <c r="C12" s="63">
        <v>19590000</v>
      </c>
      <c r="D12" s="63" t="s">
        <v>22</v>
      </c>
      <c r="E12" s="63" t="s">
        <v>22</v>
      </c>
      <c r="F12" s="39">
        <v>17690000</v>
      </c>
      <c r="G12" s="39">
        <v>18490000</v>
      </c>
      <c r="H12" s="26"/>
    </row>
    <row r="13" spans="1:12" x14ac:dyDescent="0.2">
      <c r="A13" t="s">
        <v>27</v>
      </c>
      <c r="B13" s="25"/>
      <c r="C13" s="63">
        <v>13890000</v>
      </c>
      <c r="D13" s="63">
        <v>13590000</v>
      </c>
      <c r="E13" s="34">
        <v>13590000</v>
      </c>
      <c r="F13" s="39">
        <v>13590000</v>
      </c>
      <c r="G13" s="39">
        <v>12990000</v>
      </c>
      <c r="H13" s="26"/>
    </row>
    <row r="14" spans="1:12" x14ac:dyDescent="0.2">
      <c r="A14" t="s">
        <v>28</v>
      </c>
      <c r="B14" s="3"/>
      <c r="C14" s="63">
        <v>12490000</v>
      </c>
      <c r="D14" s="53">
        <v>12090000</v>
      </c>
      <c r="E14" s="34">
        <v>12090000</v>
      </c>
      <c r="F14" s="37">
        <v>11990000</v>
      </c>
      <c r="G14" s="39">
        <v>11890000</v>
      </c>
      <c r="H14" s="26"/>
    </row>
    <row r="15" spans="1:12" x14ac:dyDescent="0.2">
      <c r="A15" t="s">
        <v>29</v>
      </c>
      <c r="B15" s="25"/>
      <c r="C15" s="63">
        <v>11790000</v>
      </c>
      <c r="D15" s="61">
        <v>11790000</v>
      </c>
      <c r="E15" s="25">
        <v>11290000</v>
      </c>
      <c r="F15" s="39">
        <v>11790000</v>
      </c>
      <c r="G15" s="39">
        <v>11590000</v>
      </c>
      <c r="H15" s="26"/>
    </row>
    <row r="16" spans="1:12" x14ac:dyDescent="0.2">
      <c r="A16" t="s">
        <v>30</v>
      </c>
      <c r="B16" s="3"/>
      <c r="C16" s="63">
        <v>8490000</v>
      </c>
      <c r="D16" s="63">
        <v>8490000</v>
      </c>
      <c r="E16" s="25">
        <v>8490000</v>
      </c>
      <c r="F16" s="37">
        <v>8490000</v>
      </c>
      <c r="G16" s="39">
        <v>8390000</v>
      </c>
      <c r="H16" s="26"/>
      <c r="J16" t="s">
        <v>31</v>
      </c>
      <c r="K16" t="s">
        <v>32</v>
      </c>
      <c r="L16" t="b">
        <v>1</v>
      </c>
    </row>
    <row r="17" spans="1:12" x14ac:dyDescent="0.2">
      <c r="A17" t="s">
        <v>33</v>
      </c>
      <c r="B17" s="3"/>
      <c r="C17" s="61">
        <v>13690000</v>
      </c>
      <c r="D17" s="61">
        <v>15790000</v>
      </c>
      <c r="E17" s="34">
        <v>13290000</v>
      </c>
      <c r="F17" s="37">
        <v>13590000</v>
      </c>
      <c r="G17" s="37">
        <v>13290000</v>
      </c>
      <c r="H17" s="26">
        <f>15990-13290</f>
        <v>2700</v>
      </c>
      <c r="I17" s="26"/>
      <c r="J17" t="s">
        <v>2</v>
      </c>
      <c r="K17" t="s">
        <v>34</v>
      </c>
      <c r="L17" t="b">
        <v>1</v>
      </c>
    </row>
    <row r="18" spans="1:12" x14ac:dyDescent="0.2">
      <c r="A18" t="s">
        <v>37</v>
      </c>
      <c r="B18" s="25"/>
      <c r="C18" s="61">
        <v>19490000</v>
      </c>
      <c r="D18" s="61">
        <v>19290000</v>
      </c>
      <c r="E18" s="25"/>
      <c r="F18" s="37">
        <v>19290000</v>
      </c>
      <c r="G18" s="37">
        <v>19290000</v>
      </c>
      <c r="H18" s="78">
        <f>20990-19290</f>
        <v>1700</v>
      </c>
      <c r="J18" t="s">
        <v>3</v>
      </c>
      <c r="K18" t="s">
        <v>36</v>
      </c>
      <c r="L18" t="b">
        <v>1</v>
      </c>
    </row>
    <row r="19" spans="1:12" x14ac:dyDescent="0.2">
      <c r="A19" t="s">
        <v>184</v>
      </c>
      <c r="B19" s="25"/>
      <c r="C19" s="25" t="s">
        <v>22</v>
      </c>
      <c r="D19" s="63">
        <v>27990000</v>
      </c>
      <c r="E19" s="25" t="s">
        <v>22</v>
      </c>
      <c r="F19" s="37">
        <v>27990000</v>
      </c>
      <c r="G19" s="25" t="s">
        <v>22</v>
      </c>
      <c r="H19" s="26"/>
      <c r="J19" t="s">
        <v>4</v>
      </c>
      <c r="K19" t="s">
        <v>38</v>
      </c>
      <c r="L19" t="b">
        <v>1</v>
      </c>
    </row>
    <row r="20" spans="1:12" x14ac:dyDescent="0.2">
      <c r="A20" t="s">
        <v>185</v>
      </c>
      <c r="B20" s="3"/>
      <c r="C20" s="25" t="s">
        <v>22</v>
      </c>
      <c r="D20" s="63">
        <v>36290000</v>
      </c>
      <c r="E20" s="25" t="s">
        <v>22</v>
      </c>
      <c r="F20" s="39">
        <v>36290000</v>
      </c>
      <c r="G20" s="25" t="s">
        <v>22</v>
      </c>
      <c r="H20" s="26"/>
      <c r="J20" t="s">
        <v>41</v>
      </c>
      <c r="K20" t="s">
        <v>42</v>
      </c>
      <c r="L20" t="b">
        <v>1</v>
      </c>
    </row>
    <row r="21" spans="1:12" x14ac:dyDescent="0.2">
      <c r="A21" t="s">
        <v>40</v>
      </c>
      <c r="B21" s="3"/>
      <c r="C21" s="63">
        <v>29990000</v>
      </c>
      <c r="D21" s="63">
        <v>29790000</v>
      </c>
      <c r="E21" s="3">
        <v>27990000</v>
      </c>
      <c r="F21" s="37">
        <v>29790000</v>
      </c>
      <c r="G21" s="39">
        <v>28990000</v>
      </c>
      <c r="H21" s="26"/>
    </row>
    <row r="22" spans="1:12" x14ac:dyDescent="0.2">
      <c r="A22" t="s">
        <v>43</v>
      </c>
      <c r="B22" s="3"/>
      <c r="C22" s="63">
        <v>39990000</v>
      </c>
      <c r="D22" s="34">
        <v>39590000</v>
      </c>
      <c r="E22" s="25">
        <v>38990000</v>
      </c>
      <c r="F22" s="37">
        <v>39590000</v>
      </c>
      <c r="G22" s="39">
        <v>39590000</v>
      </c>
      <c r="H22" s="26"/>
    </row>
    <row r="23" spans="1:12" x14ac:dyDescent="0.2">
      <c r="A23" t="s">
        <v>44</v>
      </c>
      <c r="B23" s="25"/>
      <c r="C23" s="61">
        <v>6590000</v>
      </c>
      <c r="D23" s="61">
        <v>6390000</v>
      </c>
      <c r="E23" s="25">
        <v>6190000</v>
      </c>
      <c r="F23" s="37">
        <v>6390000</v>
      </c>
      <c r="G23" s="37">
        <v>6190000</v>
      </c>
      <c r="H23" s="26">
        <v>-200</v>
      </c>
    </row>
    <row r="24" spans="1:12" x14ac:dyDescent="0.2">
      <c r="A24" t="s">
        <v>45</v>
      </c>
      <c r="B24" s="25"/>
      <c r="C24" s="61">
        <v>8390000</v>
      </c>
      <c r="D24" s="61">
        <v>8190000</v>
      </c>
      <c r="E24" s="25">
        <v>7790000</v>
      </c>
      <c r="F24" s="37">
        <v>8190000</v>
      </c>
      <c r="G24" s="39">
        <v>7790000</v>
      </c>
      <c r="H24" s="26"/>
    </row>
    <row r="25" spans="1:12" x14ac:dyDescent="0.2">
      <c r="A25" t="s">
        <v>46</v>
      </c>
      <c r="B25" s="25"/>
      <c r="C25" s="61">
        <v>7690000</v>
      </c>
      <c r="D25" s="63">
        <v>7290000</v>
      </c>
      <c r="E25" s="25">
        <v>6990000</v>
      </c>
      <c r="F25" s="37">
        <v>7490000</v>
      </c>
      <c r="G25" s="37">
        <v>7190000</v>
      </c>
      <c r="H25" s="26">
        <v>-100</v>
      </c>
    </row>
    <row r="26" spans="1:12" x14ac:dyDescent="0.2">
      <c r="A26" t="s">
        <v>47</v>
      </c>
      <c r="B26" s="25"/>
      <c r="C26" s="61">
        <v>9190000</v>
      </c>
      <c r="D26" s="61">
        <v>8990000</v>
      </c>
      <c r="E26" s="25">
        <v>8590000</v>
      </c>
      <c r="F26" s="37">
        <v>8990000</v>
      </c>
      <c r="G26" s="39">
        <v>8490000</v>
      </c>
      <c r="H26" s="26"/>
    </row>
    <row r="27" spans="1:12" x14ac:dyDescent="0.2">
      <c r="A27" t="s">
        <v>48</v>
      </c>
      <c r="B27" s="3"/>
      <c r="C27" s="61">
        <v>9490000</v>
      </c>
      <c r="D27" s="61">
        <v>9490000</v>
      </c>
      <c r="E27" s="25">
        <v>8990000</v>
      </c>
      <c r="F27" s="37">
        <v>9490000</v>
      </c>
      <c r="G27" s="37">
        <v>9190000</v>
      </c>
      <c r="H27" s="26">
        <v>-200</v>
      </c>
    </row>
    <row r="28" spans="1:12" x14ac:dyDescent="0.2">
      <c r="A28" t="s">
        <v>49</v>
      </c>
      <c r="B28" s="3"/>
      <c r="C28" s="61">
        <v>12490000</v>
      </c>
      <c r="D28" s="61">
        <v>12190000</v>
      </c>
      <c r="E28" s="25">
        <v>11990000</v>
      </c>
      <c r="F28" s="39">
        <v>12390000</v>
      </c>
      <c r="G28" s="39">
        <v>12190000</v>
      </c>
      <c r="H28" s="26"/>
    </row>
    <row r="29" spans="1:12" x14ac:dyDescent="0.2">
      <c r="A29" t="s">
        <v>50</v>
      </c>
      <c r="B29" s="3"/>
      <c r="C29" s="61">
        <v>10290000</v>
      </c>
      <c r="D29" s="61">
        <v>10090000</v>
      </c>
      <c r="E29" s="25">
        <v>9690000</v>
      </c>
      <c r="F29" s="37">
        <v>10090000</v>
      </c>
      <c r="G29" s="37">
        <v>9990000</v>
      </c>
      <c r="H29" s="26">
        <v>-200</v>
      </c>
    </row>
    <row r="30" spans="1:12" x14ac:dyDescent="0.2">
      <c r="A30" t="s">
        <v>51</v>
      </c>
      <c r="B30" s="3"/>
      <c r="C30" s="63">
        <v>13290000</v>
      </c>
      <c r="D30" s="61">
        <v>12990000</v>
      </c>
      <c r="E30" s="34">
        <v>12490000</v>
      </c>
      <c r="F30" s="39">
        <v>13290000</v>
      </c>
      <c r="G30" s="39">
        <v>13190000</v>
      </c>
      <c r="H30" s="26"/>
    </row>
    <row r="31" spans="1:12" x14ac:dyDescent="0.2">
      <c r="A31" t="s">
        <v>52</v>
      </c>
      <c r="B31" s="25"/>
      <c r="C31" s="63">
        <v>23290000</v>
      </c>
      <c r="D31" s="61">
        <v>22990000</v>
      </c>
      <c r="E31" s="25">
        <v>22490000</v>
      </c>
      <c r="F31" s="39">
        <v>22990000</v>
      </c>
      <c r="G31" s="39">
        <v>23290000</v>
      </c>
      <c r="H31" s="26"/>
    </row>
    <row r="32" spans="1:12" x14ac:dyDescent="0.2">
      <c r="A32" t="s">
        <v>53</v>
      </c>
      <c r="B32" s="3"/>
      <c r="C32" s="63">
        <v>4990000</v>
      </c>
      <c r="D32" s="61">
        <v>4990000</v>
      </c>
      <c r="E32" s="34">
        <v>4290000</v>
      </c>
      <c r="F32" s="39">
        <v>4950000</v>
      </c>
      <c r="G32" s="39">
        <v>5590000</v>
      </c>
      <c r="H32" s="26"/>
      <c r="J32" s="83"/>
    </row>
    <row r="33" spans="1:8" x14ac:dyDescent="0.2">
      <c r="A33" t="s">
        <v>54</v>
      </c>
      <c r="B33" s="3"/>
      <c r="C33" s="63">
        <v>4490000</v>
      </c>
      <c r="D33" s="63">
        <v>4290000</v>
      </c>
      <c r="E33" s="25">
        <v>4390000</v>
      </c>
      <c r="F33" s="39">
        <v>4450000</v>
      </c>
      <c r="G33" s="39">
        <v>4390000</v>
      </c>
      <c r="H33" s="26"/>
    </row>
    <row r="34" spans="1:8" x14ac:dyDescent="0.2">
      <c r="A34" t="s">
        <v>55</v>
      </c>
      <c r="B34" s="3"/>
      <c r="C34" s="63">
        <v>3090000</v>
      </c>
      <c r="D34" s="63">
        <v>2990000</v>
      </c>
      <c r="E34" s="25">
        <v>2990000</v>
      </c>
      <c r="F34" s="38">
        <v>3050000</v>
      </c>
      <c r="G34" s="39">
        <v>2990000</v>
      </c>
      <c r="H34" s="26"/>
    </row>
    <row r="35" spans="1:8" x14ac:dyDescent="0.2">
      <c r="A35" t="s">
        <v>56</v>
      </c>
      <c r="B35" s="3"/>
      <c r="C35" s="63">
        <v>6790000</v>
      </c>
      <c r="D35" s="63">
        <v>6790000</v>
      </c>
      <c r="E35" s="71">
        <v>6490000</v>
      </c>
      <c r="F35" s="39">
        <v>6790000</v>
      </c>
      <c r="G35" s="39">
        <v>6490000</v>
      </c>
      <c r="H35" s="26"/>
    </row>
    <row r="36" spans="1:8" x14ac:dyDescent="0.2">
      <c r="A36" t="s">
        <v>186</v>
      </c>
      <c r="B36" s="25"/>
      <c r="C36" s="63">
        <v>19690000</v>
      </c>
      <c r="D36" s="61">
        <v>19690000</v>
      </c>
      <c r="E36" s="36"/>
      <c r="F36" s="39">
        <v>19690000</v>
      </c>
      <c r="G36" s="39">
        <v>18990000</v>
      </c>
      <c r="H36" s="26"/>
    </row>
    <row r="37" spans="1:8" x14ac:dyDescent="0.2">
      <c r="A37" t="s">
        <v>59</v>
      </c>
      <c r="B37" s="3"/>
      <c r="C37" s="63">
        <v>23990000</v>
      </c>
      <c r="D37" s="61">
        <v>23990000</v>
      </c>
      <c r="E37" s="36"/>
      <c r="F37" s="39">
        <v>23990000</v>
      </c>
      <c r="G37" s="39">
        <v>23690000</v>
      </c>
      <c r="H37" s="26"/>
    </row>
    <row r="38" spans="1:8" x14ac:dyDescent="0.2">
      <c r="A38" t="s">
        <v>61</v>
      </c>
      <c r="B38" s="25"/>
      <c r="C38" s="63">
        <v>29990000</v>
      </c>
      <c r="D38" s="63">
        <v>28990000</v>
      </c>
      <c r="E38" s="36"/>
      <c r="F38" s="39">
        <v>28990000</v>
      </c>
      <c r="G38" s="39">
        <v>28590000</v>
      </c>
      <c r="H38" s="26"/>
    </row>
    <row r="39" spans="1:8" x14ac:dyDescent="0.2">
      <c r="A39" t="s">
        <v>187</v>
      </c>
      <c r="B39" s="25"/>
      <c r="C39" s="63" t="s">
        <v>22</v>
      </c>
      <c r="D39" s="63">
        <v>37990000</v>
      </c>
      <c r="E39" s="36"/>
      <c r="F39" s="39">
        <v>38590000</v>
      </c>
      <c r="G39" s="39">
        <v>38390000</v>
      </c>
      <c r="H39" s="26"/>
    </row>
    <row r="40" spans="1:8" x14ac:dyDescent="0.2">
      <c r="A40" t="s">
        <v>62</v>
      </c>
      <c r="B40" s="25"/>
      <c r="C40" s="63">
        <v>41990000</v>
      </c>
      <c r="D40" s="63">
        <v>41990000</v>
      </c>
      <c r="E40" s="36"/>
      <c r="F40" s="39">
        <v>41990000</v>
      </c>
      <c r="G40" s="39">
        <v>41990000</v>
      </c>
      <c r="H40" s="26"/>
    </row>
    <row r="41" spans="1:8" x14ac:dyDescent="0.2">
      <c r="A41" t="s">
        <v>188</v>
      </c>
      <c r="B41" s="25"/>
      <c r="C41" s="63" t="s">
        <v>22</v>
      </c>
      <c r="D41" s="63">
        <v>63990000</v>
      </c>
      <c r="E41" s="36"/>
      <c r="F41" s="39">
        <v>63990000</v>
      </c>
      <c r="G41" s="39">
        <v>63990000</v>
      </c>
    </row>
    <row r="42" spans="1:8" x14ac:dyDescent="0.2">
      <c r="C42" s="59"/>
      <c r="D42" s="59"/>
    </row>
    <row r="43" spans="1:8" x14ac:dyDescent="0.2">
      <c r="C43" s="59"/>
      <c r="D43" s="59"/>
    </row>
    <row r="44" spans="1:8" x14ac:dyDescent="0.2">
      <c r="C44" s="59"/>
      <c r="D44" s="59"/>
    </row>
    <row r="45" spans="1:8" x14ac:dyDescent="0.2">
      <c r="C45" s="59"/>
      <c r="D45" s="59"/>
    </row>
    <row r="46" spans="1:8" x14ac:dyDescent="0.2">
      <c r="C46" s="59"/>
      <c r="D46" s="59"/>
    </row>
    <row r="47" spans="1:8" x14ac:dyDescent="0.2">
      <c r="C47" s="59"/>
      <c r="D47" s="59"/>
    </row>
    <row r="48" spans="1:8" x14ac:dyDescent="0.2">
      <c r="C48" s="59"/>
      <c r="D48" s="59"/>
    </row>
    <row r="49" spans="3:4" x14ac:dyDescent="0.2">
      <c r="C49" s="59"/>
      <c r="D49" s="59"/>
    </row>
    <row r="50" spans="3:4" x14ac:dyDescent="0.2">
      <c r="C50" s="59"/>
      <c r="D50" s="59"/>
    </row>
    <row r="51" spans="3:4" x14ac:dyDescent="0.2">
      <c r="C51" s="59"/>
      <c r="D51" s="59"/>
    </row>
    <row r="52" spans="3:4" x14ac:dyDescent="0.2">
      <c r="C52" s="59"/>
      <c r="D52" s="59"/>
    </row>
    <row r="53" spans="3:4" x14ac:dyDescent="0.2">
      <c r="C53" s="59"/>
      <c r="D53" s="59"/>
    </row>
    <row r="54" spans="3:4" x14ac:dyDescent="0.2">
      <c r="C54" s="59"/>
      <c r="D54" s="59"/>
    </row>
    <row r="55" spans="3:4" x14ac:dyDescent="0.2">
      <c r="C55" s="59"/>
      <c r="D55" s="59"/>
    </row>
    <row r="56" spans="3:4" x14ac:dyDescent="0.2">
      <c r="C56" s="59"/>
      <c r="D56" s="59"/>
    </row>
    <row r="57" spans="3:4" x14ac:dyDescent="0.2">
      <c r="C57" s="59"/>
      <c r="D57" s="59"/>
    </row>
    <row r="58" spans="3:4" x14ac:dyDescent="0.2">
      <c r="C58" s="59"/>
      <c r="D58" s="59"/>
    </row>
    <row r="59" spans="3:4" x14ac:dyDescent="0.2">
      <c r="C59" s="59"/>
      <c r="D59" s="59"/>
    </row>
    <row r="60" spans="3:4" x14ac:dyDescent="0.2">
      <c r="C60" s="59"/>
      <c r="D60" s="59"/>
    </row>
    <row r="61" spans="3:4" x14ac:dyDescent="0.2">
      <c r="C61" s="59"/>
      <c r="D61" s="59"/>
    </row>
    <row r="62" spans="3:4" x14ac:dyDescent="0.2">
      <c r="C62" s="59"/>
      <c r="D62" s="59"/>
    </row>
    <row r="63" spans="3:4" x14ac:dyDescent="0.2">
      <c r="C63" s="59"/>
      <c r="D63" s="59"/>
    </row>
    <row r="64" spans="3:4" x14ac:dyDescent="0.2">
      <c r="C64" s="59"/>
      <c r="D64" s="59"/>
    </row>
    <row r="65" spans="3:4" x14ac:dyDescent="0.2">
      <c r="C65" s="59"/>
      <c r="D65" s="59"/>
    </row>
    <row r="66" spans="3:4" x14ac:dyDescent="0.2">
      <c r="C66" s="59"/>
      <c r="D66" s="59"/>
    </row>
    <row r="67" spans="3:4" x14ac:dyDescent="0.2">
      <c r="C67" s="59"/>
      <c r="D67" s="59"/>
    </row>
    <row r="68" spans="3:4" x14ac:dyDescent="0.2">
      <c r="C68" s="59"/>
      <c r="D68" s="59"/>
    </row>
    <row r="69" spans="3:4" x14ac:dyDescent="0.2">
      <c r="C69" s="59"/>
      <c r="D69" s="59"/>
    </row>
    <row r="70" spans="3:4" x14ac:dyDescent="0.2">
      <c r="C70" s="59"/>
      <c r="D70" s="59"/>
    </row>
    <row r="71" spans="3:4" x14ac:dyDescent="0.2">
      <c r="C71" s="59"/>
      <c r="D71" s="59"/>
    </row>
    <row r="72" spans="3:4" x14ac:dyDescent="0.2">
      <c r="C72" s="59"/>
      <c r="D72" s="59"/>
    </row>
    <row r="73" spans="3:4" x14ac:dyDescent="0.2">
      <c r="C73" s="59"/>
      <c r="D73" s="59"/>
    </row>
    <row r="74" spans="3:4" x14ac:dyDescent="0.2">
      <c r="C74" s="59"/>
      <c r="D74" s="59"/>
    </row>
    <row r="75" spans="3:4" x14ac:dyDescent="0.2">
      <c r="C75" s="59"/>
      <c r="D75" s="59"/>
    </row>
    <row r="76" spans="3:4" x14ac:dyDescent="0.2">
      <c r="C76" s="59"/>
      <c r="D76" s="59"/>
    </row>
    <row r="77" spans="3:4" x14ac:dyDescent="0.2">
      <c r="C77" s="59"/>
      <c r="D77" s="59"/>
    </row>
    <row r="78" spans="3:4" x14ac:dyDescent="0.2">
      <c r="C78" s="59"/>
      <c r="D78" s="59"/>
    </row>
    <row r="79" spans="3:4" x14ac:dyDescent="0.2">
      <c r="C79" s="59"/>
      <c r="D79" s="59"/>
    </row>
    <row r="80" spans="3:4" x14ac:dyDescent="0.2">
      <c r="C80" s="59"/>
      <c r="D80" s="59"/>
    </row>
    <row r="81" spans="3:4" x14ac:dyDescent="0.2">
      <c r="C81" s="59"/>
      <c r="D81" s="59"/>
    </row>
    <row r="82" spans="3:4" x14ac:dyDescent="0.2">
      <c r="C82" s="59"/>
      <c r="D82" s="59"/>
    </row>
    <row r="83" spans="3:4" x14ac:dyDescent="0.2">
      <c r="C83" s="59"/>
      <c r="D83" s="59"/>
    </row>
    <row r="84" spans="3:4" x14ac:dyDescent="0.2">
      <c r="C84" s="59"/>
      <c r="D84" s="59"/>
    </row>
    <row r="85" spans="3:4" x14ac:dyDescent="0.2">
      <c r="C85" s="59"/>
      <c r="D85" s="59"/>
    </row>
    <row r="86" spans="3:4" x14ac:dyDescent="0.2">
      <c r="C86" s="59"/>
      <c r="D86" s="59"/>
    </row>
    <row r="87" spans="3:4" x14ac:dyDescent="0.2">
      <c r="C87" s="59"/>
      <c r="D87" s="59"/>
    </row>
    <row r="88" spans="3:4" x14ac:dyDescent="0.2">
      <c r="C88" s="59"/>
      <c r="D88" s="59"/>
    </row>
    <row r="89" spans="3:4" x14ac:dyDescent="0.2">
      <c r="C89" s="59"/>
      <c r="D89" s="59"/>
    </row>
    <row r="90" spans="3:4" x14ac:dyDescent="0.2">
      <c r="C90" s="59"/>
      <c r="D90" s="59"/>
    </row>
    <row r="91" spans="3:4" x14ac:dyDescent="0.2">
      <c r="C91" s="59"/>
      <c r="D91" s="59"/>
    </row>
    <row r="92" spans="3:4" x14ac:dyDescent="0.2">
      <c r="C92" s="59"/>
      <c r="D92" s="59"/>
    </row>
    <row r="93" spans="3:4" x14ac:dyDescent="0.2">
      <c r="C93" s="59"/>
      <c r="D93" s="59"/>
    </row>
    <row r="94" spans="3:4" x14ac:dyDescent="0.2">
      <c r="C94" s="59"/>
      <c r="D94" s="59"/>
    </row>
    <row r="95" spans="3:4" x14ac:dyDescent="0.2">
      <c r="C95" s="59"/>
      <c r="D95" s="59"/>
    </row>
    <row r="96" spans="3:4" x14ac:dyDescent="0.2">
      <c r="C96" s="59"/>
      <c r="D96" s="59"/>
    </row>
    <row r="97" spans="3:4" x14ac:dyDescent="0.2">
      <c r="C97" s="59"/>
      <c r="D97" s="59"/>
    </row>
    <row r="98" spans="3:4" x14ac:dyDescent="0.2">
      <c r="C98" s="59"/>
      <c r="D98" s="59"/>
    </row>
    <row r="99" spans="3:4" x14ac:dyDescent="0.2">
      <c r="C99" s="59"/>
      <c r="D99" s="59"/>
    </row>
    <row r="100" spans="3:4" x14ac:dyDescent="0.2">
      <c r="C100" s="59"/>
      <c r="D100" s="59"/>
    </row>
    <row r="101" spans="3:4" x14ac:dyDescent="0.2">
      <c r="C101" s="59"/>
      <c r="D101" s="59"/>
    </row>
    <row r="102" spans="3:4" x14ac:dyDescent="0.2">
      <c r="C102" s="59"/>
      <c r="D102" s="59"/>
    </row>
    <row r="103" spans="3:4" x14ac:dyDescent="0.2">
      <c r="C103" s="59"/>
      <c r="D103" s="59"/>
    </row>
    <row r="104" spans="3:4" x14ac:dyDescent="0.2">
      <c r="C104" s="59"/>
      <c r="D104" s="59"/>
    </row>
    <row r="105" spans="3:4" x14ac:dyDescent="0.2">
      <c r="C105" s="59"/>
      <c r="D105" s="59"/>
    </row>
    <row r="106" spans="3:4" x14ac:dyDescent="0.2">
      <c r="C106" s="59"/>
      <c r="D106" s="59"/>
    </row>
    <row r="107" spans="3:4" x14ac:dyDescent="0.2">
      <c r="C107" s="59"/>
      <c r="D107" s="59"/>
    </row>
    <row r="108" spans="3:4" x14ac:dyDescent="0.2">
      <c r="C108" s="59"/>
      <c r="D108" s="59"/>
    </row>
    <row r="109" spans="3:4" x14ac:dyDescent="0.2">
      <c r="C109" s="59"/>
      <c r="D109" s="59"/>
    </row>
    <row r="110" spans="3:4" x14ac:dyDescent="0.2">
      <c r="C110" s="59"/>
      <c r="D110" s="59"/>
    </row>
    <row r="111" spans="3:4" x14ac:dyDescent="0.2">
      <c r="C111" s="59"/>
      <c r="D111" s="59"/>
    </row>
    <row r="112" spans="3:4" x14ac:dyDescent="0.2">
      <c r="C112" s="59"/>
      <c r="D112" s="59"/>
    </row>
    <row r="113" spans="3:4" x14ac:dyDescent="0.2">
      <c r="C113" s="59"/>
      <c r="D113" s="59"/>
    </row>
    <row r="114" spans="3:4" x14ac:dyDescent="0.2">
      <c r="C114" s="59"/>
      <c r="D114" s="59"/>
    </row>
    <row r="115" spans="3:4" x14ac:dyDescent="0.2">
      <c r="C115" s="59"/>
      <c r="D115" s="59"/>
    </row>
    <row r="116" spans="3:4" x14ac:dyDescent="0.2">
      <c r="C116" s="59"/>
      <c r="D116" s="59"/>
    </row>
    <row r="117" spans="3:4" x14ac:dyDescent="0.2">
      <c r="C117" s="59"/>
      <c r="D117" s="59"/>
    </row>
    <row r="118" spans="3:4" x14ac:dyDescent="0.2">
      <c r="C118" s="59"/>
      <c r="D118" s="59"/>
    </row>
    <row r="119" spans="3:4" x14ac:dyDescent="0.2">
      <c r="C119" s="59"/>
      <c r="D119" s="59"/>
    </row>
    <row r="120" spans="3:4" x14ac:dyDescent="0.2">
      <c r="C120" s="59"/>
      <c r="D120" s="59"/>
    </row>
    <row r="121" spans="3:4" x14ac:dyDescent="0.2">
      <c r="C121" s="59"/>
      <c r="D121" s="59"/>
    </row>
    <row r="122" spans="3:4" x14ac:dyDescent="0.2">
      <c r="C122" s="59"/>
      <c r="D122" s="59"/>
    </row>
    <row r="123" spans="3:4" x14ac:dyDescent="0.2">
      <c r="C123" s="59"/>
      <c r="D123" s="59"/>
    </row>
    <row r="124" spans="3:4" x14ac:dyDescent="0.2">
      <c r="C124" s="59"/>
      <c r="D124" s="59"/>
    </row>
    <row r="125" spans="3:4" x14ac:dyDescent="0.2">
      <c r="C125" s="59"/>
      <c r="D125" s="59"/>
    </row>
    <row r="126" spans="3:4" x14ac:dyDescent="0.2">
      <c r="C126" s="59"/>
      <c r="D126" s="59"/>
    </row>
    <row r="127" spans="3:4" x14ac:dyDescent="0.2">
      <c r="C127" s="59"/>
      <c r="D127" s="59"/>
    </row>
    <row r="128" spans="3:4" x14ac:dyDescent="0.2">
      <c r="C128" s="59"/>
      <c r="D128" s="59"/>
    </row>
    <row r="129" spans="3:4" x14ac:dyDescent="0.2">
      <c r="C129" s="59"/>
      <c r="D129" s="59"/>
    </row>
    <row r="130" spans="3:4" x14ac:dyDescent="0.2">
      <c r="C130" s="59"/>
      <c r="D130" s="59"/>
    </row>
    <row r="131" spans="3:4" x14ac:dyDescent="0.2">
      <c r="C131" s="59"/>
      <c r="D131" s="59"/>
    </row>
    <row r="132" spans="3:4" x14ac:dyDescent="0.2">
      <c r="C132" s="59"/>
      <c r="D132" s="59"/>
    </row>
    <row r="133" spans="3:4" x14ac:dyDescent="0.2">
      <c r="C133" s="59"/>
      <c r="D133" s="59"/>
    </row>
    <row r="134" spans="3:4" x14ac:dyDescent="0.2">
      <c r="C134" s="59"/>
      <c r="D134" s="59"/>
    </row>
    <row r="135" spans="3:4" x14ac:dyDescent="0.2">
      <c r="C135" s="59"/>
      <c r="D135" s="59"/>
    </row>
    <row r="136" spans="3:4" x14ac:dyDescent="0.2">
      <c r="C136" s="59"/>
      <c r="D136" s="59"/>
    </row>
    <row r="137" spans="3:4" x14ac:dyDescent="0.2">
      <c r="C137" s="59"/>
      <c r="D137" s="59"/>
    </row>
    <row r="138" spans="3:4" x14ac:dyDescent="0.2">
      <c r="C138" s="59"/>
      <c r="D138" s="59"/>
    </row>
    <row r="139" spans="3:4" x14ac:dyDescent="0.2">
      <c r="C139" s="59"/>
      <c r="D139" s="59"/>
    </row>
    <row r="140" spans="3:4" x14ac:dyDescent="0.2">
      <c r="C140" s="59"/>
      <c r="D140" s="59"/>
    </row>
    <row r="141" spans="3:4" x14ac:dyDescent="0.2">
      <c r="C141" s="59"/>
      <c r="D141" s="59"/>
    </row>
    <row r="142" spans="3:4" x14ac:dyDescent="0.2">
      <c r="C142" s="59"/>
      <c r="D142" s="59"/>
    </row>
    <row r="143" spans="3:4" x14ac:dyDescent="0.2">
      <c r="C143" s="59"/>
      <c r="D143" s="59"/>
    </row>
    <row r="144" spans="3:4" x14ac:dyDescent="0.2">
      <c r="C144" s="59"/>
      <c r="D144" s="59"/>
    </row>
    <row r="145" spans="3:4" x14ac:dyDescent="0.2">
      <c r="C145" s="59"/>
      <c r="D145" s="59"/>
    </row>
    <row r="146" spans="3:4" x14ac:dyDescent="0.2">
      <c r="C146" s="59"/>
      <c r="D146" s="59"/>
    </row>
    <row r="147" spans="3:4" x14ac:dyDescent="0.2">
      <c r="C147" s="59"/>
      <c r="D147" s="59"/>
    </row>
    <row r="148" spans="3:4" x14ac:dyDescent="0.2">
      <c r="C148" s="59"/>
      <c r="D148" s="59"/>
    </row>
    <row r="149" spans="3:4" x14ac:dyDescent="0.2">
      <c r="C149" s="59"/>
      <c r="D149" s="59"/>
    </row>
    <row r="150" spans="3:4" x14ac:dyDescent="0.2">
      <c r="C150" s="59"/>
      <c r="D150" s="59"/>
    </row>
    <row r="151" spans="3:4" x14ac:dyDescent="0.2">
      <c r="C151" s="59"/>
      <c r="D151" s="59"/>
    </row>
    <row r="152" spans="3:4" x14ac:dyDescent="0.2">
      <c r="C152" s="59"/>
      <c r="D152" s="59"/>
    </row>
    <row r="153" spans="3:4" x14ac:dyDescent="0.2">
      <c r="C153" s="59"/>
      <c r="D153" s="59"/>
    </row>
  </sheetData>
  <pageMargins left="0.7" right="0.7" top="0.75" bottom="0.75" header="0.3" footer="0.3"/>
  <pageSetup paperSize="9" orientation="portrait" horizontalDpi="0" verticalDpi="0"/>
  <legacyDrawing r:id="rId1"/>
</worksheet>
</file>

<file path=xl/worksheets/sheet9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A00-000000000000}">
  <dimension ref="A1:L153"/>
  <sheetViews>
    <sheetView zoomScaleNormal="130" workbookViewId="0">
      <pane xSplit="2" ySplit="1" topLeftCell="C10" activePane="bottomRight" state="frozen"/>
      <selection pane="topRight" activeCell="C1" sqref="C1"/>
      <selection pane="bottomLeft" activeCell="A2" sqref="A2"/>
      <selection pane="bottomRight" activeCell="C1" sqref="C1"/>
    </sheetView>
  </sheetViews>
  <sheetFormatPr baseColWidth="10" defaultColWidth="11" defaultRowHeight="16" x14ac:dyDescent="0.2"/>
  <cols>
    <col min="1" max="1" width="27.5" bestFit="1" customWidth="1"/>
    <col min="2" max="2" width="0" hidden="1"/>
    <col min="3" max="3" width="14.83203125" customWidth="1"/>
    <col min="4" max="4" width="16" customWidth="1"/>
    <col min="5" max="5" width="15.5" customWidth="1"/>
    <col min="6" max="6" width="14.33203125" customWidth="1"/>
    <col min="7" max="7" width="13" customWidth="1"/>
    <col min="8" max="8" width="13.5" customWidth="1"/>
  </cols>
  <sheetData>
    <row r="1" spans="1:12" x14ac:dyDescent="0.2">
      <c r="B1" s="46" t="s">
        <v>0</v>
      </c>
      <c r="C1" s="80" t="s">
        <v>1</v>
      </c>
      <c r="D1" s="80" t="s">
        <v>2</v>
      </c>
      <c r="E1" s="81" t="s">
        <v>3</v>
      </c>
      <c r="F1" s="81" t="s">
        <v>4</v>
      </c>
      <c r="G1" s="81" t="s">
        <v>5</v>
      </c>
    </row>
    <row r="2" spans="1:12" x14ac:dyDescent="0.2">
      <c r="A2" t="s">
        <v>17</v>
      </c>
      <c r="B2" s="82"/>
      <c r="C2" s="84">
        <v>24990000</v>
      </c>
      <c r="D2" s="85">
        <v>24890000</v>
      </c>
      <c r="E2" s="86">
        <v>24190000</v>
      </c>
      <c r="F2" s="87">
        <v>24890000</v>
      </c>
      <c r="G2" s="88">
        <v>24790000</v>
      </c>
    </row>
    <row r="3" spans="1:12" x14ac:dyDescent="0.2">
      <c r="A3" t="s">
        <v>18</v>
      </c>
      <c r="B3" s="82"/>
      <c r="C3" s="85">
        <v>25990000</v>
      </c>
      <c r="D3" s="85">
        <v>25990000</v>
      </c>
      <c r="E3" s="86">
        <v>25490000</v>
      </c>
      <c r="F3" s="89">
        <v>25990000</v>
      </c>
      <c r="G3" s="88">
        <v>25990000</v>
      </c>
      <c r="H3" s="26"/>
    </row>
    <row r="4" spans="1:12" x14ac:dyDescent="0.2">
      <c r="A4" t="s">
        <v>19</v>
      </c>
      <c r="B4" s="82"/>
      <c r="C4" s="84">
        <v>34690000</v>
      </c>
      <c r="D4" s="84">
        <v>34390000</v>
      </c>
      <c r="E4" s="86">
        <v>34190000</v>
      </c>
      <c r="F4" s="90">
        <v>34390000</v>
      </c>
      <c r="G4" s="91">
        <v>33990000</v>
      </c>
      <c r="H4" s="26">
        <v>-100</v>
      </c>
    </row>
    <row r="5" spans="1:12" x14ac:dyDescent="0.2">
      <c r="A5" t="s">
        <v>20</v>
      </c>
      <c r="B5" s="82"/>
      <c r="C5" s="84">
        <v>37990000</v>
      </c>
      <c r="D5" s="84">
        <v>37690000</v>
      </c>
      <c r="E5" s="92">
        <v>36490000</v>
      </c>
      <c r="F5" s="90">
        <v>37690000</v>
      </c>
      <c r="G5" s="91">
        <v>36990000</v>
      </c>
      <c r="H5" s="26">
        <v>-300</v>
      </c>
    </row>
    <row r="6" spans="1:12" x14ac:dyDescent="0.2">
      <c r="A6" t="s">
        <v>21</v>
      </c>
      <c r="B6" s="82"/>
      <c r="C6" s="84">
        <v>15990000</v>
      </c>
      <c r="D6" s="86" t="s">
        <v>22</v>
      </c>
      <c r="E6" s="92">
        <v>12490000</v>
      </c>
      <c r="F6" s="93">
        <v>12490000</v>
      </c>
      <c r="G6" s="88">
        <v>15190000</v>
      </c>
      <c r="H6" s="26"/>
    </row>
    <row r="7" spans="1:12" x14ac:dyDescent="0.2">
      <c r="A7" t="s">
        <v>181</v>
      </c>
      <c r="B7" s="70"/>
      <c r="C7" s="94">
        <v>19990000</v>
      </c>
      <c r="D7" s="94">
        <v>19790000</v>
      </c>
      <c r="E7" s="95">
        <v>19390000</v>
      </c>
      <c r="F7" s="90">
        <v>19790000</v>
      </c>
      <c r="G7" s="91">
        <v>19490000</v>
      </c>
      <c r="H7" s="26">
        <v>-200</v>
      </c>
    </row>
    <row r="8" spans="1:12" x14ac:dyDescent="0.2">
      <c r="A8" t="s">
        <v>24</v>
      </c>
      <c r="B8" s="3"/>
      <c r="C8" s="86">
        <v>23990000</v>
      </c>
      <c r="D8" s="86">
        <v>23790000</v>
      </c>
      <c r="E8" s="95">
        <v>22990000</v>
      </c>
      <c r="F8" s="90">
        <v>23790000</v>
      </c>
      <c r="G8" s="88">
        <v>23390000</v>
      </c>
      <c r="H8" s="26"/>
    </row>
    <row r="9" spans="1:12" x14ac:dyDescent="0.2">
      <c r="A9" t="s">
        <v>182</v>
      </c>
      <c r="B9" s="25"/>
      <c r="C9" s="86">
        <v>25590000</v>
      </c>
      <c r="D9" s="88">
        <v>25490000</v>
      </c>
      <c r="E9" s="96">
        <v>24990000</v>
      </c>
      <c r="F9" s="90">
        <v>25590000</v>
      </c>
      <c r="G9" s="88">
        <v>24990000</v>
      </c>
      <c r="H9" s="26"/>
    </row>
    <row r="10" spans="1:12" x14ac:dyDescent="0.2">
      <c r="A10" t="s">
        <v>183</v>
      </c>
      <c r="B10" s="3"/>
      <c r="C10" s="97">
        <v>31990000</v>
      </c>
      <c r="D10" s="97">
        <v>31590000</v>
      </c>
      <c r="E10" s="96">
        <v>30890000</v>
      </c>
      <c r="F10" s="89">
        <v>31790000</v>
      </c>
      <c r="G10" s="88">
        <v>31190000</v>
      </c>
      <c r="H10" s="26"/>
    </row>
    <row r="11" spans="1:12" x14ac:dyDescent="0.2">
      <c r="A11" t="s">
        <v>25</v>
      </c>
      <c r="B11" s="25"/>
      <c r="C11" s="86">
        <v>16990000</v>
      </c>
      <c r="D11" s="86">
        <v>16890000</v>
      </c>
      <c r="E11" s="86">
        <v>16490000</v>
      </c>
      <c r="F11" s="90">
        <v>16890000</v>
      </c>
      <c r="G11" s="91">
        <v>16390000</v>
      </c>
      <c r="H11" s="26">
        <v>-200</v>
      </c>
    </row>
    <row r="12" spans="1:12" x14ac:dyDescent="0.2">
      <c r="A12" t="s">
        <v>26</v>
      </c>
      <c r="B12" s="25"/>
      <c r="C12" s="86">
        <v>18990000</v>
      </c>
      <c r="D12" s="86" t="s">
        <v>22</v>
      </c>
      <c r="E12" s="86" t="s">
        <v>22</v>
      </c>
      <c r="F12" s="90">
        <v>17690000</v>
      </c>
      <c r="G12" s="88">
        <v>18490000</v>
      </c>
      <c r="H12" s="26"/>
    </row>
    <row r="13" spans="1:12" x14ac:dyDescent="0.2">
      <c r="A13" t="s">
        <v>27</v>
      </c>
      <c r="B13" s="25"/>
      <c r="C13" s="86">
        <v>13890000</v>
      </c>
      <c r="D13" s="86">
        <v>13590000</v>
      </c>
      <c r="E13" s="86">
        <v>13590000</v>
      </c>
      <c r="F13" s="90">
        <v>13590000</v>
      </c>
      <c r="G13" s="88">
        <v>12990000</v>
      </c>
      <c r="H13" s="26"/>
    </row>
    <row r="14" spans="1:12" x14ac:dyDescent="0.2">
      <c r="A14" t="s">
        <v>28</v>
      </c>
      <c r="B14" s="3"/>
      <c r="C14" s="86">
        <v>12490000</v>
      </c>
      <c r="D14" s="98">
        <v>12090000</v>
      </c>
      <c r="E14" s="95">
        <v>11990000</v>
      </c>
      <c r="F14" s="89">
        <v>12090000</v>
      </c>
      <c r="G14" s="88">
        <v>11890000</v>
      </c>
      <c r="H14" s="26"/>
    </row>
    <row r="15" spans="1:12" x14ac:dyDescent="0.2">
      <c r="A15" t="s">
        <v>29</v>
      </c>
      <c r="B15" s="25"/>
      <c r="C15" s="97">
        <v>13590000</v>
      </c>
      <c r="D15" s="97">
        <v>13590000</v>
      </c>
      <c r="E15" s="95">
        <v>13490000</v>
      </c>
      <c r="F15" s="89">
        <v>13590000</v>
      </c>
      <c r="G15" s="88">
        <v>11590000</v>
      </c>
      <c r="H15" s="26"/>
    </row>
    <row r="16" spans="1:12" x14ac:dyDescent="0.2">
      <c r="A16" t="s">
        <v>30</v>
      </c>
      <c r="B16" s="3"/>
      <c r="C16" s="97">
        <v>9590000</v>
      </c>
      <c r="D16" s="97">
        <v>9490000</v>
      </c>
      <c r="E16" s="95">
        <v>9390000</v>
      </c>
      <c r="F16" s="89">
        <v>9490000</v>
      </c>
      <c r="G16" s="88">
        <v>8390000</v>
      </c>
      <c r="H16" s="26"/>
      <c r="J16" t="s">
        <v>31</v>
      </c>
      <c r="K16" t="s">
        <v>32</v>
      </c>
      <c r="L16" t="b">
        <v>1</v>
      </c>
    </row>
    <row r="17" spans="1:12" x14ac:dyDescent="0.2">
      <c r="A17" t="s">
        <v>33</v>
      </c>
      <c r="B17" s="3"/>
      <c r="C17" s="86">
        <v>13690000</v>
      </c>
      <c r="D17" s="97">
        <v>13590000</v>
      </c>
      <c r="E17" s="86">
        <v>13290000</v>
      </c>
      <c r="F17" s="90">
        <v>13590000</v>
      </c>
      <c r="G17" s="88">
        <v>13390000</v>
      </c>
      <c r="H17" s="26"/>
      <c r="I17" s="26"/>
      <c r="J17" t="s">
        <v>2</v>
      </c>
      <c r="K17" t="s">
        <v>34</v>
      </c>
      <c r="L17" t="b">
        <v>1</v>
      </c>
    </row>
    <row r="18" spans="1:12" x14ac:dyDescent="0.2">
      <c r="A18" t="s">
        <v>37</v>
      </c>
      <c r="B18" s="25"/>
      <c r="C18" s="86">
        <v>19490000</v>
      </c>
      <c r="D18" s="86">
        <v>19290000</v>
      </c>
      <c r="E18" s="96">
        <v>18990000</v>
      </c>
      <c r="F18" s="90">
        <v>19290000</v>
      </c>
      <c r="G18" s="91">
        <v>18990000</v>
      </c>
      <c r="H18" s="78">
        <v>-300</v>
      </c>
      <c r="J18" t="s">
        <v>3</v>
      </c>
      <c r="K18" t="s">
        <v>36</v>
      </c>
      <c r="L18" t="b">
        <v>1</v>
      </c>
    </row>
    <row r="19" spans="1:12" x14ac:dyDescent="0.2">
      <c r="A19" t="s">
        <v>184</v>
      </c>
      <c r="B19" s="25"/>
      <c r="C19" s="96" t="s">
        <v>22</v>
      </c>
      <c r="D19" s="86">
        <v>27990000</v>
      </c>
      <c r="E19" s="96" t="s">
        <v>22</v>
      </c>
      <c r="F19" s="90" t="s">
        <v>22</v>
      </c>
      <c r="G19" s="96" t="s">
        <v>22</v>
      </c>
      <c r="H19" s="26"/>
      <c r="J19" t="s">
        <v>4</v>
      </c>
      <c r="K19" t="s">
        <v>38</v>
      </c>
      <c r="L19" t="b">
        <v>1</v>
      </c>
    </row>
    <row r="20" spans="1:12" x14ac:dyDescent="0.2">
      <c r="A20" t="s">
        <v>185</v>
      </c>
      <c r="B20" s="3"/>
      <c r="C20" s="96" t="s">
        <v>22</v>
      </c>
      <c r="D20" s="86">
        <v>36290000</v>
      </c>
      <c r="E20" s="96" t="s">
        <v>22</v>
      </c>
      <c r="F20" s="90">
        <v>36290000</v>
      </c>
      <c r="G20" s="96" t="s">
        <v>22</v>
      </c>
      <c r="H20" s="26"/>
      <c r="J20" t="s">
        <v>41</v>
      </c>
      <c r="K20" t="s">
        <v>42</v>
      </c>
      <c r="L20" t="b">
        <v>1</v>
      </c>
    </row>
    <row r="21" spans="1:12" x14ac:dyDescent="0.2">
      <c r="A21" t="s">
        <v>40</v>
      </c>
      <c r="B21" s="3"/>
      <c r="C21" s="97">
        <v>29790000</v>
      </c>
      <c r="D21" s="86">
        <v>29790000</v>
      </c>
      <c r="E21" s="99">
        <v>28990000</v>
      </c>
      <c r="F21" s="90">
        <v>29790000</v>
      </c>
      <c r="G21" s="91">
        <v>29190000</v>
      </c>
      <c r="H21" s="26">
        <v>200</v>
      </c>
    </row>
    <row r="22" spans="1:12" x14ac:dyDescent="0.2">
      <c r="A22" t="s">
        <v>43</v>
      </c>
      <c r="B22" s="3"/>
      <c r="C22" s="86">
        <v>39590000</v>
      </c>
      <c r="D22" s="100">
        <v>39590000</v>
      </c>
      <c r="E22" s="96">
        <v>38990000</v>
      </c>
      <c r="F22" s="90">
        <v>39590000</v>
      </c>
      <c r="G22" s="88">
        <v>39590000</v>
      </c>
      <c r="H22" s="26"/>
    </row>
    <row r="23" spans="1:12" x14ac:dyDescent="0.2">
      <c r="A23" t="s">
        <v>44</v>
      </c>
      <c r="B23" s="25"/>
      <c r="C23" s="97">
        <v>6790000</v>
      </c>
      <c r="D23" s="97">
        <v>6790000</v>
      </c>
      <c r="E23" s="95">
        <v>6490000</v>
      </c>
      <c r="F23" s="89">
        <v>6790000</v>
      </c>
      <c r="G23" s="91">
        <v>6590000</v>
      </c>
      <c r="H23" s="26">
        <v>400</v>
      </c>
    </row>
    <row r="24" spans="1:12" x14ac:dyDescent="0.2">
      <c r="A24" t="s">
        <v>45</v>
      </c>
      <c r="B24" s="25"/>
      <c r="C24" s="86">
        <v>8390000</v>
      </c>
      <c r="D24" s="97">
        <v>8390000</v>
      </c>
      <c r="E24" s="95">
        <v>7990000</v>
      </c>
      <c r="F24" s="89">
        <v>8390000</v>
      </c>
      <c r="G24" s="91">
        <v>8290000</v>
      </c>
      <c r="H24" s="26">
        <v>500</v>
      </c>
    </row>
    <row r="25" spans="1:12" x14ac:dyDescent="0.2">
      <c r="A25" t="s">
        <v>46</v>
      </c>
      <c r="B25" s="25"/>
      <c r="C25" s="86">
        <v>7690000</v>
      </c>
      <c r="D25" s="97">
        <v>7690000</v>
      </c>
      <c r="E25" s="95">
        <v>7390000</v>
      </c>
      <c r="F25" s="89">
        <v>7690000</v>
      </c>
      <c r="G25" s="91">
        <v>7690000</v>
      </c>
      <c r="H25" s="26">
        <v>500</v>
      </c>
    </row>
    <row r="26" spans="1:12" x14ac:dyDescent="0.2">
      <c r="A26" t="s">
        <v>47</v>
      </c>
      <c r="B26" s="25"/>
      <c r="C26" s="86">
        <v>9190000</v>
      </c>
      <c r="D26" s="97">
        <v>9190000</v>
      </c>
      <c r="E26" s="95">
        <v>8990000</v>
      </c>
      <c r="F26" s="89">
        <v>9190000</v>
      </c>
      <c r="G26" s="91">
        <v>8990000</v>
      </c>
      <c r="H26" s="26">
        <v>500</v>
      </c>
    </row>
    <row r="27" spans="1:12" x14ac:dyDescent="0.2">
      <c r="A27" t="s">
        <v>48</v>
      </c>
      <c r="B27" s="3"/>
      <c r="C27" s="97">
        <v>11190000</v>
      </c>
      <c r="D27" s="97">
        <v>11190000</v>
      </c>
      <c r="E27" s="95">
        <v>10690000</v>
      </c>
      <c r="F27" s="89">
        <v>11190000</v>
      </c>
      <c r="G27" s="91">
        <v>10990000</v>
      </c>
      <c r="H27" s="26">
        <f>10990-9190</f>
        <v>1800</v>
      </c>
    </row>
    <row r="28" spans="1:12" x14ac:dyDescent="0.2">
      <c r="A28" t="s">
        <v>49</v>
      </c>
      <c r="B28" s="3"/>
      <c r="C28" s="97">
        <v>14090000</v>
      </c>
      <c r="D28" s="97">
        <v>14090000</v>
      </c>
      <c r="E28" s="95">
        <v>13990000</v>
      </c>
      <c r="F28" s="89">
        <v>14090000</v>
      </c>
      <c r="G28" s="91">
        <v>13990000</v>
      </c>
      <c r="H28" s="26">
        <f>13990-12190</f>
        <v>1800</v>
      </c>
    </row>
    <row r="29" spans="1:12" x14ac:dyDescent="0.2">
      <c r="A29" t="s">
        <v>50</v>
      </c>
      <c r="B29" s="3"/>
      <c r="C29" s="97">
        <v>11990000</v>
      </c>
      <c r="D29" s="97">
        <v>11900000</v>
      </c>
      <c r="E29" s="95">
        <v>11490000</v>
      </c>
      <c r="F29" s="89">
        <v>11990000</v>
      </c>
      <c r="G29" s="91">
        <v>11890000</v>
      </c>
      <c r="H29" s="26">
        <f>13990-12190</f>
        <v>1800</v>
      </c>
    </row>
    <row r="30" spans="1:12" x14ac:dyDescent="0.2">
      <c r="A30" t="s">
        <v>51</v>
      </c>
      <c r="B30" s="3"/>
      <c r="C30" s="97">
        <v>14090000</v>
      </c>
      <c r="D30" s="97">
        <v>14990000</v>
      </c>
      <c r="E30" s="95">
        <v>14490000</v>
      </c>
      <c r="F30" s="89">
        <v>14990000</v>
      </c>
      <c r="G30" s="91">
        <v>14990000</v>
      </c>
      <c r="H30" s="26">
        <f>14990-13190</f>
        <v>1800</v>
      </c>
    </row>
    <row r="31" spans="1:12" x14ac:dyDescent="0.2">
      <c r="A31" t="s">
        <v>52</v>
      </c>
      <c r="B31" s="25"/>
      <c r="C31" s="97">
        <v>23490000</v>
      </c>
      <c r="D31" s="86">
        <v>22990000</v>
      </c>
      <c r="E31" s="96">
        <v>22490000</v>
      </c>
      <c r="F31" s="90">
        <v>22990000</v>
      </c>
      <c r="G31" s="88">
        <v>22990000</v>
      </c>
      <c r="H31" s="26"/>
    </row>
    <row r="32" spans="1:12" x14ac:dyDescent="0.2">
      <c r="A32" t="s">
        <v>53</v>
      </c>
      <c r="B32" s="3"/>
      <c r="C32" s="97">
        <v>4890000</v>
      </c>
      <c r="D32" s="97">
        <v>4990000</v>
      </c>
      <c r="E32" s="86">
        <v>4290000</v>
      </c>
      <c r="F32" s="90">
        <v>4950000</v>
      </c>
      <c r="G32" s="88">
        <v>5590000</v>
      </c>
      <c r="H32" s="26"/>
      <c r="J32" s="83"/>
    </row>
    <row r="33" spans="1:8" x14ac:dyDescent="0.2">
      <c r="A33" t="s">
        <v>54</v>
      </c>
      <c r="B33" s="3"/>
      <c r="C33" s="97">
        <v>4690000</v>
      </c>
      <c r="D33" s="97">
        <v>4490000</v>
      </c>
      <c r="E33" s="95">
        <v>4490000</v>
      </c>
      <c r="F33" s="89">
        <v>4690000</v>
      </c>
      <c r="G33" s="91">
        <v>4590000</v>
      </c>
      <c r="H33" s="26">
        <v>200</v>
      </c>
    </row>
    <row r="34" spans="1:8" x14ac:dyDescent="0.2">
      <c r="A34" t="s">
        <v>55</v>
      </c>
      <c r="B34" s="3"/>
      <c r="C34" s="97">
        <v>3590000</v>
      </c>
      <c r="D34" s="97">
        <v>3550000</v>
      </c>
      <c r="E34" s="95">
        <v>3390000</v>
      </c>
      <c r="F34" s="89">
        <v>3550000</v>
      </c>
      <c r="G34" s="91">
        <v>3490000</v>
      </c>
      <c r="H34" s="26">
        <v>500</v>
      </c>
    </row>
    <row r="35" spans="1:8" x14ac:dyDescent="0.2">
      <c r="A35" t="s">
        <v>56</v>
      </c>
      <c r="B35" s="3"/>
      <c r="C35" s="86">
        <v>6790000</v>
      </c>
      <c r="D35" s="97">
        <v>6590000</v>
      </c>
      <c r="E35" s="92">
        <v>6490000</v>
      </c>
      <c r="F35" s="90">
        <v>6790000</v>
      </c>
      <c r="G35" s="88">
        <v>6490000</v>
      </c>
      <c r="H35" s="26"/>
    </row>
    <row r="36" spans="1:8" x14ac:dyDescent="0.2">
      <c r="A36" t="s">
        <v>186</v>
      </c>
      <c r="B36" s="25"/>
      <c r="C36" s="86">
        <v>19690000</v>
      </c>
      <c r="D36" s="97">
        <v>19690000</v>
      </c>
      <c r="E36" s="101"/>
      <c r="F36" s="90">
        <v>19690000</v>
      </c>
      <c r="G36" s="88">
        <v>18990000</v>
      </c>
      <c r="H36" s="26"/>
    </row>
    <row r="37" spans="1:8" x14ac:dyDescent="0.2">
      <c r="A37" t="s">
        <v>59</v>
      </c>
      <c r="B37" s="3"/>
      <c r="C37" s="86">
        <v>23990000</v>
      </c>
      <c r="D37" s="97">
        <v>23990000</v>
      </c>
      <c r="E37" s="101"/>
      <c r="F37" s="90">
        <v>23990000</v>
      </c>
      <c r="G37" s="88">
        <v>23490000</v>
      </c>
      <c r="H37" s="26">
        <v>-200</v>
      </c>
    </row>
    <row r="38" spans="1:8" x14ac:dyDescent="0.2">
      <c r="A38" t="s">
        <v>61</v>
      </c>
      <c r="B38" s="25"/>
      <c r="C38" s="86">
        <v>28990000</v>
      </c>
      <c r="D38" s="86">
        <v>28990000</v>
      </c>
      <c r="E38" s="101"/>
      <c r="F38" s="90">
        <v>28990000</v>
      </c>
      <c r="G38" s="88">
        <v>28590000</v>
      </c>
      <c r="H38" s="26"/>
    </row>
    <row r="39" spans="1:8" x14ac:dyDescent="0.2">
      <c r="A39" t="s">
        <v>187</v>
      </c>
      <c r="B39" s="25"/>
      <c r="C39" s="86" t="s">
        <v>22</v>
      </c>
      <c r="D39" s="86">
        <v>37990000</v>
      </c>
      <c r="E39" s="101"/>
      <c r="F39" s="90">
        <v>38590000</v>
      </c>
      <c r="G39" s="88">
        <v>38390000</v>
      </c>
      <c r="H39" s="26"/>
    </row>
    <row r="40" spans="1:8" x14ac:dyDescent="0.2">
      <c r="A40" t="s">
        <v>62</v>
      </c>
      <c r="B40" s="25"/>
      <c r="C40" s="86">
        <v>41690000</v>
      </c>
      <c r="D40" s="86">
        <v>41690000</v>
      </c>
      <c r="E40" s="101"/>
      <c r="F40" s="90">
        <v>41990000</v>
      </c>
      <c r="G40" s="88">
        <v>41990000</v>
      </c>
      <c r="H40" s="26"/>
    </row>
    <row r="41" spans="1:8" x14ac:dyDescent="0.2">
      <c r="A41" t="s">
        <v>188</v>
      </c>
      <c r="B41" s="25"/>
      <c r="C41" s="86" t="s">
        <v>22</v>
      </c>
      <c r="D41" s="86">
        <v>63990000</v>
      </c>
      <c r="E41" s="101"/>
      <c r="F41" s="90">
        <v>63990000</v>
      </c>
      <c r="G41" s="88">
        <v>63990000</v>
      </c>
    </row>
    <row r="42" spans="1:8" x14ac:dyDescent="0.2">
      <c r="C42" s="59"/>
      <c r="D42" s="59"/>
    </row>
    <row r="43" spans="1:8" x14ac:dyDescent="0.2">
      <c r="C43" s="59"/>
      <c r="D43" s="59"/>
    </row>
    <row r="44" spans="1:8" x14ac:dyDescent="0.2">
      <c r="C44" s="59"/>
      <c r="D44" s="59"/>
    </row>
    <row r="45" spans="1:8" x14ac:dyDescent="0.2">
      <c r="C45" s="59"/>
      <c r="D45" s="59"/>
    </row>
    <row r="46" spans="1:8" x14ac:dyDescent="0.2">
      <c r="C46" s="59"/>
      <c r="D46" s="59"/>
    </row>
    <row r="47" spans="1:8" x14ac:dyDescent="0.2">
      <c r="C47" s="59"/>
      <c r="D47" s="59"/>
    </row>
    <row r="48" spans="1:8" x14ac:dyDescent="0.2">
      <c r="C48" s="59"/>
      <c r="D48" s="59"/>
    </row>
    <row r="49" spans="3:4" x14ac:dyDescent="0.2">
      <c r="C49" s="59"/>
      <c r="D49" s="59"/>
    </row>
    <row r="50" spans="3:4" x14ac:dyDescent="0.2">
      <c r="C50" s="59"/>
      <c r="D50" s="59"/>
    </row>
    <row r="51" spans="3:4" x14ac:dyDescent="0.2">
      <c r="C51" s="59"/>
      <c r="D51" s="59"/>
    </row>
    <row r="52" spans="3:4" x14ac:dyDescent="0.2">
      <c r="C52" s="59"/>
      <c r="D52" s="59"/>
    </row>
    <row r="53" spans="3:4" x14ac:dyDescent="0.2">
      <c r="C53" s="59"/>
      <c r="D53" s="59"/>
    </row>
    <row r="54" spans="3:4" x14ac:dyDescent="0.2">
      <c r="C54" s="59"/>
      <c r="D54" s="59"/>
    </row>
    <row r="55" spans="3:4" x14ac:dyDescent="0.2">
      <c r="C55" s="59"/>
      <c r="D55" s="59"/>
    </row>
    <row r="56" spans="3:4" x14ac:dyDescent="0.2">
      <c r="C56" s="59"/>
      <c r="D56" s="59"/>
    </row>
    <row r="57" spans="3:4" x14ac:dyDescent="0.2">
      <c r="C57" s="59"/>
      <c r="D57" s="59"/>
    </row>
    <row r="58" spans="3:4" x14ac:dyDescent="0.2">
      <c r="C58" s="59"/>
      <c r="D58" s="59"/>
    </row>
    <row r="59" spans="3:4" x14ac:dyDescent="0.2">
      <c r="C59" s="59"/>
      <c r="D59" s="59"/>
    </row>
    <row r="60" spans="3:4" x14ac:dyDescent="0.2">
      <c r="C60" s="59"/>
      <c r="D60" s="59"/>
    </row>
    <row r="61" spans="3:4" x14ac:dyDescent="0.2">
      <c r="C61" s="59"/>
      <c r="D61" s="59"/>
    </row>
    <row r="62" spans="3:4" x14ac:dyDescent="0.2">
      <c r="C62" s="59"/>
      <c r="D62" s="59"/>
    </row>
    <row r="63" spans="3:4" x14ac:dyDescent="0.2">
      <c r="C63" s="59"/>
      <c r="D63" s="59"/>
    </row>
    <row r="64" spans="3:4" x14ac:dyDescent="0.2">
      <c r="C64" s="59"/>
      <c r="D64" s="59"/>
    </row>
    <row r="65" spans="3:4" x14ac:dyDescent="0.2">
      <c r="C65" s="59"/>
      <c r="D65" s="59"/>
    </row>
    <row r="66" spans="3:4" x14ac:dyDescent="0.2">
      <c r="C66" s="59"/>
      <c r="D66" s="59"/>
    </row>
    <row r="67" spans="3:4" x14ac:dyDescent="0.2">
      <c r="C67" s="59"/>
      <c r="D67" s="59"/>
    </row>
    <row r="68" spans="3:4" x14ac:dyDescent="0.2">
      <c r="C68" s="59"/>
      <c r="D68" s="59"/>
    </row>
    <row r="69" spans="3:4" x14ac:dyDescent="0.2">
      <c r="C69" s="59"/>
      <c r="D69" s="59"/>
    </row>
    <row r="70" spans="3:4" x14ac:dyDescent="0.2">
      <c r="C70" s="59"/>
      <c r="D70" s="59"/>
    </row>
    <row r="71" spans="3:4" x14ac:dyDescent="0.2">
      <c r="C71" s="59"/>
      <c r="D71" s="59"/>
    </row>
    <row r="72" spans="3:4" x14ac:dyDescent="0.2">
      <c r="C72" s="59"/>
      <c r="D72" s="59"/>
    </row>
    <row r="73" spans="3:4" x14ac:dyDescent="0.2">
      <c r="C73" s="59"/>
      <c r="D73" s="59"/>
    </row>
    <row r="74" spans="3:4" x14ac:dyDescent="0.2">
      <c r="C74" s="59"/>
      <c r="D74" s="59"/>
    </row>
    <row r="75" spans="3:4" x14ac:dyDescent="0.2">
      <c r="C75" s="59"/>
      <c r="D75" s="59"/>
    </row>
    <row r="76" spans="3:4" x14ac:dyDescent="0.2">
      <c r="C76" s="59"/>
      <c r="D76" s="59"/>
    </row>
    <row r="77" spans="3:4" x14ac:dyDescent="0.2">
      <c r="C77" s="59"/>
      <c r="D77" s="59"/>
    </row>
    <row r="78" spans="3:4" x14ac:dyDescent="0.2">
      <c r="C78" s="59"/>
      <c r="D78" s="59"/>
    </row>
    <row r="79" spans="3:4" x14ac:dyDescent="0.2">
      <c r="C79" s="59"/>
      <c r="D79" s="59"/>
    </row>
    <row r="80" spans="3:4" x14ac:dyDescent="0.2">
      <c r="C80" s="59"/>
      <c r="D80" s="59"/>
    </row>
    <row r="81" spans="3:4" x14ac:dyDescent="0.2">
      <c r="C81" s="59"/>
      <c r="D81" s="59"/>
    </row>
    <row r="82" spans="3:4" x14ac:dyDescent="0.2">
      <c r="C82" s="59"/>
      <c r="D82" s="59"/>
    </row>
    <row r="83" spans="3:4" x14ac:dyDescent="0.2">
      <c r="C83" s="59"/>
      <c r="D83" s="59"/>
    </row>
    <row r="84" spans="3:4" x14ac:dyDescent="0.2">
      <c r="C84" s="59"/>
      <c r="D84" s="59"/>
    </row>
    <row r="85" spans="3:4" x14ac:dyDescent="0.2">
      <c r="C85" s="59"/>
      <c r="D85" s="59"/>
    </row>
    <row r="86" spans="3:4" x14ac:dyDescent="0.2">
      <c r="C86" s="59"/>
      <c r="D86" s="59"/>
    </row>
    <row r="87" spans="3:4" x14ac:dyDescent="0.2">
      <c r="C87" s="59"/>
      <c r="D87" s="59"/>
    </row>
    <row r="88" spans="3:4" x14ac:dyDescent="0.2">
      <c r="C88" s="59"/>
      <c r="D88" s="59"/>
    </row>
    <row r="89" spans="3:4" x14ac:dyDescent="0.2">
      <c r="C89" s="59"/>
      <c r="D89" s="59"/>
    </row>
    <row r="90" spans="3:4" x14ac:dyDescent="0.2">
      <c r="C90" s="59"/>
      <c r="D90" s="59"/>
    </row>
    <row r="91" spans="3:4" x14ac:dyDescent="0.2">
      <c r="C91" s="59"/>
      <c r="D91" s="59"/>
    </row>
    <row r="92" spans="3:4" x14ac:dyDescent="0.2">
      <c r="C92" s="59"/>
      <c r="D92" s="59"/>
    </row>
    <row r="93" spans="3:4" x14ac:dyDescent="0.2">
      <c r="C93" s="59"/>
      <c r="D93" s="59"/>
    </row>
    <row r="94" spans="3:4" x14ac:dyDescent="0.2">
      <c r="C94" s="59"/>
      <c r="D94" s="59"/>
    </row>
    <row r="95" spans="3:4" x14ac:dyDescent="0.2">
      <c r="C95" s="59"/>
      <c r="D95" s="59"/>
    </row>
    <row r="96" spans="3:4" x14ac:dyDescent="0.2">
      <c r="C96" s="59"/>
      <c r="D96" s="59"/>
    </row>
    <row r="97" spans="3:4" x14ac:dyDescent="0.2">
      <c r="C97" s="59"/>
      <c r="D97" s="59"/>
    </row>
    <row r="98" spans="3:4" x14ac:dyDescent="0.2">
      <c r="C98" s="59"/>
      <c r="D98" s="59"/>
    </row>
    <row r="99" spans="3:4" x14ac:dyDescent="0.2">
      <c r="C99" s="59"/>
      <c r="D99" s="59"/>
    </row>
    <row r="100" spans="3:4" x14ac:dyDescent="0.2">
      <c r="C100" s="59"/>
      <c r="D100" s="59"/>
    </row>
    <row r="101" spans="3:4" x14ac:dyDescent="0.2">
      <c r="C101" s="59"/>
      <c r="D101" s="59"/>
    </row>
    <row r="102" spans="3:4" x14ac:dyDescent="0.2">
      <c r="C102" s="59"/>
      <c r="D102" s="59"/>
    </row>
    <row r="103" spans="3:4" x14ac:dyDescent="0.2">
      <c r="C103" s="59"/>
      <c r="D103" s="59"/>
    </row>
    <row r="104" spans="3:4" x14ac:dyDescent="0.2">
      <c r="C104" s="59"/>
      <c r="D104" s="59"/>
    </row>
    <row r="105" spans="3:4" x14ac:dyDescent="0.2">
      <c r="C105" s="59"/>
      <c r="D105" s="59"/>
    </row>
    <row r="106" spans="3:4" x14ac:dyDescent="0.2">
      <c r="C106" s="59"/>
      <c r="D106" s="59"/>
    </row>
    <row r="107" spans="3:4" x14ac:dyDescent="0.2">
      <c r="C107" s="59"/>
      <c r="D107" s="59"/>
    </row>
    <row r="108" spans="3:4" x14ac:dyDescent="0.2">
      <c r="C108" s="59"/>
      <c r="D108" s="59"/>
    </row>
    <row r="109" spans="3:4" x14ac:dyDescent="0.2">
      <c r="C109" s="59"/>
      <c r="D109" s="59"/>
    </row>
    <row r="110" spans="3:4" x14ac:dyDescent="0.2">
      <c r="C110" s="59"/>
      <c r="D110" s="59"/>
    </row>
    <row r="111" spans="3:4" x14ac:dyDescent="0.2">
      <c r="C111" s="59"/>
      <c r="D111" s="59"/>
    </row>
    <row r="112" spans="3:4" x14ac:dyDescent="0.2">
      <c r="C112" s="59"/>
      <c r="D112" s="59"/>
    </row>
    <row r="113" spans="3:4" x14ac:dyDescent="0.2">
      <c r="C113" s="59"/>
      <c r="D113" s="59"/>
    </row>
    <row r="114" spans="3:4" x14ac:dyDescent="0.2">
      <c r="C114" s="59"/>
      <c r="D114" s="59"/>
    </row>
    <row r="115" spans="3:4" x14ac:dyDescent="0.2">
      <c r="C115" s="59"/>
      <c r="D115" s="59"/>
    </row>
    <row r="116" spans="3:4" x14ac:dyDescent="0.2">
      <c r="C116" s="59"/>
      <c r="D116" s="59"/>
    </row>
    <row r="117" spans="3:4" x14ac:dyDescent="0.2">
      <c r="C117" s="59"/>
      <c r="D117" s="59"/>
    </row>
    <row r="118" spans="3:4" x14ac:dyDescent="0.2">
      <c r="C118" s="59"/>
      <c r="D118" s="59"/>
    </row>
    <row r="119" spans="3:4" x14ac:dyDescent="0.2">
      <c r="C119" s="59"/>
      <c r="D119" s="59"/>
    </row>
    <row r="120" spans="3:4" x14ac:dyDescent="0.2">
      <c r="C120" s="59"/>
      <c r="D120" s="59"/>
    </row>
    <row r="121" spans="3:4" x14ac:dyDescent="0.2">
      <c r="C121" s="59"/>
      <c r="D121" s="59"/>
    </row>
    <row r="122" spans="3:4" x14ac:dyDescent="0.2">
      <c r="C122" s="59"/>
      <c r="D122" s="59"/>
    </row>
    <row r="123" spans="3:4" x14ac:dyDescent="0.2">
      <c r="C123" s="59"/>
      <c r="D123" s="59"/>
    </row>
    <row r="124" spans="3:4" x14ac:dyDescent="0.2">
      <c r="C124" s="59"/>
      <c r="D124" s="59"/>
    </row>
    <row r="125" spans="3:4" x14ac:dyDescent="0.2">
      <c r="C125" s="59"/>
      <c r="D125" s="59"/>
    </row>
    <row r="126" spans="3:4" x14ac:dyDescent="0.2">
      <c r="C126" s="59"/>
      <c r="D126" s="59"/>
    </row>
    <row r="127" spans="3:4" x14ac:dyDescent="0.2">
      <c r="C127" s="59"/>
      <c r="D127" s="59"/>
    </row>
    <row r="128" spans="3:4" x14ac:dyDescent="0.2">
      <c r="C128" s="59"/>
      <c r="D128" s="59"/>
    </row>
    <row r="129" spans="3:4" x14ac:dyDescent="0.2">
      <c r="C129" s="59"/>
      <c r="D129" s="59"/>
    </row>
    <row r="130" spans="3:4" x14ac:dyDescent="0.2">
      <c r="C130" s="59"/>
      <c r="D130" s="59"/>
    </row>
    <row r="131" spans="3:4" x14ac:dyDescent="0.2">
      <c r="C131" s="59"/>
      <c r="D131" s="59"/>
    </row>
    <row r="132" spans="3:4" x14ac:dyDescent="0.2">
      <c r="C132" s="59"/>
      <c r="D132" s="59"/>
    </row>
    <row r="133" spans="3:4" x14ac:dyDescent="0.2">
      <c r="C133" s="59"/>
      <c r="D133" s="59"/>
    </row>
    <row r="134" spans="3:4" x14ac:dyDescent="0.2">
      <c r="C134" s="59"/>
      <c r="D134" s="59"/>
    </row>
    <row r="135" spans="3:4" x14ac:dyDescent="0.2">
      <c r="C135" s="59"/>
      <c r="D135" s="59"/>
    </row>
    <row r="136" spans="3:4" x14ac:dyDescent="0.2">
      <c r="C136" s="59"/>
      <c r="D136" s="59"/>
    </row>
    <row r="137" spans="3:4" x14ac:dyDescent="0.2">
      <c r="C137" s="59"/>
      <c r="D137" s="59"/>
    </row>
    <row r="138" spans="3:4" x14ac:dyDescent="0.2">
      <c r="C138" s="59"/>
      <c r="D138" s="59"/>
    </row>
    <row r="139" spans="3:4" x14ac:dyDescent="0.2">
      <c r="C139" s="59"/>
      <c r="D139" s="59"/>
    </row>
    <row r="140" spans="3:4" x14ac:dyDescent="0.2">
      <c r="C140" s="59"/>
      <c r="D140" s="59"/>
    </row>
    <row r="141" spans="3:4" x14ac:dyDescent="0.2">
      <c r="C141" s="59"/>
      <c r="D141" s="59"/>
    </row>
    <row r="142" spans="3:4" x14ac:dyDescent="0.2">
      <c r="C142" s="59"/>
      <c r="D142" s="59"/>
    </row>
    <row r="143" spans="3:4" x14ac:dyDescent="0.2">
      <c r="C143" s="59"/>
      <c r="D143" s="59"/>
    </row>
    <row r="144" spans="3:4" x14ac:dyDescent="0.2">
      <c r="C144" s="59"/>
      <c r="D144" s="59"/>
    </row>
    <row r="145" spans="3:4" x14ac:dyDescent="0.2">
      <c r="C145" s="59"/>
      <c r="D145" s="59"/>
    </row>
    <row r="146" spans="3:4" x14ac:dyDescent="0.2">
      <c r="C146" s="59"/>
      <c r="D146" s="59"/>
    </row>
    <row r="147" spans="3:4" x14ac:dyDescent="0.2">
      <c r="C147" s="59"/>
      <c r="D147" s="59"/>
    </row>
    <row r="148" spans="3:4" x14ac:dyDescent="0.2">
      <c r="C148" s="59"/>
      <c r="D148" s="59"/>
    </row>
    <row r="149" spans="3:4" x14ac:dyDescent="0.2">
      <c r="C149" s="59"/>
      <c r="D149" s="59"/>
    </row>
    <row r="150" spans="3:4" x14ac:dyDescent="0.2">
      <c r="C150" s="59"/>
      <c r="D150" s="59"/>
    </row>
    <row r="151" spans="3:4" x14ac:dyDescent="0.2">
      <c r="C151" s="59"/>
      <c r="D151" s="59"/>
    </row>
    <row r="152" spans="3:4" x14ac:dyDescent="0.2">
      <c r="C152" s="59"/>
      <c r="D152" s="59"/>
    </row>
    <row r="153" spans="3:4" x14ac:dyDescent="0.2">
      <c r="C153" s="59"/>
      <c r="D153" s="59"/>
    </row>
  </sheetData>
  <pageMargins left="0.7" right="0.7" top="0.75" bottom="0.75" header="0.3" footer="0.3"/>
  <pageSetup paperSize="9" orientation="portrait" horizontalDpi="0" verticalDpi="0"/>
  <legacyDrawing r:id="rId1"/>
</worksheet>
</file>

<file path=xl/worksheets/sheet9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B00-000000000000}">
  <dimension ref="A1:L153"/>
  <sheetViews>
    <sheetView zoomScaleNormal="130" workbookViewId="0">
      <pane xSplit="2" ySplit="1" topLeftCell="C12" activePane="bottomRight" state="frozen"/>
      <selection pane="topRight" activeCell="C1" sqref="C1"/>
      <selection pane="bottomLeft" activeCell="A2" sqref="A2"/>
      <selection pane="bottomRight" activeCell="C1" sqref="C1"/>
    </sheetView>
  </sheetViews>
  <sheetFormatPr baseColWidth="10" defaultColWidth="11" defaultRowHeight="16" x14ac:dyDescent="0.2"/>
  <cols>
    <col min="1" max="1" width="27.5" bestFit="1" customWidth="1"/>
    <col min="2" max="2" width="0" hidden="1"/>
    <col min="3" max="3" width="14.83203125" customWidth="1"/>
    <col min="4" max="4" width="16" customWidth="1"/>
    <col min="5" max="5" width="15.5" style="6" customWidth="1"/>
    <col min="6" max="6" width="14.33203125" customWidth="1"/>
    <col min="7" max="7" width="13" customWidth="1"/>
    <col min="8" max="8" width="13.5" customWidth="1"/>
    <col min="9" max="9" width="11" style="113" customWidth="1"/>
  </cols>
  <sheetData>
    <row r="1" spans="1:12" x14ac:dyDescent="0.2">
      <c r="B1" s="46" t="s">
        <v>0</v>
      </c>
      <c r="C1" s="80" t="s">
        <v>1</v>
      </c>
      <c r="D1" s="80" t="s">
        <v>2</v>
      </c>
      <c r="E1" s="115" t="s">
        <v>3</v>
      </c>
      <c r="F1" s="81" t="s">
        <v>4</v>
      </c>
      <c r="G1" s="81" t="s">
        <v>5</v>
      </c>
    </row>
    <row r="2" spans="1:12" x14ac:dyDescent="0.2">
      <c r="A2" t="s">
        <v>17</v>
      </c>
      <c r="B2" s="82"/>
      <c r="C2" s="84">
        <v>24990000</v>
      </c>
      <c r="D2" s="102">
        <v>24890000</v>
      </c>
      <c r="E2" s="116">
        <v>24190000</v>
      </c>
      <c r="F2" s="117">
        <v>24890000</v>
      </c>
      <c r="G2" s="110">
        <v>24790000</v>
      </c>
      <c r="I2" s="114">
        <f>E2-W3Q2FY26!E2</f>
        <v>0</v>
      </c>
    </row>
    <row r="3" spans="1:12" x14ac:dyDescent="0.2">
      <c r="A3" t="s">
        <v>18</v>
      </c>
      <c r="B3" s="82"/>
      <c r="C3" s="84">
        <v>25990000</v>
      </c>
      <c r="D3" s="102">
        <v>25790000</v>
      </c>
      <c r="E3" s="116">
        <v>25490000</v>
      </c>
      <c r="F3" s="89">
        <v>25790000</v>
      </c>
      <c r="G3" s="111">
        <v>25790000</v>
      </c>
      <c r="H3" s="26">
        <v>-200</v>
      </c>
      <c r="I3" s="114">
        <f>E3-W3Q2FY26!E3</f>
        <v>0</v>
      </c>
    </row>
    <row r="4" spans="1:12" x14ac:dyDescent="0.2">
      <c r="A4" t="s">
        <v>19</v>
      </c>
      <c r="B4" s="82"/>
      <c r="C4" s="84">
        <v>34690000</v>
      </c>
      <c r="D4" s="103">
        <v>34390000</v>
      </c>
      <c r="E4" s="116">
        <v>33590000</v>
      </c>
      <c r="F4" s="90">
        <v>34390000</v>
      </c>
      <c r="G4" s="110">
        <v>33990000</v>
      </c>
      <c r="H4" s="26"/>
      <c r="I4" s="114">
        <f>E4-W3Q2FY26!E4</f>
        <v>-600000</v>
      </c>
    </row>
    <row r="5" spans="1:12" x14ac:dyDescent="0.2">
      <c r="A5" t="s">
        <v>20</v>
      </c>
      <c r="B5" s="82"/>
      <c r="C5" s="84">
        <v>37990000</v>
      </c>
      <c r="D5" s="103">
        <v>37690000</v>
      </c>
      <c r="E5" s="92">
        <v>36490000</v>
      </c>
      <c r="F5" s="90">
        <v>37690000</v>
      </c>
      <c r="G5" s="111">
        <v>37190000</v>
      </c>
      <c r="H5" s="26">
        <v>200</v>
      </c>
      <c r="I5" s="114">
        <f>E5-W3Q2FY26!E5</f>
        <v>0</v>
      </c>
    </row>
    <row r="6" spans="1:12" x14ac:dyDescent="0.2">
      <c r="A6" t="s">
        <v>21</v>
      </c>
      <c r="B6" s="82"/>
      <c r="C6" s="84">
        <v>15990000</v>
      </c>
      <c r="D6" s="86" t="s">
        <v>22</v>
      </c>
      <c r="E6" s="92">
        <v>12490000</v>
      </c>
      <c r="F6" s="93">
        <v>12490000</v>
      </c>
      <c r="G6" s="110">
        <v>15190000</v>
      </c>
      <c r="H6" s="26"/>
      <c r="I6" s="114">
        <f>E6-W3Q2FY26!E6</f>
        <v>0</v>
      </c>
    </row>
    <row r="7" spans="1:12" x14ac:dyDescent="0.2">
      <c r="A7" t="s">
        <v>181</v>
      </c>
      <c r="B7" s="70"/>
      <c r="C7" s="94">
        <v>19990000</v>
      </c>
      <c r="D7" s="108">
        <v>19690000</v>
      </c>
      <c r="E7" s="95">
        <v>19390000</v>
      </c>
      <c r="F7" s="90">
        <v>19790000</v>
      </c>
      <c r="G7" s="110">
        <v>19490000</v>
      </c>
      <c r="H7" s="26"/>
      <c r="I7" s="114">
        <f>E7-W3Q2FY26!E7</f>
        <v>0</v>
      </c>
    </row>
    <row r="8" spans="1:12" x14ac:dyDescent="0.2">
      <c r="A8" t="s">
        <v>24</v>
      </c>
      <c r="B8" s="3"/>
      <c r="C8" s="86">
        <v>23990000</v>
      </c>
      <c r="D8" s="104">
        <v>23790000</v>
      </c>
      <c r="E8" s="95">
        <v>22990000</v>
      </c>
      <c r="F8" s="90">
        <v>23790000</v>
      </c>
      <c r="G8" s="110">
        <v>23390000</v>
      </c>
      <c r="H8" s="26"/>
      <c r="I8" s="114">
        <f>E8-W3Q2FY26!E8</f>
        <v>0</v>
      </c>
    </row>
    <row r="9" spans="1:12" x14ac:dyDescent="0.2">
      <c r="A9" t="s">
        <v>182</v>
      </c>
      <c r="B9" s="25"/>
      <c r="C9" s="86">
        <v>25590000</v>
      </c>
      <c r="D9" s="105">
        <v>25590000</v>
      </c>
      <c r="E9" s="96">
        <v>24990000</v>
      </c>
      <c r="F9" s="90">
        <v>25590000</v>
      </c>
      <c r="G9" s="110">
        <v>24990000</v>
      </c>
      <c r="H9" s="26"/>
      <c r="I9" s="114">
        <f>E9-W3Q2FY26!E9</f>
        <v>0</v>
      </c>
    </row>
    <row r="10" spans="1:12" x14ac:dyDescent="0.2">
      <c r="A10" t="s">
        <v>183</v>
      </c>
      <c r="B10" s="3"/>
      <c r="C10" s="97">
        <v>32590000</v>
      </c>
      <c r="D10" s="106">
        <v>32490000</v>
      </c>
      <c r="E10" s="96">
        <v>30890000</v>
      </c>
      <c r="F10" s="89">
        <v>32490000</v>
      </c>
      <c r="G10" s="110">
        <v>31190000</v>
      </c>
      <c r="H10" s="26"/>
      <c r="I10" s="114">
        <f>E10-W3Q2FY26!E10</f>
        <v>0</v>
      </c>
    </row>
    <row r="11" spans="1:12" x14ac:dyDescent="0.2">
      <c r="A11" t="s">
        <v>25</v>
      </c>
      <c r="B11" s="25"/>
      <c r="C11" s="86">
        <v>16990000</v>
      </c>
      <c r="D11" s="106">
        <v>16790000</v>
      </c>
      <c r="E11" s="116">
        <v>16490000</v>
      </c>
      <c r="F11" s="89">
        <v>16790000</v>
      </c>
      <c r="G11" s="110">
        <v>16390000</v>
      </c>
      <c r="H11" s="26"/>
      <c r="I11" s="114">
        <f>E11-W3Q2FY26!E11</f>
        <v>0</v>
      </c>
    </row>
    <row r="12" spans="1:12" x14ac:dyDescent="0.2">
      <c r="A12" t="s">
        <v>26</v>
      </c>
      <c r="B12" s="25"/>
      <c r="C12" s="86">
        <v>18990000</v>
      </c>
      <c r="D12" s="86" t="s">
        <v>22</v>
      </c>
      <c r="E12" s="116" t="s">
        <v>22</v>
      </c>
      <c r="F12" s="90">
        <v>17690000</v>
      </c>
      <c r="G12" s="110">
        <v>18490000</v>
      </c>
      <c r="H12" s="26"/>
      <c r="I12" s="114" t="e">
        <f>E12-W3Q2FY26!E12</f>
        <v>#VALUE!</v>
      </c>
    </row>
    <row r="13" spans="1:12" x14ac:dyDescent="0.2">
      <c r="A13" t="s">
        <v>27</v>
      </c>
      <c r="B13" s="25"/>
      <c r="C13" s="86">
        <v>13890000</v>
      </c>
      <c r="D13" s="104">
        <v>13590000</v>
      </c>
      <c r="E13" s="116">
        <v>13590000</v>
      </c>
      <c r="F13" s="90">
        <v>13590000</v>
      </c>
      <c r="G13" s="110">
        <v>12990000</v>
      </c>
      <c r="H13" s="26"/>
      <c r="I13" s="114">
        <f>E13-W3Q2FY26!E13</f>
        <v>0</v>
      </c>
    </row>
    <row r="14" spans="1:12" x14ac:dyDescent="0.2">
      <c r="A14" t="s">
        <v>28</v>
      </c>
      <c r="B14" s="3"/>
      <c r="C14" s="86">
        <v>12490000</v>
      </c>
      <c r="D14" s="107">
        <v>12090000</v>
      </c>
      <c r="E14" s="95">
        <v>11990000</v>
      </c>
      <c r="F14" s="90">
        <v>12090000</v>
      </c>
      <c r="G14" s="110">
        <v>11890000</v>
      </c>
      <c r="H14" s="26"/>
      <c r="I14" s="114">
        <f>E14-W3Q2FY26!E14</f>
        <v>0</v>
      </c>
    </row>
    <row r="15" spans="1:12" x14ac:dyDescent="0.2">
      <c r="A15" t="s">
        <v>29</v>
      </c>
      <c r="B15" s="25"/>
      <c r="C15" s="97">
        <v>13590000</v>
      </c>
      <c r="D15" s="106">
        <v>13390000</v>
      </c>
      <c r="E15" s="95">
        <v>13290000</v>
      </c>
      <c r="F15" s="89">
        <v>13390000</v>
      </c>
      <c r="G15" s="110">
        <v>11590000</v>
      </c>
      <c r="H15" s="26"/>
      <c r="I15" s="114">
        <f>E15-W3Q2FY26!E15</f>
        <v>-200000</v>
      </c>
    </row>
    <row r="16" spans="1:12" x14ac:dyDescent="0.2">
      <c r="A16" t="s">
        <v>30</v>
      </c>
      <c r="B16" s="3"/>
      <c r="C16" s="86">
        <v>9590000</v>
      </c>
      <c r="D16" s="106">
        <v>9390000</v>
      </c>
      <c r="E16" s="95">
        <v>9190000</v>
      </c>
      <c r="F16" s="89">
        <v>9590000</v>
      </c>
      <c r="G16" s="111">
        <v>8990000</v>
      </c>
      <c r="H16" s="26">
        <v>600</v>
      </c>
      <c r="I16" s="114">
        <f>E16-W3Q2FY26!E16</f>
        <v>-200000</v>
      </c>
      <c r="J16" t="s">
        <v>31</v>
      </c>
      <c r="K16" t="s">
        <v>32</v>
      </c>
      <c r="L16" t="b">
        <v>1</v>
      </c>
    </row>
    <row r="17" spans="1:12" x14ac:dyDescent="0.2">
      <c r="A17" t="s">
        <v>33</v>
      </c>
      <c r="B17" s="3"/>
      <c r="C17" s="97">
        <v>16090000</v>
      </c>
      <c r="D17" s="106">
        <v>16090000</v>
      </c>
      <c r="E17" s="116">
        <v>15390000</v>
      </c>
      <c r="F17" s="89">
        <v>16090000</v>
      </c>
      <c r="G17" s="111">
        <v>13390000</v>
      </c>
      <c r="H17" s="26">
        <f>15590-13390</f>
        <v>2200</v>
      </c>
      <c r="I17" s="114">
        <f>E17-W3Q2FY26!E17</f>
        <v>2100000</v>
      </c>
      <c r="J17" t="s">
        <v>2</v>
      </c>
      <c r="K17" t="s">
        <v>34</v>
      </c>
      <c r="L17" t="b">
        <v>1</v>
      </c>
    </row>
    <row r="18" spans="1:12" x14ac:dyDescent="0.2">
      <c r="A18" t="s">
        <v>37</v>
      </c>
      <c r="B18" s="25"/>
      <c r="C18" s="97">
        <v>21790000</v>
      </c>
      <c r="D18" s="106">
        <v>21790000</v>
      </c>
      <c r="E18" s="96">
        <v>20290000</v>
      </c>
      <c r="F18" s="89">
        <v>18990000</v>
      </c>
      <c r="G18" s="111">
        <v>18990000</v>
      </c>
      <c r="H18" s="78">
        <f>20490-18990</f>
        <v>1500</v>
      </c>
      <c r="I18" s="114">
        <f>E18-W3Q2FY26!E18</f>
        <v>1300000</v>
      </c>
      <c r="J18" t="s">
        <v>3</v>
      </c>
      <c r="K18" t="s">
        <v>36</v>
      </c>
      <c r="L18" t="b">
        <v>1</v>
      </c>
    </row>
    <row r="19" spans="1:12" x14ac:dyDescent="0.2">
      <c r="A19" t="s">
        <v>184</v>
      </c>
      <c r="B19" s="25"/>
      <c r="C19" s="96" t="s">
        <v>22</v>
      </c>
      <c r="D19" s="106">
        <v>28490000</v>
      </c>
      <c r="E19" s="96" t="s">
        <v>22</v>
      </c>
      <c r="F19" s="90" t="s">
        <v>22</v>
      </c>
      <c r="G19" s="112" t="s">
        <v>22</v>
      </c>
      <c r="H19" s="26"/>
      <c r="I19" s="114" t="e">
        <f>E19-W3Q2FY26!E19</f>
        <v>#VALUE!</v>
      </c>
      <c r="J19" t="s">
        <v>4</v>
      </c>
      <c r="K19" t="s">
        <v>38</v>
      </c>
      <c r="L19" t="b">
        <v>1</v>
      </c>
    </row>
    <row r="20" spans="1:12" x14ac:dyDescent="0.2">
      <c r="A20" t="s">
        <v>185</v>
      </c>
      <c r="B20" s="3"/>
      <c r="C20" s="96" t="s">
        <v>22</v>
      </c>
      <c r="D20" s="86">
        <v>36290000</v>
      </c>
      <c r="E20" s="96" t="s">
        <v>22</v>
      </c>
      <c r="F20" s="90">
        <v>36290000</v>
      </c>
      <c r="G20" s="112" t="s">
        <v>22</v>
      </c>
      <c r="H20" s="26"/>
      <c r="I20" s="114" t="e">
        <f>E20-W3Q2FY26!E20</f>
        <v>#VALUE!</v>
      </c>
      <c r="J20" t="s">
        <v>41</v>
      </c>
      <c r="K20" t="s">
        <v>42</v>
      </c>
      <c r="L20" t="b">
        <v>1</v>
      </c>
    </row>
    <row r="21" spans="1:12" x14ac:dyDescent="0.2">
      <c r="A21" t="s">
        <v>40</v>
      </c>
      <c r="B21" s="3"/>
      <c r="C21" s="97">
        <v>29690000</v>
      </c>
      <c r="D21" s="106">
        <v>29490000</v>
      </c>
      <c r="E21" s="99">
        <v>28990000</v>
      </c>
      <c r="F21" s="89">
        <v>29490000</v>
      </c>
      <c r="G21" s="110">
        <v>29190000</v>
      </c>
      <c r="H21" s="26"/>
      <c r="I21" s="114">
        <f>E21-W3Q2FY26!E21</f>
        <v>0</v>
      </c>
    </row>
    <row r="22" spans="1:12" x14ac:dyDescent="0.2">
      <c r="A22" t="s">
        <v>43</v>
      </c>
      <c r="B22" s="3"/>
      <c r="C22" s="86">
        <v>39590000</v>
      </c>
      <c r="D22" s="109">
        <v>39390000</v>
      </c>
      <c r="E22" s="96">
        <v>38990000</v>
      </c>
      <c r="F22" s="89">
        <v>39390000</v>
      </c>
      <c r="G22" s="110">
        <v>39590000</v>
      </c>
      <c r="H22" s="26"/>
      <c r="I22" s="114">
        <f>E22-W3Q2FY26!E22</f>
        <v>0</v>
      </c>
    </row>
    <row r="23" spans="1:12" x14ac:dyDescent="0.2">
      <c r="A23" t="s">
        <v>44</v>
      </c>
      <c r="B23" s="25"/>
      <c r="C23" s="86">
        <v>6790000</v>
      </c>
      <c r="D23" s="104">
        <v>6790000</v>
      </c>
      <c r="E23" s="95">
        <v>6490000</v>
      </c>
      <c r="F23" s="90">
        <v>6790000</v>
      </c>
      <c r="G23" s="110">
        <v>6590000</v>
      </c>
      <c r="H23" s="26"/>
      <c r="I23" s="114">
        <f>E23-W3Q2FY26!E23</f>
        <v>0</v>
      </c>
    </row>
    <row r="24" spans="1:12" x14ac:dyDescent="0.2">
      <c r="A24" t="s">
        <v>45</v>
      </c>
      <c r="B24" s="25"/>
      <c r="C24" s="86">
        <v>8390000</v>
      </c>
      <c r="D24" s="104">
        <v>8390000</v>
      </c>
      <c r="E24" s="95">
        <v>7990000</v>
      </c>
      <c r="F24" s="90">
        <v>8390000</v>
      </c>
      <c r="G24" s="110">
        <v>8290000</v>
      </c>
      <c r="H24" s="26"/>
      <c r="I24" s="114">
        <f>E24-W3Q2FY26!E24</f>
        <v>0</v>
      </c>
    </row>
    <row r="25" spans="1:12" x14ac:dyDescent="0.2">
      <c r="A25" t="s">
        <v>46</v>
      </c>
      <c r="B25" s="25"/>
      <c r="C25" s="86">
        <v>7690000</v>
      </c>
      <c r="D25" s="104">
        <v>7690000</v>
      </c>
      <c r="E25" s="95">
        <v>7390000</v>
      </c>
      <c r="F25" s="90">
        <v>7690000</v>
      </c>
      <c r="G25" s="110">
        <v>7690000</v>
      </c>
      <c r="H25" s="26"/>
      <c r="I25" s="114">
        <f>E25-W3Q2FY26!E25</f>
        <v>0</v>
      </c>
    </row>
    <row r="26" spans="1:12" x14ac:dyDescent="0.2">
      <c r="A26" t="s">
        <v>47</v>
      </c>
      <c r="B26" s="25"/>
      <c r="C26" s="86">
        <v>9190000</v>
      </c>
      <c r="D26" s="104">
        <v>9190000</v>
      </c>
      <c r="E26" s="95">
        <v>8990000</v>
      </c>
      <c r="F26" s="90">
        <v>9190000</v>
      </c>
      <c r="G26" s="110">
        <v>8990000</v>
      </c>
      <c r="H26" s="26"/>
      <c r="I26" s="114">
        <f>E26-W3Q2FY26!E26</f>
        <v>0</v>
      </c>
    </row>
    <row r="27" spans="1:12" x14ac:dyDescent="0.2">
      <c r="A27" t="s">
        <v>48</v>
      </c>
      <c r="B27" s="3"/>
      <c r="C27" s="86">
        <v>11190000</v>
      </c>
      <c r="D27" s="104">
        <v>11190000</v>
      </c>
      <c r="E27" s="95">
        <v>10690000</v>
      </c>
      <c r="F27" s="90">
        <v>11190000</v>
      </c>
      <c r="G27" s="110">
        <v>10990000</v>
      </c>
      <c r="H27" s="26"/>
      <c r="I27" s="114">
        <f>E27-W3Q2FY26!E27</f>
        <v>0</v>
      </c>
    </row>
    <row r="28" spans="1:12" x14ac:dyDescent="0.2">
      <c r="A28" t="s">
        <v>49</v>
      </c>
      <c r="B28" s="3"/>
      <c r="C28" s="97" t="s">
        <v>22</v>
      </c>
      <c r="D28" s="106">
        <v>14090000</v>
      </c>
      <c r="E28" s="95">
        <v>13990000</v>
      </c>
      <c r="F28" s="90">
        <v>14090000</v>
      </c>
      <c r="G28" s="110">
        <v>13990000</v>
      </c>
      <c r="H28" s="26"/>
      <c r="I28" s="114">
        <f>E28-W3Q2FY26!E28</f>
        <v>0</v>
      </c>
    </row>
    <row r="29" spans="1:12" x14ac:dyDescent="0.2">
      <c r="A29" t="s">
        <v>50</v>
      </c>
      <c r="B29" s="3"/>
      <c r="C29" s="86">
        <v>11990000</v>
      </c>
      <c r="D29" s="106">
        <v>11590000</v>
      </c>
      <c r="E29" s="95">
        <v>11490000</v>
      </c>
      <c r="F29" s="90">
        <v>11990000</v>
      </c>
      <c r="G29" s="110">
        <v>11890000</v>
      </c>
      <c r="H29" s="26"/>
      <c r="I29" s="114">
        <f>E29-W3Q2FY26!E29</f>
        <v>0</v>
      </c>
    </row>
    <row r="30" spans="1:12" x14ac:dyDescent="0.2">
      <c r="A30" t="s">
        <v>51</v>
      </c>
      <c r="B30" s="3"/>
      <c r="C30" s="97">
        <v>14990000</v>
      </c>
      <c r="D30" s="106">
        <v>14990000</v>
      </c>
      <c r="E30" s="95">
        <v>14490000</v>
      </c>
      <c r="F30" s="89">
        <v>14090000</v>
      </c>
      <c r="G30" s="110">
        <v>14990000</v>
      </c>
      <c r="H30" s="26"/>
      <c r="I30" s="114">
        <f>E30-W3Q2FY26!E30</f>
        <v>0</v>
      </c>
    </row>
    <row r="31" spans="1:12" x14ac:dyDescent="0.2">
      <c r="A31" t="s">
        <v>52</v>
      </c>
      <c r="B31" s="25"/>
      <c r="C31" s="86">
        <v>23490000</v>
      </c>
      <c r="D31" s="104">
        <v>22990000</v>
      </c>
      <c r="E31" s="96">
        <v>22490000</v>
      </c>
      <c r="F31" s="90">
        <v>22990000</v>
      </c>
      <c r="G31" s="110">
        <v>22990000</v>
      </c>
      <c r="H31" s="26"/>
      <c r="I31" s="114">
        <f>E31-W3Q2FY26!E31</f>
        <v>0</v>
      </c>
    </row>
    <row r="32" spans="1:12" x14ac:dyDescent="0.2">
      <c r="A32" t="s">
        <v>53</v>
      </c>
      <c r="B32" s="3"/>
      <c r="C32" s="97">
        <v>4990000</v>
      </c>
      <c r="D32" s="104">
        <v>4990000</v>
      </c>
      <c r="E32" s="116">
        <v>4290000</v>
      </c>
      <c r="F32" s="90">
        <v>4950000</v>
      </c>
      <c r="G32" s="110">
        <v>5590000</v>
      </c>
      <c r="H32" s="26"/>
      <c r="I32" s="114">
        <f>E32-W3Q2FY26!E32</f>
        <v>0</v>
      </c>
      <c r="J32" s="83"/>
    </row>
    <row r="33" spans="1:9" x14ac:dyDescent="0.2">
      <c r="A33" t="s">
        <v>54</v>
      </c>
      <c r="B33" s="3"/>
      <c r="C33" s="97">
        <v>4590000</v>
      </c>
      <c r="D33" s="104">
        <v>4490000</v>
      </c>
      <c r="E33" s="95">
        <v>4490000</v>
      </c>
      <c r="F33" s="89">
        <v>4550000</v>
      </c>
      <c r="G33" s="110">
        <v>4590000</v>
      </c>
      <c r="H33" s="26"/>
      <c r="I33" s="114">
        <f>E33-W3Q2FY26!E33</f>
        <v>0</v>
      </c>
    </row>
    <row r="34" spans="1:9" x14ac:dyDescent="0.2">
      <c r="A34" t="s">
        <v>55</v>
      </c>
      <c r="B34" s="3"/>
      <c r="C34" s="97">
        <v>3490000</v>
      </c>
      <c r="D34" s="104">
        <v>3490000</v>
      </c>
      <c r="E34" s="95">
        <v>3390000</v>
      </c>
      <c r="F34" s="89">
        <v>3450000</v>
      </c>
      <c r="G34" s="111">
        <v>3390000</v>
      </c>
      <c r="H34" s="26">
        <v>-100</v>
      </c>
      <c r="I34" s="114">
        <f>E34-W3Q2FY26!E34</f>
        <v>0</v>
      </c>
    </row>
    <row r="35" spans="1:9" x14ac:dyDescent="0.2">
      <c r="A35" t="s">
        <v>56</v>
      </c>
      <c r="B35" s="3"/>
      <c r="C35" s="86">
        <v>6590000</v>
      </c>
      <c r="D35" s="104">
        <v>6590000</v>
      </c>
      <c r="E35" s="92">
        <v>6390000</v>
      </c>
      <c r="F35" s="89">
        <v>6590000</v>
      </c>
      <c r="G35" s="110">
        <v>6490000</v>
      </c>
      <c r="H35" s="26"/>
      <c r="I35" s="114">
        <f>E35-W3Q2FY26!E35</f>
        <v>-100000</v>
      </c>
    </row>
    <row r="36" spans="1:9" x14ac:dyDescent="0.2">
      <c r="A36" t="s">
        <v>186</v>
      </c>
      <c r="B36" s="25"/>
      <c r="C36" s="86">
        <v>19690000</v>
      </c>
      <c r="D36" s="104">
        <v>19690000</v>
      </c>
      <c r="E36" s="101"/>
      <c r="F36" s="90">
        <v>19690000</v>
      </c>
      <c r="G36" s="110">
        <v>18990000</v>
      </c>
      <c r="H36" s="26"/>
      <c r="I36" s="114">
        <f>E36-W3Q2FY26!E36</f>
        <v>0</v>
      </c>
    </row>
    <row r="37" spans="1:9" x14ac:dyDescent="0.2">
      <c r="A37" t="s">
        <v>59</v>
      </c>
      <c r="B37" s="3"/>
      <c r="C37" s="97">
        <v>25290000</v>
      </c>
      <c r="D37" s="106">
        <v>25290000</v>
      </c>
      <c r="E37" s="101"/>
      <c r="F37" s="89">
        <v>25290000</v>
      </c>
      <c r="G37" s="111">
        <v>24990000</v>
      </c>
      <c r="H37" s="26">
        <v>1500</v>
      </c>
      <c r="I37" s="114">
        <f>E37-W3Q2FY26!E37</f>
        <v>0</v>
      </c>
    </row>
    <row r="38" spans="1:9" x14ac:dyDescent="0.2">
      <c r="A38" t="s">
        <v>61</v>
      </c>
      <c r="B38" s="25"/>
      <c r="C38" s="97">
        <v>29990000</v>
      </c>
      <c r="D38" s="106">
        <v>29990000</v>
      </c>
      <c r="E38" s="101"/>
      <c r="F38" s="89">
        <v>29990000</v>
      </c>
      <c r="G38" s="111">
        <v>29990000</v>
      </c>
      <c r="H38" s="26">
        <v>1400</v>
      </c>
      <c r="I38" s="114">
        <f>E38-W3Q2FY26!E38</f>
        <v>0</v>
      </c>
    </row>
    <row r="39" spans="1:9" x14ac:dyDescent="0.2">
      <c r="A39" t="s">
        <v>187</v>
      </c>
      <c r="B39" s="25"/>
      <c r="C39" s="86" t="s">
        <v>22</v>
      </c>
      <c r="D39" s="86" t="s">
        <v>22</v>
      </c>
      <c r="E39" s="101"/>
      <c r="F39" s="90">
        <v>38590000</v>
      </c>
      <c r="G39" s="110">
        <v>38390000</v>
      </c>
      <c r="H39" s="26"/>
      <c r="I39" s="114">
        <f>E39-W3Q2FY26!E39</f>
        <v>0</v>
      </c>
    </row>
    <row r="40" spans="1:9" x14ac:dyDescent="0.2">
      <c r="A40" t="s">
        <v>62</v>
      </c>
      <c r="B40" s="25"/>
      <c r="C40" s="97">
        <v>41890000</v>
      </c>
      <c r="D40" s="104">
        <v>41690000</v>
      </c>
      <c r="E40" s="101"/>
      <c r="F40" s="90">
        <v>41990000</v>
      </c>
      <c r="G40" s="110">
        <v>41990000</v>
      </c>
      <c r="H40" s="26"/>
      <c r="I40" s="114">
        <f>E40-W3Q2FY26!E40</f>
        <v>0</v>
      </c>
    </row>
    <row r="41" spans="1:9" x14ac:dyDescent="0.2">
      <c r="A41" t="s">
        <v>188</v>
      </c>
      <c r="B41" s="25"/>
      <c r="C41" s="86" t="s">
        <v>22</v>
      </c>
      <c r="D41" s="104">
        <v>63990000</v>
      </c>
      <c r="E41" s="101"/>
      <c r="F41" s="90">
        <v>63990000</v>
      </c>
      <c r="G41" s="110">
        <v>63990000</v>
      </c>
      <c r="I41" s="114">
        <f>E41-W3Q2FY26!E41</f>
        <v>0</v>
      </c>
    </row>
    <row r="42" spans="1:9" x14ac:dyDescent="0.2">
      <c r="C42" s="59"/>
      <c r="D42" s="59"/>
    </row>
    <row r="43" spans="1:9" x14ac:dyDescent="0.2">
      <c r="C43" s="59"/>
      <c r="D43" s="59"/>
    </row>
    <row r="44" spans="1:9" x14ac:dyDescent="0.2">
      <c r="C44" s="59"/>
      <c r="D44" s="59"/>
    </row>
    <row r="45" spans="1:9" x14ac:dyDescent="0.2">
      <c r="C45" s="59"/>
      <c r="D45" s="59"/>
    </row>
    <row r="46" spans="1:9" x14ac:dyDescent="0.2">
      <c r="C46" s="59"/>
      <c r="D46" s="59"/>
    </row>
    <row r="47" spans="1:9" x14ac:dyDescent="0.2">
      <c r="C47" s="59"/>
      <c r="D47" s="59"/>
    </row>
    <row r="48" spans="1:9" x14ac:dyDescent="0.2">
      <c r="C48" s="59"/>
      <c r="D48" s="59"/>
    </row>
    <row r="49" spans="3:4" x14ac:dyDescent="0.2">
      <c r="C49" s="59"/>
      <c r="D49" s="59"/>
    </row>
    <row r="50" spans="3:4" x14ac:dyDescent="0.2">
      <c r="C50" s="59"/>
      <c r="D50" s="59"/>
    </row>
    <row r="51" spans="3:4" x14ac:dyDescent="0.2">
      <c r="C51" s="59"/>
      <c r="D51" s="59"/>
    </row>
    <row r="52" spans="3:4" x14ac:dyDescent="0.2">
      <c r="C52" s="59"/>
      <c r="D52" s="59"/>
    </row>
    <row r="53" spans="3:4" x14ac:dyDescent="0.2">
      <c r="C53" s="59"/>
      <c r="D53" s="59"/>
    </row>
    <row r="54" spans="3:4" x14ac:dyDescent="0.2">
      <c r="C54" s="59"/>
      <c r="D54" s="59"/>
    </row>
    <row r="55" spans="3:4" x14ac:dyDescent="0.2">
      <c r="C55" s="59"/>
      <c r="D55" s="59"/>
    </row>
    <row r="56" spans="3:4" x14ac:dyDescent="0.2">
      <c r="C56" s="59"/>
      <c r="D56" s="59"/>
    </row>
    <row r="57" spans="3:4" x14ac:dyDescent="0.2">
      <c r="C57" s="59"/>
      <c r="D57" s="59"/>
    </row>
    <row r="58" spans="3:4" x14ac:dyDescent="0.2">
      <c r="C58" s="59"/>
      <c r="D58" s="59"/>
    </row>
    <row r="59" spans="3:4" x14ac:dyDescent="0.2">
      <c r="C59" s="59"/>
      <c r="D59" s="59"/>
    </row>
    <row r="60" spans="3:4" x14ac:dyDescent="0.2">
      <c r="C60" s="59"/>
      <c r="D60" s="59"/>
    </row>
    <row r="61" spans="3:4" x14ac:dyDescent="0.2">
      <c r="C61" s="59"/>
      <c r="D61" s="59"/>
    </row>
    <row r="62" spans="3:4" x14ac:dyDescent="0.2">
      <c r="C62" s="59"/>
      <c r="D62" s="59"/>
    </row>
    <row r="63" spans="3:4" x14ac:dyDescent="0.2">
      <c r="C63" s="59"/>
      <c r="D63" s="59"/>
    </row>
    <row r="64" spans="3:4" x14ac:dyDescent="0.2">
      <c r="C64" s="59"/>
      <c r="D64" s="59"/>
    </row>
    <row r="65" spans="3:4" x14ac:dyDescent="0.2">
      <c r="C65" s="59"/>
      <c r="D65" s="59"/>
    </row>
    <row r="66" spans="3:4" x14ac:dyDescent="0.2">
      <c r="C66" s="59"/>
      <c r="D66" s="59"/>
    </row>
    <row r="67" spans="3:4" x14ac:dyDescent="0.2">
      <c r="C67" s="59"/>
      <c r="D67" s="59"/>
    </row>
    <row r="68" spans="3:4" x14ac:dyDescent="0.2">
      <c r="C68" s="59"/>
      <c r="D68" s="59"/>
    </row>
    <row r="69" spans="3:4" x14ac:dyDescent="0.2">
      <c r="C69" s="59"/>
      <c r="D69" s="59"/>
    </row>
    <row r="70" spans="3:4" x14ac:dyDescent="0.2">
      <c r="C70" s="59"/>
      <c r="D70" s="59"/>
    </row>
    <row r="71" spans="3:4" x14ac:dyDescent="0.2">
      <c r="C71" s="59"/>
      <c r="D71" s="59"/>
    </row>
    <row r="72" spans="3:4" x14ac:dyDescent="0.2">
      <c r="C72" s="59"/>
      <c r="D72" s="59"/>
    </row>
    <row r="73" spans="3:4" x14ac:dyDescent="0.2">
      <c r="C73" s="59"/>
      <c r="D73" s="59"/>
    </row>
    <row r="74" spans="3:4" x14ac:dyDescent="0.2">
      <c r="C74" s="59"/>
      <c r="D74" s="59"/>
    </row>
    <row r="75" spans="3:4" x14ac:dyDescent="0.2">
      <c r="C75" s="59"/>
      <c r="D75" s="59"/>
    </row>
    <row r="76" spans="3:4" x14ac:dyDescent="0.2">
      <c r="C76" s="59"/>
      <c r="D76" s="59"/>
    </row>
    <row r="77" spans="3:4" x14ac:dyDescent="0.2">
      <c r="C77" s="59"/>
      <c r="D77" s="59"/>
    </row>
    <row r="78" spans="3:4" x14ac:dyDescent="0.2">
      <c r="C78" s="59"/>
      <c r="D78" s="59"/>
    </row>
    <row r="79" spans="3:4" x14ac:dyDescent="0.2">
      <c r="C79" s="59"/>
      <c r="D79" s="59"/>
    </row>
    <row r="80" spans="3:4" x14ac:dyDescent="0.2">
      <c r="C80" s="59"/>
      <c r="D80" s="59"/>
    </row>
    <row r="81" spans="3:4" x14ac:dyDescent="0.2">
      <c r="C81" s="59"/>
      <c r="D81" s="59"/>
    </row>
    <row r="82" spans="3:4" x14ac:dyDescent="0.2">
      <c r="C82" s="59"/>
      <c r="D82" s="59"/>
    </row>
    <row r="83" spans="3:4" x14ac:dyDescent="0.2">
      <c r="C83" s="59"/>
      <c r="D83" s="59"/>
    </row>
    <row r="84" spans="3:4" x14ac:dyDescent="0.2">
      <c r="C84" s="59"/>
      <c r="D84" s="59"/>
    </row>
    <row r="85" spans="3:4" x14ac:dyDescent="0.2">
      <c r="C85" s="59"/>
      <c r="D85" s="59"/>
    </row>
    <row r="86" spans="3:4" x14ac:dyDescent="0.2">
      <c r="C86" s="59"/>
      <c r="D86" s="59"/>
    </row>
    <row r="87" spans="3:4" x14ac:dyDescent="0.2">
      <c r="C87" s="59"/>
      <c r="D87" s="59"/>
    </row>
    <row r="88" spans="3:4" x14ac:dyDescent="0.2">
      <c r="C88" s="59"/>
      <c r="D88" s="59"/>
    </row>
    <row r="89" spans="3:4" x14ac:dyDescent="0.2">
      <c r="C89" s="59"/>
      <c r="D89" s="59"/>
    </row>
    <row r="90" spans="3:4" x14ac:dyDescent="0.2">
      <c r="C90" s="59"/>
      <c r="D90" s="59"/>
    </row>
    <row r="91" spans="3:4" x14ac:dyDescent="0.2">
      <c r="C91" s="59"/>
      <c r="D91" s="59"/>
    </row>
    <row r="92" spans="3:4" x14ac:dyDescent="0.2">
      <c r="C92" s="59"/>
      <c r="D92" s="59"/>
    </row>
    <row r="93" spans="3:4" x14ac:dyDescent="0.2">
      <c r="C93" s="59"/>
      <c r="D93" s="59"/>
    </row>
    <row r="94" spans="3:4" x14ac:dyDescent="0.2">
      <c r="C94" s="59"/>
      <c r="D94" s="59"/>
    </row>
    <row r="95" spans="3:4" x14ac:dyDescent="0.2">
      <c r="C95" s="59"/>
      <c r="D95" s="59"/>
    </row>
    <row r="96" spans="3:4" x14ac:dyDescent="0.2">
      <c r="C96" s="59"/>
      <c r="D96" s="59"/>
    </row>
    <row r="97" spans="3:4" x14ac:dyDescent="0.2">
      <c r="C97" s="59"/>
      <c r="D97" s="59"/>
    </row>
    <row r="98" spans="3:4" x14ac:dyDescent="0.2">
      <c r="C98" s="59"/>
      <c r="D98" s="59"/>
    </row>
    <row r="99" spans="3:4" x14ac:dyDescent="0.2">
      <c r="C99" s="59"/>
      <c r="D99" s="59"/>
    </row>
    <row r="100" spans="3:4" x14ac:dyDescent="0.2">
      <c r="C100" s="59"/>
      <c r="D100" s="59"/>
    </row>
    <row r="101" spans="3:4" x14ac:dyDescent="0.2">
      <c r="C101" s="59"/>
      <c r="D101" s="59"/>
    </row>
    <row r="102" spans="3:4" x14ac:dyDescent="0.2">
      <c r="C102" s="59"/>
      <c r="D102" s="59"/>
    </row>
    <row r="103" spans="3:4" x14ac:dyDescent="0.2">
      <c r="C103" s="59"/>
      <c r="D103" s="59"/>
    </row>
    <row r="104" spans="3:4" x14ac:dyDescent="0.2">
      <c r="C104" s="59"/>
      <c r="D104" s="59"/>
    </row>
    <row r="105" spans="3:4" x14ac:dyDescent="0.2">
      <c r="C105" s="59"/>
      <c r="D105" s="59"/>
    </row>
    <row r="106" spans="3:4" x14ac:dyDescent="0.2">
      <c r="C106" s="59"/>
      <c r="D106" s="59"/>
    </row>
    <row r="107" spans="3:4" x14ac:dyDescent="0.2">
      <c r="C107" s="59"/>
      <c r="D107" s="59"/>
    </row>
    <row r="108" spans="3:4" x14ac:dyDescent="0.2">
      <c r="C108" s="59"/>
      <c r="D108" s="59"/>
    </row>
    <row r="109" spans="3:4" x14ac:dyDescent="0.2">
      <c r="C109" s="59"/>
      <c r="D109" s="59"/>
    </row>
    <row r="110" spans="3:4" x14ac:dyDescent="0.2">
      <c r="C110" s="59"/>
      <c r="D110" s="59"/>
    </row>
    <row r="111" spans="3:4" x14ac:dyDescent="0.2">
      <c r="C111" s="59"/>
      <c r="D111" s="59"/>
    </row>
    <row r="112" spans="3:4" x14ac:dyDescent="0.2">
      <c r="C112" s="59"/>
      <c r="D112" s="59"/>
    </row>
    <row r="113" spans="3:4" x14ac:dyDescent="0.2">
      <c r="C113" s="59"/>
      <c r="D113" s="59"/>
    </row>
    <row r="114" spans="3:4" x14ac:dyDescent="0.2">
      <c r="C114" s="59"/>
      <c r="D114" s="59"/>
    </row>
    <row r="115" spans="3:4" x14ac:dyDescent="0.2">
      <c r="C115" s="59"/>
      <c r="D115" s="59"/>
    </row>
    <row r="116" spans="3:4" x14ac:dyDescent="0.2">
      <c r="C116" s="59"/>
      <c r="D116" s="59"/>
    </row>
    <row r="117" spans="3:4" x14ac:dyDescent="0.2">
      <c r="C117" s="59"/>
      <c r="D117" s="59"/>
    </row>
    <row r="118" spans="3:4" x14ac:dyDescent="0.2">
      <c r="C118" s="59"/>
      <c r="D118" s="59"/>
    </row>
    <row r="119" spans="3:4" x14ac:dyDescent="0.2">
      <c r="C119" s="59"/>
      <c r="D119" s="59"/>
    </row>
    <row r="120" spans="3:4" x14ac:dyDescent="0.2">
      <c r="C120" s="59"/>
      <c r="D120" s="59"/>
    </row>
    <row r="121" spans="3:4" x14ac:dyDescent="0.2">
      <c r="C121" s="59"/>
      <c r="D121" s="59"/>
    </row>
    <row r="122" spans="3:4" x14ac:dyDescent="0.2">
      <c r="C122" s="59"/>
      <c r="D122" s="59"/>
    </row>
    <row r="123" spans="3:4" x14ac:dyDescent="0.2">
      <c r="C123" s="59"/>
      <c r="D123" s="59"/>
    </row>
    <row r="124" spans="3:4" x14ac:dyDescent="0.2">
      <c r="C124" s="59"/>
      <c r="D124" s="59"/>
    </row>
    <row r="125" spans="3:4" x14ac:dyDescent="0.2">
      <c r="C125" s="59"/>
      <c r="D125" s="59"/>
    </row>
    <row r="126" spans="3:4" x14ac:dyDescent="0.2">
      <c r="C126" s="59"/>
      <c r="D126" s="59"/>
    </row>
    <row r="127" spans="3:4" x14ac:dyDescent="0.2">
      <c r="C127" s="59"/>
      <c r="D127" s="59"/>
    </row>
    <row r="128" spans="3:4" x14ac:dyDescent="0.2">
      <c r="C128" s="59"/>
      <c r="D128" s="59"/>
    </row>
    <row r="129" spans="3:4" x14ac:dyDescent="0.2">
      <c r="C129" s="59"/>
      <c r="D129" s="59"/>
    </row>
    <row r="130" spans="3:4" x14ac:dyDescent="0.2">
      <c r="C130" s="59"/>
      <c r="D130" s="59"/>
    </row>
    <row r="131" spans="3:4" x14ac:dyDescent="0.2">
      <c r="C131" s="59"/>
      <c r="D131" s="59"/>
    </row>
    <row r="132" spans="3:4" x14ac:dyDescent="0.2">
      <c r="C132" s="59"/>
      <c r="D132" s="59"/>
    </row>
    <row r="133" spans="3:4" x14ac:dyDescent="0.2">
      <c r="C133" s="59"/>
      <c r="D133" s="59"/>
    </row>
    <row r="134" spans="3:4" x14ac:dyDescent="0.2">
      <c r="C134" s="59"/>
      <c r="D134" s="59"/>
    </row>
    <row r="135" spans="3:4" x14ac:dyDescent="0.2">
      <c r="C135" s="59"/>
      <c r="D135" s="59"/>
    </row>
    <row r="136" spans="3:4" x14ac:dyDescent="0.2">
      <c r="C136" s="59"/>
      <c r="D136" s="59"/>
    </row>
    <row r="137" spans="3:4" x14ac:dyDescent="0.2">
      <c r="C137" s="59"/>
      <c r="D137" s="59"/>
    </row>
    <row r="138" spans="3:4" x14ac:dyDescent="0.2">
      <c r="C138" s="59"/>
      <c r="D138" s="59"/>
    </row>
    <row r="139" spans="3:4" x14ac:dyDescent="0.2">
      <c r="C139" s="59"/>
      <c r="D139" s="59"/>
    </row>
    <row r="140" spans="3:4" x14ac:dyDescent="0.2">
      <c r="C140" s="59"/>
      <c r="D140" s="59"/>
    </row>
    <row r="141" spans="3:4" x14ac:dyDescent="0.2">
      <c r="C141" s="59"/>
      <c r="D141" s="59"/>
    </row>
    <row r="142" spans="3:4" x14ac:dyDescent="0.2">
      <c r="C142" s="59"/>
      <c r="D142" s="59"/>
    </row>
    <row r="143" spans="3:4" x14ac:dyDescent="0.2">
      <c r="C143" s="59"/>
      <c r="D143" s="59"/>
    </row>
    <row r="144" spans="3:4" x14ac:dyDescent="0.2">
      <c r="C144" s="59"/>
      <c r="D144" s="59"/>
    </row>
    <row r="145" spans="3:4" x14ac:dyDescent="0.2">
      <c r="C145" s="59"/>
      <c r="D145" s="59"/>
    </row>
    <row r="146" spans="3:4" x14ac:dyDescent="0.2">
      <c r="C146" s="59"/>
      <c r="D146" s="59"/>
    </row>
    <row r="147" spans="3:4" x14ac:dyDescent="0.2">
      <c r="C147" s="59"/>
      <c r="D147" s="59"/>
    </row>
    <row r="148" spans="3:4" x14ac:dyDescent="0.2">
      <c r="C148" s="59"/>
      <c r="D148" s="59"/>
    </row>
    <row r="149" spans="3:4" x14ac:dyDescent="0.2">
      <c r="C149" s="59"/>
      <c r="D149" s="59"/>
    </row>
    <row r="150" spans="3:4" x14ac:dyDescent="0.2">
      <c r="C150" s="59"/>
      <c r="D150" s="59"/>
    </row>
    <row r="151" spans="3:4" x14ac:dyDescent="0.2">
      <c r="C151" s="59"/>
      <c r="D151" s="59"/>
    </row>
    <row r="152" spans="3:4" x14ac:dyDescent="0.2">
      <c r="C152" s="59"/>
      <c r="D152" s="59"/>
    </row>
    <row r="153" spans="3:4" x14ac:dyDescent="0.2">
      <c r="C153" s="59"/>
      <c r="D153" s="59"/>
    </row>
  </sheetData>
  <conditionalFormatting sqref="E2:E41">
    <cfRule type="expression" dxfId="92" priority="2">
      <formula>$I2=0</formula>
    </cfRule>
  </conditionalFormatting>
  <conditionalFormatting sqref="E2:E1000">
    <cfRule type="expression" dxfId="91" priority="1">
      <formula>AND($I2&lt;&gt;0,$I2&lt;&gt;"")</formula>
    </cfRule>
  </conditionalFormatting>
  <pageMargins left="0.7" right="0.7" top="0.75" bottom="0.75" header="0.3" footer="0.3"/>
  <pageSetup paperSize="9" orientation="portrait" horizontalDpi="0" verticalDpi="0"/>
  <legacyDrawing r:id="rId1"/>
</worksheet>
</file>

<file path=xl/worksheets/sheet9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C00-000000000000}">
  <dimension ref="A1:L153"/>
  <sheetViews>
    <sheetView zoomScaleNormal="100" workbookViewId="0">
      <pane xSplit="2" ySplit="1" topLeftCell="C30" activePane="bottomRight" state="frozen"/>
      <selection pane="topRight" activeCell="C1" sqref="C1"/>
      <selection pane="bottomLeft" activeCell="A2" sqref="A2"/>
      <selection pane="bottomRight" activeCell="C1" sqref="C1"/>
    </sheetView>
  </sheetViews>
  <sheetFormatPr baseColWidth="10" defaultColWidth="11" defaultRowHeight="16" x14ac:dyDescent="0.2"/>
  <cols>
    <col min="1" max="1" width="27.5" bestFit="1" customWidth="1"/>
    <col min="2" max="2" width="0" hidden="1"/>
    <col min="3" max="3" width="14.83203125" customWidth="1"/>
    <col min="4" max="4" width="16" customWidth="1"/>
    <col min="5" max="5" width="15.5" style="6" customWidth="1"/>
    <col min="6" max="6" width="14.33203125" customWidth="1"/>
    <col min="7" max="7" width="13" customWidth="1"/>
    <col min="8" max="8" width="13.5" customWidth="1"/>
    <col min="9" max="9" width="11" style="113" customWidth="1"/>
  </cols>
  <sheetData>
    <row r="1" spans="1:12" x14ac:dyDescent="0.2">
      <c r="B1" s="46" t="s">
        <v>0</v>
      </c>
      <c r="C1" s="80" t="s">
        <v>1</v>
      </c>
      <c r="D1" s="80" t="s">
        <v>2</v>
      </c>
      <c r="E1" s="115" t="s">
        <v>3</v>
      </c>
      <c r="F1" s="81" t="s">
        <v>4</v>
      </c>
      <c r="G1" s="81" t="s">
        <v>5</v>
      </c>
    </row>
    <row r="2" spans="1:12" x14ac:dyDescent="0.2">
      <c r="A2" t="s">
        <v>17</v>
      </c>
      <c r="B2" s="82"/>
      <c r="C2" s="84">
        <v>24990000</v>
      </c>
      <c r="D2" s="103">
        <v>24790000</v>
      </c>
      <c r="E2" s="116">
        <v>24190000</v>
      </c>
      <c r="F2" s="87">
        <v>24690000</v>
      </c>
      <c r="G2" s="110">
        <v>24790000</v>
      </c>
      <c r="I2" s="114">
        <f>E2-W4Q2FY26!E2</f>
        <v>0</v>
      </c>
    </row>
    <row r="3" spans="1:12" x14ac:dyDescent="0.2">
      <c r="A3" t="s">
        <v>18</v>
      </c>
      <c r="B3" s="82"/>
      <c r="C3" s="84">
        <v>25990000</v>
      </c>
      <c r="D3" s="103">
        <v>25790000</v>
      </c>
      <c r="E3" s="116">
        <v>25490000</v>
      </c>
      <c r="F3" s="90">
        <v>25790000</v>
      </c>
      <c r="G3" s="110">
        <v>25790000</v>
      </c>
      <c r="H3" s="26"/>
      <c r="I3" s="114">
        <f>E3-W4Q2FY26!E3</f>
        <v>0</v>
      </c>
    </row>
    <row r="4" spans="1:12" x14ac:dyDescent="0.2">
      <c r="A4" t="s">
        <v>19</v>
      </c>
      <c r="B4" s="82"/>
      <c r="C4" s="84">
        <v>34690000</v>
      </c>
      <c r="D4" s="103">
        <v>34390000</v>
      </c>
      <c r="E4" s="116">
        <v>33590000</v>
      </c>
      <c r="F4" s="90">
        <v>34390000</v>
      </c>
      <c r="G4" s="110">
        <v>33990000</v>
      </c>
      <c r="H4" s="26"/>
      <c r="I4" s="114">
        <f>E4-W4Q2FY26!E4</f>
        <v>0</v>
      </c>
    </row>
    <row r="5" spans="1:12" x14ac:dyDescent="0.2">
      <c r="A5" t="s">
        <v>20</v>
      </c>
      <c r="B5" s="82"/>
      <c r="C5" s="84">
        <v>37990000</v>
      </c>
      <c r="D5" s="103">
        <v>37690000</v>
      </c>
      <c r="E5" s="92">
        <v>36490000</v>
      </c>
      <c r="F5" s="90">
        <v>37690000</v>
      </c>
      <c r="G5" s="110">
        <v>37190000</v>
      </c>
      <c r="H5" s="26"/>
      <c r="I5" s="114">
        <f>E5-W4Q2FY26!E5</f>
        <v>0</v>
      </c>
    </row>
    <row r="6" spans="1:12" x14ac:dyDescent="0.2">
      <c r="A6" t="s">
        <v>21</v>
      </c>
      <c r="B6" s="82"/>
      <c r="C6" s="84">
        <v>15990000</v>
      </c>
      <c r="D6" s="86" t="s">
        <v>22</v>
      </c>
      <c r="E6" s="92">
        <v>12490000</v>
      </c>
      <c r="F6" s="119">
        <v>12870000</v>
      </c>
      <c r="G6" s="110">
        <v>15190000</v>
      </c>
      <c r="H6" s="26"/>
      <c r="I6" s="114">
        <f>E6-W4Q2FY26!E6</f>
        <v>0</v>
      </c>
    </row>
    <row r="7" spans="1:12" x14ac:dyDescent="0.2">
      <c r="A7" t="s">
        <v>181</v>
      </c>
      <c r="B7" s="70"/>
      <c r="C7" s="94">
        <v>19990000</v>
      </c>
      <c r="D7" s="118">
        <v>19690000</v>
      </c>
      <c r="E7" s="95">
        <v>19390000</v>
      </c>
      <c r="F7" s="89">
        <v>19690000</v>
      </c>
      <c r="G7" s="110">
        <v>19490000</v>
      </c>
      <c r="H7" s="26"/>
      <c r="I7" s="114">
        <f>E7-W4Q2FY26!E7</f>
        <v>0</v>
      </c>
    </row>
    <row r="8" spans="1:12" x14ac:dyDescent="0.2">
      <c r="A8" t="s">
        <v>24</v>
      </c>
      <c r="B8" s="3"/>
      <c r="C8" s="86">
        <v>23990000</v>
      </c>
      <c r="D8" s="104">
        <v>23690000</v>
      </c>
      <c r="E8" s="95">
        <v>22990000</v>
      </c>
      <c r="F8" s="89">
        <v>23690000</v>
      </c>
      <c r="G8" s="110">
        <v>23390000</v>
      </c>
      <c r="H8" s="26"/>
      <c r="I8" s="114">
        <f>E8-W4Q2FY26!E8</f>
        <v>0</v>
      </c>
    </row>
    <row r="9" spans="1:12" x14ac:dyDescent="0.2">
      <c r="A9" t="s">
        <v>182</v>
      </c>
      <c r="B9" s="25"/>
      <c r="C9" s="86">
        <v>25590000</v>
      </c>
      <c r="D9" s="105">
        <v>25590000</v>
      </c>
      <c r="E9" s="96" t="s">
        <v>22</v>
      </c>
      <c r="F9" s="89">
        <v>26990000</v>
      </c>
      <c r="G9" s="110">
        <v>24990000</v>
      </c>
      <c r="H9" s="26"/>
      <c r="I9" s="114" t="e">
        <f>E9-W4Q2FY26!E9</f>
        <v>#VALUE!</v>
      </c>
    </row>
    <row r="10" spans="1:12" x14ac:dyDescent="0.2">
      <c r="A10" t="s">
        <v>183</v>
      </c>
      <c r="B10" s="3"/>
      <c r="C10" s="97">
        <v>32990000</v>
      </c>
      <c r="D10" s="106">
        <v>32990000</v>
      </c>
      <c r="E10" s="96" t="s">
        <v>22</v>
      </c>
      <c r="F10" s="89">
        <v>32990000</v>
      </c>
      <c r="G10" s="110">
        <v>31190000</v>
      </c>
      <c r="H10" s="26"/>
      <c r="I10" s="114" t="e">
        <f>E10-W4Q2FY26!E10</f>
        <v>#VALUE!</v>
      </c>
    </row>
    <row r="11" spans="1:12" x14ac:dyDescent="0.2">
      <c r="A11" t="s">
        <v>25</v>
      </c>
      <c r="B11" s="25"/>
      <c r="C11" s="86">
        <v>16990000</v>
      </c>
      <c r="D11" s="104">
        <v>16790000</v>
      </c>
      <c r="E11" s="116">
        <v>16490000</v>
      </c>
      <c r="F11" s="90">
        <v>16790000</v>
      </c>
      <c r="G11" s="110">
        <v>16390000</v>
      </c>
      <c r="H11" s="26"/>
      <c r="I11" s="114">
        <f>E11-W4Q2FY26!E11</f>
        <v>0</v>
      </c>
    </row>
    <row r="12" spans="1:12" x14ac:dyDescent="0.2">
      <c r="A12" t="s">
        <v>26</v>
      </c>
      <c r="B12" s="25"/>
      <c r="C12" s="86">
        <v>18990000</v>
      </c>
      <c r="D12" s="86" t="s">
        <v>22</v>
      </c>
      <c r="E12" s="116" t="s">
        <v>22</v>
      </c>
      <c r="F12" s="90">
        <v>17690000</v>
      </c>
      <c r="G12" s="110">
        <v>18490000</v>
      </c>
      <c r="H12" s="26"/>
      <c r="I12" s="114" t="e">
        <f>E12-W4Q2FY26!E12</f>
        <v>#VALUE!</v>
      </c>
    </row>
    <row r="13" spans="1:12" x14ac:dyDescent="0.2">
      <c r="A13" t="s">
        <v>27</v>
      </c>
      <c r="B13" s="25"/>
      <c r="C13" s="86">
        <v>13890000</v>
      </c>
      <c r="D13" s="104">
        <v>13590000</v>
      </c>
      <c r="E13" s="116">
        <v>13590000</v>
      </c>
      <c r="F13" s="90">
        <v>13590000</v>
      </c>
      <c r="G13" s="110">
        <v>12990000</v>
      </c>
      <c r="H13" s="26"/>
      <c r="I13" s="114">
        <f>E13-W4Q2FY26!E13</f>
        <v>0</v>
      </c>
    </row>
    <row r="14" spans="1:12" x14ac:dyDescent="0.2">
      <c r="A14" t="s">
        <v>28</v>
      </c>
      <c r="B14" s="3"/>
      <c r="C14" s="86">
        <v>12490000</v>
      </c>
      <c r="D14" s="107">
        <v>12090000</v>
      </c>
      <c r="E14" s="95">
        <v>11990000</v>
      </c>
      <c r="F14" s="90">
        <v>12090000</v>
      </c>
      <c r="G14" s="110">
        <v>11890000</v>
      </c>
      <c r="H14" s="26"/>
      <c r="I14" s="114">
        <f>E14-W4Q2FY26!E14</f>
        <v>0</v>
      </c>
    </row>
    <row r="15" spans="1:12" x14ac:dyDescent="0.2">
      <c r="A15" t="s">
        <v>29</v>
      </c>
      <c r="B15" s="25"/>
      <c r="C15" s="97">
        <v>13390000</v>
      </c>
      <c r="D15" s="104">
        <v>13390000</v>
      </c>
      <c r="E15" s="95">
        <v>13290000</v>
      </c>
      <c r="F15" s="90">
        <v>13390000</v>
      </c>
      <c r="G15" s="110">
        <v>11590000</v>
      </c>
      <c r="H15" s="26"/>
      <c r="I15" s="114">
        <f>E15-W4Q2FY26!E15</f>
        <v>0</v>
      </c>
    </row>
    <row r="16" spans="1:12" x14ac:dyDescent="0.2">
      <c r="A16" t="s">
        <v>30</v>
      </c>
      <c r="B16" s="3"/>
      <c r="C16" s="86">
        <v>9590000</v>
      </c>
      <c r="D16" s="106">
        <v>9590000</v>
      </c>
      <c r="E16" s="95">
        <v>9190000</v>
      </c>
      <c r="F16" s="90">
        <v>9590000</v>
      </c>
      <c r="G16" s="110">
        <v>8990000</v>
      </c>
      <c r="H16" s="26"/>
      <c r="I16" s="114">
        <f>E16-W4Q2FY26!E16</f>
        <v>0</v>
      </c>
      <c r="J16" t="s">
        <v>31</v>
      </c>
      <c r="K16" t="s">
        <v>32</v>
      </c>
      <c r="L16" t="b">
        <v>1</v>
      </c>
    </row>
    <row r="17" spans="1:12" x14ac:dyDescent="0.2">
      <c r="A17" t="s">
        <v>33</v>
      </c>
      <c r="B17" s="3"/>
      <c r="C17" s="97">
        <v>13690000</v>
      </c>
      <c r="D17" s="106">
        <v>13490000</v>
      </c>
      <c r="E17" s="116">
        <v>13290000</v>
      </c>
      <c r="F17" s="89">
        <v>13490000</v>
      </c>
      <c r="G17" s="111">
        <v>13190000</v>
      </c>
      <c r="H17" s="26">
        <v>-200</v>
      </c>
      <c r="I17" s="114">
        <f>E17-W4Q2FY26!E17</f>
        <v>-2100000</v>
      </c>
      <c r="J17" t="s">
        <v>2</v>
      </c>
      <c r="K17" t="s">
        <v>34</v>
      </c>
      <c r="L17" t="b">
        <v>1</v>
      </c>
    </row>
    <row r="18" spans="1:12" x14ac:dyDescent="0.2">
      <c r="A18" t="s">
        <v>37</v>
      </c>
      <c r="B18" s="25"/>
      <c r="C18" s="97">
        <v>21790000</v>
      </c>
      <c r="D18" s="106">
        <v>19290000</v>
      </c>
      <c r="E18" s="96">
        <v>18990000</v>
      </c>
      <c r="F18" s="89">
        <v>19290000</v>
      </c>
      <c r="G18" s="110">
        <v>18990000</v>
      </c>
      <c r="H18" s="78"/>
      <c r="I18" s="114">
        <f>E18-W4Q2FY26!E18</f>
        <v>-1300000</v>
      </c>
      <c r="J18" t="s">
        <v>3</v>
      </c>
      <c r="K18" t="s">
        <v>36</v>
      </c>
      <c r="L18" t="b">
        <v>1</v>
      </c>
    </row>
    <row r="19" spans="1:12" x14ac:dyDescent="0.2">
      <c r="A19" t="s">
        <v>184</v>
      </c>
      <c r="B19" s="25"/>
      <c r="C19" s="96" t="s">
        <v>22</v>
      </c>
      <c r="D19" s="106">
        <v>28490000</v>
      </c>
      <c r="E19" s="96" t="s">
        <v>22</v>
      </c>
      <c r="F19" s="90" t="s">
        <v>22</v>
      </c>
      <c r="G19" s="112" t="s">
        <v>22</v>
      </c>
      <c r="H19" s="26"/>
      <c r="I19" s="114" t="e">
        <f>E19-W4Q2FY26!E19</f>
        <v>#VALUE!</v>
      </c>
      <c r="J19" t="s">
        <v>4</v>
      </c>
      <c r="K19" t="s">
        <v>38</v>
      </c>
      <c r="L19" t="b">
        <v>1</v>
      </c>
    </row>
    <row r="20" spans="1:12" x14ac:dyDescent="0.2">
      <c r="A20" t="s">
        <v>185</v>
      </c>
      <c r="B20" s="3"/>
      <c r="C20" s="96" t="s">
        <v>22</v>
      </c>
      <c r="D20" s="86">
        <v>36290000</v>
      </c>
      <c r="E20" s="96" t="s">
        <v>22</v>
      </c>
      <c r="F20" s="90">
        <v>36290000</v>
      </c>
      <c r="G20" s="112" t="s">
        <v>22</v>
      </c>
      <c r="H20" s="26"/>
      <c r="I20" s="114" t="e">
        <f>E20-W4Q2FY26!E20</f>
        <v>#VALUE!</v>
      </c>
      <c r="J20" t="s">
        <v>41</v>
      </c>
      <c r="K20" t="s">
        <v>42</v>
      </c>
      <c r="L20" t="b">
        <v>1</v>
      </c>
    </row>
    <row r="21" spans="1:12" x14ac:dyDescent="0.2">
      <c r="A21" t="s">
        <v>40</v>
      </c>
      <c r="B21" s="3"/>
      <c r="C21" s="97">
        <v>29490000</v>
      </c>
      <c r="D21" s="106">
        <v>29190000</v>
      </c>
      <c r="E21" s="99">
        <v>28990000</v>
      </c>
      <c r="F21" s="89">
        <v>29490000</v>
      </c>
      <c r="G21" s="111">
        <v>28990000</v>
      </c>
      <c r="H21" s="26">
        <v>-200</v>
      </c>
      <c r="I21" s="114">
        <f>E21-W4Q2FY26!E21</f>
        <v>0</v>
      </c>
    </row>
    <row r="22" spans="1:12" x14ac:dyDescent="0.2">
      <c r="A22" t="s">
        <v>43</v>
      </c>
      <c r="B22" s="3"/>
      <c r="C22" s="97">
        <v>39390000</v>
      </c>
      <c r="D22" s="109">
        <v>38590000</v>
      </c>
      <c r="E22" s="96">
        <v>38990000</v>
      </c>
      <c r="F22" s="89">
        <v>38990000</v>
      </c>
      <c r="G22" s="111">
        <v>38990000</v>
      </c>
      <c r="H22" s="26">
        <v>-600</v>
      </c>
      <c r="I22" s="114">
        <f>E22-W4Q2FY26!E22</f>
        <v>0</v>
      </c>
    </row>
    <row r="23" spans="1:12" x14ac:dyDescent="0.2">
      <c r="A23" t="s">
        <v>44</v>
      </c>
      <c r="B23" s="25"/>
      <c r="C23" s="86">
        <v>6790000</v>
      </c>
      <c r="D23" s="104">
        <v>6790000</v>
      </c>
      <c r="E23" s="95">
        <v>6490000</v>
      </c>
      <c r="F23" s="90">
        <v>6790000</v>
      </c>
      <c r="G23" s="110">
        <v>6590000</v>
      </c>
      <c r="H23" s="26"/>
      <c r="I23" s="114">
        <f>E23-W4Q2FY26!E23</f>
        <v>0</v>
      </c>
    </row>
    <row r="24" spans="1:12" x14ac:dyDescent="0.2">
      <c r="A24" t="s">
        <v>45</v>
      </c>
      <c r="B24" s="25"/>
      <c r="C24" s="86">
        <v>8390000</v>
      </c>
      <c r="D24" s="104">
        <v>8390000</v>
      </c>
      <c r="E24" s="95">
        <v>7990000</v>
      </c>
      <c r="F24" s="90">
        <v>8390000</v>
      </c>
      <c r="G24" s="110">
        <v>8290000</v>
      </c>
      <c r="H24" s="26"/>
      <c r="I24" s="114">
        <f>E24-W4Q2FY26!E24</f>
        <v>0</v>
      </c>
    </row>
    <row r="25" spans="1:12" x14ac:dyDescent="0.2">
      <c r="A25" t="s">
        <v>46</v>
      </c>
      <c r="B25" s="25"/>
      <c r="C25" s="86">
        <v>7690000</v>
      </c>
      <c r="D25" s="104">
        <v>7690000</v>
      </c>
      <c r="E25" s="95">
        <v>7390000</v>
      </c>
      <c r="F25" s="90">
        <v>7690000</v>
      </c>
      <c r="G25" s="110">
        <v>7690000</v>
      </c>
      <c r="H25" s="26"/>
      <c r="I25" s="114">
        <f>E25-W4Q2FY26!E25</f>
        <v>0</v>
      </c>
    </row>
    <row r="26" spans="1:12" x14ac:dyDescent="0.2">
      <c r="A26" t="s">
        <v>47</v>
      </c>
      <c r="B26" s="25"/>
      <c r="C26" s="86">
        <v>9190000</v>
      </c>
      <c r="D26" s="104">
        <v>9190000</v>
      </c>
      <c r="E26" s="95">
        <v>8990000</v>
      </c>
      <c r="F26" s="90">
        <v>9190000</v>
      </c>
      <c r="G26" s="110">
        <v>8990000</v>
      </c>
      <c r="H26" s="26"/>
      <c r="I26" s="114">
        <f>E26-W4Q2FY26!E26</f>
        <v>0</v>
      </c>
    </row>
    <row r="27" spans="1:12" x14ac:dyDescent="0.2">
      <c r="A27" t="s">
        <v>48</v>
      </c>
      <c r="B27" s="3"/>
      <c r="C27" s="86">
        <v>11190000</v>
      </c>
      <c r="D27" s="104">
        <v>11190000</v>
      </c>
      <c r="E27" s="95">
        <v>10690000</v>
      </c>
      <c r="F27" s="90">
        <v>11190000</v>
      </c>
      <c r="G27" s="110">
        <v>10990000</v>
      </c>
      <c r="H27" s="26"/>
      <c r="I27" s="114">
        <f>E27-W4Q2FY26!E27</f>
        <v>0</v>
      </c>
    </row>
    <row r="28" spans="1:12" x14ac:dyDescent="0.2">
      <c r="A28" t="s">
        <v>49</v>
      </c>
      <c r="B28" s="3"/>
      <c r="C28" s="97" t="s">
        <v>22</v>
      </c>
      <c r="D28" s="106">
        <v>14090000</v>
      </c>
      <c r="E28" s="95">
        <v>13990000</v>
      </c>
      <c r="F28" s="90">
        <v>14090000</v>
      </c>
      <c r="G28" s="110">
        <v>13990000</v>
      </c>
      <c r="H28" s="26"/>
      <c r="I28" s="114">
        <f>E28-W4Q2FY26!E28</f>
        <v>0</v>
      </c>
    </row>
    <row r="29" spans="1:12" x14ac:dyDescent="0.2">
      <c r="A29" t="s">
        <v>50</v>
      </c>
      <c r="B29" s="3"/>
      <c r="C29" s="86">
        <v>11990000</v>
      </c>
      <c r="D29" s="106">
        <v>11990000</v>
      </c>
      <c r="E29" s="95">
        <v>11490000</v>
      </c>
      <c r="F29" s="90">
        <v>11990000</v>
      </c>
      <c r="G29" s="110">
        <v>11890000</v>
      </c>
      <c r="H29" s="26"/>
      <c r="I29" s="114">
        <f>E29-W4Q2FY26!E29</f>
        <v>0</v>
      </c>
    </row>
    <row r="30" spans="1:12" x14ac:dyDescent="0.2">
      <c r="A30" t="s">
        <v>51</v>
      </c>
      <c r="B30" s="3"/>
      <c r="C30" s="97" t="s">
        <v>22</v>
      </c>
      <c r="D30" s="104">
        <v>14990000</v>
      </c>
      <c r="E30" s="95">
        <v>14490000</v>
      </c>
      <c r="F30" s="90">
        <v>14090000</v>
      </c>
      <c r="G30" s="110">
        <v>14990000</v>
      </c>
      <c r="H30" s="26"/>
      <c r="I30" s="114">
        <f>E30-W4Q2FY26!E30</f>
        <v>0</v>
      </c>
    </row>
    <row r="31" spans="1:12" x14ac:dyDescent="0.2">
      <c r="A31" t="s">
        <v>52</v>
      </c>
      <c r="B31" s="25"/>
      <c r="C31" s="86">
        <v>23490000</v>
      </c>
      <c r="D31" s="104">
        <v>22990000</v>
      </c>
      <c r="E31" s="96">
        <v>22490000</v>
      </c>
      <c r="F31" s="90">
        <v>22990000</v>
      </c>
      <c r="G31" s="110">
        <v>22990000</v>
      </c>
      <c r="H31" s="26"/>
      <c r="I31" s="114">
        <f>E31-W4Q2FY26!E31</f>
        <v>0</v>
      </c>
    </row>
    <row r="32" spans="1:12" x14ac:dyDescent="0.2">
      <c r="A32" t="s">
        <v>53</v>
      </c>
      <c r="B32" s="3"/>
      <c r="C32" s="97">
        <v>4890000</v>
      </c>
      <c r="D32" s="104">
        <v>4990000</v>
      </c>
      <c r="E32" s="116" t="s">
        <v>22</v>
      </c>
      <c r="F32" s="90">
        <v>4950000</v>
      </c>
      <c r="G32" s="110">
        <v>5590000</v>
      </c>
      <c r="H32" s="26"/>
      <c r="I32" s="114" t="e">
        <f>E32-W4Q2FY26!E32</f>
        <v>#VALUE!</v>
      </c>
      <c r="J32" s="83"/>
    </row>
    <row r="33" spans="1:9" x14ac:dyDescent="0.2">
      <c r="A33" t="s">
        <v>54</v>
      </c>
      <c r="B33" s="3"/>
      <c r="C33" s="86">
        <v>4590000</v>
      </c>
      <c r="D33" s="104">
        <v>4450000</v>
      </c>
      <c r="E33" s="95">
        <v>4490000</v>
      </c>
      <c r="F33" s="90">
        <v>4950000</v>
      </c>
      <c r="G33" s="111">
        <v>4890000</v>
      </c>
      <c r="H33" s="26">
        <v>300</v>
      </c>
      <c r="I33" s="114">
        <f>E33-W4Q2FY26!E33</f>
        <v>0</v>
      </c>
    </row>
    <row r="34" spans="1:9" x14ac:dyDescent="0.2">
      <c r="A34" t="s">
        <v>55</v>
      </c>
      <c r="B34" s="3"/>
      <c r="C34" s="97">
        <v>3390000</v>
      </c>
      <c r="D34" s="104">
        <v>3450000</v>
      </c>
      <c r="E34" s="95">
        <v>3390000</v>
      </c>
      <c r="F34" s="89">
        <v>3490000</v>
      </c>
      <c r="G34" s="110">
        <v>3390000</v>
      </c>
      <c r="H34" s="26"/>
      <c r="I34" s="114">
        <f>E34-W4Q2FY26!E34</f>
        <v>0</v>
      </c>
    </row>
    <row r="35" spans="1:9" x14ac:dyDescent="0.2">
      <c r="A35" t="s">
        <v>56</v>
      </c>
      <c r="B35" s="3"/>
      <c r="C35" s="86">
        <v>6590000</v>
      </c>
      <c r="D35" s="104">
        <v>6590000</v>
      </c>
      <c r="E35" s="92">
        <v>6390000</v>
      </c>
      <c r="F35" s="90">
        <v>6590000</v>
      </c>
      <c r="G35" s="111">
        <v>7090000</v>
      </c>
      <c r="H35" s="26">
        <v>600</v>
      </c>
      <c r="I35" s="114">
        <f>E35-W4Q2FY26!E35</f>
        <v>0</v>
      </c>
    </row>
    <row r="36" spans="1:9" x14ac:dyDescent="0.2">
      <c r="A36" t="s">
        <v>186</v>
      </c>
      <c r="B36" s="25"/>
      <c r="C36" s="86">
        <v>19690000</v>
      </c>
      <c r="D36" s="104">
        <v>19690000</v>
      </c>
      <c r="E36" s="101"/>
      <c r="F36" s="90">
        <v>19690000</v>
      </c>
      <c r="G36" s="110">
        <v>18990000</v>
      </c>
      <c r="H36" s="26"/>
      <c r="I36" s="114">
        <f>E36-W4Q2FY26!E36</f>
        <v>0</v>
      </c>
    </row>
    <row r="37" spans="1:9" x14ac:dyDescent="0.2">
      <c r="A37" t="s">
        <v>59</v>
      </c>
      <c r="B37" s="3"/>
      <c r="C37" s="97">
        <v>23990000</v>
      </c>
      <c r="D37" s="106">
        <v>23990000</v>
      </c>
      <c r="E37" s="101"/>
      <c r="F37" s="89">
        <v>23990000</v>
      </c>
      <c r="G37" s="111">
        <v>23790000</v>
      </c>
      <c r="H37" s="26">
        <v>-1200</v>
      </c>
      <c r="I37" s="114">
        <f>E37-W4Q2FY26!E37</f>
        <v>0</v>
      </c>
    </row>
    <row r="38" spans="1:9" x14ac:dyDescent="0.2">
      <c r="A38" t="s">
        <v>61</v>
      </c>
      <c r="B38" s="25"/>
      <c r="C38" s="97">
        <v>28990000</v>
      </c>
      <c r="D38" s="106">
        <v>28990000</v>
      </c>
      <c r="E38" s="101"/>
      <c r="F38" s="89">
        <v>28990000</v>
      </c>
      <c r="G38" s="111">
        <v>28590000</v>
      </c>
      <c r="H38" s="26">
        <v>-1200</v>
      </c>
      <c r="I38" s="114">
        <f>E38-W4Q2FY26!E38</f>
        <v>0</v>
      </c>
    </row>
    <row r="39" spans="1:9" x14ac:dyDescent="0.2">
      <c r="A39" t="s">
        <v>187</v>
      </c>
      <c r="B39" s="25"/>
      <c r="C39" s="86" t="s">
        <v>22</v>
      </c>
      <c r="D39" s="86" t="s">
        <v>22</v>
      </c>
      <c r="E39" s="101"/>
      <c r="F39" s="90">
        <v>38590000</v>
      </c>
      <c r="G39" s="110">
        <v>38390000</v>
      </c>
      <c r="H39" s="26"/>
      <c r="I39" s="114">
        <f>E39-W4Q2FY26!E39</f>
        <v>0</v>
      </c>
    </row>
    <row r="40" spans="1:9" x14ac:dyDescent="0.2">
      <c r="A40" t="s">
        <v>62</v>
      </c>
      <c r="B40" s="25"/>
      <c r="C40" s="86">
        <v>41890000</v>
      </c>
      <c r="D40" s="104">
        <v>41690000</v>
      </c>
      <c r="E40" s="101"/>
      <c r="F40" s="90">
        <v>41990000</v>
      </c>
      <c r="G40" s="110">
        <v>41990000</v>
      </c>
      <c r="H40" s="26"/>
      <c r="I40" s="114">
        <f>E40-W4Q2FY26!E40</f>
        <v>0</v>
      </c>
    </row>
    <row r="41" spans="1:9" x14ac:dyDescent="0.2">
      <c r="A41" t="s">
        <v>188</v>
      </c>
      <c r="B41" s="25"/>
      <c r="C41" s="86" t="s">
        <v>22</v>
      </c>
      <c r="D41" s="104">
        <v>63990000</v>
      </c>
      <c r="E41" s="101"/>
      <c r="F41" s="90">
        <v>63990000</v>
      </c>
      <c r="G41" s="110">
        <v>63990000</v>
      </c>
      <c r="I41" s="114">
        <f>E41-W4Q2FY26!E41</f>
        <v>0</v>
      </c>
    </row>
    <row r="42" spans="1:9" x14ac:dyDescent="0.2">
      <c r="C42" s="59"/>
      <c r="D42" s="59"/>
    </row>
    <row r="43" spans="1:9" x14ac:dyDescent="0.2">
      <c r="C43" s="59"/>
      <c r="D43" s="59"/>
    </row>
    <row r="44" spans="1:9" x14ac:dyDescent="0.2">
      <c r="C44" s="59"/>
      <c r="D44" s="59"/>
    </row>
    <row r="45" spans="1:9" x14ac:dyDescent="0.2">
      <c r="C45" s="59"/>
      <c r="D45" s="59"/>
    </row>
    <row r="46" spans="1:9" x14ac:dyDescent="0.2">
      <c r="C46" s="59"/>
      <c r="D46" s="59"/>
    </row>
    <row r="47" spans="1:9" x14ac:dyDescent="0.2">
      <c r="C47" s="59"/>
      <c r="D47" s="59"/>
    </row>
    <row r="48" spans="1:9" x14ac:dyDescent="0.2">
      <c r="C48" s="59"/>
      <c r="D48" s="59"/>
    </row>
    <row r="49" spans="3:4" x14ac:dyDescent="0.2">
      <c r="C49" s="59"/>
      <c r="D49" s="59"/>
    </row>
    <row r="50" spans="3:4" x14ac:dyDescent="0.2">
      <c r="C50" s="59"/>
      <c r="D50" s="59"/>
    </row>
    <row r="51" spans="3:4" x14ac:dyDescent="0.2">
      <c r="C51" s="59"/>
      <c r="D51" s="59"/>
    </row>
    <row r="52" spans="3:4" x14ac:dyDescent="0.2">
      <c r="C52" s="59"/>
      <c r="D52" s="59"/>
    </row>
    <row r="53" spans="3:4" x14ac:dyDescent="0.2">
      <c r="C53" s="59"/>
      <c r="D53" s="59"/>
    </row>
    <row r="54" spans="3:4" x14ac:dyDescent="0.2">
      <c r="C54" s="59"/>
      <c r="D54" s="59"/>
    </row>
    <row r="55" spans="3:4" x14ac:dyDescent="0.2">
      <c r="C55" s="59"/>
      <c r="D55" s="59"/>
    </row>
    <row r="56" spans="3:4" x14ac:dyDescent="0.2">
      <c r="C56" s="59"/>
      <c r="D56" s="59"/>
    </row>
    <row r="57" spans="3:4" x14ac:dyDescent="0.2">
      <c r="C57" s="59"/>
      <c r="D57" s="59"/>
    </row>
    <row r="58" spans="3:4" x14ac:dyDescent="0.2">
      <c r="C58" s="59"/>
      <c r="D58" s="59"/>
    </row>
    <row r="59" spans="3:4" x14ac:dyDescent="0.2">
      <c r="C59" s="59"/>
      <c r="D59" s="59"/>
    </row>
    <row r="60" spans="3:4" x14ac:dyDescent="0.2">
      <c r="C60" s="59"/>
      <c r="D60" s="59"/>
    </row>
    <row r="61" spans="3:4" x14ac:dyDescent="0.2">
      <c r="C61" s="59"/>
      <c r="D61" s="59"/>
    </row>
    <row r="62" spans="3:4" x14ac:dyDescent="0.2">
      <c r="C62" s="59"/>
      <c r="D62" s="59"/>
    </row>
    <row r="63" spans="3:4" x14ac:dyDescent="0.2">
      <c r="C63" s="59"/>
      <c r="D63" s="59"/>
    </row>
    <row r="64" spans="3:4" x14ac:dyDescent="0.2">
      <c r="C64" s="59"/>
      <c r="D64" s="59"/>
    </row>
    <row r="65" spans="3:4" x14ac:dyDescent="0.2">
      <c r="C65" s="59"/>
      <c r="D65" s="59"/>
    </row>
    <row r="66" spans="3:4" x14ac:dyDescent="0.2">
      <c r="C66" s="59"/>
      <c r="D66" s="59"/>
    </row>
    <row r="67" spans="3:4" x14ac:dyDescent="0.2">
      <c r="C67" s="59"/>
      <c r="D67" s="59"/>
    </row>
    <row r="68" spans="3:4" x14ac:dyDescent="0.2">
      <c r="C68" s="59"/>
      <c r="D68" s="59"/>
    </row>
    <row r="69" spans="3:4" x14ac:dyDescent="0.2">
      <c r="C69" s="59"/>
      <c r="D69" s="59"/>
    </row>
    <row r="70" spans="3:4" x14ac:dyDescent="0.2">
      <c r="C70" s="59"/>
      <c r="D70" s="59"/>
    </row>
    <row r="71" spans="3:4" x14ac:dyDescent="0.2">
      <c r="C71" s="59"/>
      <c r="D71" s="59"/>
    </row>
    <row r="72" spans="3:4" x14ac:dyDescent="0.2">
      <c r="C72" s="59"/>
      <c r="D72" s="59"/>
    </row>
    <row r="73" spans="3:4" x14ac:dyDescent="0.2">
      <c r="C73" s="59"/>
      <c r="D73" s="59"/>
    </row>
    <row r="74" spans="3:4" x14ac:dyDescent="0.2">
      <c r="C74" s="59"/>
      <c r="D74" s="59"/>
    </row>
    <row r="75" spans="3:4" x14ac:dyDescent="0.2">
      <c r="C75" s="59"/>
      <c r="D75" s="59"/>
    </row>
    <row r="76" spans="3:4" x14ac:dyDescent="0.2">
      <c r="C76" s="59"/>
      <c r="D76" s="59"/>
    </row>
    <row r="77" spans="3:4" x14ac:dyDescent="0.2">
      <c r="C77" s="59"/>
      <c r="D77" s="59"/>
    </row>
    <row r="78" spans="3:4" x14ac:dyDescent="0.2">
      <c r="C78" s="59"/>
      <c r="D78" s="59"/>
    </row>
    <row r="79" spans="3:4" x14ac:dyDescent="0.2">
      <c r="C79" s="59"/>
      <c r="D79" s="59"/>
    </row>
    <row r="80" spans="3:4" x14ac:dyDescent="0.2">
      <c r="C80" s="59"/>
      <c r="D80" s="59"/>
    </row>
    <row r="81" spans="3:4" x14ac:dyDescent="0.2">
      <c r="C81" s="59"/>
      <c r="D81" s="59"/>
    </row>
    <row r="82" spans="3:4" x14ac:dyDescent="0.2">
      <c r="C82" s="59"/>
      <c r="D82" s="59"/>
    </row>
    <row r="83" spans="3:4" x14ac:dyDescent="0.2">
      <c r="C83" s="59"/>
      <c r="D83" s="59"/>
    </row>
    <row r="84" spans="3:4" x14ac:dyDescent="0.2">
      <c r="C84" s="59"/>
      <c r="D84" s="59"/>
    </row>
    <row r="85" spans="3:4" x14ac:dyDescent="0.2">
      <c r="C85" s="59"/>
      <c r="D85" s="59"/>
    </row>
    <row r="86" spans="3:4" x14ac:dyDescent="0.2">
      <c r="C86" s="59"/>
      <c r="D86" s="59"/>
    </row>
    <row r="87" spans="3:4" x14ac:dyDescent="0.2">
      <c r="C87" s="59"/>
      <c r="D87" s="59"/>
    </row>
    <row r="88" spans="3:4" x14ac:dyDescent="0.2">
      <c r="C88" s="59"/>
      <c r="D88" s="59"/>
    </row>
    <row r="89" spans="3:4" x14ac:dyDescent="0.2">
      <c r="C89" s="59"/>
      <c r="D89" s="59"/>
    </row>
    <row r="90" spans="3:4" x14ac:dyDescent="0.2">
      <c r="C90" s="59"/>
      <c r="D90" s="59"/>
    </row>
    <row r="91" spans="3:4" x14ac:dyDescent="0.2">
      <c r="C91" s="59"/>
      <c r="D91" s="59"/>
    </row>
    <row r="92" spans="3:4" x14ac:dyDescent="0.2">
      <c r="C92" s="59"/>
      <c r="D92" s="59"/>
    </row>
    <row r="93" spans="3:4" x14ac:dyDescent="0.2">
      <c r="C93" s="59"/>
      <c r="D93" s="59"/>
    </row>
    <row r="94" spans="3:4" x14ac:dyDescent="0.2">
      <c r="C94" s="59"/>
      <c r="D94" s="59"/>
    </row>
    <row r="95" spans="3:4" x14ac:dyDescent="0.2">
      <c r="C95" s="59"/>
      <c r="D95" s="59"/>
    </row>
    <row r="96" spans="3:4" x14ac:dyDescent="0.2">
      <c r="C96" s="59"/>
      <c r="D96" s="59"/>
    </row>
    <row r="97" spans="3:4" x14ac:dyDescent="0.2">
      <c r="C97" s="59"/>
      <c r="D97" s="59"/>
    </row>
    <row r="98" spans="3:4" x14ac:dyDescent="0.2">
      <c r="C98" s="59"/>
      <c r="D98" s="59"/>
    </row>
    <row r="99" spans="3:4" x14ac:dyDescent="0.2">
      <c r="C99" s="59"/>
      <c r="D99" s="59"/>
    </row>
    <row r="100" spans="3:4" x14ac:dyDescent="0.2">
      <c r="C100" s="59"/>
      <c r="D100" s="59"/>
    </row>
    <row r="101" spans="3:4" x14ac:dyDescent="0.2">
      <c r="C101" s="59"/>
      <c r="D101" s="59"/>
    </row>
    <row r="102" spans="3:4" x14ac:dyDescent="0.2">
      <c r="C102" s="59"/>
      <c r="D102" s="59"/>
    </row>
    <row r="103" spans="3:4" x14ac:dyDescent="0.2">
      <c r="C103" s="59"/>
      <c r="D103" s="59"/>
    </row>
    <row r="104" spans="3:4" x14ac:dyDescent="0.2">
      <c r="C104" s="59"/>
      <c r="D104" s="59"/>
    </row>
    <row r="105" spans="3:4" x14ac:dyDescent="0.2">
      <c r="C105" s="59"/>
      <c r="D105" s="59"/>
    </row>
    <row r="106" spans="3:4" x14ac:dyDescent="0.2">
      <c r="C106" s="59"/>
      <c r="D106" s="59"/>
    </row>
    <row r="107" spans="3:4" x14ac:dyDescent="0.2">
      <c r="C107" s="59"/>
      <c r="D107" s="59"/>
    </row>
    <row r="108" spans="3:4" x14ac:dyDescent="0.2">
      <c r="C108" s="59"/>
      <c r="D108" s="59"/>
    </row>
    <row r="109" spans="3:4" x14ac:dyDescent="0.2">
      <c r="C109" s="59"/>
      <c r="D109" s="59"/>
    </row>
    <row r="110" spans="3:4" x14ac:dyDescent="0.2">
      <c r="C110" s="59"/>
      <c r="D110" s="59"/>
    </row>
    <row r="111" spans="3:4" x14ac:dyDescent="0.2">
      <c r="C111" s="59"/>
      <c r="D111" s="59"/>
    </row>
    <row r="112" spans="3:4" x14ac:dyDescent="0.2">
      <c r="C112" s="59"/>
      <c r="D112" s="59"/>
    </row>
    <row r="113" spans="3:4" x14ac:dyDescent="0.2">
      <c r="C113" s="59"/>
      <c r="D113" s="59"/>
    </row>
    <row r="114" spans="3:4" x14ac:dyDescent="0.2">
      <c r="C114" s="59"/>
      <c r="D114" s="59"/>
    </row>
    <row r="115" spans="3:4" x14ac:dyDescent="0.2">
      <c r="C115" s="59"/>
      <c r="D115" s="59"/>
    </row>
    <row r="116" spans="3:4" x14ac:dyDescent="0.2">
      <c r="C116" s="59"/>
      <c r="D116" s="59"/>
    </row>
    <row r="117" spans="3:4" x14ac:dyDescent="0.2">
      <c r="C117" s="59"/>
      <c r="D117" s="59"/>
    </row>
    <row r="118" spans="3:4" x14ac:dyDescent="0.2">
      <c r="C118" s="59"/>
      <c r="D118" s="59"/>
    </row>
    <row r="119" spans="3:4" x14ac:dyDescent="0.2">
      <c r="C119" s="59"/>
      <c r="D119" s="59"/>
    </row>
    <row r="120" spans="3:4" x14ac:dyDescent="0.2">
      <c r="C120" s="59"/>
      <c r="D120" s="59"/>
    </row>
    <row r="121" spans="3:4" x14ac:dyDescent="0.2">
      <c r="C121" s="59"/>
      <c r="D121" s="59"/>
    </row>
    <row r="122" spans="3:4" x14ac:dyDescent="0.2">
      <c r="C122" s="59"/>
      <c r="D122" s="59"/>
    </row>
    <row r="123" spans="3:4" x14ac:dyDescent="0.2">
      <c r="C123" s="59"/>
      <c r="D123" s="59"/>
    </row>
    <row r="124" spans="3:4" x14ac:dyDescent="0.2">
      <c r="C124" s="59"/>
      <c r="D124" s="59"/>
    </row>
    <row r="125" spans="3:4" x14ac:dyDescent="0.2">
      <c r="C125" s="59"/>
      <c r="D125" s="59"/>
    </row>
    <row r="126" spans="3:4" x14ac:dyDescent="0.2">
      <c r="C126" s="59"/>
      <c r="D126" s="59"/>
    </row>
    <row r="127" spans="3:4" x14ac:dyDescent="0.2">
      <c r="C127" s="59"/>
      <c r="D127" s="59"/>
    </row>
    <row r="128" spans="3:4" x14ac:dyDescent="0.2">
      <c r="C128" s="59"/>
      <c r="D128" s="59"/>
    </row>
    <row r="129" spans="3:4" x14ac:dyDescent="0.2">
      <c r="C129" s="59"/>
      <c r="D129" s="59"/>
    </row>
    <row r="130" spans="3:4" x14ac:dyDescent="0.2">
      <c r="C130" s="59"/>
      <c r="D130" s="59"/>
    </row>
    <row r="131" spans="3:4" x14ac:dyDescent="0.2">
      <c r="C131" s="59"/>
      <c r="D131" s="59"/>
    </row>
    <row r="132" spans="3:4" x14ac:dyDescent="0.2">
      <c r="C132" s="59"/>
      <c r="D132" s="59"/>
    </row>
    <row r="133" spans="3:4" x14ac:dyDescent="0.2">
      <c r="C133" s="59"/>
      <c r="D133" s="59"/>
    </row>
    <row r="134" spans="3:4" x14ac:dyDescent="0.2">
      <c r="C134" s="59"/>
      <c r="D134" s="59"/>
    </row>
    <row r="135" spans="3:4" x14ac:dyDescent="0.2">
      <c r="C135" s="59"/>
      <c r="D135" s="59"/>
    </row>
    <row r="136" spans="3:4" x14ac:dyDescent="0.2">
      <c r="C136" s="59"/>
      <c r="D136" s="59"/>
    </row>
    <row r="137" spans="3:4" x14ac:dyDescent="0.2">
      <c r="C137" s="59"/>
      <c r="D137" s="59"/>
    </row>
    <row r="138" spans="3:4" x14ac:dyDescent="0.2">
      <c r="C138" s="59"/>
      <c r="D138" s="59"/>
    </row>
    <row r="139" spans="3:4" x14ac:dyDescent="0.2">
      <c r="C139" s="59"/>
      <c r="D139" s="59"/>
    </row>
    <row r="140" spans="3:4" x14ac:dyDescent="0.2">
      <c r="C140" s="59"/>
      <c r="D140" s="59"/>
    </row>
    <row r="141" spans="3:4" x14ac:dyDescent="0.2">
      <c r="C141" s="59"/>
      <c r="D141" s="59"/>
    </row>
    <row r="142" spans="3:4" x14ac:dyDescent="0.2">
      <c r="C142" s="59"/>
      <c r="D142" s="59"/>
    </row>
    <row r="143" spans="3:4" x14ac:dyDescent="0.2">
      <c r="C143" s="59"/>
      <c r="D143" s="59"/>
    </row>
    <row r="144" spans="3:4" x14ac:dyDescent="0.2">
      <c r="C144" s="59"/>
      <c r="D144" s="59"/>
    </row>
    <row r="145" spans="3:4" x14ac:dyDescent="0.2">
      <c r="C145" s="59"/>
      <c r="D145" s="59"/>
    </row>
    <row r="146" spans="3:4" x14ac:dyDescent="0.2">
      <c r="C146" s="59"/>
      <c r="D146" s="59"/>
    </row>
    <row r="147" spans="3:4" x14ac:dyDescent="0.2">
      <c r="C147" s="59"/>
      <c r="D147" s="59"/>
    </row>
    <row r="148" spans="3:4" x14ac:dyDescent="0.2">
      <c r="C148" s="59"/>
      <c r="D148" s="59"/>
    </row>
    <row r="149" spans="3:4" x14ac:dyDescent="0.2">
      <c r="C149" s="59"/>
      <c r="D149" s="59"/>
    </row>
    <row r="150" spans="3:4" x14ac:dyDescent="0.2">
      <c r="C150" s="59"/>
      <c r="D150" s="59"/>
    </row>
    <row r="151" spans="3:4" x14ac:dyDescent="0.2">
      <c r="C151" s="59"/>
      <c r="D151" s="59"/>
    </row>
    <row r="152" spans="3:4" x14ac:dyDescent="0.2">
      <c r="C152" s="59"/>
      <c r="D152" s="59"/>
    </row>
    <row r="153" spans="3:4" x14ac:dyDescent="0.2">
      <c r="C153" s="59"/>
      <c r="D153" s="59"/>
    </row>
  </sheetData>
  <conditionalFormatting sqref="E2:E41">
    <cfRule type="expression" dxfId="90" priority="2">
      <formula>$I2=0</formula>
    </cfRule>
  </conditionalFormatting>
  <conditionalFormatting sqref="E2:E1000">
    <cfRule type="expression" dxfId="89" priority="1">
      <formula>AND($I2&lt;&gt;0,$I2&lt;&gt;"")</formula>
    </cfRule>
  </conditionalFormatting>
  <pageMargins left="0.7" right="0.7" top="0.75" bottom="0.75" header="0.3" footer="0.3"/>
  <pageSetup paperSize="9" orientation="portrait" horizontalDpi="0" verticalDpi="0"/>
  <legacyDrawing r:id="rId1"/>
</worksheet>
</file>

<file path=xl/worksheets/sheet9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D00-000000000000}">
  <dimension ref="A1:L153"/>
  <sheetViews>
    <sheetView zoomScale="140" zoomScaleNormal="140" workbookViewId="0">
      <pane xSplit="2" ySplit="1" topLeftCell="C25" activePane="bottomRight" state="frozen"/>
      <selection pane="topRight" activeCell="C1" sqref="C1"/>
      <selection pane="bottomLeft" activeCell="A2" sqref="A2"/>
      <selection pane="bottomRight" activeCell="C1" sqref="C1"/>
    </sheetView>
  </sheetViews>
  <sheetFormatPr baseColWidth="10" defaultColWidth="11" defaultRowHeight="16" x14ac:dyDescent="0.2"/>
  <cols>
    <col min="1" max="1" width="27.5" bestFit="1" customWidth="1"/>
    <col min="2" max="2" width="0" hidden="1"/>
    <col min="3" max="3" width="14.83203125" customWidth="1"/>
    <col min="4" max="4" width="16" customWidth="1"/>
    <col min="5" max="5" width="15.5" style="6" customWidth="1"/>
    <col min="6" max="6" width="14.33203125" customWidth="1"/>
    <col min="7" max="7" width="13" customWidth="1"/>
    <col min="8" max="8" width="13.5" customWidth="1"/>
    <col min="9" max="9" width="11.33203125" style="121" bestFit="1" customWidth="1"/>
  </cols>
  <sheetData>
    <row r="1" spans="1:12" x14ac:dyDescent="0.2">
      <c r="B1" s="46" t="s">
        <v>0</v>
      </c>
      <c r="C1" s="80" t="s">
        <v>1</v>
      </c>
      <c r="D1" s="80" t="s">
        <v>2</v>
      </c>
      <c r="E1" s="115" t="s">
        <v>3</v>
      </c>
      <c r="F1" s="81" t="s">
        <v>4</v>
      </c>
      <c r="G1" s="81" t="s">
        <v>5</v>
      </c>
    </row>
    <row r="2" spans="1:12" x14ac:dyDescent="0.2">
      <c r="A2" t="s">
        <v>17</v>
      </c>
      <c r="B2" s="82"/>
      <c r="C2" s="84">
        <v>24990000</v>
      </c>
      <c r="D2" s="103">
        <v>24690000</v>
      </c>
      <c r="E2" s="116">
        <v>24190000</v>
      </c>
      <c r="F2" s="87">
        <v>24190000</v>
      </c>
      <c r="G2" s="111">
        <v>24290000</v>
      </c>
      <c r="H2">
        <v>-500</v>
      </c>
      <c r="I2" s="121">
        <f>IFERROR(E2-W5Q2FY26!E2,"OOS")</f>
        <v>0</v>
      </c>
    </row>
    <row r="3" spans="1:12" x14ac:dyDescent="0.2">
      <c r="A3" t="s">
        <v>18</v>
      </c>
      <c r="B3" s="82"/>
      <c r="C3" s="84">
        <v>24990000</v>
      </c>
      <c r="D3" s="102">
        <v>25290000</v>
      </c>
      <c r="E3" s="116">
        <v>24390000</v>
      </c>
      <c r="F3" s="89">
        <v>24890000</v>
      </c>
      <c r="G3" s="111">
        <v>24990000</v>
      </c>
      <c r="H3" s="26">
        <v>-800</v>
      </c>
      <c r="I3" s="121">
        <f>IFERROR(E3-W5Q2FY26!E3,"OOS")</f>
        <v>-1100000</v>
      </c>
    </row>
    <row r="4" spans="1:12" x14ac:dyDescent="0.2">
      <c r="A4" t="s">
        <v>19</v>
      </c>
      <c r="B4" s="82"/>
      <c r="C4" s="84">
        <v>34690000</v>
      </c>
      <c r="D4" s="103">
        <v>34390000</v>
      </c>
      <c r="E4" s="116">
        <v>32790000</v>
      </c>
      <c r="F4" s="89">
        <v>33290000</v>
      </c>
      <c r="G4" s="110">
        <v>33990000</v>
      </c>
      <c r="H4" s="26"/>
      <c r="I4" s="121">
        <f>IFERROR(E4-W5Q2FY26!E4,"OOS")</f>
        <v>-800000</v>
      </c>
    </row>
    <row r="5" spans="1:12" x14ac:dyDescent="0.2">
      <c r="A5" t="s">
        <v>20</v>
      </c>
      <c r="B5" s="82"/>
      <c r="C5" s="84">
        <v>37990000</v>
      </c>
      <c r="D5" s="103">
        <v>37690000</v>
      </c>
      <c r="E5" s="92">
        <v>36490000</v>
      </c>
      <c r="F5" s="89">
        <v>36990000</v>
      </c>
      <c r="G5" s="111">
        <v>36990000</v>
      </c>
      <c r="H5" s="26">
        <v>-200</v>
      </c>
      <c r="I5" s="121">
        <f>IFERROR(E5-W5Q2FY26!E5,"OOS")</f>
        <v>0</v>
      </c>
    </row>
    <row r="6" spans="1:12" x14ac:dyDescent="0.2">
      <c r="A6" t="s">
        <v>21</v>
      </c>
      <c r="B6" s="82"/>
      <c r="C6" s="84">
        <v>15990000</v>
      </c>
      <c r="D6" s="86" t="s">
        <v>22</v>
      </c>
      <c r="E6" s="92">
        <v>12490000</v>
      </c>
      <c r="F6" s="119">
        <v>12490000</v>
      </c>
      <c r="G6" s="110">
        <v>15190000</v>
      </c>
      <c r="H6" s="26"/>
      <c r="I6" s="121">
        <f>IFERROR(E6-W5Q2FY26!E6,"OOS")</f>
        <v>0</v>
      </c>
    </row>
    <row r="7" spans="1:12" x14ac:dyDescent="0.2">
      <c r="A7" t="s">
        <v>181</v>
      </c>
      <c r="B7" s="70"/>
      <c r="C7" s="94">
        <v>19990000</v>
      </c>
      <c r="D7" s="118">
        <v>19690000</v>
      </c>
      <c r="E7" s="95">
        <v>19390000</v>
      </c>
      <c r="F7" s="89">
        <v>19590000</v>
      </c>
      <c r="G7" s="110">
        <v>19490000</v>
      </c>
      <c r="H7" s="26"/>
      <c r="I7" s="121">
        <f>IFERROR(E7-W5Q2FY26!E7,"OOS")</f>
        <v>0</v>
      </c>
    </row>
    <row r="8" spans="1:12" x14ac:dyDescent="0.2">
      <c r="A8" t="s">
        <v>24</v>
      </c>
      <c r="B8" s="3"/>
      <c r="C8" s="86">
        <v>23990000</v>
      </c>
      <c r="D8" s="104">
        <v>23690000</v>
      </c>
      <c r="E8" s="95">
        <v>22990000</v>
      </c>
      <c r="F8" s="89">
        <v>23590000</v>
      </c>
      <c r="G8" s="110">
        <v>23390000</v>
      </c>
      <c r="H8" s="26"/>
      <c r="I8" s="121">
        <f>IFERROR(E8-W5Q2FY26!E8,"OOS")</f>
        <v>0</v>
      </c>
    </row>
    <row r="9" spans="1:12" x14ac:dyDescent="0.2">
      <c r="A9" t="s">
        <v>182</v>
      </c>
      <c r="B9" s="25"/>
      <c r="C9" s="86">
        <v>25590000</v>
      </c>
      <c r="D9" s="105">
        <v>25590000</v>
      </c>
      <c r="E9" s="96" t="s">
        <v>22</v>
      </c>
      <c r="F9" s="89">
        <v>26590000</v>
      </c>
      <c r="G9" s="110">
        <v>24990000</v>
      </c>
      <c r="H9" s="26"/>
      <c r="I9" s="121" t="str">
        <f>IFERROR(E9-W5Q2FY26!E9,"OOS")</f>
        <v>OOS</v>
      </c>
    </row>
    <row r="10" spans="1:12" x14ac:dyDescent="0.2">
      <c r="A10" t="s">
        <v>183</v>
      </c>
      <c r="B10" s="3"/>
      <c r="C10" s="97">
        <v>31590000</v>
      </c>
      <c r="D10" s="106">
        <v>31490000</v>
      </c>
      <c r="E10" s="96" t="s">
        <v>22</v>
      </c>
      <c r="F10" s="89">
        <v>31490000</v>
      </c>
      <c r="G10" s="110">
        <v>31190000</v>
      </c>
      <c r="H10" s="26"/>
      <c r="I10" s="121" t="str">
        <f>IFERROR(E10-W5Q2FY26!E10,"OOS")</f>
        <v>OOS</v>
      </c>
    </row>
    <row r="11" spans="1:12" x14ac:dyDescent="0.2">
      <c r="A11" t="s">
        <v>25</v>
      </c>
      <c r="B11" s="25"/>
      <c r="C11" s="86">
        <v>16990000</v>
      </c>
      <c r="D11" s="104">
        <v>16790000</v>
      </c>
      <c r="E11" s="116">
        <v>16490000</v>
      </c>
      <c r="F11" s="90">
        <v>16790000</v>
      </c>
      <c r="G11" s="110">
        <v>16390000</v>
      </c>
      <c r="H11" s="26"/>
      <c r="I11" s="121">
        <f>IFERROR(E11-W5Q2FY26!E11,"OOS")</f>
        <v>0</v>
      </c>
    </row>
    <row r="12" spans="1:12" x14ac:dyDescent="0.2">
      <c r="A12" t="s">
        <v>26</v>
      </c>
      <c r="B12" s="25"/>
      <c r="C12" s="97">
        <v>19990000</v>
      </c>
      <c r="D12" s="86" t="s">
        <v>22</v>
      </c>
      <c r="E12" s="116" t="s">
        <v>22</v>
      </c>
      <c r="F12" s="90">
        <v>17690000</v>
      </c>
      <c r="G12" s="110">
        <v>18490000</v>
      </c>
      <c r="H12" s="26"/>
      <c r="I12" s="121" t="str">
        <f>IFERROR(E12-W5Q2FY26!E12,"OOS")</f>
        <v>OOS</v>
      </c>
    </row>
    <row r="13" spans="1:12" x14ac:dyDescent="0.2">
      <c r="A13" t="s">
        <v>27</v>
      </c>
      <c r="B13" s="25"/>
      <c r="C13" s="86">
        <v>13990000</v>
      </c>
      <c r="D13" s="106">
        <v>13890000</v>
      </c>
      <c r="E13" s="116">
        <v>13590000</v>
      </c>
      <c r="F13" s="89">
        <v>13890000</v>
      </c>
      <c r="G13" s="110">
        <v>12990000</v>
      </c>
      <c r="H13" s="26"/>
      <c r="I13" s="121">
        <f>IFERROR(E13-W5Q2FY26!E13,"OOS")</f>
        <v>0</v>
      </c>
    </row>
    <row r="14" spans="1:12" x14ac:dyDescent="0.2">
      <c r="A14" t="s">
        <v>28</v>
      </c>
      <c r="B14" s="3"/>
      <c r="C14" s="86">
        <v>12490000</v>
      </c>
      <c r="D14" s="120">
        <v>12290000</v>
      </c>
      <c r="E14" s="95">
        <v>11990000</v>
      </c>
      <c r="F14" s="89">
        <v>12290000</v>
      </c>
      <c r="G14" s="110">
        <v>11890000</v>
      </c>
      <c r="H14" s="26"/>
      <c r="I14" s="121">
        <f>IFERROR(E14-W5Q2FY26!E14,"OOS")</f>
        <v>0</v>
      </c>
    </row>
    <row r="15" spans="1:12" x14ac:dyDescent="0.2">
      <c r="A15" t="s">
        <v>29</v>
      </c>
      <c r="B15" s="25"/>
      <c r="C15" s="97">
        <v>11790000</v>
      </c>
      <c r="D15" s="106">
        <v>11790000</v>
      </c>
      <c r="E15" s="95">
        <v>11290000</v>
      </c>
      <c r="F15" s="89">
        <v>11790000</v>
      </c>
      <c r="G15" s="110">
        <v>11590000</v>
      </c>
      <c r="H15" s="26"/>
      <c r="I15" s="121">
        <f>IFERROR(E15-W5Q2FY26!E15,"OOS")</f>
        <v>-2000000</v>
      </c>
    </row>
    <row r="16" spans="1:12" x14ac:dyDescent="0.2">
      <c r="A16" t="s">
        <v>30</v>
      </c>
      <c r="B16" s="3"/>
      <c r="C16" s="106">
        <v>8490000</v>
      </c>
      <c r="D16" s="106">
        <v>8490000</v>
      </c>
      <c r="E16" s="95">
        <v>8490000</v>
      </c>
      <c r="F16" s="89">
        <v>8490000</v>
      </c>
      <c r="G16" s="111">
        <v>8290000</v>
      </c>
      <c r="H16" s="26">
        <v>-600</v>
      </c>
      <c r="I16" s="121">
        <f>IFERROR(E16-W5Q2FY26!E16,"OOS")</f>
        <v>-700000</v>
      </c>
      <c r="J16" t="s">
        <v>31</v>
      </c>
      <c r="K16" t="s">
        <v>32</v>
      </c>
      <c r="L16" t="b">
        <v>1</v>
      </c>
    </row>
    <row r="17" spans="1:12" x14ac:dyDescent="0.2">
      <c r="A17" t="s">
        <v>33</v>
      </c>
      <c r="B17" s="3"/>
      <c r="C17" s="97">
        <v>13690000</v>
      </c>
      <c r="D17" s="106">
        <v>13290000</v>
      </c>
      <c r="E17" s="116">
        <v>13290000</v>
      </c>
      <c r="F17" s="89">
        <v>13290000</v>
      </c>
      <c r="G17" s="110">
        <v>13190000</v>
      </c>
      <c r="H17" s="26"/>
      <c r="I17" s="121">
        <f>IFERROR(E17-W5Q2FY26!E17,"OOS")</f>
        <v>0</v>
      </c>
      <c r="J17" t="s">
        <v>2</v>
      </c>
      <c r="K17" t="s">
        <v>34</v>
      </c>
      <c r="L17" t="b">
        <v>1</v>
      </c>
    </row>
    <row r="18" spans="1:12" x14ac:dyDescent="0.2">
      <c r="A18" t="s">
        <v>37</v>
      </c>
      <c r="B18" s="25"/>
      <c r="C18" s="97">
        <v>19090000</v>
      </c>
      <c r="D18" s="106">
        <v>18990000</v>
      </c>
      <c r="E18" s="96">
        <v>18990000</v>
      </c>
      <c r="F18" s="89">
        <v>18990000</v>
      </c>
      <c r="G18" s="110">
        <v>18790000</v>
      </c>
      <c r="H18" s="78">
        <v>-200</v>
      </c>
      <c r="I18" s="121">
        <f>IFERROR(E18-W5Q2FY26!E18,"OOS")</f>
        <v>0</v>
      </c>
      <c r="J18" t="s">
        <v>3</v>
      </c>
      <c r="K18" t="s">
        <v>36</v>
      </c>
      <c r="L18" t="b">
        <v>1</v>
      </c>
    </row>
    <row r="19" spans="1:12" x14ac:dyDescent="0.2">
      <c r="A19" t="s">
        <v>184</v>
      </c>
      <c r="B19" s="25"/>
      <c r="C19" s="96" t="s">
        <v>22</v>
      </c>
      <c r="D19" s="106">
        <v>28490000</v>
      </c>
      <c r="E19" s="96" t="s">
        <v>22</v>
      </c>
      <c r="F19" s="90" t="s">
        <v>22</v>
      </c>
      <c r="G19" s="112" t="s">
        <v>22</v>
      </c>
      <c r="H19" s="26"/>
      <c r="I19" s="121" t="str">
        <f>IFERROR(E19-W5Q2FY26!E19,"OOS")</f>
        <v>OOS</v>
      </c>
      <c r="J19" t="s">
        <v>4</v>
      </c>
      <c r="K19" t="s">
        <v>38</v>
      </c>
      <c r="L19" t="b">
        <v>1</v>
      </c>
    </row>
    <row r="20" spans="1:12" x14ac:dyDescent="0.2">
      <c r="A20" t="s">
        <v>185</v>
      </c>
      <c r="B20" s="3"/>
      <c r="C20" s="96" t="s">
        <v>22</v>
      </c>
      <c r="D20" s="86">
        <v>36290000</v>
      </c>
      <c r="E20" s="96" t="s">
        <v>22</v>
      </c>
      <c r="F20" s="112" t="s">
        <v>22</v>
      </c>
      <c r="G20" s="112" t="s">
        <v>22</v>
      </c>
      <c r="H20" s="26"/>
      <c r="I20" s="121" t="str">
        <f>IFERROR(E20-W5Q2FY26!E20,"OOS")</f>
        <v>OOS</v>
      </c>
      <c r="J20" t="s">
        <v>41</v>
      </c>
      <c r="K20" t="s">
        <v>42</v>
      </c>
      <c r="L20" t="b">
        <v>1</v>
      </c>
    </row>
    <row r="21" spans="1:12" x14ac:dyDescent="0.2">
      <c r="A21" t="s">
        <v>40</v>
      </c>
      <c r="B21" s="3"/>
      <c r="C21" s="86">
        <v>29490000</v>
      </c>
      <c r="D21" s="104">
        <v>29190000</v>
      </c>
      <c r="E21" s="99">
        <v>28990000</v>
      </c>
      <c r="F21" s="89">
        <v>29190000</v>
      </c>
      <c r="G21" s="112">
        <v>28990000</v>
      </c>
      <c r="H21" s="26"/>
      <c r="I21" s="121">
        <f>IFERROR(E21-W5Q2FY26!E21,"OOS")</f>
        <v>0</v>
      </c>
    </row>
    <row r="22" spans="1:12" x14ac:dyDescent="0.2">
      <c r="A22" t="s">
        <v>43</v>
      </c>
      <c r="B22" s="3"/>
      <c r="C22" s="97">
        <v>38990000</v>
      </c>
      <c r="D22" s="109">
        <v>38590000</v>
      </c>
      <c r="E22" s="96">
        <v>38990000</v>
      </c>
      <c r="F22" s="90">
        <v>38990000</v>
      </c>
      <c r="G22" s="112">
        <v>38990000</v>
      </c>
      <c r="H22" s="26"/>
      <c r="I22" s="121">
        <f>IFERROR(E22-W5Q2FY26!E22,"OOS")</f>
        <v>0</v>
      </c>
    </row>
    <row r="23" spans="1:12" x14ac:dyDescent="0.2">
      <c r="A23" t="s">
        <v>44</v>
      </c>
      <c r="B23" s="25"/>
      <c r="C23" s="97">
        <v>6390000</v>
      </c>
      <c r="D23" s="106">
        <v>6290000</v>
      </c>
      <c r="E23" s="95">
        <v>6190000</v>
      </c>
      <c r="F23" s="89">
        <v>6290000</v>
      </c>
      <c r="G23" s="123">
        <v>6290000</v>
      </c>
      <c r="H23" s="26">
        <v>-300</v>
      </c>
      <c r="I23" s="121">
        <f>IFERROR(E23-W5Q2FY26!E23,"OOS")</f>
        <v>-300000</v>
      </c>
    </row>
    <row r="24" spans="1:12" x14ac:dyDescent="0.2">
      <c r="A24" t="s">
        <v>45</v>
      </c>
      <c r="B24" s="25"/>
      <c r="C24" s="97">
        <v>7890000</v>
      </c>
      <c r="D24" s="106">
        <v>7690000</v>
      </c>
      <c r="E24" s="95">
        <v>7790000</v>
      </c>
      <c r="F24" s="89">
        <v>7690000</v>
      </c>
      <c r="G24" s="111">
        <v>7690000</v>
      </c>
      <c r="H24" s="122">
        <v>-600</v>
      </c>
      <c r="I24" s="121">
        <f>IFERROR(E24-W5Q2FY26!E24,"OOS")</f>
        <v>-200000</v>
      </c>
    </row>
    <row r="25" spans="1:12" x14ac:dyDescent="0.2">
      <c r="A25" t="s">
        <v>46</v>
      </c>
      <c r="B25" s="25"/>
      <c r="C25" s="97">
        <v>7290000</v>
      </c>
      <c r="D25" s="106">
        <v>7290000</v>
      </c>
      <c r="E25" s="95">
        <v>6990000</v>
      </c>
      <c r="F25" s="89">
        <v>7290000</v>
      </c>
      <c r="G25" s="111">
        <v>7090000</v>
      </c>
      <c r="H25" s="26">
        <v>-600</v>
      </c>
      <c r="I25" s="121">
        <f>IFERROR(E25-W5Q2FY26!E25,"OOS")</f>
        <v>-400000</v>
      </c>
    </row>
    <row r="26" spans="1:12" x14ac:dyDescent="0.2">
      <c r="A26" t="s">
        <v>47</v>
      </c>
      <c r="B26" s="25"/>
      <c r="C26" s="86" t="s">
        <v>22</v>
      </c>
      <c r="D26" s="106">
        <v>8790000</v>
      </c>
      <c r="E26" s="95">
        <v>8590000</v>
      </c>
      <c r="F26" s="89">
        <v>8990000</v>
      </c>
      <c r="G26" s="111">
        <v>8690000</v>
      </c>
      <c r="H26" s="26">
        <v>-300</v>
      </c>
      <c r="I26" s="121">
        <f>IFERROR(E26-W5Q2FY26!E26,"OOS")</f>
        <v>-400000</v>
      </c>
    </row>
    <row r="27" spans="1:12" x14ac:dyDescent="0.2">
      <c r="A27" t="s">
        <v>48</v>
      </c>
      <c r="B27" s="3"/>
      <c r="C27" s="97">
        <v>9190000</v>
      </c>
      <c r="D27" s="104">
        <v>11190000</v>
      </c>
      <c r="E27" s="95">
        <v>8990000</v>
      </c>
      <c r="F27" s="89">
        <v>9190000</v>
      </c>
      <c r="G27" s="110">
        <v>8990000</v>
      </c>
      <c r="H27" s="26">
        <v>-2000</v>
      </c>
      <c r="I27" s="121">
        <f>IFERROR(E27-W5Q2FY26!E27,"OOS")</f>
        <v>-1700000</v>
      </c>
    </row>
    <row r="28" spans="1:12" x14ac:dyDescent="0.2">
      <c r="A28" t="s">
        <v>49</v>
      </c>
      <c r="B28" s="3"/>
      <c r="C28" s="97" t="s">
        <v>22</v>
      </c>
      <c r="D28" s="106">
        <v>12190000</v>
      </c>
      <c r="E28" s="95">
        <v>11990000</v>
      </c>
      <c r="F28" s="89">
        <v>12190000</v>
      </c>
      <c r="G28" s="110">
        <v>11990000</v>
      </c>
      <c r="H28" s="26">
        <v>-2000</v>
      </c>
      <c r="I28" s="121">
        <f>IFERROR(E28-W5Q2FY26!E28,"OOS")</f>
        <v>-2000000</v>
      </c>
    </row>
    <row r="29" spans="1:12" x14ac:dyDescent="0.2">
      <c r="A29" t="s">
        <v>50</v>
      </c>
      <c r="B29" s="3"/>
      <c r="C29" s="97">
        <v>10090000</v>
      </c>
      <c r="D29" s="106">
        <v>9990000</v>
      </c>
      <c r="E29" s="95">
        <v>9690000</v>
      </c>
      <c r="F29" s="89">
        <v>9990000</v>
      </c>
      <c r="G29" s="110">
        <v>9990000</v>
      </c>
      <c r="H29" s="26">
        <v>-2000</v>
      </c>
      <c r="I29" s="121">
        <f>IFERROR(E29-W5Q2FY26!E29,"OOS")</f>
        <v>-1800000</v>
      </c>
    </row>
    <row r="30" spans="1:12" x14ac:dyDescent="0.2">
      <c r="A30" t="s">
        <v>51</v>
      </c>
      <c r="B30" s="3"/>
      <c r="C30" s="97">
        <v>13090000</v>
      </c>
      <c r="D30" s="106">
        <v>12990000</v>
      </c>
      <c r="E30" s="95">
        <v>12490000</v>
      </c>
      <c r="F30" s="89">
        <v>12990000</v>
      </c>
      <c r="G30" s="110">
        <v>12990000</v>
      </c>
      <c r="H30" s="26">
        <v>-2000</v>
      </c>
      <c r="I30" s="121">
        <f>IFERROR(E30-W5Q2FY26!E30,"OOS")</f>
        <v>-2000000</v>
      </c>
    </row>
    <row r="31" spans="1:12" x14ac:dyDescent="0.2">
      <c r="A31" t="s">
        <v>52</v>
      </c>
      <c r="B31" s="25"/>
      <c r="C31" s="86">
        <v>23490000</v>
      </c>
      <c r="D31" s="104">
        <v>22990000</v>
      </c>
      <c r="E31" s="96">
        <v>22490000</v>
      </c>
      <c r="F31" s="90">
        <v>22990000</v>
      </c>
      <c r="G31" s="110">
        <v>22990000</v>
      </c>
      <c r="H31" s="26"/>
      <c r="I31" s="121">
        <f>IFERROR(E31-W5Q2FY26!E31,"OOS")</f>
        <v>0</v>
      </c>
    </row>
    <row r="32" spans="1:12" x14ac:dyDescent="0.2">
      <c r="A32" t="s">
        <v>53</v>
      </c>
      <c r="B32" s="3"/>
      <c r="C32" s="86">
        <v>4890000</v>
      </c>
      <c r="D32" s="104">
        <v>4990000</v>
      </c>
      <c r="E32" s="116" t="s">
        <v>22</v>
      </c>
      <c r="F32" s="90">
        <v>4950000</v>
      </c>
      <c r="G32" s="110">
        <v>5590000</v>
      </c>
      <c r="H32" s="26"/>
      <c r="I32" s="121" t="str">
        <f>IFERROR(E32-W5Q2FY26!E32,"OOS")</f>
        <v>OOS</v>
      </c>
      <c r="J32" s="83"/>
    </row>
    <row r="33" spans="1:9" x14ac:dyDescent="0.2">
      <c r="A33" t="s">
        <v>54</v>
      </c>
      <c r="B33" s="3"/>
      <c r="C33" s="97">
        <v>4290000</v>
      </c>
      <c r="D33" s="106">
        <v>4290000</v>
      </c>
      <c r="E33" s="95">
        <v>4390000</v>
      </c>
      <c r="F33" s="89">
        <v>4290000</v>
      </c>
      <c r="G33" s="111">
        <v>4290000</v>
      </c>
      <c r="H33" s="26">
        <v>-600</v>
      </c>
      <c r="I33" s="121">
        <f>IFERROR(E33-W5Q2FY26!E33,"OOS")</f>
        <v>-100000</v>
      </c>
    </row>
    <row r="34" spans="1:9" x14ac:dyDescent="0.2">
      <c r="A34" t="s">
        <v>55</v>
      </c>
      <c r="B34" s="3"/>
      <c r="C34" s="97">
        <v>2990000</v>
      </c>
      <c r="D34" s="106">
        <v>2990000</v>
      </c>
      <c r="E34" s="95">
        <v>2990000</v>
      </c>
      <c r="F34" s="89">
        <v>2990000</v>
      </c>
      <c r="G34" s="111">
        <v>2990000</v>
      </c>
      <c r="H34" s="26">
        <v>-400</v>
      </c>
      <c r="I34" s="121">
        <f>IFERROR(E34-W5Q2FY26!E34,"OOS")</f>
        <v>-400000</v>
      </c>
    </row>
    <row r="35" spans="1:9" x14ac:dyDescent="0.2">
      <c r="A35" t="s">
        <v>56</v>
      </c>
      <c r="B35" s="3"/>
      <c r="C35" s="97">
        <v>6490000</v>
      </c>
      <c r="D35" s="106">
        <v>6490000</v>
      </c>
      <c r="E35" s="92">
        <v>6290000</v>
      </c>
      <c r="F35" s="89">
        <v>6490000</v>
      </c>
      <c r="G35" s="111">
        <v>6490000</v>
      </c>
      <c r="H35" s="26">
        <v>-600</v>
      </c>
      <c r="I35" s="121">
        <f>IFERROR(E35-W5Q2FY26!E35,"OOS")</f>
        <v>-100000</v>
      </c>
    </row>
    <row r="36" spans="1:9" x14ac:dyDescent="0.2">
      <c r="A36" t="s">
        <v>186</v>
      </c>
      <c r="B36" s="25"/>
      <c r="C36" s="86">
        <v>19690000</v>
      </c>
      <c r="D36" s="104">
        <v>19690000</v>
      </c>
      <c r="E36" s="101"/>
      <c r="F36" s="90">
        <v>19690000</v>
      </c>
      <c r="G36" s="110">
        <v>18990000</v>
      </c>
      <c r="H36" s="26"/>
      <c r="I36" s="121">
        <f>IFERROR(E36-W5Q2FY26!E36,"OOS")</f>
        <v>0</v>
      </c>
    </row>
    <row r="37" spans="1:9" x14ac:dyDescent="0.2">
      <c r="A37" t="s">
        <v>59</v>
      </c>
      <c r="B37" s="3"/>
      <c r="C37" s="86">
        <v>23990000</v>
      </c>
      <c r="D37" s="104">
        <v>23990000</v>
      </c>
      <c r="E37" s="101"/>
      <c r="F37" s="90">
        <v>23990000</v>
      </c>
      <c r="G37" s="110">
        <v>23690000</v>
      </c>
      <c r="H37" s="26"/>
      <c r="I37" s="121">
        <f>IFERROR(E37-W5Q2FY26!E37,"OOS")</f>
        <v>0</v>
      </c>
    </row>
    <row r="38" spans="1:9" x14ac:dyDescent="0.2">
      <c r="A38" t="s">
        <v>61</v>
      </c>
      <c r="B38" s="25"/>
      <c r="C38" s="86">
        <v>28990000</v>
      </c>
      <c r="D38" s="104">
        <v>28990000</v>
      </c>
      <c r="E38" s="101"/>
      <c r="F38" s="90">
        <v>28990000</v>
      </c>
      <c r="G38" s="110">
        <v>28590000</v>
      </c>
      <c r="H38" s="26"/>
      <c r="I38" s="121">
        <f>IFERROR(E38-W5Q2FY26!E38,"OOS")</f>
        <v>0</v>
      </c>
    </row>
    <row r="39" spans="1:9" x14ac:dyDescent="0.2">
      <c r="A39" t="s">
        <v>187</v>
      </c>
      <c r="B39" s="25"/>
      <c r="C39" s="86" t="s">
        <v>22</v>
      </c>
      <c r="D39" s="86" t="s">
        <v>22</v>
      </c>
      <c r="E39" s="101"/>
      <c r="F39" s="90">
        <v>38590000</v>
      </c>
      <c r="G39" s="110">
        <v>38390000</v>
      </c>
      <c r="H39" s="26"/>
      <c r="I39" s="121">
        <f>IFERROR(E39-W5Q2FY26!E39,"OOS")</f>
        <v>0</v>
      </c>
    </row>
    <row r="40" spans="1:9" x14ac:dyDescent="0.2">
      <c r="A40" t="s">
        <v>62</v>
      </c>
      <c r="B40" s="25"/>
      <c r="C40" s="86">
        <v>41890000</v>
      </c>
      <c r="D40" s="106">
        <v>40690000</v>
      </c>
      <c r="E40" s="101"/>
      <c r="F40" s="90">
        <v>41990000</v>
      </c>
      <c r="G40" s="110">
        <v>41990000</v>
      </c>
      <c r="H40" s="26"/>
      <c r="I40" s="121">
        <f>IFERROR(E40-W5Q2FY26!E40,"OOS")</f>
        <v>0</v>
      </c>
    </row>
    <row r="41" spans="1:9" x14ac:dyDescent="0.2">
      <c r="A41" t="s">
        <v>188</v>
      </c>
      <c r="B41" s="25"/>
      <c r="C41" s="86" t="s">
        <v>22</v>
      </c>
      <c r="D41" s="104">
        <v>63990000</v>
      </c>
      <c r="E41" s="101"/>
      <c r="F41" s="90">
        <v>63990000</v>
      </c>
      <c r="G41" s="110">
        <v>63990000</v>
      </c>
      <c r="I41" s="121">
        <f>IFERROR(E41-W5Q2FY26!E41,"OOS")</f>
        <v>0</v>
      </c>
    </row>
    <row r="42" spans="1:9" x14ac:dyDescent="0.2">
      <c r="C42" s="59"/>
      <c r="D42" s="59"/>
    </row>
    <row r="43" spans="1:9" x14ac:dyDescent="0.2">
      <c r="C43" s="59"/>
      <c r="D43" s="59"/>
    </row>
    <row r="44" spans="1:9" x14ac:dyDescent="0.2">
      <c r="C44" s="59"/>
      <c r="D44" s="59"/>
    </row>
    <row r="45" spans="1:9" x14ac:dyDescent="0.2">
      <c r="C45" s="59"/>
      <c r="D45" s="59"/>
    </row>
    <row r="46" spans="1:9" x14ac:dyDescent="0.2">
      <c r="C46" s="59"/>
      <c r="D46" s="59"/>
    </row>
    <row r="47" spans="1:9" x14ac:dyDescent="0.2">
      <c r="C47" s="59"/>
      <c r="D47" s="59"/>
    </row>
    <row r="48" spans="1:9" x14ac:dyDescent="0.2">
      <c r="C48" s="59"/>
      <c r="D48" s="59"/>
    </row>
    <row r="49" spans="3:4" x14ac:dyDescent="0.2">
      <c r="C49" s="59"/>
      <c r="D49" s="59"/>
    </row>
    <row r="50" spans="3:4" x14ac:dyDescent="0.2">
      <c r="C50" s="59"/>
      <c r="D50" s="59"/>
    </row>
    <row r="51" spans="3:4" x14ac:dyDescent="0.2">
      <c r="C51" s="59"/>
      <c r="D51" s="59"/>
    </row>
    <row r="52" spans="3:4" x14ac:dyDescent="0.2">
      <c r="C52" s="59"/>
      <c r="D52" s="59"/>
    </row>
    <row r="53" spans="3:4" x14ac:dyDescent="0.2">
      <c r="C53" s="59"/>
      <c r="D53" s="59"/>
    </row>
    <row r="54" spans="3:4" x14ac:dyDescent="0.2">
      <c r="C54" s="59"/>
      <c r="D54" s="59"/>
    </row>
    <row r="55" spans="3:4" x14ac:dyDescent="0.2">
      <c r="C55" s="59"/>
      <c r="D55" s="59"/>
    </row>
    <row r="56" spans="3:4" x14ac:dyDescent="0.2">
      <c r="C56" s="59"/>
      <c r="D56" s="59"/>
    </row>
    <row r="57" spans="3:4" x14ac:dyDescent="0.2">
      <c r="C57" s="59"/>
      <c r="D57" s="59"/>
    </row>
    <row r="58" spans="3:4" x14ac:dyDescent="0.2">
      <c r="C58" s="59"/>
      <c r="D58" s="59"/>
    </row>
    <row r="59" spans="3:4" x14ac:dyDescent="0.2">
      <c r="C59" s="59"/>
      <c r="D59" s="59"/>
    </row>
    <row r="60" spans="3:4" x14ac:dyDescent="0.2">
      <c r="C60" s="59"/>
      <c r="D60" s="59"/>
    </row>
    <row r="61" spans="3:4" x14ac:dyDescent="0.2">
      <c r="C61" s="59"/>
      <c r="D61" s="59"/>
    </row>
    <row r="62" spans="3:4" x14ac:dyDescent="0.2">
      <c r="C62" s="59"/>
      <c r="D62" s="59"/>
    </row>
    <row r="63" spans="3:4" x14ac:dyDescent="0.2">
      <c r="C63" s="59"/>
      <c r="D63" s="59"/>
    </row>
    <row r="64" spans="3:4" x14ac:dyDescent="0.2">
      <c r="C64" s="59"/>
      <c r="D64" s="59"/>
    </row>
    <row r="65" spans="3:4" x14ac:dyDescent="0.2">
      <c r="C65" s="59"/>
      <c r="D65" s="59"/>
    </row>
    <row r="66" spans="3:4" x14ac:dyDescent="0.2">
      <c r="C66" s="59"/>
      <c r="D66" s="59"/>
    </row>
    <row r="67" spans="3:4" x14ac:dyDescent="0.2">
      <c r="C67" s="59"/>
      <c r="D67" s="59"/>
    </row>
    <row r="68" spans="3:4" x14ac:dyDescent="0.2">
      <c r="C68" s="59"/>
      <c r="D68" s="59"/>
    </row>
    <row r="69" spans="3:4" x14ac:dyDescent="0.2">
      <c r="C69" s="59"/>
      <c r="D69" s="59"/>
    </row>
    <row r="70" spans="3:4" x14ac:dyDescent="0.2">
      <c r="C70" s="59"/>
      <c r="D70" s="59"/>
    </row>
    <row r="71" spans="3:4" x14ac:dyDescent="0.2">
      <c r="C71" s="59"/>
      <c r="D71" s="59"/>
    </row>
    <row r="72" spans="3:4" x14ac:dyDescent="0.2">
      <c r="C72" s="59"/>
      <c r="D72" s="59"/>
    </row>
    <row r="73" spans="3:4" x14ac:dyDescent="0.2">
      <c r="C73" s="59"/>
      <c r="D73" s="59"/>
    </row>
    <row r="74" spans="3:4" x14ac:dyDescent="0.2">
      <c r="C74" s="59"/>
      <c r="D74" s="59"/>
    </row>
    <row r="75" spans="3:4" x14ac:dyDescent="0.2">
      <c r="C75" s="59"/>
      <c r="D75" s="59"/>
    </row>
    <row r="76" spans="3:4" x14ac:dyDescent="0.2">
      <c r="C76" s="59"/>
      <c r="D76" s="59"/>
    </row>
    <row r="77" spans="3:4" x14ac:dyDescent="0.2">
      <c r="C77" s="59"/>
      <c r="D77" s="59"/>
    </row>
    <row r="78" spans="3:4" x14ac:dyDescent="0.2">
      <c r="C78" s="59"/>
      <c r="D78" s="59"/>
    </row>
    <row r="79" spans="3:4" x14ac:dyDescent="0.2">
      <c r="C79" s="59"/>
      <c r="D79" s="59"/>
    </row>
    <row r="80" spans="3:4" x14ac:dyDescent="0.2">
      <c r="C80" s="59"/>
      <c r="D80" s="59"/>
    </row>
    <row r="81" spans="3:4" x14ac:dyDescent="0.2">
      <c r="C81" s="59"/>
      <c r="D81" s="59"/>
    </row>
    <row r="82" spans="3:4" x14ac:dyDescent="0.2">
      <c r="C82" s="59"/>
      <c r="D82" s="59"/>
    </row>
    <row r="83" spans="3:4" x14ac:dyDescent="0.2">
      <c r="C83" s="59"/>
      <c r="D83" s="59"/>
    </row>
    <row r="84" spans="3:4" x14ac:dyDescent="0.2">
      <c r="C84" s="59"/>
      <c r="D84" s="59"/>
    </row>
    <row r="85" spans="3:4" x14ac:dyDescent="0.2">
      <c r="C85" s="59"/>
      <c r="D85" s="59"/>
    </row>
    <row r="86" spans="3:4" x14ac:dyDescent="0.2">
      <c r="C86" s="59"/>
      <c r="D86" s="59"/>
    </row>
    <row r="87" spans="3:4" x14ac:dyDescent="0.2">
      <c r="C87" s="59"/>
      <c r="D87" s="59"/>
    </row>
    <row r="88" spans="3:4" x14ac:dyDescent="0.2">
      <c r="C88" s="59"/>
      <c r="D88" s="59"/>
    </row>
    <row r="89" spans="3:4" x14ac:dyDescent="0.2">
      <c r="C89" s="59"/>
      <c r="D89" s="59"/>
    </row>
    <row r="90" spans="3:4" x14ac:dyDescent="0.2">
      <c r="C90" s="59"/>
      <c r="D90" s="59"/>
    </row>
    <row r="91" spans="3:4" x14ac:dyDescent="0.2">
      <c r="C91" s="59"/>
      <c r="D91" s="59"/>
    </row>
    <row r="92" spans="3:4" x14ac:dyDescent="0.2">
      <c r="C92" s="59"/>
      <c r="D92" s="59"/>
    </row>
    <row r="93" spans="3:4" x14ac:dyDescent="0.2">
      <c r="C93" s="59"/>
      <c r="D93" s="59"/>
    </row>
    <row r="94" spans="3:4" x14ac:dyDescent="0.2">
      <c r="C94" s="59"/>
      <c r="D94" s="59"/>
    </row>
    <row r="95" spans="3:4" x14ac:dyDescent="0.2">
      <c r="C95" s="59"/>
      <c r="D95" s="59"/>
    </row>
    <row r="96" spans="3:4" x14ac:dyDescent="0.2">
      <c r="C96" s="59"/>
      <c r="D96" s="59"/>
    </row>
    <row r="97" spans="3:4" x14ac:dyDescent="0.2">
      <c r="C97" s="59"/>
      <c r="D97" s="59"/>
    </row>
    <row r="98" spans="3:4" x14ac:dyDescent="0.2">
      <c r="C98" s="59"/>
      <c r="D98" s="59"/>
    </row>
    <row r="99" spans="3:4" x14ac:dyDescent="0.2">
      <c r="C99" s="59"/>
      <c r="D99" s="59"/>
    </row>
    <row r="100" spans="3:4" x14ac:dyDescent="0.2">
      <c r="C100" s="59"/>
      <c r="D100" s="59"/>
    </row>
    <row r="101" spans="3:4" x14ac:dyDescent="0.2">
      <c r="C101" s="59"/>
      <c r="D101" s="59"/>
    </row>
    <row r="102" spans="3:4" x14ac:dyDescent="0.2">
      <c r="C102" s="59"/>
      <c r="D102" s="59"/>
    </row>
    <row r="103" spans="3:4" x14ac:dyDescent="0.2">
      <c r="C103" s="59"/>
      <c r="D103" s="59"/>
    </row>
    <row r="104" spans="3:4" x14ac:dyDescent="0.2">
      <c r="C104" s="59"/>
      <c r="D104" s="59"/>
    </row>
    <row r="105" spans="3:4" x14ac:dyDescent="0.2">
      <c r="C105" s="59"/>
      <c r="D105" s="59"/>
    </row>
    <row r="106" spans="3:4" x14ac:dyDescent="0.2">
      <c r="C106" s="59"/>
      <c r="D106" s="59"/>
    </row>
    <row r="107" spans="3:4" x14ac:dyDescent="0.2">
      <c r="C107" s="59"/>
      <c r="D107" s="59"/>
    </row>
    <row r="108" spans="3:4" x14ac:dyDescent="0.2">
      <c r="C108" s="59"/>
      <c r="D108" s="59"/>
    </row>
    <row r="109" spans="3:4" x14ac:dyDescent="0.2">
      <c r="C109" s="59"/>
      <c r="D109" s="59"/>
    </row>
    <row r="110" spans="3:4" x14ac:dyDescent="0.2">
      <c r="C110" s="59"/>
      <c r="D110" s="59"/>
    </row>
    <row r="111" spans="3:4" x14ac:dyDescent="0.2">
      <c r="C111" s="59"/>
      <c r="D111" s="59"/>
    </row>
    <row r="112" spans="3:4" x14ac:dyDescent="0.2">
      <c r="C112" s="59"/>
      <c r="D112" s="59"/>
    </row>
    <row r="113" spans="3:4" x14ac:dyDescent="0.2">
      <c r="C113" s="59"/>
      <c r="D113" s="59"/>
    </row>
    <row r="114" spans="3:4" x14ac:dyDescent="0.2">
      <c r="C114" s="59"/>
      <c r="D114" s="59"/>
    </row>
    <row r="115" spans="3:4" x14ac:dyDescent="0.2">
      <c r="C115" s="59"/>
      <c r="D115" s="59"/>
    </row>
    <row r="116" spans="3:4" x14ac:dyDescent="0.2">
      <c r="C116" s="59"/>
      <c r="D116" s="59"/>
    </row>
    <row r="117" spans="3:4" x14ac:dyDescent="0.2">
      <c r="C117" s="59"/>
      <c r="D117" s="59"/>
    </row>
    <row r="118" spans="3:4" x14ac:dyDescent="0.2">
      <c r="C118" s="59"/>
      <c r="D118" s="59"/>
    </row>
    <row r="119" spans="3:4" x14ac:dyDescent="0.2">
      <c r="C119" s="59"/>
      <c r="D119" s="59"/>
    </row>
    <row r="120" spans="3:4" x14ac:dyDescent="0.2">
      <c r="C120" s="59"/>
      <c r="D120" s="59"/>
    </row>
    <row r="121" spans="3:4" x14ac:dyDescent="0.2">
      <c r="C121" s="59"/>
      <c r="D121" s="59"/>
    </row>
    <row r="122" spans="3:4" x14ac:dyDescent="0.2">
      <c r="C122" s="59"/>
      <c r="D122" s="59"/>
    </row>
    <row r="123" spans="3:4" x14ac:dyDescent="0.2">
      <c r="C123" s="59"/>
      <c r="D123" s="59"/>
    </row>
    <row r="124" spans="3:4" x14ac:dyDescent="0.2">
      <c r="C124" s="59"/>
      <c r="D124" s="59"/>
    </row>
    <row r="125" spans="3:4" x14ac:dyDescent="0.2">
      <c r="C125" s="59"/>
      <c r="D125" s="59"/>
    </row>
    <row r="126" spans="3:4" x14ac:dyDescent="0.2">
      <c r="C126" s="59"/>
      <c r="D126" s="59"/>
    </row>
    <row r="127" spans="3:4" x14ac:dyDescent="0.2">
      <c r="C127" s="59"/>
      <c r="D127" s="59"/>
    </row>
    <row r="128" spans="3:4" x14ac:dyDescent="0.2">
      <c r="C128" s="59"/>
      <c r="D128" s="59"/>
    </row>
    <row r="129" spans="3:4" x14ac:dyDescent="0.2">
      <c r="C129" s="59"/>
      <c r="D129" s="59"/>
    </row>
    <row r="130" spans="3:4" x14ac:dyDescent="0.2">
      <c r="C130" s="59"/>
      <c r="D130" s="59"/>
    </row>
    <row r="131" spans="3:4" x14ac:dyDescent="0.2">
      <c r="C131" s="59"/>
      <c r="D131" s="59"/>
    </row>
    <row r="132" spans="3:4" x14ac:dyDescent="0.2">
      <c r="C132" s="59"/>
      <c r="D132" s="59"/>
    </row>
    <row r="133" spans="3:4" x14ac:dyDescent="0.2">
      <c r="C133" s="59"/>
      <c r="D133" s="59"/>
    </row>
    <row r="134" spans="3:4" x14ac:dyDescent="0.2">
      <c r="C134" s="59"/>
      <c r="D134" s="59"/>
    </row>
    <row r="135" spans="3:4" x14ac:dyDescent="0.2">
      <c r="C135" s="59"/>
      <c r="D135" s="59"/>
    </row>
    <row r="136" spans="3:4" x14ac:dyDescent="0.2">
      <c r="C136" s="59"/>
      <c r="D136" s="59"/>
    </row>
    <row r="137" spans="3:4" x14ac:dyDescent="0.2">
      <c r="C137" s="59"/>
      <c r="D137" s="59"/>
    </row>
    <row r="138" spans="3:4" x14ac:dyDescent="0.2">
      <c r="C138" s="59"/>
      <c r="D138" s="59"/>
    </row>
    <row r="139" spans="3:4" x14ac:dyDescent="0.2">
      <c r="C139" s="59"/>
      <c r="D139" s="59"/>
    </row>
    <row r="140" spans="3:4" x14ac:dyDescent="0.2">
      <c r="C140" s="59"/>
      <c r="D140" s="59"/>
    </row>
    <row r="141" spans="3:4" x14ac:dyDescent="0.2">
      <c r="C141" s="59"/>
      <c r="D141" s="59"/>
    </row>
    <row r="142" spans="3:4" x14ac:dyDescent="0.2">
      <c r="C142" s="59"/>
      <c r="D142" s="59"/>
    </row>
    <row r="143" spans="3:4" x14ac:dyDescent="0.2">
      <c r="C143" s="59"/>
      <c r="D143" s="59"/>
    </row>
    <row r="144" spans="3:4" x14ac:dyDescent="0.2">
      <c r="C144" s="59"/>
      <c r="D144" s="59"/>
    </row>
    <row r="145" spans="3:4" x14ac:dyDescent="0.2">
      <c r="C145" s="59"/>
      <c r="D145" s="59"/>
    </row>
    <row r="146" spans="3:4" x14ac:dyDescent="0.2">
      <c r="C146" s="59"/>
      <c r="D146" s="59"/>
    </row>
    <row r="147" spans="3:4" x14ac:dyDescent="0.2">
      <c r="C147" s="59"/>
      <c r="D147" s="59"/>
    </row>
    <row r="148" spans="3:4" x14ac:dyDescent="0.2">
      <c r="C148" s="59"/>
      <c r="D148" s="59"/>
    </row>
    <row r="149" spans="3:4" x14ac:dyDescent="0.2">
      <c r="C149" s="59"/>
      <c r="D149" s="59"/>
    </row>
    <row r="150" spans="3:4" x14ac:dyDescent="0.2">
      <c r="C150" s="59"/>
      <c r="D150" s="59"/>
    </row>
    <row r="151" spans="3:4" x14ac:dyDescent="0.2">
      <c r="C151" s="59"/>
      <c r="D151" s="59"/>
    </row>
    <row r="152" spans="3:4" x14ac:dyDescent="0.2">
      <c r="C152" s="59"/>
      <c r="D152" s="59"/>
    </row>
    <row r="153" spans="3:4" x14ac:dyDescent="0.2">
      <c r="C153" s="59"/>
      <c r="D153" s="59"/>
    </row>
  </sheetData>
  <conditionalFormatting sqref="E2:E41">
    <cfRule type="expression" dxfId="88" priority="2">
      <formula>$I2=0</formula>
    </cfRule>
  </conditionalFormatting>
  <conditionalFormatting sqref="E2:E1000">
    <cfRule type="expression" dxfId="87" priority="1">
      <formula>AND($I2&lt;&gt;0,$I2&lt;&gt;"")</formula>
    </cfRule>
  </conditionalFormatting>
  <pageMargins left="0.7" right="0.7" top="0.75" bottom="0.75" header="0.3" footer="0.3"/>
  <pageSetup paperSize="9" orientation="portrait" horizontalDpi="0" verticalDpi="0"/>
  <legacyDrawing r:id="rId1"/>
</worksheet>
</file>

<file path=xl/worksheets/sheet9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E00-000000000000}">
  <dimension ref="A1:L153"/>
  <sheetViews>
    <sheetView zoomScale="112" zoomScaleNormal="140" workbookViewId="0">
      <pane xSplit="2" ySplit="1" topLeftCell="C18" activePane="bottomRight" state="frozen"/>
      <selection pane="topRight" activeCell="C1" sqref="C1"/>
      <selection pane="bottomLeft" activeCell="A2" sqref="A2"/>
      <selection pane="bottomRight" activeCell="C1" sqref="C1"/>
    </sheetView>
  </sheetViews>
  <sheetFormatPr baseColWidth="10" defaultColWidth="11" defaultRowHeight="16" x14ac:dyDescent="0.2"/>
  <cols>
    <col min="1" max="1" width="27.5" bestFit="1" customWidth="1"/>
    <col min="2" max="2" width="0" hidden="1"/>
    <col min="3" max="3" width="14.83203125" customWidth="1"/>
    <col min="4" max="4" width="16" customWidth="1"/>
    <col min="5" max="5" width="15.5" style="6" customWidth="1"/>
    <col min="6" max="6" width="14.33203125" customWidth="1"/>
    <col min="7" max="7" width="13" customWidth="1"/>
    <col min="8" max="8" width="13.5" customWidth="1"/>
    <col min="9" max="9" width="11.33203125" style="121" bestFit="1" customWidth="1"/>
  </cols>
  <sheetData>
    <row r="1" spans="1:12" x14ac:dyDescent="0.2">
      <c r="B1" s="46" t="s">
        <v>0</v>
      </c>
      <c r="C1" s="80" t="s">
        <v>1</v>
      </c>
      <c r="D1" s="80" t="s">
        <v>2</v>
      </c>
      <c r="E1" s="115" t="s">
        <v>3</v>
      </c>
      <c r="F1" s="81" t="s">
        <v>4</v>
      </c>
      <c r="G1" s="81" t="s">
        <v>5</v>
      </c>
    </row>
    <row r="2" spans="1:12" x14ac:dyDescent="0.2">
      <c r="A2" t="s">
        <v>17</v>
      </c>
      <c r="B2" s="82"/>
      <c r="C2" s="84">
        <v>24990000</v>
      </c>
      <c r="D2" s="103">
        <v>24990000</v>
      </c>
      <c r="E2" s="116">
        <v>24190000</v>
      </c>
      <c r="F2" s="87">
        <v>24390000</v>
      </c>
      <c r="G2" s="111">
        <v>24190000</v>
      </c>
      <c r="H2">
        <v>-100</v>
      </c>
      <c r="I2" s="121">
        <f>IFERROR(E2-W6Q2FY26!E2,"OOS")</f>
        <v>0</v>
      </c>
    </row>
    <row r="3" spans="1:12" x14ac:dyDescent="0.2">
      <c r="A3" t="s">
        <v>18</v>
      </c>
      <c r="B3" s="82"/>
      <c r="C3" s="84">
        <v>24990000</v>
      </c>
      <c r="D3" s="103">
        <v>25290000</v>
      </c>
      <c r="E3" s="116">
        <v>24390000</v>
      </c>
      <c r="F3" s="89">
        <v>24990000</v>
      </c>
      <c r="G3" s="111">
        <v>24890000</v>
      </c>
      <c r="H3" s="26">
        <v>-100</v>
      </c>
      <c r="I3" s="121">
        <f>IFERROR(E3-W6Q2FY26!E3,"OOS")</f>
        <v>0</v>
      </c>
    </row>
    <row r="4" spans="1:12" x14ac:dyDescent="0.2">
      <c r="A4" t="s">
        <v>19</v>
      </c>
      <c r="B4" s="82"/>
      <c r="C4" s="85">
        <v>33590000</v>
      </c>
      <c r="D4" s="102">
        <v>33590000</v>
      </c>
      <c r="E4" s="116">
        <v>32790000</v>
      </c>
      <c r="F4" s="90">
        <v>33290000</v>
      </c>
      <c r="G4" s="111">
        <v>33290000</v>
      </c>
      <c r="H4" s="26">
        <v>-700</v>
      </c>
      <c r="I4" s="121">
        <f>IFERROR(E4-W6Q2FY26!E4,"OOS")</f>
        <v>0</v>
      </c>
    </row>
    <row r="5" spans="1:12" x14ac:dyDescent="0.2">
      <c r="A5" t="s">
        <v>20</v>
      </c>
      <c r="B5" s="82"/>
      <c r="C5" s="85">
        <v>37290000</v>
      </c>
      <c r="D5" s="103">
        <v>37290000</v>
      </c>
      <c r="E5" s="92">
        <v>36490000</v>
      </c>
      <c r="F5" s="90">
        <v>36990000</v>
      </c>
      <c r="G5" s="110">
        <v>36990000</v>
      </c>
      <c r="H5" s="26"/>
      <c r="I5" s="121">
        <f>IFERROR(E5-W6Q2FY26!E5,"OOS")</f>
        <v>0</v>
      </c>
    </row>
    <row r="6" spans="1:12" x14ac:dyDescent="0.2">
      <c r="A6" t="s">
        <v>21</v>
      </c>
      <c r="B6" s="82"/>
      <c r="C6" s="84">
        <v>15990000</v>
      </c>
      <c r="D6" s="86" t="s">
        <v>22</v>
      </c>
      <c r="E6" s="92">
        <v>12490000</v>
      </c>
      <c r="F6" s="93">
        <v>12490000</v>
      </c>
      <c r="G6" s="110">
        <v>15190000</v>
      </c>
      <c r="H6" s="26"/>
      <c r="I6" s="121">
        <f>IFERROR(E6-W6Q2FY26!E6,"OOS")</f>
        <v>0</v>
      </c>
    </row>
    <row r="7" spans="1:12" x14ac:dyDescent="0.2">
      <c r="A7" t="s">
        <v>181</v>
      </c>
      <c r="B7" s="70"/>
      <c r="C7" s="94">
        <v>19990000</v>
      </c>
      <c r="D7" s="108">
        <v>19590000</v>
      </c>
      <c r="E7" s="95">
        <v>19390000</v>
      </c>
      <c r="F7" s="90">
        <v>19590000</v>
      </c>
      <c r="G7" s="110">
        <v>19490000</v>
      </c>
      <c r="H7" s="26"/>
      <c r="I7" s="121">
        <f>IFERROR(E7-W6Q2FY26!E7,"OOS")</f>
        <v>0</v>
      </c>
    </row>
    <row r="8" spans="1:12" x14ac:dyDescent="0.2">
      <c r="A8" t="s">
        <v>24</v>
      </c>
      <c r="B8" s="3"/>
      <c r="C8" s="86">
        <v>23990000</v>
      </c>
      <c r="D8" s="104">
        <v>23590000</v>
      </c>
      <c r="E8" s="95">
        <v>22990000</v>
      </c>
      <c r="F8" s="90">
        <v>23590000</v>
      </c>
      <c r="G8" s="110">
        <v>23390000</v>
      </c>
      <c r="H8" s="26"/>
      <c r="I8" s="121">
        <f>IFERROR(E8-W6Q2FY26!E8,"OOS")</f>
        <v>0</v>
      </c>
    </row>
    <row r="9" spans="1:12" x14ac:dyDescent="0.2">
      <c r="A9" t="s">
        <v>182</v>
      </c>
      <c r="B9" s="25"/>
      <c r="C9" s="86">
        <v>25590000</v>
      </c>
      <c r="D9" s="105">
        <v>25590000</v>
      </c>
      <c r="E9" s="96" t="s">
        <v>22</v>
      </c>
      <c r="F9" s="90">
        <v>26590000</v>
      </c>
      <c r="G9" s="110">
        <v>24990000</v>
      </c>
      <c r="H9" s="26"/>
      <c r="I9" s="121" t="str">
        <f>IFERROR(E9-W6Q2FY26!E9,"OOS")</f>
        <v>OOS</v>
      </c>
    </row>
    <row r="10" spans="1:12" x14ac:dyDescent="0.2">
      <c r="A10" t="s">
        <v>183</v>
      </c>
      <c r="B10" s="3"/>
      <c r="C10" s="86">
        <v>31590000</v>
      </c>
      <c r="D10" s="104">
        <v>31490000</v>
      </c>
      <c r="E10" s="96" t="s">
        <v>22</v>
      </c>
      <c r="F10" s="89">
        <v>31590000</v>
      </c>
      <c r="G10" s="110">
        <v>31190000</v>
      </c>
      <c r="H10" s="26"/>
      <c r="I10" s="121" t="str">
        <f>IFERROR(E10-W6Q2FY26!E10,"OOS")</f>
        <v>OOS</v>
      </c>
    </row>
    <row r="11" spans="1:12" x14ac:dyDescent="0.2">
      <c r="A11" t="s">
        <v>25</v>
      </c>
      <c r="B11" s="25"/>
      <c r="C11" s="86">
        <v>16990000</v>
      </c>
      <c r="D11" s="104">
        <v>16790000</v>
      </c>
      <c r="E11" s="116">
        <v>16490000</v>
      </c>
      <c r="F11" s="90">
        <v>16790000</v>
      </c>
      <c r="G11" s="110">
        <v>16390000</v>
      </c>
      <c r="H11" s="26"/>
      <c r="I11" s="121">
        <f>IFERROR(E11-W6Q2FY26!E11,"OOS")</f>
        <v>0</v>
      </c>
    </row>
    <row r="12" spans="1:12" x14ac:dyDescent="0.2">
      <c r="A12" t="s">
        <v>26</v>
      </c>
      <c r="B12" s="25"/>
      <c r="C12" s="86">
        <v>19990000</v>
      </c>
      <c r="D12" s="86" t="s">
        <v>22</v>
      </c>
      <c r="E12" s="116" t="s">
        <v>22</v>
      </c>
      <c r="F12" s="90">
        <v>17690000</v>
      </c>
      <c r="G12" s="110">
        <v>18490000</v>
      </c>
      <c r="H12" s="26"/>
      <c r="I12" s="121" t="str">
        <f>IFERROR(E12-W6Q2FY26!E12,"OOS")</f>
        <v>OOS</v>
      </c>
    </row>
    <row r="13" spans="1:12" x14ac:dyDescent="0.2">
      <c r="A13" t="s">
        <v>27</v>
      </c>
      <c r="B13" s="25"/>
      <c r="C13" s="86">
        <v>13990000</v>
      </c>
      <c r="D13" s="106">
        <v>13290000</v>
      </c>
      <c r="E13" s="116">
        <v>13590000</v>
      </c>
      <c r="F13" s="90">
        <v>13890000</v>
      </c>
      <c r="G13" s="110">
        <v>12990000</v>
      </c>
      <c r="H13" s="26"/>
      <c r="I13" s="121">
        <f>IFERROR(E13-W6Q2FY26!E13,"OOS")</f>
        <v>0</v>
      </c>
    </row>
    <row r="14" spans="1:12" x14ac:dyDescent="0.2">
      <c r="A14" t="s">
        <v>28</v>
      </c>
      <c r="B14" s="3"/>
      <c r="C14" s="86">
        <v>12490000</v>
      </c>
      <c r="D14" s="107">
        <v>12290000</v>
      </c>
      <c r="E14" s="95">
        <v>11990000</v>
      </c>
      <c r="F14" s="90">
        <v>12290000</v>
      </c>
      <c r="G14" s="110">
        <v>11890000</v>
      </c>
      <c r="H14" s="26"/>
      <c r="I14" s="121">
        <f>IFERROR(E14-W6Q2FY26!E14,"OOS")</f>
        <v>0</v>
      </c>
    </row>
    <row r="15" spans="1:12" x14ac:dyDescent="0.2">
      <c r="A15" t="s">
        <v>29</v>
      </c>
      <c r="B15" s="25"/>
      <c r="C15" s="86">
        <v>11790000</v>
      </c>
      <c r="D15" s="104">
        <v>11790000</v>
      </c>
      <c r="E15" s="95">
        <v>11290000</v>
      </c>
      <c r="F15" s="90">
        <v>11790000</v>
      </c>
      <c r="G15" s="110">
        <v>11590000</v>
      </c>
      <c r="H15" s="26"/>
      <c r="I15" s="121">
        <f>IFERROR(E15-W6Q2FY26!E15,"OOS")</f>
        <v>0</v>
      </c>
    </row>
    <row r="16" spans="1:12" x14ac:dyDescent="0.2">
      <c r="A16" t="s">
        <v>30</v>
      </c>
      <c r="B16" s="3"/>
      <c r="C16" s="104">
        <v>8490000</v>
      </c>
      <c r="D16" s="104">
        <v>8490000</v>
      </c>
      <c r="E16" s="95">
        <v>8490000</v>
      </c>
      <c r="F16" s="90">
        <v>8490000</v>
      </c>
      <c r="G16" s="110">
        <v>8290000</v>
      </c>
      <c r="H16" s="26"/>
      <c r="I16" s="121">
        <f>IFERROR(E16-W6Q2FY26!E16,"OOS")</f>
        <v>0</v>
      </c>
      <c r="J16" t="s">
        <v>31</v>
      </c>
      <c r="K16" t="s">
        <v>32</v>
      </c>
      <c r="L16" t="b">
        <v>1</v>
      </c>
    </row>
    <row r="17" spans="1:12" x14ac:dyDescent="0.2">
      <c r="A17" t="s">
        <v>33</v>
      </c>
      <c r="B17" s="3"/>
      <c r="C17" s="97">
        <v>13290000</v>
      </c>
      <c r="D17" s="106">
        <v>13290000</v>
      </c>
      <c r="E17" s="116">
        <v>13290000</v>
      </c>
      <c r="F17" s="90">
        <v>13290000</v>
      </c>
      <c r="G17" s="111">
        <v>12990000</v>
      </c>
      <c r="H17" s="26">
        <v>-300</v>
      </c>
      <c r="I17" s="121">
        <f>IFERROR(E17-W6Q2FY26!E17,"OOS")</f>
        <v>0</v>
      </c>
      <c r="J17" t="s">
        <v>2</v>
      </c>
      <c r="K17" t="s">
        <v>34</v>
      </c>
      <c r="L17" t="b">
        <v>1</v>
      </c>
    </row>
    <row r="18" spans="1:12" x14ac:dyDescent="0.2">
      <c r="A18" t="s">
        <v>37</v>
      </c>
      <c r="B18" s="25"/>
      <c r="C18" s="86">
        <v>19090000</v>
      </c>
      <c r="D18" s="104">
        <v>18990000</v>
      </c>
      <c r="E18" s="96">
        <v>18990000</v>
      </c>
      <c r="F18" s="90">
        <v>18990000</v>
      </c>
      <c r="G18" s="110">
        <v>18790000</v>
      </c>
      <c r="H18" s="78"/>
      <c r="I18" s="121">
        <f>IFERROR(E18-W6Q2FY26!E18,"OOS")</f>
        <v>0</v>
      </c>
      <c r="J18" t="s">
        <v>3</v>
      </c>
      <c r="K18" t="s">
        <v>36</v>
      </c>
      <c r="L18" t="b">
        <v>1</v>
      </c>
    </row>
    <row r="19" spans="1:12" x14ac:dyDescent="0.2">
      <c r="A19" t="s">
        <v>184</v>
      </c>
      <c r="B19" s="25"/>
      <c r="C19" s="96" t="s">
        <v>22</v>
      </c>
      <c r="D19" s="106">
        <v>28490000</v>
      </c>
      <c r="E19" s="96" t="s">
        <v>22</v>
      </c>
      <c r="F19" s="90" t="s">
        <v>22</v>
      </c>
      <c r="G19" s="112" t="s">
        <v>22</v>
      </c>
      <c r="H19" s="26"/>
      <c r="I19" s="121" t="str">
        <f>IFERROR(E19-W6Q2FY26!E19,"OOS")</f>
        <v>OOS</v>
      </c>
      <c r="J19" t="s">
        <v>4</v>
      </c>
      <c r="K19" t="s">
        <v>38</v>
      </c>
      <c r="L19" t="b">
        <v>1</v>
      </c>
    </row>
    <row r="20" spans="1:12" x14ac:dyDescent="0.2">
      <c r="A20" t="s">
        <v>185</v>
      </c>
      <c r="B20" s="3"/>
      <c r="C20" s="96" t="s">
        <v>22</v>
      </c>
      <c r="D20" s="96" t="s">
        <v>22</v>
      </c>
      <c r="E20" s="96" t="s">
        <v>22</v>
      </c>
      <c r="F20" s="112" t="s">
        <v>22</v>
      </c>
      <c r="G20" s="112" t="s">
        <v>22</v>
      </c>
      <c r="H20" s="26"/>
      <c r="I20" s="121" t="str">
        <f>IFERROR(E20-W6Q2FY26!E20,"OOS")</f>
        <v>OOS</v>
      </c>
      <c r="J20" t="s">
        <v>41</v>
      </c>
      <c r="K20" t="s">
        <v>42</v>
      </c>
      <c r="L20" t="b">
        <v>1</v>
      </c>
    </row>
    <row r="21" spans="1:12" x14ac:dyDescent="0.2">
      <c r="A21" t="s">
        <v>40</v>
      </c>
      <c r="B21" s="3"/>
      <c r="C21" s="86">
        <v>29490000</v>
      </c>
      <c r="D21" s="104">
        <v>29190000</v>
      </c>
      <c r="E21" s="99">
        <v>28990000</v>
      </c>
      <c r="F21" s="90">
        <v>29190000</v>
      </c>
      <c r="G21" s="112">
        <v>28990000</v>
      </c>
      <c r="H21" s="26"/>
      <c r="I21" s="121">
        <f>IFERROR(E21-W6Q2FY26!E21,"OOS")</f>
        <v>0</v>
      </c>
    </row>
    <row r="22" spans="1:12" x14ac:dyDescent="0.2">
      <c r="A22" t="s">
        <v>43</v>
      </c>
      <c r="B22" s="3"/>
      <c r="C22" s="86">
        <v>38990000</v>
      </c>
      <c r="D22" s="109">
        <v>38590000</v>
      </c>
      <c r="E22" s="96">
        <v>38990000</v>
      </c>
      <c r="F22" s="90">
        <v>38990000</v>
      </c>
      <c r="G22" s="112">
        <v>38990000</v>
      </c>
      <c r="H22" s="26"/>
      <c r="I22" s="121">
        <f>IFERROR(E22-W6Q2FY26!E22,"OOS")</f>
        <v>0</v>
      </c>
    </row>
    <row r="23" spans="1:12" x14ac:dyDescent="0.2">
      <c r="A23" t="s">
        <v>44</v>
      </c>
      <c r="B23" s="25"/>
      <c r="C23" s="86">
        <v>6290000</v>
      </c>
      <c r="D23" s="104">
        <v>6290000</v>
      </c>
      <c r="E23" s="95">
        <v>6190000</v>
      </c>
      <c r="F23" s="90">
        <v>6290000</v>
      </c>
      <c r="G23" s="112">
        <v>6290000</v>
      </c>
      <c r="H23" s="26"/>
      <c r="I23" s="121">
        <f>IFERROR(E23-W6Q2FY26!E23,"OOS")</f>
        <v>0</v>
      </c>
    </row>
    <row r="24" spans="1:12" x14ac:dyDescent="0.2">
      <c r="A24" t="s">
        <v>45</v>
      </c>
      <c r="B24" s="25"/>
      <c r="C24" s="86">
        <v>7890000</v>
      </c>
      <c r="D24" s="104">
        <v>7890000</v>
      </c>
      <c r="E24" s="95">
        <v>7790000</v>
      </c>
      <c r="F24" s="89">
        <v>7890000</v>
      </c>
      <c r="G24" s="112">
        <v>7690000</v>
      </c>
      <c r="H24" s="122"/>
      <c r="I24" s="121">
        <f>IFERROR(E24-W6Q2FY26!E24,"OOS")</f>
        <v>0</v>
      </c>
    </row>
    <row r="25" spans="1:12" x14ac:dyDescent="0.2">
      <c r="A25" t="s">
        <v>46</v>
      </c>
      <c r="B25" s="25"/>
      <c r="C25" s="86">
        <v>7290000</v>
      </c>
      <c r="D25" s="104">
        <v>7290000</v>
      </c>
      <c r="E25" s="95">
        <v>6990000</v>
      </c>
      <c r="F25" s="90">
        <v>7290000</v>
      </c>
      <c r="G25" s="112">
        <v>7090000</v>
      </c>
      <c r="H25" s="26"/>
      <c r="I25" s="121">
        <f>IFERROR(E25-W6Q2FY26!E25,"OOS")</f>
        <v>0</v>
      </c>
    </row>
    <row r="26" spans="1:12" x14ac:dyDescent="0.2">
      <c r="A26" t="s">
        <v>47</v>
      </c>
      <c r="B26" s="25"/>
      <c r="C26" s="86" t="s">
        <v>22</v>
      </c>
      <c r="D26" s="106">
        <v>8790000</v>
      </c>
      <c r="E26" s="95">
        <v>8590000</v>
      </c>
      <c r="F26" s="90">
        <v>8990000</v>
      </c>
      <c r="G26" s="112">
        <v>8690000</v>
      </c>
      <c r="H26" s="26"/>
      <c r="I26" s="121">
        <f>IFERROR(E26-W6Q2FY26!E26,"OOS")</f>
        <v>0</v>
      </c>
    </row>
    <row r="27" spans="1:12" x14ac:dyDescent="0.2">
      <c r="A27" t="s">
        <v>48</v>
      </c>
      <c r="B27" s="3"/>
      <c r="C27" s="86">
        <v>9190000</v>
      </c>
      <c r="D27" s="106">
        <v>9199000</v>
      </c>
      <c r="E27" s="95">
        <v>8990000</v>
      </c>
      <c r="F27" s="90">
        <v>9190000</v>
      </c>
      <c r="G27" s="112">
        <v>8990000</v>
      </c>
      <c r="H27" s="26"/>
      <c r="I27" s="121">
        <f>IFERROR(E27-W6Q2FY26!E27,"OOS")</f>
        <v>0</v>
      </c>
    </row>
    <row r="28" spans="1:12" x14ac:dyDescent="0.2">
      <c r="A28" t="s">
        <v>49</v>
      </c>
      <c r="B28" s="3"/>
      <c r="C28" s="97" t="s">
        <v>22</v>
      </c>
      <c r="D28" s="104">
        <v>12190000</v>
      </c>
      <c r="E28" s="95">
        <v>11990000</v>
      </c>
      <c r="F28" s="90">
        <v>12190000</v>
      </c>
      <c r="G28" s="112">
        <v>11990000</v>
      </c>
      <c r="H28" s="26"/>
      <c r="I28" s="121">
        <f>IFERROR(E28-W6Q2FY26!E28,"OOS")</f>
        <v>0</v>
      </c>
    </row>
    <row r="29" spans="1:12" x14ac:dyDescent="0.2">
      <c r="A29" t="s">
        <v>50</v>
      </c>
      <c r="B29" s="3"/>
      <c r="C29" s="86">
        <v>9990000</v>
      </c>
      <c r="D29" s="104">
        <v>9990000</v>
      </c>
      <c r="E29" s="95">
        <v>9690000</v>
      </c>
      <c r="F29" s="90">
        <v>9990000</v>
      </c>
      <c r="G29" s="110">
        <v>9990000</v>
      </c>
      <c r="H29" s="26"/>
      <c r="I29" s="121">
        <f>IFERROR(E29-W6Q2FY26!E29,"OOS")</f>
        <v>0</v>
      </c>
    </row>
    <row r="30" spans="1:12" x14ac:dyDescent="0.2">
      <c r="A30" t="s">
        <v>51</v>
      </c>
      <c r="B30" s="3"/>
      <c r="C30" s="97" t="s">
        <v>22</v>
      </c>
      <c r="D30" s="104">
        <v>12990000</v>
      </c>
      <c r="E30" s="95">
        <v>12690000</v>
      </c>
      <c r="F30" s="90">
        <v>12990000</v>
      </c>
      <c r="G30" s="110">
        <v>12990000</v>
      </c>
      <c r="H30" s="26"/>
      <c r="I30" s="121">
        <f>IFERROR(E30-W6Q2FY26!E30,"OOS")</f>
        <v>200000</v>
      </c>
    </row>
    <row r="31" spans="1:12" x14ac:dyDescent="0.2">
      <c r="A31" t="s">
        <v>52</v>
      </c>
      <c r="B31" s="25"/>
      <c r="C31" s="86">
        <v>23490000</v>
      </c>
      <c r="D31" s="104">
        <v>22990000</v>
      </c>
      <c r="E31" s="96">
        <v>22490000</v>
      </c>
      <c r="F31" s="90">
        <v>22990000</v>
      </c>
      <c r="G31" s="110">
        <v>22990000</v>
      </c>
      <c r="H31" s="26"/>
      <c r="I31" s="121">
        <f>IFERROR(E31-W6Q2FY26!E31,"OOS")</f>
        <v>0</v>
      </c>
    </row>
    <row r="32" spans="1:12" x14ac:dyDescent="0.2">
      <c r="A32" t="s">
        <v>53</v>
      </c>
      <c r="B32" s="3"/>
      <c r="C32" s="86">
        <v>4890000</v>
      </c>
      <c r="D32" s="104">
        <v>4990000</v>
      </c>
      <c r="E32" s="116" t="s">
        <v>22</v>
      </c>
      <c r="F32" s="90">
        <v>4950000</v>
      </c>
      <c r="G32" s="110">
        <v>5590000</v>
      </c>
      <c r="H32" s="26"/>
      <c r="I32" s="121" t="str">
        <f>IFERROR(E32-W6Q2FY26!E32,"OOS")</f>
        <v>OOS</v>
      </c>
      <c r="J32" s="83"/>
    </row>
    <row r="33" spans="1:9" x14ac:dyDescent="0.2">
      <c r="A33" t="s">
        <v>54</v>
      </c>
      <c r="B33" s="3"/>
      <c r="C33" s="97">
        <v>4090000</v>
      </c>
      <c r="D33" s="106">
        <v>4190000</v>
      </c>
      <c r="E33" s="95">
        <v>4390000</v>
      </c>
      <c r="F33" s="89">
        <v>4190000</v>
      </c>
      <c r="G33" s="112">
        <v>4290000</v>
      </c>
      <c r="H33" s="26"/>
      <c r="I33" s="121">
        <f>IFERROR(E33-W6Q2FY26!E33,"OOS")</f>
        <v>0</v>
      </c>
    </row>
    <row r="34" spans="1:9" x14ac:dyDescent="0.2">
      <c r="A34" t="s">
        <v>55</v>
      </c>
      <c r="B34" s="3"/>
      <c r="C34" s="97">
        <v>2790000</v>
      </c>
      <c r="D34" s="106">
        <v>2890000</v>
      </c>
      <c r="E34" s="95">
        <v>2990000</v>
      </c>
      <c r="F34" s="89">
        <v>2890000</v>
      </c>
      <c r="G34" s="111">
        <v>2890000</v>
      </c>
      <c r="H34" s="26">
        <v>-100</v>
      </c>
      <c r="I34" s="121">
        <f>IFERROR(E34-W6Q2FY26!E34,"OOS")</f>
        <v>0</v>
      </c>
    </row>
    <row r="35" spans="1:9" x14ac:dyDescent="0.2">
      <c r="A35" t="s">
        <v>56</v>
      </c>
      <c r="B35" s="3"/>
      <c r="C35" s="97">
        <v>6290000</v>
      </c>
      <c r="D35" s="104">
        <v>6390000</v>
      </c>
      <c r="E35" s="92">
        <v>6290000</v>
      </c>
      <c r="F35" s="90">
        <v>6490000</v>
      </c>
      <c r="G35" s="112">
        <v>6490000</v>
      </c>
      <c r="H35" s="26"/>
      <c r="I35" s="121">
        <f>IFERROR(E35-W6Q2FY26!E35,"OOS")</f>
        <v>0</v>
      </c>
    </row>
    <row r="36" spans="1:9" x14ac:dyDescent="0.2">
      <c r="A36" t="s">
        <v>186</v>
      </c>
      <c r="B36" s="25"/>
      <c r="C36" s="86">
        <v>19690000</v>
      </c>
      <c r="D36" s="104">
        <v>19690000</v>
      </c>
      <c r="E36" s="101"/>
      <c r="F36" s="90">
        <v>19690000</v>
      </c>
      <c r="G36" s="110">
        <v>18990000</v>
      </c>
      <c r="H36" s="26"/>
      <c r="I36" s="121">
        <f>IFERROR(E36-W6Q2FY26!E36,"OOS")</f>
        <v>0</v>
      </c>
    </row>
    <row r="37" spans="1:9" x14ac:dyDescent="0.2">
      <c r="A37" t="s">
        <v>59</v>
      </c>
      <c r="B37" s="3"/>
      <c r="C37" s="97">
        <v>23790000</v>
      </c>
      <c r="D37" s="106">
        <v>23690000</v>
      </c>
      <c r="E37" s="101"/>
      <c r="F37" s="89">
        <v>23690000</v>
      </c>
      <c r="G37" s="110">
        <v>23690000</v>
      </c>
      <c r="H37" s="26"/>
      <c r="I37" s="121">
        <f>IFERROR(E37-W6Q2FY26!E37,"OOS")</f>
        <v>0</v>
      </c>
    </row>
    <row r="38" spans="1:9" x14ac:dyDescent="0.2">
      <c r="A38" t="s">
        <v>61</v>
      </c>
      <c r="B38" s="25"/>
      <c r="C38" s="86">
        <v>28990000</v>
      </c>
      <c r="D38" s="106">
        <v>28790000</v>
      </c>
      <c r="E38" s="101"/>
      <c r="F38" s="90">
        <v>28990000</v>
      </c>
      <c r="G38" s="110">
        <v>28590000</v>
      </c>
      <c r="H38" s="26"/>
      <c r="I38" s="121">
        <f>IFERROR(E38-W6Q2FY26!E38,"OOS")</f>
        <v>0</v>
      </c>
    </row>
    <row r="39" spans="1:9" x14ac:dyDescent="0.2">
      <c r="A39" t="s">
        <v>187</v>
      </c>
      <c r="B39" s="25"/>
      <c r="C39" s="86" t="s">
        <v>22</v>
      </c>
      <c r="D39" s="86" t="s">
        <v>22</v>
      </c>
      <c r="E39" s="101"/>
      <c r="F39" s="90">
        <v>38590000</v>
      </c>
      <c r="G39" s="110">
        <v>38390000</v>
      </c>
      <c r="H39" s="26"/>
      <c r="I39" s="121">
        <f>IFERROR(E39-W6Q2FY26!E39,"OOS")</f>
        <v>0</v>
      </c>
    </row>
    <row r="40" spans="1:9" x14ac:dyDescent="0.2">
      <c r="A40" t="s">
        <v>62</v>
      </c>
      <c r="B40" s="25"/>
      <c r="C40" s="86">
        <v>41890000</v>
      </c>
      <c r="D40" s="104">
        <v>40690000</v>
      </c>
      <c r="E40" s="101"/>
      <c r="F40" s="90">
        <v>41990000</v>
      </c>
      <c r="G40" s="110">
        <v>41990000</v>
      </c>
      <c r="H40" s="26"/>
      <c r="I40" s="121">
        <f>IFERROR(E40-W6Q2FY26!E40,"OOS")</f>
        <v>0</v>
      </c>
    </row>
    <row r="41" spans="1:9" x14ac:dyDescent="0.2">
      <c r="A41" t="s">
        <v>188</v>
      </c>
      <c r="B41" s="25"/>
      <c r="C41" s="86" t="s">
        <v>22</v>
      </c>
      <c r="D41" s="104">
        <v>63990000</v>
      </c>
      <c r="E41" s="101"/>
      <c r="F41" s="90">
        <v>63990000</v>
      </c>
      <c r="G41" s="110">
        <v>63990000</v>
      </c>
      <c r="I41" s="121">
        <f>IFERROR(E41-W6Q2FY26!E41,"OOS")</f>
        <v>0</v>
      </c>
    </row>
    <row r="42" spans="1:9" x14ac:dyDescent="0.2">
      <c r="C42" s="59"/>
      <c r="D42" s="59"/>
    </row>
    <row r="43" spans="1:9" x14ac:dyDescent="0.2">
      <c r="C43" s="59"/>
      <c r="D43" s="59"/>
    </row>
    <row r="44" spans="1:9" x14ac:dyDescent="0.2">
      <c r="C44" s="59"/>
      <c r="D44" s="59"/>
    </row>
    <row r="45" spans="1:9" x14ac:dyDescent="0.2">
      <c r="C45" s="59"/>
      <c r="D45" s="59"/>
    </row>
    <row r="46" spans="1:9" x14ac:dyDescent="0.2">
      <c r="C46" s="59"/>
      <c r="D46" s="59"/>
    </row>
    <row r="47" spans="1:9" x14ac:dyDescent="0.2">
      <c r="C47" s="59"/>
      <c r="D47" s="59"/>
    </row>
    <row r="48" spans="1:9" x14ac:dyDescent="0.2">
      <c r="C48" s="59"/>
      <c r="D48" s="59"/>
    </row>
    <row r="49" spans="3:4" x14ac:dyDescent="0.2">
      <c r="C49" s="59"/>
      <c r="D49" s="59"/>
    </row>
    <row r="50" spans="3:4" x14ac:dyDescent="0.2">
      <c r="C50" s="59"/>
      <c r="D50" s="59"/>
    </row>
    <row r="51" spans="3:4" x14ac:dyDescent="0.2">
      <c r="C51" s="59"/>
      <c r="D51" s="59"/>
    </row>
    <row r="52" spans="3:4" x14ac:dyDescent="0.2">
      <c r="C52" s="59"/>
      <c r="D52" s="59"/>
    </row>
    <row r="53" spans="3:4" x14ac:dyDescent="0.2">
      <c r="C53" s="59"/>
      <c r="D53" s="59"/>
    </row>
    <row r="54" spans="3:4" x14ac:dyDescent="0.2">
      <c r="C54" s="59"/>
      <c r="D54" s="59"/>
    </row>
    <row r="55" spans="3:4" x14ac:dyDescent="0.2">
      <c r="C55" s="59"/>
      <c r="D55" s="59"/>
    </row>
    <row r="56" spans="3:4" x14ac:dyDescent="0.2">
      <c r="C56" s="59"/>
      <c r="D56" s="59"/>
    </row>
    <row r="57" spans="3:4" x14ac:dyDescent="0.2">
      <c r="C57" s="59"/>
      <c r="D57" s="59"/>
    </row>
    <row r="58" spans="3:4" x14ac:dyDescent="0.2">
      <c r="C58" s="59"/>
      <c r="D58" s="59"/>
    </row>
    <row r="59" spans="3:4" x14ac:dyDescent="0.2">
      <c r="C59" s="59"/>
      <c r="D59" s="59"/>
    </row>
    <row r="60" spans="3:4" x14ac:dyDescent="0.2">
      <c r="C60" s="59"/>
      <c r="D60" s="59"/>
    </row>
    <row r="61" spans="3:4" x14ac:dyDescent="0.2">
      <c r="C61" s="59"/>
      <c r="D61" s="59"/>
    </row>
    <row r="62" spans="3:4" x14ac:dyDescent="0.2">
      <c r="C62" s="59"/>
      <c r="D62" s="59"/>
    </row>
    <row r="63" spans="3:4" x14ac:dyDescent="0.2">
      <c r="C63" s="59"/>
      <c r="D63" s="59"/>
    </row>
    <row r="64" spans="3:4" x14ac:dyDescent="0.2">
      <c r="C64" s="59"/>
      <c r="D64" s="59"/>
    </row>
    <row r="65" spans="3:4" x14ac:dyDescent="0.2">
      <c r="C65" s="59"/>
      <c r="D65" s="59"/>
    </row>
    <row r="66" spans="3:4" x14ac:dyDescent="0.2">
      <c r="C66" s="59"/>
      <c r="D66" s="59"/>
    </row>
    <row r="67" spans="3:4" x14ac:dyDescent="0.2">
      <c r="C67" s="59"/>
      <c r="D67" s="59"/>
    </row>
    <row r="68" spans="3:4" x14ac:dyDescent="0.2">
      <c r="C68" s="59"/>
      <c r="D68" s="59"/>
    </row>
    <row r="69" spans="3:4" x14ac:dyDescent="0.2">
      <c r="C69" s="59"/>
      <c r="D69" s="59"/>
    </row>
    <row r="70" spans="3:4" x14ac:dyDescent="0.2">
      <c r="C70" s="59"/>
      <c r="D70" s="59"/>
    </row>
    <row r="71" spans="3:4" x14ac:dyDescent="0.2">
      <c r="C71" s="59"/>
      <c r="D71" s="59"/>
    </row>
    <row r="72" spans="3:4" x14ac:dyDescent="0.2">
      <c r="C72" s="59"/>
      <c r="D72" s="59"/>
    </row>
    <row r="73" spans="3:4" x14ac:dyDescent="0.2">
      <c r="C73" s="59"/>
      <c r="D73" s="59"/>
    </row>
    <row r="74" spans="3:4" x14ac:dyDescent="0.2">
      <c r="C74" s="59"/>
      <c r="D74" s="59"/>
    </row>
    <row r="75" spans="3:4" x14ac:dyDescent="0.2">
      <c r="C75" s="59"/>
      <c r="D75" s="59"/>
    </row>
    <row r="76" spans="3:4" x14ac:dyDescent="0.2">
      <c r="C76" s="59"/>
      <c r="D76" s="59"/>
    </row>
    <row r="77" spans="3:4" x14ac:dyDescent="0.2">
      <c r="C77" s="59"/>
      <c r="D77" s="59"/>
    </row>
    <row r="78" spans="3:4" x14ac:dyDescent="0.2">
      <c r="C78" s="59"/>
      <c r="D78" s="59"/>
    </row>
    <row r="79" spans="3:4" x14ac:dyDescent="0.2">
      <c r="C79" s="59"/>
      <c r="D79" s="59"/>
    </row>
    <row r="80" spans="3:4" x14ac:dyDescent="0.2">
      <c r="C80" s="59"/>
      <c r="D80" s="59"/>
    </row>
    <row r="81" spans="3:4" x14ac:dyDescent="0.2">
      <c r="C81" s="59"/>
      <c r="D81" s="59"/>
    </row>
    <row r="82" spans="3:4" x14ac:dyDescent="0.2">
      <c r="C82" s="59"/>
      <c r="D82" s="59"/>
    </row>
    <row r="83" spans="3:4" x14ac:dyDescent="0.2">
      <c r="C83" s="59"/>
      <c r="D83" s="59"/>
    </row>
    <row r="84" spans="3:4" x14ac:dyDescent="0.2">
      <c r="C84" s="59"/>
      <c r="D84" s="59"/>
    </row>
    <row r="85" spans="3:4" x14ac:dyDescent="0.2">
      <c r="C85" s="59"/>
      <c r="D85" s="59"/>
    </row>
    <row r="86" spans="3:4" x14ac:dyDescent="0.2">
      <c r="C86" s="59"/>
      <c r="D86" s="59"/>
    </row>
    <row r="87" spans="3:4" x14ac:dyDescent="0.2">
      <c r="C87" s="59"/>
      <c r="D87" s="59"/>
    </row>
    <row r="88" spans="3:4" x14ac:dyDescent="0.2">
      <c r="C88" s="59"/>
      <c r="D88" s="59"/>
    </row>
    <row r="89" spans="3:4" x14ac:dyDescent="0.2">
      <c r="C89" s="59"/>
      <c r="D89" s="59"/>
    </row>
    <row r="90" spans="3:4" x14ac:dyDescent="0.2">
      <c r="C90" s="59"/>
      <c r="D90" s="59"/>
    </row>
    <row r="91" spans="3:4" x14ac:dyDescent="0.2">
      <c r="C91" s="59"/>
      <c r="D91" s="59"/>
    </row>
    <row r="92" spans="3:4" x14ac:dyDescent="0.2">
      <c r="C92" s="59"/>
      <c r="D92" s="59"/>
    </row>
    <row r="93" spans="3:4" x14ac:dyDescent="0.2">
      <c r="C93" s="59"/>
      <c r="D93" s="59"/>
    </row>
    <row r="94" spans="3:4" x14ac:dyDescent="0.2">
      <c r="C94" s="59"/>
      <c r="D94" s="59"/>
    </row>
    <row r="95" spans="3:4" x14ac:dyDescent="0.2">
      <c r="C95" s="59"/>
      <c r="D95" s="59"/>
    </row>
    <row r="96" spans="3:4" x14ac:dyDescent="0.2">
      <c r="C96" s="59"/>
      <c r="D96" s="59"/>
    </row>
    <row r="97" spans="3:4" x14ac:dyDescent="0.2">
      <c r="C97" s="59"/>
      <c r="D97" s="59"/>
    </row>
    <row r="98" spans="3:4" x14ac:dyDescent="0.2">
      <c r="C98" s="59"/>
      <c r="D98" s="59"/>
    </row>
    <row r="99" spans="3:4" x14ac:dyDescent="0.2">
      <c r="C99" s="59"/>
      <c r="D99" s="59"/>
    </row>
    <row r="100" spans="3:4" x14ac:dyDescent="0.2">
      <c r="C100" s="59"/>
      <c r="D100" s="59"/>
    </row>
    <row r="101" spans="3:4" x14ac:dyDescent="0.2">
      <c r="C101" s="59"/>
      <c r="D101" s="59"/>
    </row>
    <row r="102" spans="3:4" x14ac:dyDescent="0.2">
      <c r="C102" s="59"/>
      <c r="D102" s="59"/>
    </row>
    <row r="103" spans="3:4" x14ac:dyDescent="0.2">
      <c r="C103" s="59"/>
      <c r="D103" s="59"/>
    </row>
    <row r="104" spans="3:4" x14ac:dyDescent="0.2">
      <c r="C104" s="59"/>
      <c r="D104" s="59"/>
    </row>
    <row r="105" spans="3:4" x14ac:dyDescent="0.2">
      <c r="C105" s="59"/>
      <c r="D105" s="59"/>
    </row>
    <row r="106" spans="3:4" x14ac:dyDescent="0.2">
      <c r="C106" s="59"/>
      <c r="D106" s="59"/>
    </row>
    <row r="107" spans="3:4" x14ac:dyDescent="0.2">
      <c r="C107" s="59"/>
      <c r="D107" s="59"/>
    </row>
    <row r="108" spans="3:4" x14ac:dyDescent="0.2">
      <c r="C108" s="59"/>
      <c r="D108" s="59"/>
    </row>
    <row r="109" spans="3:4" x14ac:dyDescent="0.2">
      <c r="C109" s="59"/>
      <c r="D109" s="59"/>
    </row>
    <row r="110" spans="3:4" x14ac:dyDescent="0.2">
      <c r="C110" s="59"/>
      <c r="D110" s="59"/>
    </row>
    <row r="111" spans="3:4" x14ac:dyDescent="0.2">
      <c r="C111" s="59"/>
      <c r="D111" s="59"/>
    </row>
    <row r="112" spans="3:4" x14ac:dyDescent="0.2">
      <c r="C112" s="59"/>
      <c r="D112" s="59"/>
    </row>
    <row r="113" spans="3:4" x14ac:dyDescent="0.2">
      <c r="C113" s="59"/>
      <c r="D113" s="59"/>
    </row>
    <row r="114" spans="3:4" x14ac:dyDescent="0.2">
      <c r="C114" s="59"/>
      <c r="D114" s="59"/>
    </row>
    <row r="115" spans="3:4" x14ac:dyDescent="0.2">
      <c r="C115" s="59"/>
      <c r="D115" s="59"/>
    </row>
    <row r="116" spans="3:4" x14ac:dyDescent="0.2">
      <c r="C116" s="59"/>
      <c r="D116" s="59"/>
    </row>
    <row r="117" spans="3:4" x14ac:dyDescent="0.2">
      <c r="C117" s="59"/>
      <c r="D117" s="59"/>
    </row>
    <row r="118" spans="3:4" x14ac:dyDescent="0.2">
      <c r="C118" s="59"/>
      <c r="D118" s="59"/>
    </row>
    <row r="119" spans="3:4" x14ac:dyDescent="0.2">
      <c r="C119" s="59"/>
      <c r="D119" s="59"/>
    </row>
    <row r="120" spans="3:4" x14ac:dyDescent="0.2">
      <c r="C120" s="59"/>
      <c r="D120" s="59"/>
    </row>
    <row r="121" spans="3:4" x14ac:dyDescent="0.2">
      <c r="C121" s="59"/>
      <c r="D121" s="59"/>
    </row>
    <row r="122" spans="3:4" x14ac:dyDescent="0.2">
      <c r="C122" s="59"/>
      <c r="D122" s="59"/>
    </row>
    <row r="123" spans="3:4" x14ac:dyDescent="0.2">
      <c r="C123" s="59"/>
      <c r="D123" s="59"/>
    </row>
    <row r="124" spans="3:4" x14ac:dyDescent="0.2">
      <c r="C124" s="59"/>
      <c r="D124" s="59"/>
    </row>
    <row r="125" spans="3:4" x14ac:dyDescent="0.2">
      <c r="C125" s="59"/>
      <c r="D125" s="59"/>
    </row>
    <row r="126" spans="3:4" x14ac:dyDescent="0.2">
      <c r="C126" s="59"/>
      <c r="D126" s="59"/>
    </row>
    <row r="127" spans="3:4" x14ac:dyDescent="0.2">
      <c r="C127" s="59"/>
      <c r="D127" s="59"/>
    </row>
    <row r="128" spans="3:4" x14ac:dyDescent="0.2">
      <c r="C128" s="59"/>
      <c r="D128" s="59"/>
    </row>
    <row r="129" spans="3:4" x14ac:dyDescent="0.2">
      <c r="C129" s="59"/>
      <c r="D129" s="59"/>
    </row>
    <row r="130" spans="3:4" x14ac:dyDescent="0.2">
      <c r="C130" s="59"/>
      <c r="D130" s="59"/>
    </row>
    <row r="131" spans="3:4" x14ac:dyDescent="0.2">
      <c r="C131" s="59"/>
      <c r="D131" s="59"/>
    </row>
    <row r="132" spans="3:4" x14ac:dyDescent="0.2">
      <c r="C132" s="59"/>
      <c r="D132" s="59"/>
    </row>
    <row r="133" spans="3:4" x14ac:dyDescent="0.2">
      <c r="C133" s="59"/>
      <c r="D133" s="59"/>
    </row>
    <row r="134" spans="3:4" x14ac:dyDescent="0.2">
      <c r="C134" s="59"/>
      <c r="D134" s="59"/>
    </row>
    <row r="135" spans="3:4" x14ac:dyDescent="0.2">
      <c r="C135" s="59"/>
      <c r="D135" s="59"/>
    </row>
    <row r="136" spans="3:4" x14ac:dyDescent="0.2">
      <c r="C136" s="59"/>
      <c r="D136" s="59"/>
    </row>
    <row r="137" spans="3:4" x14ac:dyDescent="0.2">
      <c r="C137" s="59"/>
      <c r="D137" s="59"/>
    </row>
    <row r="138" spans="3:4" x14ac:dyDescent="0.2">
      <c r="C138" s="59"/>
      <c r="D138" s="59"/>
    </row>
    <row r="139" spans="3:4" x14ac:dyDescent="0.2">
      <c r="C139" s="59"/>
      <c r="D139" s="59"/>
    </row>
    <row r="140" spans="3:4" x14ac:dyDescent="0.2">
      <c r="C140" s="59"/>
      <c r="D140" s="59"/>
    </row>
    <row r="141" spans="3:4" x14ac:dyDescent="0.2">
      <c r="C141" s="59"/>
      <c r="D141" s="59"/>
    </row>
    <row r="142" spans="3:4" x14ac:dyDescent="0.2">
      <c r="C142" s="59"/>
      <c r="D142" s="59"/>
    </row>
    <row r="143" spans="3:4" x14ac:dyDescent="0.2">
      <c r="C143" s="59"/>
      <c r="D143" s="59"/>
    </row>
    <row r="144" spans="3:4" x14ac:dyDescent="0.2">
      <c r="C144" s="59"/>
      <c r="D144" s="59"/>
    </row>
    <row r="145" spans="3:4" x14ac:dyDescent="0.2">
      <c r="C145" s="59"/>
      <c r="D145" s="59"/>
    </row>
    <row r="146" spans="3:4" x14ac:dyDescent="0.2">
      <c r="C146" s="59"/>
      <c r="D146" s="59"/>
    </row>
    <row r="147" spans="3:4" x14ac:dyDescent="0.2">
      <c r="C147" s="59"/>
      <c r="D147" s="59"/>
    </row>
    <row r="148" spans="3:4" x14ac:dyDescent="0.2">
      <c r="C148" s="59"/>
      <c r="D148" s="59"/>
    </row>
    <row r="149" spans="3:4" x14ac:dyDescent="0.2">
      <c r="C149" s="59"/>
      <c r="D149" s="59"/>
    </row>
    <row r="150" spans="3:4" x14ac:dyDescent="0.2">
      <c r="C150" s="59"/>
      <c r="D150" s="59"/>
    </row>
    <row r="151" spans="3:4" x14ac:dyDescent="0.2">
      <c r="C151" s="59"/>
      <c r="D151" s="59"/>
    </row>
    <row r="152" spans="3:4" x14ac:dyDescent="0.2">
      <c r="C152" s="59"/>
      <c r="D152" s="59"/>
    </row>
    <row r="153" spans="3:4" x14ac:dyDescent="0.2">
      <c r="C153" s="59"/>
      <c r="D153" s="59"/>
    </row>
  </sheetData>
  <conditionalFormatting sqref="E2:E41">
    <cfRule type="expression" dxfId="86" priority="2">
      <formula>$I2=0</formula>
    </cfRule>
  </conditionalFormatting>
  <conditionalFormatting sqref="E2:E1000">
    <cfRule type="expression" dxfId="85" priority="1">
      <formula>AND($I2&lt;&gt;0,$I2&lt;&gt;"")</formula>
    </cfRule>
  </conditionalFormatting>
  <pageMargins left="0.7" right="0.7" top="0.75" bottom="0.75" header="0.3" footer="0.3"/>
  <pageSetup paperSize="9" orientation="portrait" horizontalDpi="0" verticalDpi="0"/>
  <legacyDrawing r:id="rId1"/>
</worksheet>
</file>

<file path=xl/worksheets/sheet9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F00-000000000000}">
  <dimension ref="A1:O156"/>
  <sheetViews>
    <sheetView zoomScale="83" zoomScaleNormal="140" workbookViewId="0">
      <pane xSplit="2" ySplit="1" topLeftCell="C11" activePane="bottomRight" state="frozen"/>
      <selection pane="topRight" activeCell="C1" sqref="C1"/>
      <selection pane="bottomLeft" activeCell="A2" sqref="A2"/>
      <selection pane="bottomRight" activeCell="C1" sqref="C1"/>
    </sheetView>
  </sheetViews>
  <sheetFormatPr baseColWidth="10" defaultColWidth="11" defaultRowHeight="16" x14ac:dyDescent="0.2"/>
  <cols>
    <col min="1" max="1" width="27.5" bestFit="1" customWidth="1"/>
    <col min="2" max="2" width="0" hidden="1"/>
    <col min="3" max="3" width="14.83203125" customWidth="1"/>
    <col min="4" max="4" width="16" customWidth="1"/>
    <col min="5" max="5" width="15.5" style="6" customWidth="1"/>
    <col min="6" max="6" width="14.33203125" customWidth="1"/>
    <col min="7" max="7" width="13" customWidth="1"/>
    <col min="8" max="8" width="13.5" customWidth="1"/>
    <col min="9" max="9" width="11.33203125" style="121" bestFit="1" customWidth="1"/>
    <col min="10" max="10" width="2.1640625" bestFit="1" customWidth="1"/>
  </cols>
  <sheetData>
    <row r="1" spans="1:10" x14ac:dyDescent="0.2">
      <c r="B1" s="46" t="s">
        <v>0</v>
      </c>
      <c r="C1" s="80" t="s">
        <v>1</v>
      </c>
      <c r="D1" s="80" t="s">
        <v>2</v>
      </c>
      <c r="E1" s="115" t="s">
        <v>3</v>
      </c>
      <c r="F1" s="81" t="s">
        <v>4</v>
      </c>
      <c r="G1" s="81" t="s">
        <v>5</v>
      </c>
    </row>
    <row r="2" spans="1:10" x14ac:dyDescent="0.2">
      <c r="B2" s="82"/>
      <c r="C2" s="151"/>
      <c r="D2" s="151"/>
      <c r="E2" s="152"/>
      <c r="F2" s="81"/>
      <c r="G2" s="81"/>
    </row>
    <row r="3" spans="1:10" x14ac:dyDescent="0.2">
      <c r="A3" t="s">
        <v>17</v>
      </c>
      <c r="B3" s="82"/>
      <c r="C3" s="127">
        <v>24990000</v>
      </c>
      <c r="D3" s="129">
        <v>24690000</v>
      </c>
      <c r="E3" s="130">
        <v>24190000</v>
      </c>
      <c r="F3" s="131">
        <v>24690000</v>
      </c>
      <c r="G3" s="111">
        <v>24490000</v>
      </c>
      <c r="H3">
        <v>300</v>
      </c>
      <c r="I3" s="121">
        <f>IFERROR(E3-W7Q2FY26!E2,"OOS")</f>
        <v>0</v>
      </c>
      <c r="J3" t="str">
        <f t="shared" ref="J3:J36" si="0">IF(I3=0,"",A3 &amp; IF(I3&gt;0," tăng "," giảm ") &amp; TEXT(ABS(I3)/1000,"0") &amp; "K = " &amp; TEXT(E3/1000,"#.##0") &amp; "K")</f>
        <v/>
      </c>
    </row>
    <row r="4" spans="1:10" x14ac:dyDescent="0.2">
      <c r="A4" t="s">
        <v>18</v>
      </c>
      <c r="B4" s="82"/>
      <c r="C4" s="127">
        <v>24990000</v>
      </c>
      <c r="D4" s="127">
        <v>25290000</v>
      </c>
      <c r="E4" s="130">
        <v>24390000</v>
      </c>
      <c r="F4" s="132">
        <v>24990000</v>
      </c>
      <c r="G4" s="110">
        <v>24890000</v>
      </c>
      <c r="H4" s="26"/>
      <c r="I4" s="121">
        <f>IFERROR(E4-W7Q2FY26!E3,"OOS")</f>
        <v>0</v>
      </c>
      <c r="J4" t="str">
        <f t="shared" si="0"/>
        <v/>
      </c>
    </row>
    <row r="5" spans="1:10" x14ac:dyDescent="0.2">
      <c r="A5" t="s">
        <v>19</v>
      </c>
      <c r="B5" s="82"/>
      <c r="C5" s="129">
        <v>34190000</v>
      </c>
      <c r="D5" s="129">
        <v>33890000</v>
      </c>
      <c r="E5" s="130">
        <v>32790000</v>
      </c>
      <c r="F5" s="133">
        <v>34190000</v>
      </c>
      <c r="G5" s="110">
        <v>33290000</v>
      </c>
      <c r="H5" s="26"/>
      <c r="I5" s="121">
        <f>IFERROR(E5-W7Q2FY26!E4,"OOS")</f>
        <v>0</v>
      </c>
      <c r="J5" t="str">
        <f t="shared" si="0"/>
        <v/>
      </c>
    </row>
    <row r="6" spans="1:10" x14ac:dyDescent="0.2">
      <c r="A6" t="s">
        <v>20</v>
      </c>
      <c r="B6" s="82"/>
      <c r="C6" s="129">
        <v>37890000</v>
      </c>
      <c r="D6" s="129">
        <v>37590000</v>
      </c>
      <c r="E6" s="134">
        <v>36490000</v>
      </c>
      <c r="F6" s="133">
        <v>37690000</v>
      </c>
      <c r="G6" s="110">
        <v>36990000</v>
      </c>
      <c r="H6" s="26"/>
      <c r="I6" s="121">
        <f>IFERROR(E6-W7Q2FY26!E5,"OOS")</f>
        <v>0</v>
      </c>
      <c r="J6" t="str">
        <f t="shared" si="0"/>
        <v/>
      </c>
    </row>
    <row r="7" spans="1:10" x14ac:dyDescent="0.2">
      <c r="A7" t="s">
        <v>21</v>
      </c>
      <c r="B7" s="82"/>
      <c r="C7" s="127">
        <v>15990000</v>
      </c>
      <c r="D7" s="135">
        <v>15990000</v>
      </c>
      <c r="E7" s="134">
        <v>12490000</v>
      </c>
      <c r="F7" s="136">
        <v>12490000</v>
      </c>
      <c r="G7" s="110">
        <v>15190000</v>
      </c>
      <c r="H7" s="26"/>
      <c r="I7" s="121">
        <f>IFERROR(E7-W7Q2FY26!E6,"OOS")</f>
        <v>0</v>
      </c>
      <c r="J7" t="str">
        <f t="shared" si="0"/>
        <v/>
      </c>
    </row>
    <row r="8" spans="1:10" x14ac:dyDescent="0.2">
      <c r="A8" t="s">
        <v>23</v>
      </c>
      <c r="B8" s="70"/>
      <c r="C8" s="137">
        <v>20990000</v>
      </c>
      <c r="D8" s="137">
        <v>20790000</v>
      </c>
      <c r="E8" s="139">
        <v>20090000</v>
      </c>
      <c r="F8" s="133">
        <v>20790000</v>
      </c>
      <c r="G8" s="111">
        <v>20790000</v>
      </c>
      <c r="H8" s="26">
        <f>20790-19490</f>
        <v>1300</v>
      </c>
      <c r="I8" s="121">
        <f>IFERROR(E8-W7Q2FY26!E7,"OOS")</f>
        <v>700000</v>
      </c>
      <c r="J8" t="str">
        <f t="shared" si="0"/>
        <v>iPhone 16 128GB tăng 700K = 20090.0K</v>
      </c>
    </row>
    <row r="9" spans="1:10" x14ac:dyDescent="0.2">
      <c r="A9" t="s">
        <v>24</v>
      </c>
      <c r="B9" s="3"/>
      <c r="C9" s="140">
        <v>24990000</v>
      </c>
      <c r="D9" s="140">
        <v>24590000</v>
      </c>
      <c r="E9" s="139">
        <v>23790000</v>
      </c>
      <c r="F9" s="133">
        <v>24790000</v>
      </c>
      <c r="G9" s="111">
        <v>24790000</v>
      </c>
      <c r="H9" s="26">
        <f>24790-23390</f>
        <v>1400</v>
      </c>
      <c r="I9" s="121">
        <f>IFERROR(E9-W7Q2FY26!E8,"OOS")</f>
        <v>800000</v>
      </c>
      <c r="J9" t="str">
        <f t="shared" si="0"/>
        <v>iPhone 16  Plus 128GB tăng 800K = 23790.0K</v>
      </c>
    </row>
    <row r="10" spans="1:10" x14ac:dyDescent="0.2">
      <c r="A10" t="s">
        <v>264</v>
      </c>
      <c r="B10" s="25"/>
      <c r="C10" s="135" t="s">
        <v>22</v>
      </c>
      <c r="D10" s="110">
        <v>25590000</v>
      </c>
      <c r="E10" s="112" t="s">
        <v>22</v>
      </c>
      <c r="F10" s="132">
        <v>26590000</v>
      </c>
      <c r="G10" s="110">
        <v>24990000</v>
      </c>
      <c r="H10" s="26"/>
      <c r="I10" s="121" t="str">
        <f>IFERROR(E10-W7Q2FY26!E9,"OOS")</f>
        <v>OOS</v>
      </c>
      <c r="J10" t="e">
        <f t="shared" si="0"/>
        <v>#VALUE!</v>
      </c>
    </row>
    <row r="11" spans="1:10" x14ac:dyDescent="0.2">
      <c r="A11" t="s">
        <v>183</v>
      </c>
      <c r="B11" s="3"/>
      <c r="C11" s="135">
        <v>31590000</v>
      </c>
      <c r="D11" s="135">
        <v>31490000</v>
      </c>
      <c r="E11" s="112" t="s">
        <v>22</v>
      </c>
      <c r="F11" s="133">
        <v>31890000</v>
      </c>
      <c r="G11" s="110">
        <v>31190000</v>
      </c>
      <c r="H11" s="26"/>
      <c r="I11" s="121" t="str">
        <f>IFERROR(E11-W7Q2FY26!E10,"OOS")</f>
        <v>OOS</v>
      </c>
      <c r="J11" t="e">
        <f t="shared" si="0"/>
        <v>#VALUE!</v>
      </c>
    </row>
    <row r="12" spans="1:10" x14ac:dyDescent="0.2">
      <c r="A12" t="s">
        <v>25</v>
      </c>
      <c r="B12" s="25"/>
      <c r="C12" s="140">
        <v>17990000</v>
      </c>
      <c r="D12" s="140">
        <v>17790000</v>
      </c>
      <c r="E12" s="130">
        <v>17490000</v>
      </c>
      <c r="F12" s="133">
        <v>17790000</v>
      </c>
      <c r="G12" s="111">
        <v>17690000</v>
      </c>
      <c r="H12" s="26">
        <f>17690-16390</f>
        <v>1300</v>
      </c>
      <c r="I12" s="121">
        <f>IFERROR(E12-W7Q2FY26!E11,"OOS")</f>
        <v>1000000</v>
      </c>
      <c r="J12" t="str">
        <f t="shared" si="0"/>
        <v>iPhone 15  128GB tăng 1000K = 17490.0K</v>
      </c>
    </row>
    <row r="13" spans="1:10" x14ac:dyDescent="0.2">
      <c r="A13" t="s">
        <v>26</v>
      </c>
      <c r="B13" s="25"/>
      <c r="C13" s="135">
        <v>19990000</v>
      </c>
      <c r="D13" s="135" t="s">
        <v>22</v>
      </c>
      <c r="E13" s="130" t="s">
        <v>22</v>
      </c>
      <c r="F13" s="132">
        <v>17690000</v>
      </c>
      <c r="G13" s="110" t="s">
        <v>22</v>
      </c>
      <c r="H13" s="26"/>
      <c r="I13" s="121" t="str">
        <f>IFERROR(E13-W7Q2FY26!E12,"OOS")</f>
        <v>OOS</v>
      </c>
      <c r="J13" t="e">
        <f t="shared" si="0"/>
        <v>#VALUE!</v>
      </c>
    </row>
    <row r="14" spans="1:10" x14ac:dyDescent="0.2">
      <c r="A14" t="s">
        <v>27</v>
      </c>
      <c r="B14" s="25"/>
      <c r="C14" s="135">
        <v>13990000</v>
      </c>
      <c r="D14" s="140">
        <v>13890000</v>
      </c>
      <c r="E14" s="130">
        <v>13590000</v>
      </c>
      <c r="F14" s="133">
        <v>13790000</v>
      </c>
      <c r="G14" s="110">
        <v>13390000</v>
      </c>
      <c r="H14" s="26"/>
      <c r="I14" s="121">
        <f>IFERROR(E14-W7Q2FY26!E13,"OOS")</f>
        <v>0</v>
      </c>
      <c r="J14" t="str">
        <f t="shared" si="0"/>
        <v/>
      </c>
    </row>
    <row r="15" spans="1:10" x14ac:dyDescent="0.2">
      <c r="A15" t="s">
        <v>28</v>
      </c>
      <c r="B15" s="3"/>
      <c r="C15" s="135">
        <v>12490000</v>
      </c>
      <c r="D15" s="135">
        <v>12290000</v>
      </c>
      <c r="E15" s="139">
        <v>11990000</v>
      </c>
      <c r="F15" s="133">
        <v>11990000</v>
      </c>
      <c r="G15" s="110">
        <v>11890000</v>
      </c>
      <c r="H15" s="26"/>
      <c r="I15" s="121">
        <f>IFERROR(E15-W7Q2FY26!E14,"OOS")</f>
        <v>0</v>
      </c>
      <c r="J15" t="str">
        <f t="shared" si="0"/>
        <v/>
      </c>
    </row>
    <row r="16" spans="1:10" x14ac:dyDescent="0.2">
      <c r="A16" t="s">
        <v>29</v>
      </c>
      <c r="B16" s="25"/>
      <c r="C16" s="140">
        <v>13490000</v>
      </c>
      <c r="D16" s="140">
        <v>13490000</v>
      </c>
      <c r="E16" s="139">
        <v>13290000</v>
      </c>
      <c r="F16" s="133">
        <v>13490000</v>
      </c>
      <c r="G16" s="111">
        <v>13390000</v>
      </c>
      <c r="H16" s="26">
        <f>13390-11590</f>
        <v>1800</v>
      </c>
      <c r="I16" s="121">
        <f>IFERROR(E16-W7Q2FY26!E15,"OOS")</f>
        <v>2000000</v>
      </c>
      <c r="J16" t="str">
        <f t="shared" si="0"/>
        <v>iPad Mini 7 128GB Wifi tăng 2000K = 13290.0K</v>
      </c>
    </row>
    <row r="17" spans="1:15" x14ac:dyDescent="0.2">
      <c r="A17" t="s">
        <v>30</v>
      </c>
      <c r="B17" s="3"/>
      <c r="C17" s="140">
        <v>9590000</v>
      </c>
      <c r="D17" s="140">
        <v>9590000</v>
      </c>
      <c r="E17" s="139">
        <v>9190000</v>
      </c>
      <c r="F17" s="133">
        <v>9590000</v>
      </c>
      <c r="G17" s="110">
        <v>8990000</v>
      </c>
      <c r="H17" s="26">
        <v>700</v>
      </c>
      <c r="I17" s="121">
        <f>IFERROR(E17-W7Q2FY26!E16,"OOS")</f>
        <v>700000</v>
      </c>
      <c r="J17" t="str">
        <f t="shared" si="0"/>
        <v>iPad Gen 11th  128GB Wifi tăng 700K = 9190.0K</v>
      </c>
      <c r="M17" t="s">
        <v>31</v>
      </c>
      <c r="N17" t="s">
        <v>32</v>
      </c>
      <c r="O17" t="b">
        <v>1</v>
      </c>
    </row>
    <row r="18" spans="1:15" x14ac:dyDescent="0.2">
      <c r="A18" t="s">
        <v>33</v>
      </c>
      <c r="B18" s="3"/>
      <c r="C18" s="140">
        <v>16290000</v>
      </c>
      <c r="D18" s="140">
        <v>15990000</v>
      </c>
      <c r="E18" s="130">
        <v>15390000</v>
      </c>
      <c r="F18" s="133">
        <v>16290000</v>
      </c>
      <c r="G18" s="111">
        <v>12990000</v>
      </c>
      <c r="H18" s="26">
        <v>-300</v>
      </c>
      <c r="I18" s="121">
        <f>IFERROR(E18-W7Q2FY26!E17,"OOS")</f>
        <v>2100000</v>
      </c>
      <c r="J18" t="str">
        <f t="shared" si="0"/>
        <v>iPad Air M3  11" 128 GB Wifi tăng 2100K = 15390.0K</v>
      </c>
      <c r="M18" t="s">
        <v>2</v>
      </c>
      <c r="N18" t="s">
        <v>34</v>
      </c>
      <c r="O18" t="b">
        <v>1</v>
      </c>
    </row>
    <row r="19" spans="1:15" x14ac:dyDescent="0.2">
      <c r="A19" t="s">
        <v>37</v>
      </c>
      <c r="B19" s="25"/>
      <c r="C19" s="140">
        <v>21690000</v>
      </c>
      <c r="D19" s="140">
        <v>21490000</v>
      </c>
      <c r="E19" s="112">
        <v>20490000</v>
      </c>
      <c r="F19" s="133">
        <v>21690000</v>
      </c>
      <c r="G19" s="110">
        <v>18790000</v>
      </c>
      <c r="H19" s="78"/>
      <c r="I19" s="121">
        <f>IFERROR(E19-W7Q2FY26!E18,"OOS")</f>
        <v>1500000</v>
      </c>
      <c r="J19" t="str">
        <f t="shared" si="0"/>
        <v>iPad Air M3  13" 128 GB Wifi tăng 1500K = 20490.0K</v>
      </c>
      <c r="M19" t="s">
        <v>3</v>
      </c>
      <c r="N19" t="s">
        <v>36</v>
      </c>
      <c r="O19" t="b">
        <v>1</v>
      </c>
    </row>
    <row r="20" spans="1:15" x14ac:dyDescent="0.2">
      <c r="A20" t="s">
        <v>184</v>
      </c>
      <c r="B20" s="25"/>
      <c r="C20" s="112" t="s">
        <v>22</v>
      </c>
      <c r="D20" s="140">
        <v>28990000</v>
      </c>
      <c r="E20" s="112" t="s">
        <v>22</v>
      </c>
      <c r="F20" s="132" t="s">
        <v>22</v>
      </c>
      <c r="G20" s="112" t="s">
        <v>22</v>
      </c>
      <c r="H20" s="26"/>
      <c r="I20" s="121" t="str">
        <f>IFERROR(E20-W7Q2FY26!E19,"OOS")</f>
        <v>OOS</v>
      </c>
      <c r="J20" t="e">
        <f t="shared" si="0"/>
        <v>#VALUE!</v>
      </c>
      <c r="M20" t="s">
        <v>4</v>
      </c>
      <c r="N20" t="s">
        <v>38</v>
      </c>
      <c r="O20" t="b">
        <v>1</v>
      </c>
    </row>
    <row r="21" spans="1:15" x14ac:dyDescent="0.2">
      <c r="A21" t="s">
        <v>185</v>
      </c>
      <c r="B21" s="3"/>
      <c r="C21" s="112" t="s">
        <v>22</v>
      </c>
      <c r="D21" s="112" t="s">
        <v>22</v>
      </c>
      <c r="E21" s="112" t="s">
        <v>22</v>
      </c>
      <c r="F21" s="112" t="s">
        <v>22</v>
      </c>
      <c r="G21" s="112" t="s">
        <v>22</v>
      </c>
      <c r="H21" s="26"/>
      <c r="I21" s="121" t="str">
        <f>IFERROR(E21-W7Q2FY26!E20,"OOS")</f>
        <v>OOS</v>
      </c>
      <c r="J21" t="e">
        <f t="shared" si="0"/>
        <v>#VALUE!</v>
      </c>
      <c r="M21" t="s">
        <v>41</v>
      </c>
      <c r="N21" t="s">
        <v>42</v>
      </c>
      <c r="O21" t="b">
        <v>1</v>
      </c>
    </row>
    <row r="22" spans="1:15" x14ac:dyDescent="0.2">
      <c r="A22" t="s">
        <v>40</v>
      </c>
      <c r="B22" s="3"/>
      <c r="C22" s="140">
        <v>29190000</v>
      </c>
      <c r="D22" s="140">
        <v>28990000</v>
      </c>
      <c r="E22" s="123">
        <v>28990000</v>
      </c>
      <c r="F22" s="133">
        <v>28990000</v>
      </c>
      <c r="G22" s="112">
        <v>28990000</v>
      </c>
      <c r="H22" s="26"/>
      <c r="I22" s="121">
        <f>IFERROR(E22-W7Q2FY26!E21,"OOS")</f>
        <v>0</v>
      </c>
      <c r="J22" t="str">
        <f t="shared" si="0"/>
        <v/>
      </c>
    </row>
    <row r="23" spans="1:15" x14ac:dyDescent="0.2">
      <c r="A23" t="s">
        <v>43</v>
      </c>
      <c r="B23" s="3"/>
      <c r="C23" s="135">
        <v>38990000</v>
      </c>
      <c r="D23" s="139">
        <v>38990000</v>
      </c>
      <c r="E23" s="112">
        <v>38990000</v>
      </c>
      <c r="F23" s="132">
        <v>38990000</v>
      </c>
      <c r="G23" s="112">
        <v>38990000</v>
      </c>
      <c r="H23" s="26"/>
      <c r="I23" s="121">
        <f>IFERROR(E23-W7Q2FY26!E22,"OOS")</f>
        <v>0</v>
      </c>
      <c r="J23" t="str">
        <f t="shared" si="0"/>
        <v/>
      </c>
    </row>
    <row r="24" spans="1:15" x14ac:dyDescent="0.2">
      <c r="A24" t="s">
        <v>44</v>
      </c>
      <c r="B24" s="25"/>
      <c r="C24" s="140">
        <v>6790000</v>
      </c>
      <c r="D24" s="140">
        <v>6690000</v>
      </c>
      <c r="E24" s="139">
        <v>6490000</v>
      </c>
      <c r="F24" s="133">
        <v>6690000</v>
      </c>
      <c r="G24" s="123">
        <v>6390000</v>
      </c>
      <c r="H24" s="26">
        <v>100</v>
      </c>
      <c r="I24" s="121">
        <f>IFERROR(E24-W7Q2FY26!E23,"OOS")</f>
        <v>300000</v>
      </c>
      <c r="J24" t="str">
        <f t="shared" si="0"/>
        <v>AW SE 3 (40mm GPS) tăng 300K = 6490.0K</v>
      </c>
    </row>
    <row r="25" spans="1:15" x14ac:dyDescent="0.2">
      <c r="A25" t="s">
        <v>45</v>
      </c>
      <c r="B25" s="25"/>
      <c r="C25" s="140">
        <v>8390000</v>
      </c>
      <c r="D25" s="140">
        <v>8390000</v>
      </c>
      <c r="E25" s="139">
        <v>7990000</v>
      </c>
      <c r="F25" s="133">
        <v>8390000</v>
      </c>
      <c r="G25" s="123">
        <v>7990000</v>
      </c>
      <c r="H25" s="122">
        <v>300</v>
      </c>
      <c r="I25" s="121">
        <f>IFERROR(E25-W7Q2FY26!E24,"OOS")</f>
        <v>200000</v>
      </c>
      <c r="J25" t="str">
        <f t="shared" si="0"/>
        <v>AW SE 3 (40mm LTE) tăng 200K = 7990.0K</v>
      </c>
    </row>
    <row r="26" spans="1:15" x14ac:dyDescent="0.2">
      <c r="A26" t="s">
        <v>46</v>
      </c>
      <c r="B26" s="25"/>
      <c r="C26" s="140">
        <v>7690000</v>
      </c>
      <c r="D26" s="140">
        <v>7590000</v>
      </c>
      <c r="E26" s="139">
        <v>7390000</v>
      </c>
      <c r="F26" s="133">
        <v>7690000</v>
      </c>
      <c r="G26" s="123">
        <v>7290000</v>
      </c>
      <c r="H26" s="26">
        <v>200</v>
      </c>
      <c r="I26" s="121">
        <f>IFERROR(E26-W7Q2FY26!E25,"OOS")</f>
        <v>400000</v>
      </c>
      <c r="J26" t="str">
        <f t="shared" si="0"/>
        <v>AW SE 3 (44mm GPS) tăng 400K = 7390.0K</v>
      </c>
    </row>
    <row r="27" spans="1:15" x14ac:dyDescent="0.2">
      <c r="A27" t="s">
        <v>47</v>
      </c>
      <c r="B27" s="25"/>
      <c r="C27" s="140">
        <v>9190000</v>
      </c>
      <c r="D27" s="140">
        <v>9190000</v>
      </c>
      <c r="E27" s="139">
        <v>8990000</v>
      </c>
      <c r="F27" s="133">
        <v>9190000</v>
      </c>
      <c r="G27" s="112">
        <v>8690000</v>
      </c>
      <c r="H27" s="26"/>
      <c r="I27" s="121">
        <f>IFERROR(E27-W7Q2FY26!E26,"OOS")</f>
        <v>400000</v>
      </c>
      <c r="J27" t="str">
        <f t="shared" si="0"/>
        <v>AW SE 3 (44mm LTE) tăng 400K = 8990.0K</v>
      </c>
    </row>
    <row r="28" spans="1:15" x14ac:dyDescent="0.2">
      <c r="A28" t="s">
        <v>48</v>
      </c>
      <c r="B28" s="3"/>
      <c r="C28" s="140">
        <v>11190000</v>
      </c>
      <c r="D28" s="140">
        <v>11890000</v>
      </c>
      <c r="E28" s="139">
        <v>10690000</v>
      </c>
      <c r="F28" s="133">
        <v>11090000</v>
      </c>
      <c r="G28" s="112">
        <v>8990000</v>
      </c>
      <c r="H28" s="26"/>
      <c r="I28" s="121">
        <f>IFERROR(E28-W7Q2FY26!E27,"OOS")</f>
        <v>1700000</v>
      </c>
      <c r="J28" t="str">
        <f t="shared" si="0"/>
        <v>AW S11 (42mm GPS) tăng 1700K = 10690.0K</v>
      </c>
    </row>
    <row r="29" spans="1:15" x14ac:dyDescent="0.2">
      <c r="A29" t="s">
        <v>49</v>
      </c>
      <c r="B29" s="3"/>
      <c r="C29" s="140">
        <v>14090000</v>
      </c>
      <c r="D29" s="140">
        <v>14090000</v>
      </c>
      <c r="E29" s="139">
        <v>13990000</v>
      </c>
      <c r="F29" s="133">
        <v>14090000</v>
      </c>
      <c r="G29" s="112">
        <v>11990000</v>
      </c>
      <c r="H29" s="26"/>
      <c r="I29" s="121">
        <f>IFERROR(E29-W7Q2FY26!E28,"OOS")</f>
        <v>2000000</v>
      </c>
      <c r="J29" t="str">
        <f t="shared" si="0"/>
        <v>AW S11 (42mm CEL) tăng 2000K = 13990.0K</v>
      </c>
    </row>
    <row r="30" spans="1:15" x14ac:dyDescent="0.2">
      <c r="A30" t="s">
        <v>50</v>
      </c>
      <c r="B30" s="3"/>
      <c r="C30" s="140">
        <v>11990000</v>
      </c>
      <c r="D30" s="135">
        <v>9990000</v>
      </c>
      <c r="E30" s="139">
        <v>11490000</v>
      </c>
      <c r="F30" s="133">
        <v>11890000</v>
      </c>
      <c r="G30" s="110">
        <v>9990000</v>
      </c>
      <c r="H30" s="26"/>
      <c r="I30" s="121">
        <f>IFERROR(E30-W7Q2FY26!E29,"OOS")</f>
        <v>1800000</v>
      </c>
      <c r="J30" t="str">
        <f t="shared" si="0"/>
        <v>AW S11 (46mm GPS) tăng 1800K = 11490.0K</v>
      </c>
    </row>
    <row r="31" spans="1:15" x14ac:dyDescent="0.2">
      <c r="A31" t="s">
        <v>51</v>
      </c>
      <c r="B31" s="3"/>
      <c r="C31" s="140" t="s">
        <v>22</v>
      </c>
      <c r="D31" s="140">
        <v>14990000</v>
      </c>
      <c r="E31" s="139">
        <v>14490000</v>
      </c>
      <c r="F31" s="133">
        <v>14990000</v>
      </c>
      <c r="G31" s="110">
        <v>12990000</v>
      </c>
      <c r="H31" s="26"/>
      <c r="I31" s="121">
        <f>IFERROR(E31-W7Q2FY26!E30,"OOS")</f>
        <v>1800000</v>
      </c>
      <c r="J31" t="str">
        <f t="shared" si="0"/>
        <v>AW S11 (46mm CEL) tăng 1800K = 14490.0K</v>
      </c>
    </row>
    <row r="32" spans="1:15" x14ac:dyDescent="0.2">
      <c r="A32" t="s">
        <v>52</v>
      </c>
      <c r="B32" s="25"/>
      <c r="C32" s="135">
        <v>23490000</v>
      </c>
      <c r="D32" s="135">
        <v>22990000</v>
      </c>
      <c r="E32" s="112">
        <v>22490000</v>
      </c>
      <c r="F32" s="132">
        <v>22990000</v>
      </c>
      <c r="G32" s="110">
        <v>22990000</v>
      </c>
      <c r="H32" s="26"/>
      <c r="I32" s="121">
        <f>IFERROR(E32-W7Q2FY26!E31,"OOS")</f>
        <v>0</v>
      </c>
      <c r="J32" t="str">
        <f t="shared" si="0"/>
        <v/>
      </c>
    </row>
    <row r="33" spans="1:10" x14ac:dyDescent="0.2">
      <c r="A33" t="s">
        <v>53</v>
      </c>
      <c r="B33" s="3"/>
      <c r="C33" s="135">
        <v>4890000</v>
      </c>
      <c r="D33" s="135">
        <v>4990000</v>
      </c>
      <c r="E33" s="130" t="s">
        <v>22</v>
      </c>
      <c r="F33" s="132">
        <v>4950000</v>
      </c>
      <c r="G33" s="110">
        <v>5590000</v>
      </c>
      <c r="H33" s="26"/>
      <c r="I33" s="121" t="str">
        <f>IFERROR(E33-W7Q2FY26!E32,"OOS")</f>
        <v>OOS</v>
      </c>
      <c r="J33" t="e">
        <f t="shared" si="0"/>
        <v>#VALUE!</v>
      </c>
    </row>
    <row r="34" spans="1:10" x14ac:dyDescent="0.2">
      <c r="A34" t="s">
        <v>54</v>
      </c>
      <c r="B34" s="3"/>
      <c r="C34" s="140">
        <v>4590000</v>
      </c>
      <c r="D34" s="135">
        <v>4190000</v>
      </c>
      <c r="E34" s="139">
        <v>4490000</v>
      </c>
      <c r="F34" s="133">
        <v>4550000</v>
      </c>
      <c r="G34" s="123">
        <v>4390000</v>
      </c>
      <c r="H34" s="26">
        <v>100</v>
      </c>
      <c r="I34" s="121">
        <f>IFERROR(E34-W7Q2FY26!E33,"OOS")</f>
        <v>100000</v>
      </c>
      <c r="J34" t="str">
        <f t="shared" si="0"/>
        <v>AirPods 4 ANC tăng 100K = 4490.0K</v>
      </c>
    </row>
    <row r="35" spans="1:10" x14ac:dyDescent="0.2">
      <c r="A35" t="s">
        <v>55</v>
      </c>
      <c r="B35" s="3"/>
      <c r="C35" s="140">
        <v>3490000</v>
      </c>
      <c r="D35" s="140">
        <v>3490000</v>
      </c>
      <c r="E35" s="139">
        <v>3390000</v>
      </c>
      <c r="F35" s="133">
        <v>3490000</v>
      </c>
      <c r="G35" s="111">
        <v>2990000</v>
      </c>
      <c r="H35" s="26">
        <v>100</v>
      </c>
      <c r="I35" s="121">
        <f>IFERROR(E35-W7Q2FY26!E34,"OOS")</f>
        <v>400000</v>
      </c>
      <c r="J35" t="str">
        <f t="shared" si="0"/>
        <v>AirPods 4 with charging case tăng 400K = 3390.0K</v>
      </c>
    </row>
    <row r="36" spans="1:10" x14ac:dyDescent="0.2">
      <c r="A36" t="s">
        <v>56</v>
      </c>
      <c r="B36" s="3"/>
      <c r="C36" s="140">
        <v>6590000</v>
      </c>
      <c r="D36" s="135">
        <v>6390000</v>
      </c>
      <c r="E36" s="134">
        <v>6290000</v>
      </c>
      <c r="F36" s="133">
        <v>6390000</v>
      </c>
      <c r="G36" s="112">
        <v>6490000</v>
      </c>
      <c r="H36" s="26"/>
      <c r="I36" s="121">
        <f>IFERROR(E36-W7Q2FY26!E35,"OOS")</f>
        <v>0</v>
      </c>
      <c r="J36" t="str">
        <f t="shared" si="0"/>
        <v/>
      </c>
    </row>
    <row r="37" spans="1:10" x14ac:dyDescent="0.2">
      <c r="A37" t="s">
        <v>186</v>
      </c>
      <c r="B37" s="25"/>
      <c r="C37" s="135">
        <v>19690000</v>
      </c>
      <c r="D37" s="135">
        <v>19690000</v>
      </c>
      <c r="E37" s="142"/>
      <c r="F37" s="132">
        <v>19690000</v>
      </c>
      <c r="G37" s="110">
        <v>18990000</v>
      </c>
      <c r="H37" s="26"/>
      <c r="I37" s="121">
        <f>IFERROR(E37-W7Q2FY26!E36,"OOS")</f>
        <v>0</v>
      </c>
    </row>
    <row r="38" spans="1:10" x14ac:dyDescent="0.2">
      <c r="B38" s="25"/>
      <c r="C38" s="135"/>
      <c r="D38" s="135"/>
      <c r="E38" s="142"/>
      <c r="F38" s="132"/>
      <c r="G38" s="110"/>
      <c r="H38" s="26"/>
    </row>
    <row r="39" spans="1:10" x14ac:dyDescent="0.2">
      <c r="B39" s="25"/>
      <c r="C39" s="135"/>
      <c r="D39" s="135"/>
      <c r="E39" s="142"/>
      <c r="F39" s="132"/>
      <c r="G39" s="110"/>
      <c r="H39" s="26"/>
    </row>
    <row r="40" spans="1:10" x14ac:dyDescent="0.2">
      <c r="A40" t="s">
        <v>59</v>
      </c>
      <c r="B40" s="3"/>
      <c r="C40" s="140">
        <v>25290000</v>
      </c>
      <c r="D40" s="140">
        <v>25290000</v>
      </c>
      <c r="E40" s="142"/>
      <c r="F40" s="133">
        <v>25290000</v>
      </c>
      <c r="G40" s="111">
        <v>25290000</v>
      </c>
      <c r="H40" s="26">
        <f>25290-23690</f>
        <v>1600</v>
      </c>
      <c r="I40" s="121">
        <f>IFERROR(E40-W7Q2FY26!E37,"OOS")</f>
        <v>0</v>
      </c>
    </row>
    <row r="41" spans="1:10" x14ac:dyDescent="0.2">
      <c r="A41" t="s">
        <v>61</v>
      </c>
      <c r="B41" s="25"/>
      <c r="C41" s="140">
        <v>29990000</v>
      </c>
      <c r="D41" s="140">
        <v>29990000</v>
      </c>
      <c r="E41" s="142"/>
      <c r="F41" s="132">
        <v>28990000</v>
      </c>
      <c r="G41" s="111">
        <v>28990000</v>
      </c>
      <c r="H41" s="26">
        <v>400</v>
      </c>
      <c r="I41" s="121">
        <f>IFERROR(E41-W7Q2FY26!E38,"OOS")</f>
        <v>0</v>
      </c>
    </row>
    <row r="42" spans="1:10" x14ac:dyDescent="0.2">
      <c r="A42" t="s">
        <v>187</v>
      </c>
      <c r="B42" s="25"/>
      <c r="C42" s="135" t="s">
        <v>22</v>
      </c>
      <c r="D42" s="135" t="s">
        <v>22</v>
      </c>
      <c r="E42" s="142"/>
      <c r="F42" s="132">
        <v>38590000</v>
      </c>
      <c r="G42" s="110">
        <v>38390000</v>
      </c>
      <c r="H42" s="26"/>
      <c r="I42" s="121">
        <f>IFERROR(E42-W7Q2FY26!E39,"OOS")</f>
        <v>0</v>
      </c>
    </row>
    <row r="43" spans="1:10" x14ac:dyDescent="0.2">
      <c r="A43" t="s">
        <v>62</v>
      </c>
      <c r="B43" s="25"/>
      <c r="C43" s="135">
        <v>41890000</v>
      </c>
      <c r="D43" s="135">
        <v>40690000</v>
      </c>
      <c r="E43" s="142"/>
      <c r="F43" s="132">
        <v>41990000</v>
      </c>
      <c r="G43" s="111">
        <v>41690000</v>
      </c>
      <c r="H43" s="26">
        <v>-300</v>
      </c>
      <c r="I43" s="121">
        <f>IFERROR(E43-W7Q2FY26!E40,"OOS")</f>
        <v>0</v>
      </c>
    </row>
    <row r="44" spans="1:10" x14ac:dyDescent="0.2">
      <c r="A44" t="s">
        <v>188</v>
      </c>
      <c r="B44" s="25"/>
      <c r="C44" s="135" t="s">
        <v>22</v>
      </c>
      <c r="D44" s="135">
        <v>63990000</v>
      </c>
      <c r="E44" s="142"/>
      <c r="F44" s="132">
        <v>63990000</v>
      </c>
      <c r="G44" s="110">
        <v>63990000</v>
      </c>
      <c r="I44" s="121">
        <f>IFERROR(E44-W7Q2FY26!E41,"OOS")</f>
        <v>0</v>
      </c>
    </row>
    <row r="45" spans="1:10" x14ac:dyDescent="0.2">
      <c r="C45" s="124"/>
      <c r="D45" s="124"/>
    </row>
    <row r="46" spans="1:10" x14ac:dyDescent="0.2">
      <c r="C46" s="124"/>
      <c r="D46" s="124"/>
    </row>
    <row r="47" spans="1:10" x14ac:dyDescent="0.2">
      <c r="C47" s="124"/>
      <c r="D47" s="124"/>
    </row>
    <row r="48" spans="1:10" x14ac:dyDescent="0.2">
      <c r="C48" s="124"/>
      <c r="D48" s="124"/>
    </row>
    <row r="49" spans="3:4" x14ac:dyDescent="0.2">
      <c r="C49" s="124"/>
      <c r="D49" s="124"/>
    </row>
    <row r="50" spans="3:4" x14ac:dyDescent="0.2">
      <c r="C50" s="124"/>
      <c r="D50" s="124"/>
    </row>
    <row r="51" spans="3:4" x14ac:dyDescent="0.2">
      <c r="C51" s="124"/>
      <c r="D51" s="124"/>
    </row>
    <row r="52" spans="3:4" x14ac:dyDescent="0.2">
      <c r="C52" s="124"/>
      <c r="D52" s="124"/>
    </row>
    <row r="53" spans="3:4" x14ac:dyDescent="0.2">
      <c r="C53" s="124"/>
      <c r="D53" s="124"/>
    </row>
    <row r="54" spans="3:4" x14ac:dyDescent="0.2">
      <c r="C54" s="124"/>
      <c r="D54" s="124"/>
    </row>
    <row r="55" spans="3:4" x14ac:dyDescent="0.2">
      <c r="C55" s="124"/>
      <c r="D55" s="124"/>
    </row>
    <row r="56" spans="3:4" x14ac:dyDescent="0.2">
      <c r="C56" s="124"/>
      <c r="D56" s="124"/>
    </row>
    <row r="57" spans="3:4" x14ac:dyDescent="0.2">
      <c r="C57" s="124"/>
      <c r="D57" s="124"/>
    </row>
    <row r="58" spans="3:4" x14ac:dyDescent="0.2">
      <c r="C58" s="124"/>
      <c r="D58" s="124"/>
    </row>
    <row r="59" spans="3:4" x14ac:dyDescent="0.2">
      <c r="C59" s="124"/>
      <c r="D59" s="124"/>
    </row>
    <row r="60" spans="3:4" x14ac:dyDescent="0.2">
      <c r="C60" s="124"/>
      <c r="D60" s="124"/>
    </row>
    <row r="61" spans="3:4" x14ac:dyDescent="0.2">
      <c r="C61" s="124"/>
      <c r="D61" s="124"/>
    </row>
    <row r="62" spans="3:4" x14ac:dyDescent="0.2">
      <c r="C62" s="124"/>
      <c r="D62" s="124"/>
    </row>
    <row r="63" spans="3:4" x14ac:dyDescent="0.2">
      <c r="C63" s="124"/>
      <c r="D63" s="124"/>
    </row>
    <row r="64" spans="3:4" x14ac:dyDescent="0.2">
      <c r="C64" s="124"/>
      <c r="D64" s="124"/>
    </row>
    <row r="65" spans="3:4" x14ac:dyDescent="0.2">
      <c r="C65" s="124"/>
      <c r="D65" s="124"/>
    </row>
    <row r="66" spans="3:4" x14ac:dyDescent="0.2">
      <c r="C66" s="124"/>
      <c r="D66" s="124"/>
    </row>
    <row r="67" spans="3:4" x14ac:dyDescent="0.2">
      <c r="C67" s="124"/>
      <c r="D67" s="124"/>
    </row>
    <row r="68" spans="3:4" x14ac:dyDescent="0.2">
      <c r="C68" s="124"/>
      <c r="D68" s="124"/>
    </row>
    <row r="69" spans="3:4" x14ac:dyDescent="0.2">
      <c r="C69" s="124"/>
      <c r="D69" s="124"/>
    </row>
    <row r="70" spans="3:4" x14ac:dyDescent="0.2">
      <c r="C70" s="124"/>
      <c r="D70" s="124"/>
    </row>
    <row r="71" spans="3:4" x14ac:dyDescent="0.2">
      <c r="C71" s="124"/>
      <c r="D71" s="124"/>
    </row>
    <row r="72" spans="3:4" x14ac:dyDescent="0.2">
      <c r="C72" s="124"/>
      <c r="D72" s="124"/>
    </row>
    <row r="73" spans="3:4" x14ac:dyDescent="0.2">
      <c r="C73" s="124"/>
      <c r="D73" s="124"/>
    </row>
    <row r="74" spans="3:4" x14ac:dyDescent="0.2">
      <c r="C74" s="124"/>
      <c r="D74" s="124"/>
    </row>
    <row r="75" spans="3:4" x14ac:dyDescent="0.2">
      <c r="C75" s="124"/>
      <c r="D75" s="124"/>
    </row>
    <row r="76" spans="3:4" x14ac:dyDescent="0.2">
      <c r="C76" s="124"/>
      <c r="D76" s="124"/>
    </row>
    <row r="77" spans="3:4" x14ac:dyDescent="0.2">
      <c r="C77" s="124"/>
      <c r="D77" s="124"/>
    </row>
    <row r="78" spans="3:4" x14ac:dyDescent="0.2">
      <c r="C78" s="124"/>
      <c r="D78" s="124"/>
    </row>
    <row r="79" spans="3:4" x14ac:dyDescent="0.2">
      <c r="C79" s="124"/>
      <c r="D79" s="124"/>
    </row>
    <row r="80" spans="3:4" x14ac:dyDescent="0.2">
      <c r="C80" s="124"/>
      <c r="D80" s="124"/>
    </row>
    <row r="81" spans="3:4" x14ac:dyDescent="0.2">
      <c r="C81" s="124"/>
      <c r="D81" s="124"/>
    </row>
    <row r="82" spans="3:4" x14ac:dyDescent="0.2">
      <c r="C82" s="124"/>
      <c r="D82" s="124"/>
    </row>
    <row r="83" spans="3:4" x14ac:dyDescent="0.2">
      <c r="C83" s="124"/>
      <c r="D83" s="124"/>
    </row>
    <row r="84" spans="3:4" x14ac:dyDescent="0.2">
      <c r="C84" s="124"/>
      <c r="D84" s="124"/>
    </row>
    <row r="85" spans="3:4" x14ac:dyDescent="0.2">
      <c r="C85" s="124"/>
      <c r="D85" s="124"/>
    </row>
    <row r="86" spans="3:4" x14ac:dyDescent="0.2">
      <c r="C86" s="124"/>
      <c r="D86" s="124"/>
    </row>
    <row r="87" spans="3:4" x14ac:dyDescent="0.2">
      <c r="C87" s="124"/>
      <c r="D87" s="124"/>
    </row>
    <row r="88" spans="3:4" x14ac:dyDescent="0.2">
      <c r="C88" s="124"/>
      <c r="D88" s="124"/>
    </row>
    <row r="89" spans="3:4" x14ac:dyDescent="0.2">
      <c r="C89" s="124"/>
      <c r="D89" s="124"/>
    </row>
    <row r="90" spans="3:4" x14ac:dyDescent="0.2">
      <c r="C90" s="124"/>
      <c r="D90" s="124"/>
    </row>
    <row r="91" spans="3:4" x14ac:dyDescent="0.2">
      <c r="C91" s="124"/>
      <c r="D91" s="124"/>
    </row>
    <row r="92" spans="3:4" x14ac:dyDescent="0.2">
      <c r="C92" s="124"/>
      <c r="D92" s="124"/>
    </row>
    <row r="93" spans="3:4" x14ac:dyDescent="0.2">
      <c r="C93" s="124"/>
      <c r="D93" s="124"/>
    </row>
    <row r="94" spans="3:4" x14ac:dyDescent="0.2">
      <c r="C94" s="124"/>
      <c r="D94" s="124"/>
    </row>
    <row r="95" spans="3:4" x14ac:dyDescent="0.2">
      <c r="C95" s="124"/>
      <c r="D95" s="124"/>
    </row>
    <row r="96" spans="3:4" x14ac:dyDescent="0.2">
      <c r="C96" s="124"/>
      <c r="D96" s="124"/>
    </row>
    <row r="97" spans="3:4" x14ac:dyDescent="0.2">
      <c r="C97" s="124"/>
      <c r="D97" s="124"/>
    </row>
    <row r="98" spans="3:4" x14ac:dyDescent="0.2">
      <c r="C98" s="124"/>
      <c r="D98" s="124"/>
    </row>
    <row r="99" spans="3:4" x14ac:dyDescent="0.2">
      <c r="C99" s="124"/>
      <c r="D99" s="124"/>
    </row>
    <row r="100" spans="3:4" x14ac:dyDescent="0.2">
      <c r="C100" s="124"/>
      <c r="D100" s="124"/>
    </row>
    <row r="101" spans="3:4" x14ac:dyDescent="0.2">
      <c r="C101" s="124"/>
      <c r="D101" s="124"/>
    </row>
    <row r="102" spans="3:4" x14ac:dyDescent="0.2">
      <c r="C102" s="124"/>
      <c r="D102" s="124"/>
    </row>
    <row r="103" spans="3:4" x14ac:dyDescent="0.2">
      <c r="C103" s="124"/>
      <c r="D103" s="124"/>
    </row>
    <row r="104" spans="3:4" x14ac:dyDescent="0.2">
      <c r="C104" s="124"/>
      <c r="D104" s="124"/>
    </row>
    <row r="105" spans="3:4" x14ac:dyDescent="0.2">
      <c r="C105" s="124"/>
      <c r="D105" s="124"/>
    </row>
    <row r="106" spans="3:4" x14ac:dyDescent="0.2">
      <c r="C106" s="124"/>
      <c r="D106" s="124"/>
    </row>
    <row r="107" spans="3:4" x14ac:dyDescent="0.2">
      <c r="C107" s="124"/>
      <c r="D107" s="124"/>
    </row>
    <row r="108" spans="3:4" x14ac:dyDescent="0.2">
      <c r="C108" s="124"/>
      <c r="D108" s="124"/>
    </row>
    <row r="109" spans="3:4" x14ac:dyDescent="0.2">
      <c r="C109" s="124"/>
      <c r="D109" s="124"/>
    </row>
    <row r="110" spans="3:4" x14ac:dyDescent="0.2">
      <c r="C110" s="124"/>
      <c r="D110" s="124"/>
    </row>
    <row r="111" spans="3:4" x14ac:dyDescent="0.2">
      <c r="C111" s="124"/>
      <c r="D111" s="124"/>
    </row>
    <row r="112" spans="3:4" x14ac:dyDescent="0.2">
      <c r="C112" s="124"/>
      <c r="D112" s="124"/>
    </row>
    <row r="113" spans="3:4" x14ac:dyDescent="0.2">
      <c r="C113" s="124"/>
      <c r="D113" s="124"/>
    </row>
    <row r="114" spans="3:4" x14ac:dyDescent="0.2">
      <c r="C114" s="124"/>
      <c r="D114" s="124"/>
    </row>
    <row r="115" spans="3:4" x14ac:dyDescent="0.2">
      <c r="C115" s="124"/>
      <c r="D115" s="124"/>
    </row>
    <row r="116" spans="3:4" x14ac:dyDescent="0.2">
      <c r="C116" s="124"/>
      <c r="D116" s="124"/>
    </row>
    <row r="117" spans="3:4" x14ac:dyDescent="0.2">
      <c r="C117" s="124"/>
      <c r="D117" s="124"/>
    </row>
    <row r="118" spans="3:4" x14ac:dyDescent="0.2">
      <c r="C118" s="124"/>
      <c r="D118" s="124"/>
    </row>
    <row r="119" spans="3:4" x14ac:dyDescent="0.2">
      <c r="C119" s="124"/>
      <c r="D119" s="124"/>
    </row>
    <row r="120" spans="3:4" x14ac:dyDescent="0.2">
      <c r="C120" s="124"/>
      <c r="D120" s="124"/>
    </row>
    <row r="121" spans="3:4" x14ac:dyDescent="0.2">
      <c r="C121" s="124"/>
      <c r="D121" s="124"/>
    </row>
    <row r="122" spans="3:4" x14ac:dyDescent="0.2">
      <c r="C122" s="124"/>
      <c r="D122" s="124"/>
    </row>
    <row r="123" spans="3:4" x14ac:dyDescent="0.2">
      <c r="C123" s="124"/>
      <c r="D123" s="124"/>
    </row>
    <row r="124" spans="3:4" x14ac:dyDescent="0.2">
      <c r="C124" s="124"/>
      <c r="D124" s="124"/>
    </row>
    <row r="125" spans="3:4" x14ac:dyDescent="0.2">
      <c r="C125" s="124"/>
      <c r="D125" s="124"/>
    </row>
    <row r="126" spans="3:4" x14ac:dyDescent="0.2">
      <c r="C126" s="124"/>
      <c r="D126" s="124"/>
    </row>
    <row r="127" spans="3:4" x14ac:dyDescent="0.2">
      <c r="C127" s="124"/>
      <c r="D127" s="124"/>
    </row>
    <row r="128" spans="3:4" x14ac:dyDescent="0.2">
      <c r="C128" s="124"/>
      <c r="D128" s="124"/>
    </row>
    <row r="129" spans="3:4" x14ac:dyDescent="0.2">
      <c r="C129" s="124"/>
      <c r="D129" s="124"/>
    </row>
    <row r="130" spans="3:4" x14ac:dyDescent="0.2">
      <c r="C130" s="124"/>
      <c r="D130" s="124"/>
    </row>
    <row r="131" spans="3:4" x14ac:dyDescent="0.2">
      <c r="C131" s="124"/>
      <c r="D131" s="124"/>
    </row>
    <row r="132" spans="3:4" x14ac:dyDescent="0.2">
      <c r="C132" s="124"/>
      <c r="D132" s="124"/>
    </row>
    <row r="133" spans="3:4" x14ac:dyDescent="0.2">
      <c r="C133" s="124"/>
      <c r="D133" s="124"/>
    </row>
    <row r="134" spans="3:4" x14ac:dyDescent="0.2">
      <c r="C134" s="124"/>
      <c r="D134" s="124"/>
    </row>
    <row r="135" spans="3:4" x14ac:dyDescent="0.2">
      <c r="C135" s="124"/>
      <c r="D135" s="124"/>
    </row>
    <row r="136" spans="3:4" x14ac:dyDescent="0.2">
      <c r="C136" s="124"/>
      <c r="D136" s="124"/>
    </row>
    <row r="137" spans="3:4" x14ac:dyDescent="0.2">
      <c r="C137" s="124"/>
      <c r="D137" s="124"/>
    </row>
    <row r="138" spans="3:4" x14ac:dyDescent="0.2">
      <c r="C138" s="124"/>
      <c r="D138" s="124"/>
    </row>
    <row r="139" spans="3:4" x14ac:dyDescent="0.2">
      <c r="C139" s="124"/>
      <c r="D139" s="124"/>
    </row>
    <row r="140" spans="3:4" x14ac:dyDescent="0.2">
      <c r="C140" s="124"/>
      <c r="D140" s="124"/>
    </row>
    <row r="141" spans="3:4" x14ac:dyDescent="0.2">
      <c r="C141" s="124"/>
      <c r="D141" s="124"/>
    </row>
    <row r="142" spans="3:4" x14ac:dyDescent="0.2">
      <c r="C142" s="124"/>
      <c r="D142" s="124"/>
    </row>
    <row r="143" spans="3:4" x14ac:dyDescent="0.2">
      <c r="C143" s="124"/>
      <c r="D143" s="124"/>
    </row>
    <row r="144" spans="3:4" x14ac:dyDescent="0.2">
      <c r="C144" s="124"/>
      <c r="D144" s="124"/>
    </row>
    <row r="145" spans="3:4" x14ac:dyDescent="0.2">
      <c r="C145" s="124"/>
      <c r="D145" s="124"/>
    </row>
    <row r="146" spans="3:4" x14ac:dyDescent="0.2">
      <c r="C146" s="124"/>
      <c r="D146" s="124"/>
    </row>
    <row r="147" spans="3:4" x14ac:dyDescent="0.2">
      <c r="C147" s="124"/>
      <c r="D147" s="124"/>
    </row>
    <row r="148" spans="3:4" x14ac:dyDescent="0.2">
      <c r="C148" s="124"/>
      <c r="D148" s="124"/>
    </row>
    <row r="149" spans="3:4" x14ac:dyDescent="0.2">
      <c r="C149" s="124"/>
      <c r="D149" s="124"/>
    </row>
    <row r="150" spans="3:4" x14ac:dyDescent="0.2">
      <c r="C150" s="124"/>
      <c r="D150" s="124"/>
    </row>
    <row r="151" spans="3:4" x14ac:dyDescent="0.2">
      <c r="C151" s="124"/>
      <c r="D151" s="124"/>
    </row>
    <row r="152" spans="3:4" x14ac:dyDescent="0.2">
      <c r="C152" s="124"/>
      <c r="D152" s="124"/>
    </row>
    <row r="153" spans="3:4" x14ac:dyDescent="0.2">
      <c r="C153" s="124"/>
      <c r="D153" s="124"/>
    </row>
    <row r="154" spans="3:4" x14ac:dyDescent="0.2">
      <c r="C154" s="124"/>
      <c r="D154" s="124"/>
    </row>
    <row r="155" spans="3:4" x14ac:dyDescent="0.2">
      <c r="C155" s="124"/>
      <c r="D155" s="124"/>
    </row>
    <row r="156" spans="3:4" x14ac:dyDescent="0.2">
      <c r="C156" s="124"/>
      <c r="D156" s="124"/>
    </row>
  </sheetData>
  <conditionalFormatting sqref="E3:E44">
    <cfRule type="expression" dxfId="84" priority="2">
      <formula>$I3=0</formula>
    </cfRule>
  </conditionalFormatting>
  <conditionalFormatting sqref="E3:E1003">
    <cfRule type="expression" dxfId="83" priority="1">
      <formula>AND($I3&lt;&gt;0,$I3&lt;&gt;"")</formula>
    </cfRule>
  </conditionalFormatting>
  <pageMargins left="0.7" right="0.7" top="0.75" bottom="0.75" header="0.3" footer="0.3"/>
  <pageSetup paperSize="9" orientation="portrait" horizontalDpi="0" verticalDpi="0"/>
  <legacyDrawing r:id="rId1"/>
</worksheet>
</file>

<file path=xl/worksheets/sheet9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000-000000000000}">
  <dimension ref="A1:V156"/>
  <sheetViews>
    <sheetView showGridLines="0" zoomScale="65" zoomScaleNormal="50" workbookViewId="0">
      <pane xSplit="2" ySplit="1" topLeftCell="G6" activePane="bottomRight" state="frozen"/>
      <selection pane="topRight" activeCell="C1" sqref="C1"/>
      <selection pane="bottomLeft" activeCell="A2" sqref="A2"/>
      <selection pane="bottomRight" activeCell="C1" sqref="C1"/>
    </sheetView>
  </sheetViews>
  <sheetFormatPr baseColWidth="10" defaultColWidth="11" defaultRowHeight="16" x14ac:dyDescent="0.2"/>
  <cols>
    <col min="1" max="1" width="24.5" customWidth="1"/>
    <col min="2" max="2" width="15.83203125" hidden="1" customWidth="1"/>
    <col min="3" max="3" width="14.83203125" customWidth="1"/>
    <col min="4" max="4" width="16" customWidth="1"/>
    <col min="5" max="5" width="15.5" style="6" customWidth="1"/>
    <col min="6" max="6" width="14.33203125" customWidth="1"/>
    <col min="7" max="7" width="14.83203125" customWidth="1"/>
    <col min="13" max="13" width="13" customWidth="1"/>
    <col min="14" max="14" width="48.33203125" customWidth="1"/>
    <col min="15" max="15" width="19" customWidth="1"/>
    <col min="16" max="16" width="40.1640625" customWidth="1"/>
    <col min="17" max="17" width="13.5" customWidth="1"/>
    <col min="18" max="18" width="46" customWidth="1"/>
    <col min="19" max="19" width="12.6640625" customWidth="1"/>
    <col min="20" max="20" width="38" customWidth="1"/>
    <col min="21" max="21" width="12.6640625" customWidth="1"/>
    <col min="22" max="22" width="49" customWidth="1"/>
  </cols>
  <sheetData>
    <row r="1" spans="1:22" ht="29" customHeight="1" x14ac:dyDescent="0.2">
      <c r="B1" s="46" t="s">
        <v>0</v>
      </c>
      <c r="C1" s="80" t="s">
        <v>1</v>
      </c>
      <c r="D1" s="80" t="s">
        <v>2</v>
      </c>
      <c r="E1" s="115" t="s">
        <v>3</v>
      </c>
      <c r="F1" s="81" t="s">
        <v>4</v>
      </c>
      <c r="G1" s="81" t="s">
        <v>5</v>
      </c>
      <c r="M1" s="143" t="s">
        <v>6</v>
      </c>
      <c r="N1" s="143" t="s">
        <v>7</v>
      </c>
      <c r="O1" s="144" t="s">
        <v>8</v>
      </c>
      <c r="P1" s="144" t="s">
        <v>9</v>
      </c>
      <c r="Q1" s="144" t="s">
        <v>10</v>
      </c>
      <c r="R1" s="144" t="s">
        <v>11</v>
      </c>
      <c r="S1" s="144" t="s">
        <v>12</v>
      </c>
      <c r="T1" s="144" t="s">
        <v>13</v>
      </c>
      <c r="U1" s="144" t="s">
        <v>14</v>
      </c>
      <c r="V1" s="145" t="s">
        <v>15</v>
      </c>
    </row>
    <row r="2" spans="1:22" x14ac:dyDescent="0.2">
      <c r="A2" t="s">
        <v>16</v>
      </c>
      <c r="B2" s="82"/>
      <c r="C2" s="126"/>
      <c r="D2" s="127">
        <v>17990000</v>
      </c>
      <c r="E2" s="128"/>
      <c r="F2" s="125">
        <v>17990000</v>
      </c>
      <c r="G2" s="125">
        <v>17990000</v>
      </c>
      <c r="M2" s="148">
        <f>IFERROR(C2-W9Q2FY26!C2,"OOS")</f>
        <v>0</v>
      </c>
      <c r="N2" s="146" t="str">
        <f t="shared" ref="N2:N44" si="0">IF(M2=0,"",$A2 &amp; IF(M2&gt;0," tăng "," giảm ") &amp; TEXT(ABS(M2)/1000,"0") &amp; "K = " &amp; TEXT(C2/1000,"#.##0") &amp; "K")</f>
        <v/>
      </c>
      <c r="O2" s="149">
        <f>IFERROR(D2-W9Q2FY26!D2,"OOS")</f>
        <v>17990000</v>
      </c>
      <c r="P2" s="146" t="str">
        <f t="shared" ref="P2:P44" si="1">IF(O2=0,"",$A2 &amp; IF(O2&gt;0," tăng "," giảm ") &amp; TEXT(ABS(O2)/1000,"0") &amp; "K = " &amp; TEXT(D2/1000,"#.##0") &amp; "K")</f>
        <v>iPhone 17e 256GB tăng 17990K = 17990.0K</v>
      </c>
      <c r="Q2" s="149">
        <f>IFERROR(E2-W9Q2FY26!E2,"OOS")</f>
        <v>0</v>
      </c>
      <c r="R2" s="146" t="str">
        <f t="shared" ref="R2:R44" si="2">IF(Q2=0,"",$A2 &amp; IF(Q2&gt;0," tăng "," giảm ") &amp; TEXT(ABS(Q2)/1000,"0") &amp; "K = " &amp; TEXT(E2/1000,"#.##0") &amp; "K")</f>
        <v/>
      </c>
      <c r="S2" s="149">
        <f>IFERROR(F2-W9Q2FY26!F2,"OOS")</f>
        <v>17990000</v>
      </c>
      <c r="T2" s="146" t="str">
        <f t="shared" ref="T2:T44" si="3">IF(S2=0,"",$A2 &amp; IF(S2&gt;0," tăng "," giảm ") &amp; TEXT(ABS(S2)/1000,"0") &amp; "K = " &amp; TEXT(F2/1000,"#.##0") &amp; "K")</f>
        <v>iPhone 17e 256GB tăng 17990K = 17990.0K</v>
      </c>
      <c r="U2" s="149">
        <f>IFERROR(G2-W9Q2FY26!G2,"OOS")</f>
        <v>17990000</v>
      </c>
      <c r="V2" s="146" t="str">
        <f t="shared" ref="V2:V44" si="4">IF(U2=0,"",$A2 &amp; IF(U2&gt;0," tăng "," giảm ") &amp; TEXT(ABS(U2)/1000,"0") &amp; "K = " &amp; TEXT(G2/1000,"#.##0") &amp; "K")</f>
        <v>iPhone 17e 256GB tăng 17990K = 17990.0K</v>
      </c>
    </row>
    <row r="3" spans="1:22" x14ac:dyDescent="0.2">
      <c r="A3" t="s">
        <v>17</v>
      </c>
      <c r="B3" s="82"/>
      <c r="C3" s="129">
        <v>24890000</v>
      </c>
      <c r="D3" s="127">
        <v>24690000</v>
      </c>
      <c r="E3" s="130">
        <v>24190000</v>
      </c>
      <c r="F3" s="131">
        <v>24590000</v>
      </c>
      <c r="G3" s="110">
        <v>24490000</v>
      </c>
      <c r="M3" s="148">
        <f>IFERROR(C3-W9Q2FY26!C3,"OOS")</f>
        <v>-100000</v>
      </c>
      <c r="N3" s="146" t="str">
        <f t="shared" si="0"/>
        <v>iPhone 17  256GB giảm 100K = 24890.0K</v>
      </c>
      <c r="O3" s="149">
        <f>IFERROR(D3-W9Q2FY26!D3,"OOS")</f>
        <v>0</v>
      </c>
      <c r="P3" s="146" t="str">
        <f t="shared" si="1"/>
        <v/>
      </c>
      <c r="Q3" s="149">
        <f>IFERROR(E3-W9Q2FY26!E3,"OOS")</f>
        <v>0</v>
      </c>
      <c r="R3" s="146" t="str">
        <f t="shared" si="2"/>
        <v/>
      </c>
      <c r="S3" s="149">
        <f>IFERROR(F3-W9Q2FY26!F3,"OOS")</f>
        <v>-100000</v>
      </c>
      <c r="T3" s="146" t="str">
        <f t="shared" si="3"/>
        <v>iPhone 17  256GB giảm 100K = 24590.0K</v>
      </c>
      <c r="U3" s="149">
        <f>IFERROR(G3-W9Q2FY26!G3,"OOS")</f>
        <v>0</v>
      </c>
      <c r="V3" s="146" t="str">
        <f t="shared" si="4"/>
        <v/>
      </c>
    </row>
    <row r="4" spans="1:22" x14ac:dyDescent="0.2">
      <c r="A4" t="s">
        <v>18</v>
      </c>
      <c r="B4" s="82"/>
      <c r="C4" s="127">
        <v>24990000</v>
      </c>
      <c r="D4" s="129">
        <v>24990000</v>
      </c>
      <c r="E4" s="130">
        <v>24490000</v>
      </c>
      <c r="F4" s="132">
        <v>24990000</v>
      </c>
      <c r="G4" s="110">
        <v>24990000</v>
      </c>
      <c r="M4" s="148">
        <f>IFERROR(C4-W9Q2FY26!C4,"OOS")</f>
        <v>0</v>
      </c>
      <c r="N4" s="146" t="str">
        <f t="shared" si="0"/>
        <v/>
      </c>
      <c r="O4" s="149">
        <f>IFERROR(D4-W9Q2FY26!D4,"OOS")</f>
        <v>-300000</v>
      </c>
      <c r="P4" s="146" t="str">
        <f t="shared" si="1"/>
        <v>iPhone Air 256G giảm 300K = 24990.0K</v>
      </c>
      <c r="Q4" s="149">
        <f>IFERROR(E4-W9Q2FY26!E4,"OOS")</f>
        <v>100000</v>
      </c>
      <c r="R4" s="146" t="str">
        <f t="shared" si="2"/>
        <v>iPhone Air 256G tăng 100K = 24490.0K</v>
      </c>
      <c r="S4" s="149">
        <f>IFERROR(F4-W9Q2FY26!F4,"OOS")</f>
        <v>0</v>
      </c>
      <c r="T4" s="146" t="str">
        <f t="shared" si="3"/>
        <v/>
      </c>
      <c r="U4" s="149">
        <f>IFERROR(G4-W9Q2FY26!G4,"OOS")</f>
        <v>100000</v>
      </c>
      <c r="V4" s="146" t="str">
        <f t="shared" si="4"/>
        <v>iPhone Air 256G tăng 100K = 24990.0K</v>
      </c>
    </row>
    <row r="5" spans="1:22" x14ac:dyDescent="0.2">
      <c r="A5" t="s">
        <v>19</v>
      </c>
      <c r="B5" s="82"/>
      <c r="C5" s="129">
        <v>34790000</v>
      </c>
      <c r="D5" s="129">
        <v>34490000</v>
      </c>
      <c r="E5" s="130">
        <v>33190000</v>
      </c>
      <c r="F5" s="133">
        <v>34790000</v>
      </c>
      <c r="G5" s="111">
        <v>34190000</v>
      </c>
      <c r="M5" s="148">
        <f>IFERROR(C5-W9Q2FY26!C5,"OOS")</f>
        <v>600000</v>
      </c>
      <c r="N5" s="146" t="str">
        <f t="shared" si="0"/>
        <v>iPhone 17 Pro 256GB tăng 600K = 34790.0K</v>
      </c>
      <c r="O5" s="149">
        <f>IFERROR(D5-W9Q2FY26!D5,"OOS")</f>
        <v>600000</v>
      </c>
      <c r="P5" s="146" t="str">
        <f t="shared" si="1"/>
        <v>iPhone 17 Pro 256GB tăng 600K = 34490.0K</v>
      </c>
      <c r="Q5" s="149">
        <f>IFERROR(E5-W9Q2FY26!E5,"OOS")</f>
        <v>400000</v>
      </c>
      <c r="R5" s="146" t="str">
        <f t="shared" si="2"/>
        <v>iPhone 17 Pro 256GB tăng 400K = 33190.0K</v>
      </c>
      <c r="S5" s="149">
        <f>IFERROR(F5-W9Q2FY26!F5,"OOS")</f>
        <v>600000</v>
      </c>
      <c r="T5" s="146" t="str">
        <f t="shared" si="3"/>
        <v>iPhone 17 Pro 256GB tăng 600K = 34790.0K</v>
      </c>
      <c r="U5" s="149">
        <f>IFERROR(G5-W9Q2FY26!G5,"OOS")</f>
        <v>900000</v>
      </c>
      <c r="V5" s="146" t="str">
        <f t="shared" si="4"/>
        <v>iPhone 17 Pro 256GB tăng 900K = 34190.0K</v>
      </c>
    </row>
    <row r="6" spans="1:22" x14ac:dyDescent="0.2">
      <c r="A6" t="s">
        <v>20</v>
      </c>
      <c r="B6" s="82"/>
      <c r="C6" s="129">
        <v>37990000</v>
      </c>
      <c r="D6" s="129">
        <v>37790000</v>
      </c>
      <c r="E6" s="134">
        <v>36490000</v>
      </c>
      <c r="F6" s="133">
        <v>37590000</v>
      </c>
      <c r="G6" s="111">
        <v>36990000</v>
      </c>
      <c r="M6" s="148">
        <f>IFERROR(C6-W9Q2FY26!C6,"OOS")</f>
        <v>100000</v>
      </c>
      <c r="N6" s="146" t="str">
        <f t="shared" si="0"/>
        <v>iPhone 17 Pro Max 256GB tăng 100K = 37990.0K</v>
      </c>
      <c r="O6" s="149">
        <f>IFERROR(D6-W9Q2FY26!D6,"OOS")</f>
        <v>200000</v>
      </c>
      <c r="P6" s="146" t="str">
        <f t="shared" si="1"/>
        <v>iPhone 17 Pro Max 256GB tăng 200K = 37790.0K</v>
      </c>
      <c r="Q6" s="149">
        <f>IFERROR(E6-W9Q2FY26!E6,"OOS")</f>
        <v>0</v>
      </c>
      <c r="R6" s="146" t="str">
        <f t="shared" si="2"/>
        <v/>
      </c>
      <c r="S6" s="149">
        <f>IFERROR(F6-W9Q2FY26!F6,"OOS")</f>
        <v>-100000</v>
      </c>
      <c r="T6" s="146" t="str">
        <f t="shared" si="3"/>
        <v>iPhone 17 Pro Max 256GB giảm 100K = 37590.0K</v>
      </c>
      <c r="U6" s="149">
        <f>IFERROR(G6-W9Q2FY26!G6,"OOS")</f>
        <v>0</v>
      </c>
      <c r="V6" s="146" t="str">
        <f t="shared" si="4"/>
        <v/>
      </c>
    </row>
    <row r="7" spans="1:22" x14ac:dyDescent="0.2">
      <c r="A7" t="s">
        <v>21</v>
      </c>
      <c r="B7" s="82"/>
      <c r="C7" s="127">
        <v>15990000</v>
      </c>
      <c r="D7" s="135">
        <v>15990000</v>
      </c>
      <c r="E7" s="134">
        <v>12490000</v>
      </c>
      <c r="F7" s="136">
        <v>12490000</v>
      </c>
      <c r="G7" s="110">
        <v>15190000</v>
      </c>
      <c r="M7" s="148">
        <f>IFERROR(C7-W9Q2FY26!C7,"OOS")</f>
        <v>0</v>
      </c>
      <c r="N7" s="146" t="str">
        <f t="shared" si="0"/>
        <v/>
      </c>
      <c r="O7" s="149">
        <f>IFERROR(D7-W9Q2FY26!D7,"OOS")</f>
        <v>0</v>
      </c>
      <c r="P7" s="146" t="str">
        <f t="shared" si="1"/>
        <v/>
      </c>
      <c r="Q7" s="149">
        <f>IFERROR(E7-W9Q2FY26!E7,"OOS")</f>
        <v>0</v>
      </c>
      <c r="R7" s="146" t="str">
        <f t="shared" si="2"/>
        <v/>
      </c>
      <c r="S7" s="149">
        <f>IFERROR(F7-W9Q2FY26!F7,"OOS")</f>
        <v>0</v>
      </c>
      <c r="T7" s="146" t="str">
        <f t="shared" si="3"/>
        <v/>
      </c>
      <c r="U7" s="149">
        <f>IFERROR(G7-W9Q2FY26!G7,"OOS")</f>
        <v>0</v>
      </c>
      <c r="V7" s="146" t="str">
        <f t="shared" si="4"/>
        <v/>
      </c>
    </row>
    <row r="8" spans="1:22" x14ac:dyDescent="0.2">
      <c r="A8" t="s">
        <v>23</v>
      </c>
      <c r="B8" s="70"/>
      <c r="C8" s="137">
        <v>21090000</v>
      </c>
      <c r="D8" s="138">
        <v>20790000</v>
      </c>
      <c r="E8" s="139">
        <v>20090000</v>
      </c>
      <c r="F8" s="133">
        <v>20790000</v>
      </c>
      <c r="G8" s="110">
        <v>20790000</v>
      </c>
      <c r="M8" s="148">
        <f>IFERROR(C8-W9Q2FY26!C8,"OOS")</f>
        <v>100000</v>
      </c>
      <c r="N8" s="146" t="str">
        <f t="shared" si="0"/>
        <v>iPhone 16 128GB tăng 100K = 21090.0K</v>
      </c>
      <c r="O8" s="149">
        <f>IFERROR(D8-W9Q2FY26!D8,"OOS")</f>
        <v>0</v>
      </c>
      <c r="P8" s="146" t="str">
        <f t="shared" si="1"/>
        <v/>
      </c>
      <c r="Q8" s="149">
        <f>IFERROR(E8-W9Q2FY26!E8,"OOS")</f>
        <v>0</v>
      </c>
      <c r="R8" s="146" t="str">
        <f t="shared" si="2"/>
        <v/>
      </c>
      <c r="S8" s="149">
        <f>IFERROR(F8-W9Q2FY26!F8,"OOS")</f>
        <v>0</v>
      </c>
      <c r="T8" s="146" t="str">
        <f t="shared" si="3"/>
        <v/>
      </c>
      <c r="U8" s="149">
        <f>IFERROR(G8-W9Q2FY26!G8,"OOS")</f>
        <v>0</v>
      </c>
      <c r="V8" s="146" t="str">
        <f t="shared" si="4"/>
        <v/>
      </c>
    </row>
    <row r="9" spans="1:22" x14ac:dyDescent="0.2">
      <c r="A9" t="s">
        <v>24</v>
      </c>
      <c r="B9" s="3"/>
      <c r="C9" s="140">
        <v>25090000</v>
      </c>
      <c r="D9" s="140">
        <v>24790000</v>
      </c>
      <c r="E9" s="139">
        <v>23790000</v>
      </c>
      <c r="F9" s="133">
        <v>24790000</v>
      </c>
      <c r="G9" s="111">
        <v>24590000</v>
      </c>
      <c r="M9" s="148">
        <f>IFERROR(C9-W9Q2FY26!C9,"OOS")</f>
        <v>100000</v>
      </c>
      <c r="N9" s="146" t="str">
        <f t="shared" si="0"/>
        <v>iPhone 16  Plus 128GB tăng 100K = 25090.0K</v>
      </c>
      <c r="O9" s="149">
        <f>IFERROR(D9-W9Q2FY26!D9,"OOS")</f>
        <v>200000</v>
      </c>
      <c r="P9" s="146" t="str">
        <f t="shared" si="1"/>
        <v>iPhone 16  Plus 128GB tăng 200K = 24790.0K</v>
      </c>
      <c r="Q9" s="149">
        <f>IFERROR(E9-W9Q2FY26!E9,"OOS")</f>
        <v>0</v>
      </c>
      <c r="R9" s="146" t="str">
        <f t="shared" si="2"/>
        <v/>
      </c>
      <c r="S9" s="149">
        <f>IFERROR(F9-W9Q2FY26!F9,"OOS")</f>
        <v>0</v>
      </c>
      <c r="T9" s="146" t="str">
        <f t="shared" si="3"/>
        <v/>
      </c>
      <c r="U9" s="149">
        <f>IFERROR(G9-W9Q2FY26!G9,"OOS")</f>
        <v>-200000</v>
      </c>
      <c r="V9" s="146" t="str">
        <f t="shared" si="4"/>
        <v>iPhone 16  Plus 128GB giảm 200K = 24590.0K</v>
      </c>
    </row>
    <row r="10" spans="1:22" x14ac:dyDescent="0.2">
      <c r="A10" t="s">
        <v>264</v>
      </c>
      <c r="B10" s="25"/>
      <c r="C10" s="135" t="s">
        <v>22</v>
      </c>
      <c r="D10" s="110">
        <v>25590000</v>
      </c>
      <c r="E10" s="112" t="s">
        <v>22</v>
      </c>
      <c r="F10" s="132">
        <v>26590000</v>
      </c>
      <c r="G10" s="110">
        <v>24990000</v>
      </c>
      <c r="M10" s="148" t="str">
        <f>IFERROR(C10-W9Q2FY26!C10,"OOS")</f>
        <v>OOS</v>
      </c>
      <c r="N10" s="146" t="e">
        <f t="shared" si="0"/>
        <v>#VALUE!</v>
      </c>
      <c r="O10" s="149">
        <f>IFERROR(D10-W9Q2FY26!D10,"OOS")</f>
        <v>0</v>
      </c>
      <c r="P10" s="146" t="str">
        <f t="shared" si="1"/>
        <v/>
      </c>
      <c r="Q10" s="149" t="str">
        <f>IFERROR(E10-W9Q2FY26!E10,"OOS")</f>
        <v>OOS</v>
      </c>
      <c r="R10" s="146" t="e">
        <f t="shared" si="2"/>
        <v>#VALUE!</v>
      </c>
      <c r="S10" s="149">
        <f>IFERROR(F10-W9Q2FY26!F10,"OOS")</f>
        <v>0</v>
      </c>
      <c r="T10" s="146" t="str">
        <f t="shared" si="3"/>
        <v/>
      </c>
      <c r="U10" s="149">
        <f>IFERROR(G10-W9Q2FY26!G10,"OOS")</f>
        <v>0</v>
      </c>
      <c r="V10" s="146" t="str">
        <f t="shared" si="4"/>
        <v/>
      </c>
    </row>
    <row r="11" spans="1:22" x14ac:dyDescent="0.2">
      <c r="A11" t="s">
        <v>183</v>
      </c>
      <c r="B11" s="3"/>
      <c r="C11" s="135">
        <v>31590000</v>
      </c>
      <c r="D11" s="135">
        <v>31490000</v>
      </c>
      <c r="E11" s="112" t="s">
        <v>22</v>
      </c>
      <c r="F11" s="133">
        <v>31990000</v>
      </c>
      <c r="G11" s="110">
        <v>31190000</v>
      </c>
      <c r="M11" s="148">
        <f>IFERROR(C11-W9Q2FY26!C11,"OOS")</f>
        <v>0</v>
      </c>
      <c r="N11" s="146" t="str">
        <f t="shared" si="0"/>
        <v/>
      </c>
      <c r="O11" s="149">
        <f>IFERROR(D11-W9Q2FY26!D11,"OOS")</f>
        <v>0</v>
      </c>
      <c r="P11" s="146" t="str">
        <f t="shared" si="1"/>
        <v/>
      </c>
      <c r="Q11" s="149" t="str">
        <f>IFERROR(E11-W9Q2FY26!E11,"OOS")</f>
        <v>OOS</v>
      </c>
      <c r="R11" s="146" t="e">
        <f t="shared" si="2"/>
        <v>#VALUE!</v>
      </c>
      <c r="S11" s="149">
        <f>IFERROR(F11-W9Q2FY26!F11,"OOS")</f>
        <v>100000</v>
      </c>
      <c r="T11" s="146" t="str">
        <f t="shared" si="3"/>
        <v>iPhone 16 Pro Max 256GB tăng 100K = 31990.0K</v>
      </c>
      <c r="U11" s="149">
        <f>IFERROR(G11-W9Q2FY26!G11,"OOS")</f>
        <v>0</v>
      </c>
      <c r="V11" s="146" t="str">
        <f t="shared" si="4"/>
        <v/>
      </c>
    </row>
    <row r="12" spans="1:22" x14ac:dyDescent="0.2">
      <c r="A12" t="s">
        <v>25</v>
      </c>
      <c r="B12" s="25"/>
      <c r="C12" s="140">
        <v>17890000</v>
      </c>
      <c r="D12" s="135">
        <v>17790000</v>
      </c>
      <c r="E12" s="130">
        <v>17690000</v>
      </c>
      <c r="F12" s="133">
        <v>17590000</v>
      </c>
      <c r="G12" s="111">
        <v>17490000</v>
      </c>
      <c r="M12" s="148">
        <f>IFERROR(C12-W9Q2FY26!C12,"OOS")</f>
        <v>-100000</v>
      </c>
      <c r="N12" s="146" t="str">
        <f t="shared" si="0"/>
        <v>iPhone 15  128GB giảm 100K = 17890.0K</v>
      </c>
      <c r="O12" s="149">
        <f>IFERROR(D12-W9Q2FY26!D12,"OOS")</f>
        <v>0</v>
      </c>
      <c r="P12" s="146" t="str">
        <f t="shared" si="1"/>
        <v/>
      </c>
      <c r="Q12" s="149">
        <f>IFERROR(E12-W9Q2FY26!E12,"OOS")</f>
        <v>200000</v>
      </c>
      <c r="R12" s="146" t="str">
        <f t="shared" si="2"/>
        <v>iPhone 15  128GB tăng 200K = 17690.0K</v>
      </c>
      <c r="S12" s="149">
        <f>IFERROR(F12-W9Q2FY26!F12,"OOS")</f>
        <v>-200000</v>
      </c>
      <c r="T12" s="146" t="str">
        <f t="shared" si="3"/>
        <v>iPhone 15  128GB giảm 200K = 17590.0K</v>
      </c>
      <c r="U12" s="149">
        <f>IFERROR(G12-W9Q2FY26!G12,"OOS")</f>
        <v>-200000</v>
      </c>
      <c r="V12" s="146" t="str">
        <f t="shared" si="4"/>
        <v>iPhone 15  128GB giảm 200K = 17490.0K</v>
      </c>
    </row>
    <row r="13" spans="1:22" x14ac:dyDescent="0.2">
      <c r="A13" t="s">
        <v>26</v>
      </c>
      <c r="B13" s="25"/>
      <c r="C13" s="135">
        <v>19990000</v>
      </c>
      <c r="D13" s="135" t="s">
        <v>22</v>
      </c>
      <c r="E13" s="130" t="s">
        <v>22</v>
      </c>
      <c r="F13" s="132">
        <v>17690000</v>
      </c>
      <c r="G13" s="110" t="s">
        <v>22</v>
      </c>
      <c r="M13" s="148">
        <f>IFERROR(C13-W9Q2FY26!C13,"OOS")</f>
        <v>0</v>
      </c>
      <c r="N13" s="146" t="str">
        <f t="shared" si="0"/>
        <v/>
      </c>
      <c r="O13" s="149" t="str">
        <f>IFERROR(D13-W9Q2FY26!D13,"OOS")</f>
        <v>OOS</v>
      </c>
      <c r="P13" s="146" t="e">
        <f t="shared" si="1"/>
        <v>#VALUE!</v>
      </c>
      <c r="Q13" s="149" t="str">
        <f>IFERROR(E13-W9Q2FY26!E13,"OOS")</f>
        <v>OOS</v>
      </c>
      <c r="R13" s="146" t="e">
        <f t="shared" si="2"/>
        <v>#VALUE!</v>
      </c>
      <c r="S13" s="149">
        <f>IFERROR(F13-W9Q2FY26!F13,"OOS")</f>
        <v>0</v>
      </c>
      <c r="T13" s="146" t="str">
        <f t="shared" si="3"/>
        <v/>
      </c>
      <c r="U13" s="149" t="str">
        <f>IFERROR(G13-W9Q2FY26!G13,"OOS")</f>
        <v>OOS</v>
      </c>
      <c r="V13" s="146" t="e">
        <f t="shared" si="4"/>
        <v>#VALUE!</v>
      </c>
    </row>
    <row r="14" spans="1:22" x14ac:dyDescent="0.2">
      <c r="A14" t="s">
        <v>27</v>
      </c>
      <c r="B14" s="25"/>
      <c r="C14" s="135">
        <v>13990000</v>
      </c>
      <c r="D14" s="135">
        <v>13790000</v>
      </c>
      <c r="E14" s="130">
        <v>13590000</v>
      </c>
      <c r="F14" s="133">
        <v>13590000</v>
      </c>
      <c r="G14" s="110">
        <v>13390000</v>
      </c>
      <c r="M14" s="148">
        <f>IFERROR(C14-W9Q2FY26!C14,"OOS")</f>
        <v>0</v>
      </c>
      <c r="N14" s="146" t="str">
        <f t="shared" si="0"/>
        <v/>
      </c>
      <c r="O14" s="149">
        <f>IFERROR(D14-W9Q2FY26!D14,"OOS")</f>
        <v>-100000</v>
      </c>
      <c r="P14" s="146" t="str">
        <f t="shared" si="1"/>
        <v>iPhone 14 128GB giảm 100K = 13790.0K</v>
      </c>
      <c r="Q14" s="149">
        <f>IFERROR(E14-W9Q2FY26!E14,"OOS")</f>
        <v>0</v>
      </c>
      <c r="R14" s="146" t="str">
        <f t="shared" si="2"/>
        <v/>
      </c>
      <c r="S14" s="149">
        <f>IFERROR(F14-W9Q2FY26!F14,"OOS")</f>
        <v>-200000</v>
      </c>
      <c r="T14" s="146" t="str">
        <f t="shared" si="3"/>
        <v>iPhone 14 128GB giảm 200K = 13590.0K</v>
      </c>
      <c r="U14" s="149">
        <f>IFERROR(G14-W9Q2FY26!G14,"OOS")</f>
        <v>0</v>
      </c>
      <c r="V14" s="146" t="str">
        <f t="shared" si="4"/>
        <v/>
      </c>
    </row>
    <row r="15" spans="1:22" x14ac:dyDescent="0.2">
      <c r="A15" t="s">
        <v>28</v>
      </c>
      <c r="B15" s="3"/>
      <c r="C15" s="135">
        <v>12490000</v>
      </c>
      <c r="D15" s="135">
        <v>12290000</v>
      </c>
      <c r="E15" s="139">
        <v>11990000</v>
      </c>
      <c r="F15" s="133">
        <v>11900000</v>
      </c>
      <c r="G15" s="110">
        <v>11890000</v>
      </c>
      <c r="M15" s="148">
        <f>IFERROR(C15-W9Q2FY26!C15,"OOS")</f>
        <v>0</v>
      </c>
      <c r="N15" s="146" t="str">
        <f t="shared" si="0"/>
        <v/>
      </c>
      <c r="O15" s="149">
        <f>IFERROR(D15-W9Q2FY26!D15,"OOS")</f>
        <v>0</v>
      </c>
      <c r="P15" s="146" t="str">
        <f t="shared" si="1"/>
        <v/>
      </c>
      <c r="Q15" s="149">
        <f>IFERROR(E15-W9Q2FY26!E15,"OOS")</f>
        <v>0</v>
      </c>
      <c r="R15" s="146" t="str">
        <f t="shared" si="2"/>
        <v/>
      </c>
      <c r="S15" s="149">
        <f>IFERROR(F15-W9Q2FY26!F15,"OOS")</f>
        <v>-90000</v>
      </c>
      <c r="T15" s="146" t="str">
        <f t="shared" si="3"/>
        <v>iPhone 13  128GB giảm 90K = 11900.0K</v>
      </c>
      <c r="U15" s="149">
        <f>IFERROR(G15-W9Q2FY26!G15,"OOS")</f>
        <v>0</v>
      </c>
      <c r="V15" s="146" t="str">
        <f t="shared" si="4"/>
        <v/>
      </c>
    </row>
    <row r="16" spans="1:22" x14ac:dyDescent="0.2">
      <c r="A16" t="s">
        <v>29</v>
      </c>
      <c r="B16" s="25"/>
      <c r="C16" s="140">
        <v>11790000</v>
      </c>
      <c r="D16" s="140">
        <v>11490000</v>
      </c>
      <c r="E16" s="139">
        <v>11290000</v>
      </c>
      <c r="F16" s="133">
        <v>11590000</v>
      </c>
      <c r="G16" s="111">
        <v>11490000</v>
      </c>
      <c r="M16" s="148">
        <f>IFERROR(C16-W9Q2FY26!C16,"OOS")</f>
        <v>-1700000</v>
      </c>
      <c r="N16" s="146" t="str">
        <f t="shared" si="0"/>
        <v>iPad Mini 7 128GB Wifi giảm 1700K = 11790.0K</v>
      </c>
      <c r="O16" s="149">
        <f>IFERROR(D16-W9Q2FY26!D16,"OOS")</f>
        <v>-2000000</v>
      </c>
      <c r="P16" s="146" t="str">
        <f t="shared" si="1"/>
        <v>iPad Mini 7 128GB Wifi giảm 2000K = 11490.0K</v>
      </c>
      <c r="Q16" s="149">
        <f>IFERROR(E16-W9Q2FY26!E16,"OOS")</f>
        <v>-2000000</v>
      </c>
      <c r="R16" s="146" t="str">
        <f t="shared" si="2"/>
        <v>iPad Mini 7 128GB Wifi giảm 2000K = 11290.0K</v>
      </c>
      <c r="S16" s="149">
        <f>IFERROR(F16-W9Q2FY26!F16,"OOS")</f>
        <v>-1900000</v>
      </c>
      <c r="T16" s="146" t="str">
        <f t="shared" si="3"/>
        <v>iPad Mini 7 128GB Wifi giảm 1900K = 11590.0K</v>
      </c>
      <c r="U16" s="149">
        <f>IFERROR(G16-W9Q2FY26!G16,"OOS")</f>
        <v>-1900000</v>
      </c>
      <c r="V16" s="146" t="str">
        <f t="shared" si="4"/>
        <v>iPad Mini 7 128GB Wifi giảm 1900K = 11490.0K</v>
      </c>
    </row>
    <row r="17" spans="1:22" x14ac:dyDescent="0.2">
      <c r="A17" t="s">
        <v>30</v>
      </c>
      <c r="B17" s="3"/>
      <c r="C17" s="135">
        <v>9590000</v>
      </c>
      <c r="D17" s="140">
        <v>9290000</v>
      </c>
      <c r="E17" s="139">
        <v>9190000</v>
      </c>
      <c r="F17" s="133">
        <v>9290000</v>
      </c>
      <c r="G17" s="110">
        <v>8990000</v>
      </c>
      <c r="I17" t="s">
        <v>31</v>
      </c>
      <c r="J17" t="s">
        <v>32</v>
      </c>
      <c r="K17" t="b">
        <v>1</v>
      </c>
      <c r="M17" s="148">
        <f>IFERROR(C17-W9Q2FY26!C17,"OOS")</f>
        <v>0</v>
      </c>
      <c r="N17" s="146" t="str">
        <f t="shared" si="0"/>
        <v/>
      </c>
      <c r="O17" s="149">
        <f>IFERROR(D17-W9Q2FY26!D17,"OOS")</f>
        <v>-300000</v>
      </c>
      <c r="P17" s="146" t="str">
        <f t="shared" si="1"/>
        <v>iPad Gen 11th  128GB Wifi giảm 300K = 9290.0K</v>
      </c>
      <c r="Q17" s="149">
        <f>IFERROR(E17-W9Q2FY26!E17,"OOS")</f>
        <v>0</v>
      </c>
      <c r="R17" s="146" t="str">
        <f t="shared" si="2"/>
        <v/>
      </c>
      <c r="S17" s="149">
        <f>IFERROR(F17-W9Q2FY26!F17,"OOS")</f>
        <v>-300000</v>
      </c>
      <c r="T17" s="146" t="str">
        <f t="shared" si="3"/>
        <v>iPad Gen 11th  128GB Wifi giảm 300K = 9290.0K</v>
      </c>
      <c r="U17" s="149">
        <f>IFERROR(G17-W9Q2FY26!G17,"OOS")</f>
        <v>0</v>
      </c>
      <c r="V17" s="146" t="str">
        <f t="shared" si="4"/>
        <v/>
      </c>
    </row>
    <row r="18" spans="1:22" x14ac:dyDescent="0.2">
      <c r="A18" t="s">
        <v>33</v>
      </c>
      <c r="B18" s="3"/>
      <c r="C18" s="140">
        <v>15890000</v>
      </c>
      <c r="D18" s="140">
        <v>15690000</v>
      </c>
      <c r="E18" s="130">
        <v>15390000</v>
      </c>
      <c r="F18" s="133">
        <v>15590000</v>
      </c>
      <c r="G18" s="111">
        <v>15290000</v>
      </c>
      <c r="I18" t="s">
        <v>2</v>
      </c>
      <c r="J18" t="s">
        <v>34</v>
      </c>
      <c r="K18" t="b">
        <v>1</v>
      </c>
      <c r="M18" s="148">
        <f>IFERROR(C18-W9Q2FY26!C18,"OOS")</f>
        <v>-400000</v>
      </c>
      <c r="N18" s="146" t="str">
        <f t="shared" si="0"/>
        <v>iPad Air M3  11" 128 GB Wifi giảm 400K = 15890.0K</v>
      </c>
      <c r="O18" s="149">
        <f>IFERROR(D18-W9Q2FY26!D18,"OOS")</f>
        <v>-300000</v>
      </c>
      <c r="P18" s="146" t="str">
        <f t="shared" si="1"/>
        <v>iPad Air M3  11" 128 GB Wifi giảm 300K = 15690.0K</v>
      </c>
      <c r="Q18" s="149">
        <f>IFERROR(E18-W9Q2FY26!E18,"OOS")</f>
        <v>0</v>
      </c>
      <c r="R18" s="146" t="str">
        <f t="shared" si="2"/>
        <v/>
      </c>
      <c r="S18" s="149">
        <f>IFERROR(F18-W9Q2FY26!F18,"OOS")</f>
        <v>-700000</v>
      </c>
      <c r="T18" s="146" t="str">
        <f t="shared" si="3"/>
        <v>iPad Air M3  11" 128 GB Wifi giảm 700K = 15590.0K</v>
      </c>
      <c r="U18" s="149">
        <f>IFERROR(G18-W9Q2FY26!G18,"OOS")</f>
        <v>2300000</v>
      </c>
      <c r="V18" s="146" t="str">
        <f t="shared" si="4"/>
        <v>iPad Air M3  11" 128 GB Wifi tăng 2300K = 15290.0K</v>
      </c>
    </row>
    <row r="19" spans="1:22" x14ac:dyDescent="0.2">
      <c r="A19" t="s">
        <v>37</v>
      </c>
      <c r="B19" s="25"/>
      <c r="C19" s="135">
        <v>21690000</v>
      </c>
      <c r="D19" s="140">
        <v>20990000</v>
      </c>
      <c r="E19" s="112">
        <v>20490000</v>
      </c>
      <c r="F19" s="133">
        <v>18990000</v>
      </c>
      <c r="G19" s="110">
        <v>18790000</v>
      </c>
      <c r="I19" t="s">
        <v>3</v>
      </c>
      <c r="J19" t="s">
        <v>36</v>
      </c>
      <c r="K19" t="b">
        <v>1</v>
      </c>
      <c r="M19" s="148">
        <f>IFERROR(C19-W9Q2FY26!C19,"OOS")</f>
        <v>0</v>
      </c>
      <c r="N19" s="146" t="str">
        <f t="shared" si="0"/>
        <v/>
      </c>
      <c r="O19" s="149">
        <f>IFERROR(D19-W9Q2FY26!D19,"OOS")</f>
        <v>-500000</v>
      </c>
      <c r="P19" s="146" t="str">
        <f t="shared" si="1"/>
        <v>iPad Air M3  13" 128 GB Wifi giảm 500K = 20990.0K</v>
      </c>
      <c r="Q19" s="149">
        <f>IFERROR(E19-W9Q2FY26!E19,"OOS")</f>
        <v>0</v>
      </c>
      <c r="R19" s="146" t="str">
        <f t="shared" si="2"/>
        <v/>
      </c>
      <c r="S19" s="149">
        <f>IFERROR(F19-W9Q2FY26!F19,"OOS")</f>
        <v>-2700000</v>
      </c>
      <c r="T19" s="146" t="str">
        <f t="shared" si="3"/>
        <v>iPad Air M3  13" 128 GB Wifi giảm 2700K = 18990.0K</v>
      </c>
      <c r="U19" s="149">
        <f>IFERROR(G19-W9Q2FY26!G19,"OOS")</f>
        <v>0</v>
      </c>
      <c r="V19" s="146" t="str">
        <f t="shared" si="4"/>
        <v/>
      </c>
    </row>
    <row r="20" spans="1:22" x14ac:dyDescent="0.2">
      <c r="A20" t="s">
        <v>184</v>
      </c>
      <c r="B20" s="25"/>
      <c r="C20" s="112" t="s">
        <v>22</v>
      </c>
      <c r="D20" s="135">
        <v>28990000</v>
      </c>
      <c r="E20" s="112" t="s">
        <v>22</v>
      </c>
      <c r="F20" s="132" t="s">
        <v>22</v>
      </c>
      <c r="G20" s="112" t="s">
        <v>22</v>
      </c>
      <c r="I20" t="s">
        <v>4</v>
      </c>
      <c r="J20" t="s">
        <v>38</v>
      </c>
      <c r="K20" t="b">
        <v>1</v>
      </c>
      <c r="M20" s="148" t="str">
        <f>IFERROR(C20-W9Q2FY26!C20,"OOS")</f>
        <v>OOS</v>
      </c>
      <c r="N20" s="146" t="e">
        <f t="shared" si="0"/>
        <v>#VALUE!</v>
      </c>
      <c r="O20" s="149">
        <f>IFERROR(D20-W9Q2FY26!D20,"OOS")</f>
        <v>0</v>
      </c>
      <c r="P20" s="146" t="str">
        <f t="shared" si="1"/>
        <v/>
      </c>
      <c r="Q20" s="149" t="str">
        <f>IFERROR(E20-W9Q2FY26!E20,"OOS")</f>
        <v>OOS</v>
      </c>
      <c r="R20" s="146" t="e">
        <f t="shared" si="2"/>
        <v>#VALUE!</v>
      </c>
      <c r="S20" s="149" t="str">
        <f>IFERROR(F20-W9Q2FY26!F20,"OOS")</f>
        <v>OOS</v>
      </c>
      <c r="T20" s="146" t="e">
        <f t="shared" si="3"/>
        <v>#VALUE!</v>
      </c>
      <c r="U20" s="149" t="str">
        <f>IFERROR(G20-W9Q2FY26!G20,"OOS")</f>
        <v>OOS</v>
      </c>
      <c r="V20" s="146" t="e">
        <f t="shared" si="4"/>
        <v>#VALUE!</v>
      </c>
    </row>
    <row r="21" spans="1:22" x14ac:dyDescent="0.2">
      <c r="A21" t="s">
        <v>185</v>
      </c>
      <c r="B21" s="3"/>
      <c r="C21" s="112" t="s">
        <v>22</v>
      </c>
      <c r="D21" s="112" t="s">
        <v>22</v>
      </c>
      <c r="E21" s="112" t="s">
        <v>22</v>
      </c>
      <c r="F21" s="112" t="s">
        <v>22</v>
      </c>
      <c r="G21" s="112" t="s">
        <v>22</v>
      </c>
      <c r="I21" t="s">
        <v>41</v>
      </c>
      <c r="J21" t="s">
        <v>42</v>
      </c>
      <c r="K21" t="b">
        <v>1</v>
      </c>
      <c r="M21" s="148" t="str">
        <f>IFERROR(C21-W9Q2FY26!C21,"OOS")</f>
        <v>OOS</v>
      </c>
      <c r="N21" s="146" t="e">
        <f t="shared" si="0"/>
        <v>#VALUE!</v>
      </c>
      <c r="O21" s="149" t="str">
        <f>IFERROR(D21-W9Q2FY26!D21,"OOS")</f>
        <v>OOS</v>
      </c>
      <c r="P21" s="146" t="e">
        <f t="shared" si="1"/>
        <v>#VALUE!</v>
      </c>
      <c r="Q21" s="149" t="str">
        <f>IFERROR(E21-W9Q2FY26!E21,"OOS")</f>
        <v>OOS</v>
      </c>
      <c r="R21" s="146" t="e">
        <f t="shared" si="2"/>
        <v>#VALUE!</v>
      </c>
      <c r="S21" s="149" t="str">
        <f>IFERROR(F21-W9Q2FY26!F21,"OOS")</f>
        <v>OOS</v>
      </c>
      <c r="T21" s="146" t="e">
        <f t="shared" si="3"/>
        <v>#VALUE!</v>
      </c>
      <c r="U21" s="149" t="str">
        <f>IFERROR(G21-W9Q2FY26!G21,"OOS")</f>
        <v>OOS</v>
      </c>
      <c r="V21" s="146" t="e">
        <f t="shared" si="4"/>
        <v>#VALUE!</v>
      </c>
    </row>
    <row r="22" spans="1:22" x14ac:dyDescent="0.2">
      <c r="A22" t="s">
        <v>40</v>
      </c>
      <c r="B22" s="3"/>
      <c r="C22" s="140">
        <v>29290000</v>
      </c>
      <c r="D22" s="135">
        <v>28990000</v>
      </c>
      <c r="E22" s="123">
        <v>28990000</v>
      </c>
      <c r="F22" s="133">
        <v>29090000</v>
      </c>
      <c r="G22" s="112">
        <v>28990000</v>
      </c>
      <c r="M22" s="148">
        <f>IFERROR(C22-W9Q2FY26!C22,"OOS")</f>
        <v>100000</v>
      </c>
      <c r="N22" s="146" t="str">
        <f t="shared" si="0"/>
        <v>iPad Pro M5 11” 256GB Wifi tăng 100K = 29290.0K</v>
      </c>
      <c r="O22" s="149">
        <f>IFERROR(D22-W9Q2FY26!D22,"OOS")</f>
        <v>0</v>
      </c>
      <c r="P22" s="146" t="str">
        <f t="shared" si="1"/>
        <v/>
      </c>
      <c r="Q22" s="149">
        <f>IFERROR(E22-W9Q2FY26!E22,"OOS")</f>
        <v>0</v>
      </c>
      <c r="R22" s="146" t="str">
        <f t="shared" si="2"/>
        <v/>
      </c>
      <c r="S22" s="149">
        <f>IFERROR(F22-W9Q2FY26!F22,"OOS")</f>
        <v>100000</v>
      </c>
      <c r="T22" s="146" t="str">
        <f t="shared" si="3"/>
        <v>iPad Pro M5 11” 256GB Wifi tăng 100K = 29090.0K</v>
      </c>
      <c r="U22" s="149">
        <f>IFERROR(G22-W9Q2FY26!G22,"OOS")</f>
        <v>0</v>
      </c>
      <c r="V22" s="146" t="str">
        <f t="shared" si="4"/>
        <v/>
      </c>
    </row>
    <row r="23" spans="1:22" x14ac:dyDescent="0.2">
      <c r="A23" t="s">
        <v>43</v>
      </c>
      <c r="B23" s="3"/>
      <c r="C23" s="135">
        <v>38990000</v>
      </c>
      <c r="D23" s="141">
        <v>38990000</v>
      </c>
      <c r="E23" s="112">
        <v>38990000</v>
      </c>
      <c r="F23" s="132">
        <v>38990000</v>
      </c>
      <c r="G23" s="112">
        <v>38990000</v>
      </c>
      <c r="M23" s="148">
        <f>IFERROR(C23-W9Q2FY26!C23,"OOS")</f>
        <v>0</v>
      </c>
      <c r="N23" s="146" t="str">
        <f t="shared" si="0"/>
        <v/>
      </c>
      <c r="O23" s="149">
        <f>IFERROR(D23-W9Q2FY26!D23,"OOS")</f>
        <v>0</v>
      </c>
      <c r="P23" s="146" t="str">
        <f t="shared" si="1"/>
        <v/>
      </c>
      <c r="Q23" s="149">
        <f>IFERROR(E23-W9Q2FY26!E23,"OOS")</f>
        <v>0</v>
      </c>
      <c r="R23" s="146" t="str">
        <f t="shared" si="2"/>
        <v/>
      </c>
      <c r="S23" s="149">
        <f>IFERROR(F23-W9Q2FY26!F23,"OOS")</f>
        <v>0</v>
      </c>
      <c r="T23" s="146" t="str">
        <f t="shared" si="3"/>
        <v/>
      </c>
      <c r="U23" s="149">
        <f>IFERROR(G23-W9Q2FY26!G23,"OOS")</f>
        <v>0</v>
      </c>
      <c r="V23" s="146" t="str">
        <f t="shared" si="4"/>
        <v/>
      </c>
    </row>
    <row r="24" spans="1:22" x14ac:dyDescent="0.2">
      <c r="A24" t="s">
        <v>44</v>
      </c>
      <c r="B24" s="25"/>
      <c r="C24" s="140">
        <v>6390000</v>
      </c>
      <c r="D24" s="140">
        <v>6290000</v>
      </c>
      <c r="E24" s="139">
        <v>6190000</v>
      </c>
      <c r="F24" s="133">
        <v>6290000</v>
      </c>
      <c r="G24" s="123">
        <v>6290000</v>
      </c>
      <c r="M24" s="148">
        <f>IFERROR(C24-W9Q2FY26!C24,"OOS")</f>
        <v>-400000</v>
      </c>
      <c r="N24" s="146" t="str">
        <f t="shared" si="0"/>
        <v>AW SE 3 (40mm GPS) giảm 400K = 6390.0K</v>
      </c>
      <c r="O24" s="149">
        <f>IFERROR(D24-W9Q2FY26!D24,"OOS")</f>
        <v>-400000</v>
      </c>
      <c r="P24" s="146" t="str">
        <f t="shared" si="1"/>
        <v>AW SE 3 (40mm GPS) giảm 400K = 6290.0K</v>
      </c>
      <c r="Q24" s="149">
        <f>IFERROR(E24-W9Q2FY26!E24,"OOS")</f>
        <v>-300000</v>
      </c>
      <c r="R24" s="146" t="str">
        <f t="shared" si="2"/>
        <v>AW SE 3 (40mm GPS) giảm 300K = 6190.0K</v>
      </c>
      <c r="S24" s="149">
        <f>IFERROR(F24-W9Q2FY26!F24,"OOS")</f>
        <v>-400000</v>
      </c>
      <c r="T24" s="146" t="str">
        <f t="shared" si="3"/>
        <v>AW SE 3 (40mm GPS) giảm 400K = 6290.0K</v>
      </c>
      <c r="U24" s="149">
        <f>IFERROR(G24-W9Q2FY26!G24,"OOS")</f>
        <v>-100000</v>
      </c>
      <c r="V24" s="146" t="str">
        <f t="shared" si="4"/>
        <v>AW SE 3 (40mm GPS) giảm 100K = 6290.0K</v>
      </c>
    </row>
    <row r="25" spans="1:22" x14ac:dyDescent="0.2">
      <c r="A25" t="s">
        <v>45</v>
      </c>
      <c r="B25" s="25"/>
      <c r="C25" s="140">
        <v>7990000</v>
      </c>
      <c r="D25" s="140">
        <v>7690000</v>
      </c>
      <c r="E25" s="139">
        <v>7690000</v>
      </c>
      <c r="F25" s="133">
        <v>7690000</v>
      </c>
      <c r="G25" s="123">
        <v>7690000</v>
      </c>
      <c r="M25" s="148">
        <f>IFERROR(C25-W9Q2FY26!C25,"OOS")</f>
        <v>-400000</v>
      </c>
      <c r="N25" s="146" t="str">
        <f t="shared" si="0"/>
        <v>AW SE 3 (40mm LTE) giảm 400K = 7990.0K</v>
      </c>
      <c r="O25" s="149">
        <f>IFERROR(D25-W9Q2FY26!D25,"OOS")</f>
        <v>-700000</v>
      </c>
      <c r="P25" s="146" t="str">
        <f t="shared" si="1"/>
        <v>AW SE 3 (40mm LTE) giảm 700K = 7690.0K</v>
      </c>
      <c r="Q25" s="149">
        <f>IFERROR(E25-W9Q2FY26!E25,"OOS")</f>
        <v>-300000</v>
      </c>
      <c r="R25" s="146" t="str">
        <f t="shared" si="2"/>
        <v>AW SE 3 (40mm LTE) giảm 300K = 7690.0K</v>
      </c>
      <c r="S25" s="149">
        <f>IFERROR(F25-W9Q2FY26!F25,"OOS")</f>
        <v>-700000</v>
      </c>
      <c r="T25" s="146" t="str">
        <f t="shared" si="3"/>
        <v>AW SE 3 (40mm LTE) giảm 700K = 7690.0K</v>
      </c>
      <c r="U25" s="149">
        <f>IFERROR(G25-W9Q2FY26!G25,"OOS")</f>
        <v>-300000</v>
      </c>
      <c r="V25" s="146" t="str">
        <f t="shared" si="4"/>
        <v>AW SE 3 (40mm LTE) giảm 300K = 7690.0K</v>
      </c>
    </row>
    <row r="26" spans="1:22" x14ac:dyDescent="0.2">
      <c r="A26" t="s">
        <v>46</v>
      </c>
      <c r="B26" s="25"/>
      <c r="C26" s="140">
        <v>7290000</v>
      </c>
      <c r="D26" s="140">
        <v>6990000</v>
      </c>
      <c r="E26" s="139">
        <v>6990000</v>
      </c>
      <c r="F26" s="133">
        <v>7290000</v>
      </c>
      <c r="G26" s="123">
        <v>7190000</v>
      </c>
      <c r="M26" s="148">
        <f>IFERROR(C26-W9Q2FY26!C26,"OOS")</f>
        <v>-400000</v>
      </c>
      <c r="N26" s="146" t="str">
        <f t="shared" si="0"/>
        <v>AW SE 3 (44mm GPS) giảm 400K = 7290.0K</v>
      </c>
      <c r="O26" s="149">
        <f>IFERROR(D26-W9Q2FY26!D26,"OOS")</f>
        <v>-600000</v>
      </c>
      <c r="P26" s="146" t="str">
        <f t="shared" si="1"/>
        <v>AW SE 3 (44mm GPS) giảm 600K = 6990.0K</v>
      </c>
      <c r="Q26" s="149">
        <f>IFERROR(E26-W9Q2FY26!E26,"OOS")</f>
        <v>-400000</v>
      </c>
      <c r="R26" s="146" t="str">
        <f t="shared" si="2"/>
        <v>AW SE 3 (44mm GPS) giảm 400K = 6990.0K</v>
      </c>
      <c r="S26" s="149">
        <f>IFERROR(F26-W9Q2FY26!F26,"OOS")</f>
        <v>-400000</v>
      </c>
      <c r="T26" s="146" t="str">
        <f t="shared" si="3"/>
        <v>AW SE 3 (44mm GPS) giảm 400K = 7290.0K</v>
      </c>
      <c r="U26" s="149">
        <f>IFERROR(G26-W9Q2FY26!G26,"OOS")</f>
        <v>-100000</v>
      </c>
      <c r="V26" s="146" t="str">
        <f t="shared" si="4"/>
        <v>AW SE 3 (44mm GPS) giảm 100K = 7190.0K</v>
      </c>
    </row>
    <row r="27" spans="1:22" x14ac:dyDescent="0.2">
      <c r="A27" t="s">
        <v>47</v>
      </c>
      <c r="B27" s="25"/>
      <c r="C27" s="140">
        <v>8790000</v>
      </c>
      <c r="D27" s="135">
        <v>8490000</v>
      </c>
      <c r="E27" s="139">
        <v>8590000</v>
      </c>
      <c r="F27" s="133">
        <v>8790000</v>
      </c>
      <c r="G27" s="112">
        <v>8690000</v>
      </c>
      <c r="M27" s="148">
        <f>IFERROR(C27-W9Q2FY26!C27,"OOS")</f>
        <v>-400000</v>
      </c>
      <c r="N27" s="146" t="str">
        <f t="shared" si="0"/>
        <v>AW SE 3 (44mm LTE) giảm 400K = 8790.0K</v>
      </c>
      <c r="O27" s="149">
        <f>IFERROR(D27-W9Q2FY26!D27,"OOS")</f>
        <v>-700000</v>
      </c>
      <c r="P27" s="146" t="str">
        <f t="shared" si="1"/>
        <v>AW SE 3 (44mm LTE) giảm 700K = 8490.0K</v>
      </c>
      <c r="Q27" s="149">
        <f>IFERROR(E27-W9Q2FY26!E27,"OOS")</f>
        <v>-400000</v>
      </c>
      <c r="R27" s="146" t="str">
        <f t="shared" si="2"/>
        <v>AW SE 3 (44mm LTE) giảm 400K = 8590.0K</v>
      </c>
      <c r="S27" s="149">
        <f>IFERROR(F27-W9Q2FY26!F27,"OOS")</f>
        <v>-400000</v>
      </c>
      <c r="T27" s="146" t="str">
        <f t="shared" si="3"/>
        <v>AW SE 3 (44mm LTE) giảm 400K = 8790.0K</v>
      </c>
      <c r="U27" s="149">
        <f>IFERROR(G27-W9Q2FY26!G27,"OOS")</f>
        <v>0</v>
      </c>
      <c r="V27" s="146" t="str">
        <f t="shared" si="4"/>
        <v/>
      </c>
    </row>
    <row r="28" spans="1:22" x14ac:dyDescent="0.2">
      <c r="A28" t="s">
        <v>48</v>
      </c>
      <c r="B28" s="3"/>
      <c r="C28" s="140">
        <v>9190000</v>
      </c>
      <c r="D28" s="140">
        <v>9190000</v>
      </c>
      <c r="E28" s="139">
        <v>8990000</v>
      </c>
      <c r="F28" s="133">
        <v>9090000</v>
      </c>
      <c r="G28" s="112">
        <v>8990000</v>
      </c>
      <c r="M28" s="148">
        <f>IFERROR(C28-W9Q2FY26!C28,"OOS")</f>
        <v>-2000000</v>
      </c>
      <c r="N28" s="146" t="str">
        <f t="shared" si="0"/>
        <v>AW S11 (42mm GPS) giảm 2000K = 9190.0K</v>
      </c>
      <c r="O28" s="149">
        <f>IFERROR(D28-W9Q2FY26!D28,"OOS")</f>
        <v>-2700000</v>
      </c>
      <c r="P28" s="146" t="str">
        <f t="shared" si="1"/>
        <v>AW S11 (42mm GPS) giảm 2700K = 9190.0K</v>
      </c>
      <c r="Q28" s="149">
        <f>IFERROR(E28-W9Q2FY26!E28,"OOS")</f>
        <v>-1700000</v>
      </c>
      <c r="R28" s="146" t="str">
        <f t="shared" si="2"/>
        <v>AW S11 (42mm GPS) giảm 1700K = 8990.0K</v>
      </c>
      <c r="S28" s="149">
        <f>IFERROR(F28-W9Q2FY26!F28,"OOS")</f>
        <v>-2000000</v>
      </c>
      <c r="T28" s="146" t="str">
        <f t="shared" si="3"/>
        <v>AW S11 (42mm GPS) giảm 2000K = 9090.0K</v>
      </c>
      <c r="U28" s="149">
        <f>IFERROR(G28-W9Q2FY26!G28,"OOS")</f>
        <v>0</v>
      </c>
      <c r="V28" s="146" t="str">
        <f t="shared" si="4"/>
        <v/>
      </c>
    </row>
    <row r="29" spans="1:22" x14ac:dyDescent="0.2">
      <c r="A29" t="s">
        <v>49</v>
      </c>
      <c r="B29" s="3"/>
      <c r="C29" s="140">
        <v>12090000</v>
      </c>
      <c r="D29" s="140">
        <v>11990000</v>
      </c>
      <c r="E29" s="139">
        <v>11990000</v>
      </c>
      <c r="F29" s="133">
        <v>12090000</v>
      </c>
      <c r="G29" s="112">
        <v>11990000</v>
      </c>
      <c r="M29" s="148">
        <f>IFERROR(C29-W9Q2FY26!C29,"OOS")</f>
        <v>-2000000</v>
      </c>
      <c r="N29" s="146" t="str">
        <f t="shared" si="0"/>
        <v>AW S11 (42mm CEL) giảm 2000K = 12090.0K</v>
      </c>
      <c r="O29" s="149">
        <f>IFERROR(D29-W9Q2FY26!D29,"OOS")</f>
        <v>-2100000</v>
      </c>
      <c r="P29" s="146" t="str">
        <f t="shared" si="1"/>
        <v>AW S11 (42mm CEL) giảm 2100K = 11990.0K</v>
      </c>
      <c r="Q29" s="149">
        <f>IFERROR(E29-W9Q2FY26!E29,"OOS")</f>
        <v>-2000000</v>
      </c>
      <c r="R29" s="146" t="str">
        <f t="shared" si="2"/>
        <v>AW S11 (42mm CEL) giảm 2000K = 11990.0K</v>
      </c>
      <c r="S29" s="149">
        <f>IFERROR(F29-W9Q2FY26!F29,"OOS")</f>
        <v>-2000000</v>
      </c>
      <c r="T29" s="146" t="str">
        <f t="shared" si="3"/>
        <v>AW S11 (42mm CEL) giảm 2000K = 12090.0K</v>
      </c>
      <c r="U29" s="149">
        <f>IFERROR(G29-W9Q2FY26!G29,"OOS")</f>
        <v>0</v>
      </c>
      <c r="V29" s="146" t="str">
        <f t="shared" si="4"/>
        <v/>
      </c>
    </row>
    <row r="30" spans="1:22" x14ac:dyDescent="0.2">
      <c r="A30" t="s">
        <v>50</v>
      </c>
      <c r="B30" s="3"/>
      <c r="C30" s="140">
        <v>9990000</v>
      </c>
      <c r="D30" s="135">
        <v>9990000</v>
      </c>
      <c r="E30" s="139">
        <v>9690000</v>
      </c>
      <c r="F30" s="133">
        <v>9890000</v>
      </c>
      <c r="G30" s="110">
        <v>9990000</v>
      </c>
      <c r="M30" s="148">
        <f>IFERROR(C30-W9Q2FY26!C30,"OOS")</f>
        <v>-2000000</v>
      </c>
      <c r="N30" s="146" t="str">
        <f t="shared" si="0"/>
        <v>AW S11 (46mm GPS) giảm 2000K = 9990.0K</v>
      </c>
      <c r="O30" s="149">
        <f>IFERROR(D30-W9Q2FY26!D30,"OOS")</f>
        <v>0</v>
      </c>
      <c r="P30" s="146" t="str">
        <f t="shared" si="1"/>
        <v/>
      </c>
      <c r="Q30" s="149">
        <f>IFERROR(E30-W9Q2FY26!E30,"OOS")</f>
        <v>-1800000</v>
      </c>
      <c r="R30" s="146" t="str">
        <f t="shared" si="2"/>
        <v>AW S11 (46mm GPS) giảm 1800K = 9690.0K</v>
      </c>
      <c r="S30" s="149">
        <f>IFERROR(F30-W9Q2FY26!F30,"OOS")</f>
        <v>-2000000</v>
      </c>
      <c r="T30" s="146" t="str">
        <f t="shared" si="3"/>
        <v>AW S11 (46mm GPS) giảm 2000K = 9890.0K</v>
      </c>
      <c r="U30" s="149">
        <f>IFERROR(G30-W9Q2FY26!G30,"OOS")</f>
        <v>0</v>
      </c>
      <c r="V30" s="146" t="str">
        <f t="shared" si="4"/>
        <v/>
      </c>
    </row>
    <row r="31" spans="1:22" x14ac:dyDescent="0.2">
      <c r="A31" t="s">
        <v>51</v>
      </c>
      <c r="B31" s="3"/>
      <c r="C31" s="140">
        <v>12990000</v>
      </c>
      <c r="D31" s="140">
        <v>12490000</v>
      </c>
      <c r="E31" s="139">
        <v>12490000</v>
      </c>
      <c r="F31" s="133">
        <v>12990000</v>
      </c>
      <c r="G31" s="110">
        <v>12990000</v>
      </c>
      <c r="M31" s="148" t="str">
        <f>IFERROR(C31-W9Q2FY26!C31,"OOS")</f>
        <v>OOS</v>
      </c>
      <c r="N31" s="146" t="e">
        <f t="shared" si="0"/>
        <v>#VALUE!</v>
      </c>
      <c r="O31" s="149">
        <f>IFERROR(D31-W9Q2FY26!D31,"OOS")</f>
        <v>-2500000</v>
      </c>
      <c r="P31" s="146" t="str">
        <f t="shared" si="1"/>
        <v>AW S11 (46mm CEL) giảm 2500K = 12490.0K</v>
      </c>
      <c r="Q31" s="149">
        <f>IFERROR(E31-W9Q2FY26!E31,"OOS")</f>
        <v>-2000000</v>
      </c>
      <c r="R31" s="146" t="str">
        <f t="shared" si="2"/>
        <v>AW S11 (46mm CEL) giảm 2000K = 12490.0K</v>
      </c>
      <c r="S31" s="149">
        <f>IFERROR(F31-W9Q2FY26!F31,"OOS")</f>
        <v>-2000000</v>
      </c>
      <c r="T31" s="146" t="str">
        <f t="shared" si="3"/>
        <v>AW S11 (46mm CEL) giảm 2000K = 12990.0K</v>
      </c>
      <c r="U31" s="149">
        <f>IFERROR(G31-W9Q2FY26!G31,"OOS")</f>
        <v>0</v>
      </c>
      <c r="V31" s="146" t="str">
        <f t="shared" si="4"/>
        <v/>
      </c>
    </row>
    <row r="32" spans="1:22" x14ac:dyDescent="0.2">
      <c r="A32" t="s">
        <v>52</v>
      </c>
      <c r="B32" s="25"/>
      <c r="C32" s="135">
        <v>23490000</v>
      </c>
      <c r="D32" s="135">
        <v>22990000</v>
      </c>
      <c r="E32" s="112">
        <v>22490000</v>
      </c>
      <c r="F32" s="132">
        <v>22990000</v>
      </c>
      <c r="G32" s="110">
        <v>22990000</v>
      </c>
      <c r="M32" s="148">
        <f>IFERROR(C32-W9Q2FY26!C32,"OOS")</f>
        <v>0</v>
      </c>
      <c r="N32" s="146" t="str">
        <f t="shared" si="0"/>
        <v/>
      </c>
      <c r="O32" s="149">
        <f>IFERROR(D32-W9Q2FY26!D32,"OOS")</f>
        <v>0</v>
      </c>
      <c r="P32" s="146" t="str">
        <f t="shared" si="1"/>
        <v/>
      </c>
      <c r="Q32" s="149">
        <f>IFERROR(E32-W9Q2FY26!E32,"OOS")</f>
        <v>0</v>
      </c>
      <c r="R32" s="146" t="str">
        <f t="shared" si="2"/>
        <v/>
      </c>
      <c r="S32" s="149">
        <f>IFERROR(F32-W9Q2FY26!F32,"OOS")</f>
        <v>0</v>
      </c>
      <c r="T32" s="146" t="str">
        <f t="shared" si="3"/>
        <v/>
      </c>
      <c r="U32" s="149">
        <f>IFERROR(G32-W9Q2FY26!G32,"OOS")</f>
        <v>0</v>
      </c>
      <c r="V32" s="146" t="str">
        <f t="shared" si="4"/>
        <v/>
      </c>
    </row>
    <row r="33" spans="1:22" x14ac:dyDescent="0.2">
      <c r="A33" t="s">
        <v>53</v>
      </c>
      <c r="B33" s="3"/>
      <c r="C33" s="135">
        <v>4990000</v>
      </c>
      <c r="D33" s="135">
        <v>4990000</v>
      </c>
      <c r="E33" s="130" t="s">
        <v>22</v>
      </c>
      <c r="F33" s="132">
        <v>4950000</v>
      </c>
      <c r="G33" s="110">
        <v>5590000</v>
      </c>
      <c r="M33" s="148">
        <f>IFERROR(C33-W9Q2FY26!C33,"OOS")</f>
        <v>100000</v>
      </c>
      <c r="N33" s="146" t="str">
        <f t="shared" si="0"/>
        <v>AirPods Pro 2 - 2023 (C-Type) tăng 100K = 4990.0K</v>
      </c>
      <c r="O33" s="149">
        <f>IFERROR(D33-W9Q2FY26!D33,"OOS")</f>
        <v>0</v>
      </c>
      <c r="P33" s="146" t="str">
        <f t="shared" si="1"/>
        <v/>
      </c>
      <c r="Q33" s="149" t="str">
        <f>IFERROR(E33-W9Q2FY26!E33,"OOS")</f>
        <v>OOS</v>
      </c>
      <c r="R33" s="146" t="e">
        <f t="shared" si="2"/>
        <v>#VALUE!</v>
      </c>
      <c r="S33" s="149">
        <f>IFERROR(F33-W9Q2FY26!F33,"OOS")</f>
        <v>0</v>
      </c>
      <c r="T33" s="146" t="str">
        <f t="shared" si="3"/>
        <v/>
      </c>
      <c r="U33" s="149">
        <f>IFERROR(G33-W9Q2FY26!G33,"OOS")</f>
        <v>0</v>
      </c>
      <c r="V33" s="146" t="str">
        <f t="shared" si="4"/>
        <v/>
      </c>
    </row>
    <row r="34" spans="1:22" x14ac:dyDescent="0.2">
      <c r="A34" t="s">
        <v>54</v>
      </c>
      <c r="B34" s="3"/>
      <c r="C34" s="140">
        <v>4390000</v>
      </c>
      <c r="D34" s="135">
        <v>4290000</v>
      </c>
      <c r="E34" s="139">
        <v>4290000</v>
      </c>
      <c r="F34" s="133">
        <v>4350000</v>
      </c>
      <c r="G34" s="123">
        <v>4290000</v>
      </c>
      <c r="M34" s="148">
        <f>IFERROR(C34-W9Q2FY26!C34,"OOS")</f>
        <v>-200000</v>
      </c>
      <c r="N34" s="146" t="str">
        <f t="shared" si="0"/>
        <v>AirPods 4 ANC giảm 200K = 4390.0K</v>
      </c>
      <c r="O34" s="149">
        <f>IFERROR(D34-W9Q2FY26!D34,"OOS")</f>
        <v>100000</v>
      </c>
      <c r="P34" s="146" t="str">
        <f t="shared" si="1"/>
        <v>AirPods 4 ANC tăng 100K = 4290.0K</v>
      </c>
      <c r="Q34" s="149">
        <f>IFERROR(E34-W9Q2FY26!E34,"OOS")</f>
        <v>-200000</v>
      </c>
      <c r="R34" s="146" t="str">
        <f t="shared" si="2"/>
        <v>AirPods 4 ANC giảm 200K = 4290.0K</v>
      </c>
      <c r="S34" s="149">
        <f>IFERROR(F34-W9Q2FY26!F34,"OOS")</f>
        <v>-200000</v>
      </c>
      <c r="T34" s="146" t="str">
        <f t="shared" si="3"/>
        <v>AirPods 4 ANC giảm 200K = 4350.0K</v>
      </c>
      <c r="U34" s="149">
        <f>IFERROR(G34-W9Q2FY26!G34,"OOS")</f>
        <v>-100000</v>
      </c>
      <c r="V34" s="146" t="str">
        <f t="shared" si="4"/>
        <v>AirPods 4 ANC giảm 100K = 4290.0K</v>
      </c>
    </row>
    <row r="35" spans="1:22" x14ac:dyDescent="0.2">
      <c r="A35" t="s">
        <v>55</v>
      </c>
      <c r="B35" s="3"/>
      <c r="C35" s="140">
        <v>2990000</v>
      </c>
      <c r="D35" s="140">
        <v>2890000</v>
      </c>
      <c r="E35" s="139">
        <v>2890000</v>
      </c>
      <c r="F35" s="133">
        <v>2990000</v>
      </c>
      <c r="G35" s="112">
        <v>2990000</v>
      </c>
      <c r="M35" s="148">
        <f>IFERROR(C35-W9Q2FY26!C35,"OOS")</f>
        <v>-500000</v>
      </c>
      <c r="N35" s="146" t="str">
        <f t="shared" si="0"/>
        <v>AirPods 4 with charging case giảm 500K = 2990.0K</v>
      </c>
      <c r="O35" s="149">
        <f>IFERROR(D35-W9Q2FY26!D35,"OOS")</f>
        <v>-600000</v>
      </c>
      <c r="P35" s="146" t="str">
        <f t="shared" si="1"/>
        <v>AirPods 4 with charging case giảm 600K = 2890.0K</v>
      </c>
      <c r="Q35" s="149">
        <f>IFERROR(E35-W9Q2FY26!E35,"OOS")</f>
        <v>-500000</v>
      </c>
      <c r="R35" s="146" t="str">
        <f t="shared" si="2"/>
        <v>AirPods 4 with charging case giảm 500K = 2890.0K</v>
      </c>
      <c r="S35" s="149">
        <f>IFERROR(F35-W9Q2FY26!F35,"OOS")</f>
        <v>-500000</v>
      </c>
      <c r="T35" s="146" t="str">
        <f t="shared" si="3"/>
        <v>AirPods 4 with charging case giảm 500K = 2990.0K</v>
      </c>
      <c r="U35" s="149">
        <f>IFERROR(G35-W9Q2FY26!G35,"OOS")</f>
        <v>0</v>
      </c>
      <c r="V35" s="146" t="str">
        <f t="shared" si="4"/>
        <v/>
      </c>
    </row>
    <row r="36" spans="1:22" x14ac:dyDescent="0.2">
      <c r="A36" t="s">
        <v>56</v>
      </c>
      <c r="B36" s="3"/>
      <c r="C36" s="140">
        <v>6390000</v>
      </c>
      <c r="D36" s="135">
        <v>6390000</v>
      </c>
      <c r="E36" s="134">
        <v>6290000</v>
      </c>
      <c r="F36" s="133">
        <v>6390000</v>
      </c>
      <c r="G36" s="112">
        <v>6490000</v>
      </c>
      <c r="M36" s="148">
        <f>IFERROR(C36-W9Q2FY26!C36,"OOS")</f>
        <v>-200000</v>
      </c>
      <c r="N36" s="146" t="str">
        <f t="shared" si="0"/>
        <v>AirPods Pro 3 giảm 200K = 6390.0K</v>
      </c>
      <c r="O36" s="149">
        <f>IFERROR(D36-W9Q2FY26!D36,"OOS")</f>
        <v>0</v>
      </c>
      <c r="P36" s="146" t="str">
        <f t="shared" si="1"/>
        <v/>
      </c>
      <c r="Q36" s="149">
        <f>IFERROR(E36-W9Q2FY26!E36,"OOS")</f>
        <v>0</v>
      </c>
      <c r="R36" s="146" t="str">
        <f t="shared" si="2"/>
        <v/>
      </c>
      <c r="S36" s="149">
        <f>IFERROR(F36-W9Q2FY26!F36,"OOS")</f>
        <v>0</v>
      </c>
      <c r="T36" s="146" t="str">
        <f t="shared" si="3"/>
        <v/>
      </c>
      <c r="U36" s="149">
        <f>IFERROR(G36-W9Q2FY26!G36,"OOS")</f>
        <v>0</v>
      </c>
      <c r="V36" s="146" t="str">
        <f t="shared" si="4"/>
        <v/>
      </c>
    </row>
    <row r="37" spans="1:22" x14ac:dyDescent="0.2">
      <c r="A37" t="s">
        <v>186</v>
      </c>
      <c r="B37" s="25"/>
      <c r="C37" s="135">
        <v>19690000</v>
      </c>
      <c r="D37" s="135">
        <v>19690000</v>
      </c>
      <c r="E37" s="142"/>
      <c r="F37" s="132">
        <v>19690000</v>
      </c>
      <c r="G37" s="110">
        <v>18990000</v>
      </c>
      <c r="M37" s="148">
        <f>IFERROR(C37-W9Q2FY26!C37,"OOS")</f>
        <v>0</v>
      </c>
      <c r="N37" s="146" t="str">
        <f t="shared" si="0"/>
        <v/>
      </c>
      <c r="O37" s="149">
        <f>IFERROR(D37-W9Q2FY26!D37,"OOS")</f>
        <v>0</v>
      </c>
      <c r="P37" s="146" t="str">
        <f t="shared" si="1"/>
        <v/>
      </c>
      <c r="Q37" s="149">
        <f>IFERROR(E37-W9Q2FY26!E37,"OOS")</f>
        <v>0</v>
      </c>
      <c r="R37" s="146" t="str">
        <f t="shared" si="2"/>
        <v/>
      </c>
      <c r="S37" s="149">
        <f>IFERROR(F37-W9Q2FY26!F37,"OOS")</f>
        <v>0</v>
      </c>
      <c r="T37" s="146" t="str">
        <f t="shared" si="3"/>
        <v/>
      </c>
      <c r="U37" s="149">
        <f>IFERROR(G37-W9Q2FY26!G37,"OOS")</f>
        <v>0</v>
      </c>
      <c r="V37" s="146" t="str">
        <f t="shared" si="4"/>
        <v/>
      </c>
    </row>
    <row r="38" spans="1:22" x14ac:dyDescent="0.2">
      <c r="A38" t="s">
        <v>57</v>
      </c>
      <c r="B38" s="25"/>
      <c r="C38" s="135"/>
      <c r="D38" s="135"/>
      <c r="E38" s="142"/>
      <c r="F38" s="132"/>
      <c r="G38" s="110">
        <v>29990000</v>
      </c>
      <c r="M38" s="148">
        <f>IFERROR(C38-W9Q2FY26!C38,"OOS")</f>
        <v>0</v>
      </c>
      <c r="N38" s="146" t="str">
        <f t="shared" si="0"/>
        <v/>
      </c>
      <c r="O38" s="149"/>
      <c r="P38" s="146" t="str">
        <f t="shared" si="1"/>
        <v/>
      </c>
      <c r="Q38" s="149">
        <f>IFERROR(E38-W9Q2FY26!E38,"OOS")</f>
        <v>0</v>
      </c>
      <c r="R38" s="146" t="str">
        <f t="shared" si="2"/>
        <v/>
      </c>
      <c r="S38" s="149">
        <f>IFERROR(F38-W9Q2FY26!F38,"OOS")</f>
        <v>0</v>
      </c>
      <c r="T38" s="146" t="str">
        <f t="shared" si="3"/>
        <v/>
      </c>
      <c r="U38" s="149">
        <f>IFERROR(G38-W9Q2FY26!G38,"OOS")</f>
        <v>29990000</v>
      </c>
      <c r="V38" s="146" t="str">
        <f t="shared" si="4"/>
        <v>MacBook Air 13" M5 16/512GB tăng 29990K = 29990.0K</v>
      </c>
    </row>
    <row r="39" spans="1:22" x14ac:dyDescent="0.2">
      <c r="A39" t="s">
        <v>58</v>
      </c>
      <c r="B39" s="25"/>
      <c r="C39" s="135"/>
      <c r="D39" s="135"/>
      <c r="E39" s="142"/>
      <c r="F39" s="132"/>
      <c r="G39" s="110"/>
      <c r="M39" s="148">
        <f>IFERROR(C39-W9Q2FY26!C39,"OOS")</f>
        <v>0</v>
      </c>
      <c r="N39" s="146" t="str">
        <f t="shared" si="0"/>
        <v/>
      </c>
      <c r="O39" s="149"/>
      <c r="P39" s="146" t="str">
        <f t="shared" si="1"/>
        <v/>
      </c>
      <c r="Q39" s="149">
        <f>IFERROR(E39-W9Q2FY26!E39,"OOS")</f>
        <v>0</v>
      </c>
      <c r="R39" s="146" t="str">
        <f t="shared" si="2"/>
        <v/>
      </c>
      <c r="S39" s="149">
        <f>IFERROR(F39-W9Q2FY26!F39,"OOS")</f>
        <v>0</v>
      </c>
      <c r="T39" s="146" t="str">
        <f t="shared" si="3"/>
        <v/>
      </c>
      <c r="U39" s="149">
        <f>IFERROR(G39-W9Q2FY26!G39,"OOS")</f>
        <v>0</v>
      </c>
      <c r="V39" s="146" t="str">
        <f t="shared" si="4"/>
        <v/>
      </c>
    </row>
    <row r="40" spans="1:22" x14ac:dyDescent="0.2">
      <c r="A40" t="s">
        <v>59</v>
      </c>
      <c r="B40" s="3"/>
      <c r="C40" s="140">
        <v>25190000</v>
      </c>
      <c r="D40" s="140">
        <v>25190000</v>
      </c>
      <c r="E40" s="142"/>
      <c r="F40" s="133">
        <v>25190000</v>
      </c>
      <c r="G40" s="111">
        <v>25190000</v>
      </c>
      <c r="M40" s="148">
        <f>IFERROR(C40-W9Q2FY26!C40,"OOS")</f>
        <v>-100000</v>
      </c>
      <c r="N40" s="146" t="str">
        <f t="shared" si="0"/>
        <v>MacBook Air 13" M4 16/256GB giảm 100K = 25190.0K</v>
      </c>
      <c r="O40" s="149">
        <f>IFERROR(E40-W9Q2FY26!E40,"OOS")</f>
        <v>0</v>
      </c>
      <c r="P40" s="146" t="str">
        <f t="shared" si="1"/>
        <v/>
      </c>
      <c r="Q40" s="149">
        <f>IFERROR(E40-W9Q2FY26!E40,"OOS")</f>
        <v>0</v>
      </c>
      <c r="R40" s="146" t="str">
        <f t="shared" si="2"/>
        <v/>
      </c>
      <c r="S40" s="149">
        <f>IFERROR(F40-W9Q2FY26!F40,"OOS")</f>
        <v>-100000</v>
      </c>
      <c r="T40" s="146" t="str">
        <f t="shared" si="3"/>
        <v>MacBook Air 13" M4 16/256GB giảm 100K = 25190.0K</v>
      </c>
      <c r="U40" s="149">
        <f>IFERROR(G40-W9Q2FY26!G40,"OOS")</f>
        <v>-100000</v>
      </c>
      <c r="V40" s="146" t="str">
        <f t="shared" si="4"/>
        <v>MacBook Air 13" M4 16/256GB giảm 100K = 25190.0K</v>
      </c>
    </row>
    <row r="41" spans="1:22" x14ac:dyDescent="0.2">
      <c r="A41" t="s">
        <v>61</v>
      </c>
      <c r="B41" s="25"/>
      <c r="C41" s="135">
        <v>29990000</v>
      </c>
      <c r="D41" s="135">
        <v>29990000</v>
      </c>
      <c r="E41" s="142"/>
      <c r="F41" s="132">
        <v>29990000</v>
      </c>
      <c r="G41" s="110">
        <v>28990000</v>
      </c>
      <c r="M41" s="148">
        <f>IFERROR(C41-W9Q2FY26!C41,"OOS")</f>
        <v>0</v>
      </c>
      <c r="N41" s="146" t="str">
        <f t="shared" si="0"/>
        <v/>
      </c>
      <c r="O41" s="149">
        <f>IFERROR(E41-W9Q2FY26!E41,"OOS")</f>
        <v>0</v>
      </c>
      <c r="P41" s="146" t="str">
        <f t="shared" si="1"/>
        <v/>
      </c>
      <c r="Q41" s="149">
        <f>IFERROR(E41-W9Q2FY26!E41,"OOS")</f>
        <v>0</v>
      </c>
      <c r="R41" s="146" t="str">
        <f t="shared" si="2"/>
        <v/>
      </c>
      <c r="S41" s="149">
        <f>IFERROR(F41-W9Q2FY26!F41,"OOS")</f>
        <v>1000000</v>
      </c>
      <c r="T41" s="146" t="str">
        <f t="shared" si="3"/>
        <v>MacBook Air 15" M4 16/256GB tăng 1000K = 29990.0K</v>
      </c>
      <c r="U41" s="149">
        <f>IFERROR(G41-W9Q2FY26!G41,"OOS")</f>
        <v>0</v>
      </c>
      <c r="V41" s="146" t="str">
        <f t="shared" si="4"/>
        <v/>
      </c>
    </row>
    <row r="42" spans="1:22" x14ac:dyDescent="0.2">
      <c r="A42" t="s">
        <v>187</v>
      </c>
      <c r="B42" s="25"/>
      <c r="C42" s="135" t="s">
        <v>22</v>
      </c>
      <c r="D42" s="135" t="s">
        <v>22</v>
      </c>
      <c r="E42" s="142"/>
      <c r="F42" s="132">
        <v>38590000</v>
      </c>
      <c r="G42" s="110">
        <v>38390000</v>
      </c>
      <c r="M42" s="148" t="str">
        <f>IFERROR(C42-W9Q2FY26!C42,"OOS")</f>
        <v>OOS</v>
      </c>
      <c r="N42" s="146" t="e">
        <f t="shared" si="0"/>
        <v>#VALUE!</v>
      </c>
      <c r="O42" s="149">
        <f>IFERROR(E42-W9Q2FY26!E42,"OOS")</f>
        <v>0</v>
      </c>
      <c r="P42" s="146" t="str">
        <f t="shared" si="1"/>
        <v/>
      </c>
      <c r="Q42" s="149">
        <f>IFERROR(E42-W9Q2FY26!E42,"OOS")</f>
        <v>0</v>
      </c>
      <c r="R42" s="146" t="str">
        <f t="shared" si="2"/>
        <v/>
      </c>
      <c r="S42" s="149">
        <f>IFERROR(F42-W9Q2FY26!F42,"OOS")</f>
        <v>0</v>
      </c>
      <c r="T42" s="146" t="str">
        <f t="shared" si="3"/>
        <v/>
      </c>
      <c r="U42" s="149">
        <f>IFERROR(G42-W9Q2FY26!G42,"OOS")</f>
        <v>0</v>
      </c>
      <c r="V42" s="146" t="str">
        <f t="shared" si="4"/>
        <v/>
      </c>
    </row>
    <row r="43" spans="1:22" x14ac:dyDescent="0.2">
      <c r="A43" t="s">
        <v>62</v>
      </c>
      <c r="B43" s="25"/>
      <c r="C43" s="140">
        <v>41490000</v>
      </c>
      <c r="D43" s="135">
        <v>40690000</v>
      </c>
      <c r="E43" s="142"/>
      <c r="F43" s="132">
        <v>41990000</v>
      </c>
      <c r="G43" s="110">
        <v>41690000</v>
      </c>
      <c r="M43" s="148">
        <f>IFERROR(C43-W9Q2FY26!C43,"OOS")</f>
        <v>-400000</v>
      </c>
      <c r="N43" s="146" t="str">
        <f t="shared" si="0"/>
        <v>MacBook Pro 14" M5 16/512GB giảm 400K = 41490.0K</v>
      </c>
      <c r="O43" s="149">
        <f>IFERROR(E43-W9Q2FY26!E43,"OOS")</f>
        <v>0</v>
      </c>
      <c r="P43" s="146" t="str">
        <f t="shared" si="1"/>
        <v/>
      </c>
      <c r="Q43" s="149">
        <f>IFERROR(E43-W9Q2FY26!E43,"OOS")</f>
        <v>0</v>
      </c>
      <c r="R43" s="146" t="str">
        <f t="shared" si="2"/>
        <v/>
      </c>
      <c r="S43" s="149">
        <f>IFERROR(F43-W9Q2FY26!F43,"OOS")</f>
        <v>0</v>
      </c>
      <c r="T43" s="146" t="str">
        <f t="shared" si="3"/>
        <v/>
      </c>
      <c r="U43" s="149">
        <f>IFERROR(G43-W9Q2FY26!G43,"OOS")</f>
        <v>0</v>
      </c>
      <c r="V43" s="146" t="str">
        <f t="shared" si="4"/>
        <v/>
      </c>
    </row>
    <row r="44" spans="1:22" x14ac:dyDescent="0.2">
      <c r="A44" t="s">
        <v>188</v>
      </c>
      <c r="B44" s="25"/>
      <c r="C44" s="135" t="s">
        <v>22</v>
      </c>
      <c r="D44" s="135">
        <v>63990000</v>
      </c>
      <c r="E44" s="142"/>
      <c r="F44" s="132">
        <v>63990000</v>
      </c>
      <c r="G44" s="110">
        <v>63990000</v>
      </c>
      <c r="M44" s="148" t="str">
        <f>IFERROR(C44-W9Q2FY26!C44,"OOS")</f>
        <v>OOS</v>
      </c>
      <c r="N44" s="147" t="e">
        <f t="shared" si="0"/>
        <v>#VALUE!</v>
      </c>
      <c r="O44" s="150">
        <f>IFERROR(E44-W9Q2FY26!E44,"OOS")</f>
        <v>0</v>
      </c>
      <c r="P44" s="147" t="str">
        <f t="shared" si="1"/>
        <v/>
      </c>
      <c r="Q44" s="149">
        <f>IFERROR(E44-W9Q2FY26!E44,"OOS")</f>
        <v>0</v>
      </c>
      <c r="R44" s="147" t="str">
        <f t="shared" si="2"/>
        <v/>
      </c>
      <c r="S44" s="149">
        <f>IFERROR(F44-W9Q2FY26!F44,"OOS")</f>
        <v>0</v>
      </c>
      <c r="T44" s="147" t="str">
        <f t="shared" si="3"/>
        <v/>
      </c>
      <c r="U44" s="149">
        <f>IFERROR(G44-W9Q2FY26!G44,"OOS")</f>
        <v>0</v>
      </c>
      <c r="V44" s="147" t="str">
        <f t="shared" si="4"/>
        <v/>
      </c>
    </row>
    <row r="45" spans="1:22" x14ac:dyDescent="0.2">
      <c r="C45" s="124"/>
      <c r="D45" s="124"/>
    </row>
    <row r="46" spans="1:22" x14ac:dyDescent="0.2">
      <c r="C46" s="124"/>
      <c r="D46" s="124"/>
    </row>
    <row r="47" spans="1:22" x14ac:dyDescent="0.2">
      <c r="C47" s="124"/>
      <c r="D47" s="124"/>
    </row>
    <row r="48" spans="1:22" x14ac:dyDescent="0.2">
      <c r="C48" s="124"/>
      <c r="D48" s="124"/>
    </row>
    <row r="49" spans="3:4" x14ac:dyDescent="0.2">
      <c r="C49" s="124"/>
      <c r="D49" s="124"/>
    </row>
    <row r="50" spans="3:4" x14ac:dyDescent="0.2">
      <c r="C50" s="124"/>
      <c r="D50" s="124"/>
    </row>
    <row r="51" spans="3:4" x14ac:dyDescent="0.2">
      <c r="C51" s="124"/>
      <c r="D51" s="124"/>
    </row>
    <row r="52" spans="3:4" x14ac:dyDescent="0.2">
      <c r="C52" s="124"/>
      <c r="D52" s="124"/>
    </row>
    <row r="53" spans="3:4" x14ac:dyDescent="0.2">
      <c r="C53" s="124"/>
      <c r="D53" s="124"/>
    </row>
    <row r="54" spans="3:4" x14ac:dyDescent="0.2">
      <c r="C54" s="124"/>
      <c r="D54" s="124"/>
    </row>
    <row r="55" spans="3:4" x14ac:dyDescent="0.2">
      <c r="C55" s="124"/>
      <c r="D55" s="124"/>
    </row>
    <row r="56" spans="3:4" x14ac:dyDescent="0.2">
      <c r="C56" s="124"/>
      <c r="D56" s="124"/>
    </row>
    <row r="57" spans="3:4" x14ac:dyDescent="0.2">
      <c r="C57" s="124"/>
      <c r="D57" s="124"/>
    </row>
    <row r="58" spans="3:4" x14ac:dyDescent="0.2">
      <c r="C58" s="124"/>
      <c r="D58" s="124"/>
    </row>
    <row r="59" spans="3:4" x14ac:dyDescent="0.2">
      <c r="C59" s="124"/>
      <c r="D59" s="124"/>
    </row>
    <row r="60" spans="3:4" x14ac:dyDescent="0.2">
      <c r="C60" s="124"/>
      <c r="D60" s="124"/>
    </row>
    <row r="61" spans="3:4" x14ac:dyDescent="0.2">
      <c r="C61" s="124"/>
      <c r="D61" s="124"/>
    </row>
    <row r="62" spans="3:4" x14ac:dyDescent="0.2">
      <c r="C62" s="124"/>
      <c r="D62" s="124"/>
    </row>
    <row r="63" spans="3:4" x14ac:dyDescent="0.2">
      <c r="C63" s="124"/>
      <c r="D63" s="124"/>
    </row>
    <row r="64" spans="3:4" x14ac:dyDescent="0.2">
      <c r="C64" s="124"/>
      <c r="D64" s="124"/>
    </row>
    <row r="65" spans="3:4" x14ac:dyDescent="0.2">
      <c r="C65" s="124"/>
      <c r="D65" s="124"/>
    </row>
    <row r="66" spans="3:4" x14ac:dyDescent="0.2">
      <c r="C66" s="124"/>
      <c r="D66" s="124"/>
    </row>
    <row r="67" spans="3:4" x14ac:dyDescent="0.2">
      <c r="C67" s="124"/>
      <c r="D67" s="124"/>
    </row>
    <row r="68" spans="3:4" x14ac:dyDescent="0.2">
      <c r="C68" s="124"/>
      <c r="D68" s="124"/>
    </row>
    <row r="69" spans="3:4" x14ac:dyDescent="0.2">
      <c r="C69" s="124"/>
      <c r="D69" s="124"/>
    </row>
    <row r="70" spans="3:4" x14ac:dyDescent="0.2">
      <c r="C70" s="124"/>
      <c r="D70" s="124"/>
    </row>
    <row r="71" spans="3:4" x14ac:dyDescent="0.2">
      <c r="C71" s="124"/>
      <c r="D71" s="124"/>
    </row>
    <row r="72" spans="3:4" x14ac:dyDescent="0.2">
      <c r="C72" s="124"/>
      <c r="D72" s="124"/>
    </row>
    <row r="73" spans="3:4" x14ac:dyDescent="0.2">
      <c r="C73" s="124"/>
      <c r="D73" s="124"/>
    </row>
    <row r="74" spans="3:4" x14ac:dyDescent="0.2">
      <c r="C74" s="124"/>
      <c r="D74" s="124"/>
    </row>
    <row r="75" spans="3:4" x14ac:dyDescent="0.2">
      <c r="C75" s="124"/>
      <c r="D75" s="124"/>
    </row>
    <row r="76" spans="3:4" x14ac:dyDescent="0.2">
      <c r="C76" s="124"/>
      <c r="D76" s="124"/>
    </row>
    <row r="77" spans="3:4" x14ac:dyDescent="0.2">
      <c r="C77" s="124"/>
      <c r="D77" s="124"/>
    </row>
    <row r="78" spans="3:4" x14ac:dyDescent="0.2">
      <c r="C78" s="124"/>
      <c r="D78" s="124"/>
    </row>
    <row r="79" spans="3:4" x14ac:dyDescent="0.2">
      <c r="C79" s="124"/>
      <c r="D79" s="124"/>
    </row>
    <row r="80" spans="3:4" x14ac:dyDescent="0.2">
      <c r="C80" s="124"/>
      <c r="D80" s="124"/>
    </row>
    <row r="81" spans="3:4" x14ac:dyDescent="0.2">
      <c r="C81" s="124"/>
      <c r="D81" s="124"/>
    </row>
    <row r="82" spans="3:4" x14ac:dyDescent="0.2">
      <c r="C82" s="124"/>
      <c r="D82" s="124"/>
    </row>
    <row r="83" spans="3:4" x14ac:dyDescent="0.2">
      <c r="C83" s="124"/>
      <c r="D83" s="124"/>
    </row>
    <row r="84" spans="3:4" x14ac:dyDescent="0.2">
      <c r="C84" s="124"/>
      <c r="D84" s="124"/>
    </row>
    <row r="85" spans="3:4" x14ac:dyDescent="0.2">
      <c r="C85" s="124"/>
      <c r="D85" s="124"/>
    </row>
    <row r="86" spans="3:4" x14ac:dyDescent="0.2">
      <c r="C86" s="124"/>
      <c r="D86" s="124"/>
    </row>
    <row r="87" spans="3:4" x14ac:dyDescent="0.2">
      <c r="C87" s="124"/>
      <c r="D87" s="124"/>
    </row>
    <row r="88" spans="3:4" x14ac:dyDescent="0.2">
      <c r="C88" s="124"/>
      <c r="D88" s="124"/>
    </row>
    <row r="89" spans="3:4" x14ac:dyDescent="0.2">
      <c r="C89" s="124"/>
      <c r="D89" s="124"/>
    </row>
    <row r="90" spans="3:4" x14ac:dyDescent="0.2">
      <c r="C90" s="124"/>
      <c r="D90" s="124"/>
    </row>
    <row r="91" spans="3:4" x14ac:dyDescent="0.2">
      <c r="C91" s="124"/>
      <c r="D91" s="124"/>
    </row>
    <row r="92" spans="3:4" x14ac:dyDescent="0.2">
      <c r="C92" s="124"/>
      <c r="D92" s="124"/>
    </row>
    <row r="93" spans="3:4" x14ac:dyDescent="0.2">
      <c r="C93" s="124"/>
      <c r="D93" s="124"/>
    </row>
    <row r="94" spans="3:4" x14ac:dyDescent="0.2">
      <c r="C94" s="124"/>
      <c r="D94" s="124"/>
    </row>
    <row r="95" spans="3:4" x14ac:dyDescent="0.2">
      <c r="C95" s="124"/>
      <c r="D95" s="124"/>
    </row>
    <row r="96" spans="3:4" x14ac:dyDescent="0.2">
      <c r="C96" s="124"/>
      <c r="D96" s="124"/>
    </row>
    <row r="97" spans="3:4" x14ac:dyDescent="0.2">
      <c r="C97" s="124"/>
      <c r="D97" s="124"/>
    </row>
    <row r="98" spans="3:4" x14ac:dyDescent="0.2">
      <c r="C98" s="124"/>
      <c r="D98" s="124"/>
    </row>
    <row r="99" spans="3:4" x14ac:dyDescent="0.2">
      <c r="C99" s="124"/>
      <c r="D99" s="124"/>
    </row>
    <row r="100" spans="3:4" x14ac:dyDescent="0.2">
      <c r="C100" s="124"/>
      <c r="D100" s="124"/>
    </row>
    <row r="101" spans="3:4" x14ac:dyDescent="0.2">
      <c r="C101" s="124"/>
      <c r="D101" s="124"/>
    </row>
    <row r="102" spans="3:4" x14ac:dyDescent="0.2">
      <c r="C102" s="124"/>
      <c r="D102" s="124"/>
    </row>
    <row r="103" spans="3:4" x14ac:dyDescent="0.2">
      <c r="C103" s="124"/>
      <c r="D103" s="124"/>
    </row>
    <row r="104" spans="3:4" x14ac:dyDescent="0.2">
      <c r="C104" s="124"/>
      <c r="D104" s="124"/>
    </row>
    <row r="105" spans="3:4" x14ac:dyDescent="0.2">
      <c r="C105" s="124"/>
      <c r="D105" s="124"/>
    </row>
    <row r="106" spans="3:4" x14ac:dyDescent="0.2">
      <c r="C106" s="124"/>
      <c r="D106" s="124"/>
    </row>
    <row r="107" spans="3:4" x14ac:dyDescent="0.2">
      <c r="C107" s="124"/>
      <c r="D107" s="124"/>
    </row>
    <row r="108" spans="3:4" x14ac:dyDescent="0.2">
      <c r="C108" s="124"/>
      <c r="D108" s="124"/>
    </row>
    <row r="109" spans="3:4" x14ac:dyDescent="0.2">
      <c r="C109" s="124"/>
      <c r="D109" s="124"/>
    </row>
    <row r="110" spans="3:4" x14ac:dyDescent="0.2">
      <c r="C110" s="124"/>
      <c r="D110" s="124"/>
    </row>
    <row r="111" spans="3:4" x14ac:dyDescent="0.2">
      <c r="C111" s="124"/>
      <c r="D111" s="124"/>
    </row>
    <row r="112" spans="3:4" x14ac:dyDescent="0.2">
      <c r="C112" s="124"/>
      <c r="D112" s="124"/>
    </row>
    <row r="113" spans="3:4" x14ac:dyDescent="0.2">
      <c r="C113" s="124"/>
      <c r="D113" s="124"/>
    </row>
    <row r="114" spans="3:4" x14ac:dyDescent="0.2">
      <c r="C114" s="124"/>
      <c r="D114" s="124"/>
    </row>
    <row r="115" spans="3:4" x14ac:dyDescent="0.2">
      <c r="C115" s="124"/>
      <c r="D115" s="124"/>
    </row>
    <row r="116" spans="3:4" x14ac:dyDescent="0.2">
      <c r="C116" s="124"/>
      <c r="D116" s="124"/>
    </row>
    <row r="117" spans="3:4" x14ac:dyDescent="0.2">
      <c r="C117" s="124"/>
      <c r="D117" s="124"/>
    </row>
    <row r="118" spans="3:4" x14ac:dyDescent="0.2">
      <c r="C118" s="124"/>
      <c r="D118" s="124"/>
    </row>
    <row r="119" spans="3:4" x14ac:dyDescent="0.2">
      <c r="C119" s="124"/>
      <c r="D119" s="124"/>
    </row>
    <row r="120" spans="3:4" x14ac:dyDescent="0.2">
      <c r="C120" s="124"/>
      <c r="D120" s="124"/>
    </row>
    <row r="121" spans="3:4" x14ac:dyDescent="0.2">
      <c r="C121" s="124"/>
      <c r="D121" s="124"/>
    </row>
    <row r="122" spans="3:4" x14ac:dyDescent="0.2">
      <c r="C122" s="124"/>
      <c r="D122" s="124"/>
    </row>
    <row r="123" spans="3:4" x14ac:dyDescent="0.2">
      <c r="C123" s="124"/>
      <c r="D123" s="124"/>
    </row>
    <row r="124" spans="3:4" x14ac:dyDescent="0.2">
      <c r="C124" s="124"/>
      <c r="D124" s="124"/>
    </row>
    <row r="125" spans="3:4" x14ac:dyDescent="0.2">
      <c r="C125" s="124"/>
      <c r="D125" s="124"/>
    </row>
    <row r="126" spans="3:4" x14ac:dyDescent="0.2">
      <c r="C126" s="124"/>
      <c r="D126" s="124"/>
    </row>
    <row r="127" spans="3:4" x14ac:dyDescent="0.2">
      <c r="C127" s="124"/>
      <c r="D127" s="124"/>
    </row>
    <row r="128" spans="3:4" x14ac:dyDescent="0.2">
      <c r="C128" s="124"/>
      <c r="D128" s="124"/>
    </row>
    <row r="129" spans="3:4" x14ac:dyDescent="0.2">
      <c r="C129" s="124"/>
      <c r="D129" s="124"/>
    </row>
    <row r="130" spans="3:4" x14ac:dyDescent="0.2">
      <c r="C130" s="124"/>
      <c r="D130" s="124"/>
    </row>
    <row r="131" spans="3:4" x14ac:dyDescent="0.2">
      <c r="C131" s="124"/>
      <c r="D131" s="124"/>
    </row>
    <row r="132" spans="3:4" x14ac:dyDescent="0.2">
      <c r="C132" s="124"/>
      <c r="D132" s="124"/>
    </row>
    <row r="133" spans="3:4" x14ac:dyDescent="0.2">
      <c r="C133" s="124"/>
      <c r="D133" s="124"/>
    </row>
    <row r="134" spans="3:4" x14ac:dyDescent="0.2">
      <c r="C134" s="124"/>
      <c r="D134" s="124"/>
    </row>
    <row r="135" spans="3:4" x14ac:dyDescent="0.2">
      <c r="C135" s="124"/>
      <c r="D135" s="124"/>
    </row>
    <row r="136" spans="3:4" x14ac:dyDescent="0.2">
      <c r="C136" s="124"/>
      <c r="D136" s="124"/>
    </row>
    <row r="137" spans="3:4" x14ac:dyDescent="0.2">
      <c r="C137" s="124"/>
      <c r="D137" s="124"/>
    </row>
    <row r="138" spans="3:4" x14ac:dyDescent="0.2">
      <c r="C138" s="124"/>
      <c r="D138" s="124"/>
    </row>
    <row r="139" spans="3:4" x14ac:dyDescent="0.2">
      <c r="C139" s="124"/>
      <c r="D139" s="124"/>
    </row>
    <row r="140" spans="3:4" x14ac:dyDescent="0.2">
      <c r="C140" s="124"/>
      <c r="D140" s="124"/>
    </row>
    <row r="141" spans="3:4" x14ac:dyDescent="0.2">
      <c r="C141" s="124"/>
      <c r="D141" s="124"/>
    </row>
    <row r="142" spans="3:4" x14ac:dyDescent="0.2">
      <c r="C142" s="124"/>
      <c r="D142" s="124"/>
    </row>
    <row r="143" spans="3:4" x14ac:dyDescent="0.2">
      <c r="C143" s="124"/>
      <c r="D143" s="124"/>
    </row>
    <row r="144" spans="3:4" x14ac:dyDescent="0.2">
      <c r="C144" s="124"/>
      <c r="D144" s="124"/>
    </row>
    <row r="145" spans="3:4" x14ac:dyDescent="0.2">
      <c r="C145" s="124"/>
      <c r="D145" s="124"/>
    </row>
    <row r="146" spans="3:4" x14ac:dyDescent="0.2">
      <c r="C146" s="124"/>
      <c r="D146" s="124"/>
    </row>
    <row r="147" spans="3:4" x14ac:dyDescent="0.2">
      <c r="C147" s="124"/>
      <c r="D147" s="124"/>
    </row>
    <row r="148" spans="3:4" x14ac:dyDescent="0.2">
      <c r="C148" s="124"/>
      <c r="D148" s="124"/>
    </row>
    <row r="149" spans="3:4" x14ac:dyDescent="0.2">
      <c r="C149" s="124"/>
      <c r="D149" s="124"/>
    </row>
    <row r="150" spans="3:4" x14ac:dyDescent="0.2">
      <c r="C150" s="124"/>
      <c r="D150" s="124"/>
    </row>
    <row r="151" spans="3:4" x14ac:dyDescent="0.2">
      <c r="C151" s="124"/>
      <c r="D151" s="124"/>
    </row>
    <row r="152" spans="3:4" x14ac:dyDescent="0.2">
      <c r="C152" s="124"/>
      <c r="D152" s="124"/>
    </row>
    <row r="153" spans="3:4" x14ac:dyDescent="0.2">
      <c r="C153" s="124"/>
      <c r="D153" s="124"/>
    </row>
    <row r="154" spans="3:4" x14ac:dyDescent="0.2">
      <c r="C154" s="124"/>
      <c r="D154" s="124"/>
    </row>
    <row r="155" spans="3:4" x14ac:dyDescent="0.2">
      <c r="C155" s="124"/>
      <c r="D155" s="124"/>
    </row>
    <row r="156" spans="3:4" x14ac:dyDescent="0.2">
      <c r="C156" s="124"/>
      <c r="D156" s="124"/>
    </row>
  </sheetData>
  <conditionalFormatting sqref="E3:E44">
    <cfRule type="expression" dxfId="82" priority="25">
      <formula>$O3=0</formula>
    </cfRule>
    <cfRule type="expression" dxfId="81" priority="27">
      <formula>AND($O3&lt;&gt;0,$O3&lt;&gt;"")</formula>
    </cfRule>
  </conditionalFormatting>
  <conditionalFormatting sqref="E45:E1003">
    <cfRule type="expression" dxfId="80" priority="28">
      <formula>AND(#REF!&lt;&gt;0,#REF!&lt;&gt;"")</formula>
    </cfRule>
  </conditionalFormatting>
  <conditionalFormatting sqref="N2:N44">
    <cfRule type="containsText" dxfId="79" priority="13" operator="containsText" text="Tăng">
      <formula>NOT(ISERROR(SEARCH("Tăng",N2)))</formula>
    </cfRule>
    <cfRule type="containsText" dxfId="78" priority="14" operator="containsText" text="giảm">
      <formula>NOT(ISERROR(SEARCH("giảm",N2)))</formula>
    </cfRule>
  </conditionalFormatting>
  <conditionalFormatting sqref="P2:P44">
    <cfRule type="containsText" dxfId="77" priority="11" operator="containsText" text="Tăng">
      <formula>NOT(ISERROR(SEARCH("Tăng",P2)))</formula>
    </cfRule>
    <cfRule type="containsText" dxfId="76" priority="12" operator="containsText" text="giảm">
      <formula>NOT(ISERROR(SEARCH("giảm",P2)))</formula>
    </cfRule>
  </conditionalFormatting>
  <conditionalFormatting sqref="R2:R44">
    <cfRule type="containsText" dxfId="75" priority="9" operator="containsText" text="Tăng">
      <formula>NOT(ISERROR(SEARCH("Tăng",R2)))</formula>
    </cfRule>
    <cfRule type="containsText" dxfId="74" priority="10" operator="containsText" text="giảm">
      <formula>NOT(ISERROR(SEARCH("giảm",R2)))</formula>
    </cfRule>
  </conditionalFormatting>
  <conditionalFormatting sqref="T2:T44">
    <cfRule type="containsText" dxfId="73" priority="3" operator="containsText" text="Tăng">
      <formula>NOT(ISERROR(SEARCH("Tăng",T2)))</formula>
    </cfRule>
    <cfRule type="containsText" dxfId="72" priority="4" operator="containsText" text="giảm">
      <formula>NOT(ISERROR(SEARCH("giảm",T2)))</formula>
    </cfRule>
  </conditionalFormatting>
  <conditionalFormatting sqref="V2:V44">
    <cfRule type="containsText" dxfId="71" priority="1" operator="containsText" text="Tăng">
      <formula>NOT(ISERROR(SEARCH("Tăng",V2)))</formula>
    </cfRule>
    <cfRule type="containsText" dxfId="70" priority="2" operator="containsText" text="giảm">
      <formula>NOT(ISERROR(SEARCH("giảm",V2)))</formula>
    </cfRule>
  </conditionalFormatting>
  <pageMargins left="0.7" right="0.7" top="0.75" bottom="0.75" header="0.3" footer="0.3"/>
  <pageSetup paperSize="9" orientation="portrait" horizontalDpi="0" verticalDpi="0"/>
  <legacyDrawing r:id="rId1"/>
</worksheet>
</file>

<file path=xl/worksheets/sheet9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100-000000000000}">
  <dimension ref="A1:Y156"/>
  <sheetViews>
    <sheetView showGridLines="0" zoomScaleNormal="50" workbookViewId="0">
      <pane xSplit="2" ySplit="1" topLeftCell="C2" activePane="bottomRight" state="frozen"/>
      <selection pane="topRight" activeCell="C1" sqref="C1"/>
      <selection pane="bottomLeft" activeCell="A2" sqref="A2"/>
      <selection pane="bottomRight" activeCell="C1" sqref="C1"/>
    </sheetView>
  </sheetViews>
  <sheetFormatPr baseColWidth="10" defaultColWidth="11" defaultRowHeight="16" x14ac:dyDescent="0.2"/>
  <cols>
    <col min="1" max="1" width="24.5" customWidth="1"/>
    <col min="2" max="2" width="15.83203125" hidden="1" customWidth="1"/>
    <col min="3" max="3" width="14.83203125" customWidth="1"/>
    <col min="4" max="4" width="16" customWidth="1"/>
    <col min="5" max="5" width="15.5" style="6" customWidth="1"/>
    <col min="6" max="6" width="14.33203125" customWidth="1"/>
    <col min="7" max="7" width="11.83203125" bestFit="1" customWidth="1"/>
    <col min="8" max="8" width="11" customWidth="1"/>
    <col min="9" max="12" width="11" hidden="1" customWidth="1"/>
    <col min="13" max="13" width="13" customWidth="1"/>
    <col min="14" max="14" width="42" customWidth="1"/>
    <col min="15" max="15" width="14.83203125" customWidth="1"/>
    <col min="16" max="16" width="51.5" customWidth="1"/>
    <col min="17" max="17" width="13.5" customWidth="1"/>
    <col min="18" max="18" width="46" customWidth="1"/>
    <col min="19" max="19" width="15.5" customWidth="1"/>
    <col min="20" max="20" width="38" customWidth="1"/>
    <col min="21" max="21" width="14.1640625" customWidth="1"/>
    <col min="22" max="22" width="11" customWidth="1"/>
  </cols>
  <sheetData>
    <row r="1" spans="1:22" ht="29" customHeight="1" x14ac:dyDescent="0.2">
      <c r="B1" s="46" t="s">
        <v>0</v>
      </c>
      <c r="C1" s="80" t="s">
        <v>1</v>
      </c>
      <c r="D1" s="80" t="s">
        <v>2</v>
      </c>
      <c r="E1" s="115" t="s">
        <v>3</v>
      </c>
      <c r="F1" s="81" t="s">
        <v>4</v>
      </c>
      <c r="G1" s="81" t="s">
        <v>5</v>
      </c>
      <c r="M1" s="143" t="s">
        <v>6</v>
      </c>
      <c r="N1" s="143" t="s">
        <v>7</v>
      </c>
      <c r="O1" s="144" t="s">
        <v>8</v>
      </c>
      <c r="P1" s="144" t="s">
        <v>9</v>
      </c>
      <c r="Q1" s="144" t="s">
        <v>10</v>
      </c>
      <c r="R1" s="144" t="s">
        <v>11</v>
      </c>
      <c r="S1" s="144" t="s">
        <v>12</v>
      </c>
      <c r="T1" s="144" t="s">
        <v>13</v>
      </c>
      <c r="U1" s="144" t="s">
        <v>14</v>
      </c>
      <c r="V1" s="145" t="s">
        <v>15</v>
      </c>
    </row>
    <row r="2" spans="1:22" x14ac:dyDescent="0.2">
      <c r="A2" t="s">
        <v>16</v>
      </c>
      <c r="B2" s="82"/>
      <c r="C2" s="126">
        <v>17990000</v>
      </c>
      <c r="D2" s="129">
        <v>17790000</v>
      </c>
      <c r="E2" s="128">
        <v>17990000</v>
      </c>
      <c r="F2" s="125">
        <v>17990000</v>
      </c>
      <c r="G2" s="125">
        <v>17990000</v>
      </c>
      <c r="H2" s="153"/>
      <c r="M2" s="148">
        <f>IFERROR(C2-W10Q2FY26!C2,"OOS")</f>
        <v>17990000</v>
      </c>
      <c r="N2" s="146" t="str">
        <f t="shared" ref="N2:N44" si="0">IF(M2=0,"",$A2 &amp; IF(M2&gt;0," tăng "," giảm ") &amp; TEXT(ABS(M2)/1000,"0") &amp; "K = " &amp; TEXT(C2/1000,"#.##0") &amp; "K")</f>
        <v>iPhone 17e 256GB tăng 17990K = 17990.0K</v>
      </c>
      <c r="O2" s="149">
        <f>IFERROR(D2-W10Q2FY26!D2,"OOS")</f>
        <v>-200000</v>
      </c>
      <c r="P2" s="146" t="str">
        <f t="shared" ref="P2:P44" si="1">IF(O2=0,"",$A2 &amp; IF(O2&gt;0," tăng "," giảm ") &amp; TEXT(ABS(O2)/1000,"0") &amp; "K = " &amp; TEXT(D2/1000,"#.##0") &amp; "K")</f>
        <v>iPhone 17e 256GB giảm 200K = 17790.0K</v>
      </c>
      <c r="Q2" s="149">
        <f>IFERROR(E2-W10Q2FY26!E2,"OOS")</f>
        <v>17990000</v>
      </c>
      <c r="R2" s="146" t="str">
        <f t="shared" ref="R2:R44" si="2">IF(Q2=0,"",$A2 &amp; IF(Q2&gt;0," tăng "," giảm ") &amp; TEXT(ABS(Q2)/1000,"0") &amp; "K = " &amp; TEXT(E2/1000,"#.##0") &amp; "K")</f>
        <v>iPhone 17e 256GB tăng 17990K = 17990.0K</v>
      </c>
      <c r="S2" s="149">
        <f>IFERROR(F2-W10Q2FY26!F2,"OOS")</f>
        <v>0</v>
      </c>
      <c r="T2" s="146" t="str">
        <f t="shared" ref="T2:T44" si="3">IF(S2=0,"",$A2 &amp; IF(S2&gt;0," tăng "," giảm ") &amp; TEXT(ABS(S2)/1000,"0") &amp; "K = " &amp; TEXT(F2/1000,"#.##0") &amp; "K")</f>
        <v/>
      </c>
      <c r="U2" s="149">
        <f>IFERROR(G2-W10Q2FY26!G2,"OOS")</f>
        <v>0</v>
      </c>
      <c r="V2" s="146" t="str">
        <f t="shared" ref="V2:V44" si="4">IF(U2=0,"",$A2 &amp; IF(U2&gt;0," tăng "," giảm ") &amp; TEXT(ABS(U2)/1000,"0") &amp; "K = " &amp; TEXT(G2/1000,"#.##0") &amp; "K")</f>
        <v/>
      </c>
    </row>
    <row r="3" spans="1:22" x14ac:dyDescent="0.2">
      <c r="A3" t="s">
        <v>17</v>
      </c>
      <c r="B3" s="82"/>
      <c r="C3" s="129">
        <v>24990000</v>
      </c>
      <c r="D3" s="129">
        <v>24690000</v>
      </c>
      <c r="E3" s="130">
        <v>24190000</v>
      </c>
      <c r="F3" s="131">
        <v>24690000</v>
      </c>
      <c r="G3" s="110">
        <v>24490000</v>
      </c>
      <c r="H3" s="153"/>
      <c r="M3" s="148">
        <f>IFERROR(C3-W10Q2FY26!C3,"OOS")</f>
        <v>100000</v>
      </c>
      <c r="N3" s="146" t="str">
        <f t="shared" si="0"/>
        <v>iPhone 17  256GB tăng 100K = 24990.0K</v>
      </c>
      <c r="O3" s="149">
        <f>IFERROR(D3-W10Q2FY26!D3,"OOS")</f>
        <v>0</v>
      </c>
      <c r="P3" s="146" t="str">
        <f t="shared" si="1"/>
        <v/>
      </c>
      <c r="Q3" s="149">
        <f>IFERROR(E3-W10Q2FY26!E3,"OOS")</f>
        <v>0</v>
      </c>
      <c r="R3" s="146" t="str">
        <f t="shared" si="2"/>
        <v/>
      </c>
      <c r="S3" s="149">
        <f>IFERROR(F3-W10Q2FY26!F3,"OOS")</f>
        <v>100000</v>
      </c>
      <c r="T3" s="146" t="str">
        <f t="shared" si="3"/>
        <v>iPhone 17  256GB tăng 100K = 24690.0K</v>
      </c>
      <c r="U3" s="149">
        <f>IFERROR(G3-W10Q2FY26!G3,"OOS")</f>
        <v>0</v>
      </c>
      <c r="V3" s="146" t="str">
        <f t="shared" si="4"/>
        <v/>
      </c>
    </row>
    <row r="4" spans="1:22" x14ac:dyDescent="0.2">
      <c r="A4" t="s">
        <v>18</v>
      </c>
      <c r="B4" s="82"/>
      <c r="C4" s="127">
        <v>24990000</v>
      </c>
      <c r="D4" s="129">
        <v>24990000</v>
      </c>
      <c r="E4" s="130">
        <v>24490000</v>
      </c>
      <c r="F4" s="132">
        <v>24990000</v>
      </c>
      <c r="G4" s="110">
        <v>24990000</v>
      </c>
      <c r="H4" s="153"/>
      <c r="M4" s="148">
        <f>IFERROR(C4-W10Q2FY26!C4,"OOS")</f>
        <v>0</v>
      </c>
      <c r="N4" s="146" t="str">
        <f t="shared" si="0"/>
        <v/>
      </c>
      <c r="O4" s="149">
        <f>IFERROR(D4-W10Q2FY26!D4,"OOS")</f>
        <v>0</v>
      </c>
      <c r="P4" s="146" t="str">
        <f t="shared" si="1"/>
        <v/>
      </c>
      <c r="Q4" s="149">
        <f>IFERROR(E4-W10Q2FY26!E4,"OOS")</f>
        <v>0</v>
      </c>
      <c r="R4" s="146" t="str">
        <f t="shared" si="2"/>
        <v/>
      </c>
      <c r="S4" s="149">
        <f>IFERROR(F4-W10Q2FY26!F4,"OOS")</f>
        <v>0</v>
      </c>
      <c r="T4" s="146" t="str">
        <f t="shared" si="3"/>
        <v/>
      </c>
      <c r="U4" s="149">
        <f>IFERROR(G4-W10Q2FY26!G4,"OOS")</f>
        <v>0</v>
      </c>
      <c r="V4" s="146" t="str">
        <f t="shared" si="4"/>
        <v/>
      </c>
    </row>
    <row r="5" spans="1:22" x14ac:dyDescent="0.2">
      <c r="A5" t="s">
        <v>19</v>
      </c>
      <c r="B5" s="82"/>
      <c r="C5" s="127">
        <v>34790000</v>
      </c>
      <c r="D5" s="127">
        <v>34490000</v>
      </c>
      <c r="E5" s="130">
        <v>33190000</v>
      </c>
      <c r="F5" s="133">
        <v>34590000</v>
      </c>
      <c r="G5" s="110">
        <v>34190000</v>
      </c>
      <c r="H5" s="153"/>
      <c r="M5" s="148">
        <f>IFERROR(C5-W10Q2FY26!C5,"OOS")</f>
        <v>0</v>
      </c>
      <c r="N5" s="146" t="str">
        <f t="shared" si="0"/>
        <v/>
      </c>
      <c r="O5" s="149">
        <f>IFERROR(D5-W10Q2FY26!D5,"OOS")</f>
        <v>0</v>
      </c>
      <c r="P5" s="146" t="str">
        <f t="shared" si="1"/>
        <v/>
      </c>
      <c r="Q5" s="149">
        <f>IFERROR(E5-W10Q2FY26!E5,"OOS")</f>
        <v>0</v>
      </c>
      <c r="R5" s="146" t="str">
        <f t="shared" si="2"/>
        <v/>
      </c>
      <c r="S5" s="149">
        <f>IFERROR(F5-W10Q2FY26!F5,"OOS")</f>
        <v>-200000</v>
      </c>
      <c r="T5" s="146" t="str">
        <f t="shared" si="3"/>
        <v>iPhone 17 Pro 256GB giảm 200K = 34590.0K</v>
      </c>
      <c r="U5" s="149">
        <f>IFERROR(G5-W10Q2FY26!G5,"OOS")</f>
        <v>0</v>
      </c>
      <c r="V5" s="146" t="str">
        <f t="shared" si="4"/>
        <v/>
      </c>
    </row>
    <row r="6" spans="1:22" x14ac:dyDescent="0.2">
      <c r="A6" t="s">
        <v>20</v>
      </c>
      <c r="B6" s="82"/>
      <c r="C6" s="127">
        <v>37990000</v>
      </c>
      <c r="D6" s="129">
        <v>37990000</v>
      </c>
      <c r="E6" s="134">
        <v>36490000</v>
      </c>
      <c r="F6" s="133">
        <v>37990000</v>
      </c>
      <c r="G6" s="110">
        <v>36990000</v>
      </c>
      <c r="H6" s="153"/>
      <c r="M6" s="148">
        <f>IFERROR(C6-W10Q2FY26!C6,"OOS")</f>
        <v>0</v>
      </c>
      <c r="N6" s="146" t="str">
        <f t="shared" si="0"/>
        <v/>
      </c>
      <c r="O6" s="149">
        <f>IFERROR(D6-W10Q2FY26!D6,"OOS")</f>
        <v>200000</v>
      </c>
      <c r="P6" s="146" t="str">
        <f t="shared" si="1"/>
        <v>iPhone 17 Pro Max 256GB tăng 200K = 37990.0K</v>
      </c>
      <c r="Q6" s="149">
        <f>IFERROR(E6-W10Q2FY26!E6,"OOS")</f>
        <v>0</v>
      </c>
      <c r="R6" s="146" t="str">
        <f t="shared" si="2"/>
        <v/>
      </c>
      <c r="S6" s="149">
        <f>IFERROR(F6-W10Q2FY26!F6,"OOS")</f>
        <v>400000</v>
      </c>
      <c r="T6" s="146" t="str">
        <f t="shared" si="3"/>
        <v>iPhone 17 Pro Max 256GB tăng 400K = 37990.0K</v>
      </c>
      <c r="U6" s="149">
        <f>IFERROR(G6-W10Q2FY26!G6,"OOS")</f>
        <v>0</v>
      </c>
      <c r="V6" s="146" t="str">
        <f t="shared" si="4"/>
        <v/>
      </c>
    </row>
    <row r="7" spans="1:22" x14ac:dyDescent="0.2">
      <c r="A7" t="s">
        <v>21</v>
      </c>
      <c r="B7" s="82"/>
      <c r="C7" s="127">
        <v>15990000</v>
      </c>
      <c r="D7" s="135">
        <v>15990000</v>
      </c>
      <c r="E7" s="134">
        <v>12490000</v>
      </c>
      <c r="F7" s="136">
        <v>12490000</v>
      </c>
      <c r="G7" s="110">
        <v>15190000</v>
      </c>
      <c r="H7" s="153"/>
      <c r="M7" s="148">
        <f>IFERROR(C7-W10Q2FY26!C7,"OOS")</f>
        <v>0</v>
      </c>
      <c r="N7" s="146" t="str">
        <f t="shared" si="0"/>
        <v/>
      </c>
      <c r="O7" s="149">
        <f>IFERROR(D7-W10Q2FY26!D7,"OOS")</f>
        <v>0</v>
      </c>
      <c r="P7" s="146" t="str">
        <f t="shared" si="1"/>
        <v/>
      </c>
      <c r="Q7" s="149">
        <f>IFERROR(E7-W10Q2FY26!E7,"OOS")</f>
        <v>0</v>
      </c>
      <c r="R7" s="146" t="str">
        <f t="shared" si="2"/>
        <v/>
      </c>
      <c r="S7" s="149">
        <f>IFERROR(F7-W10Q2FY26!F7,"OOS")</f>
        <v>0</v>
      </c>
      <c r="T7" s="146" t="str">
        <f t="shared" si="3"/>
        <v/>
      </c>
      <c r="U7" s="149">
        <f>IFERROR(G7-W10Q2FY26!G7,"OOS")</f>
        <v>0</v>
      </c>
      <c r="V7" s="146" t="str">
        <f t="shared" si="4"/>
        <v/>
      </c>
    </row>
    <row r="8" spans="1:22" x14ac:dyDescent="0.2">
      <c r="A8" t="s">
        <v>23</v>
      </c>
      <c r="B8" s="70"/>
      <c r="C8" s="138">
        <v>21090000</v>
      </c>
      <c r="D8" s="137">
        <v>20990000</v>
      </c>
      <c r="E8" s="139">
        <v>20090000</v>
      </c>
      <c r="F8" s="132">
        <v>20790000</v>
      </c>
      <c r="G8" s="110">
        <v>20790000</v>
      </c>
      <c r="H8" s="153"/>
      <c r="M8" s="148">
        <f>IFERROR(C8-W10Q2FY26!C8,"OOS")</f>
        <v>0</v>
      </c>
      <c r="N8" s="146" t="str">
        <f t="shared" si="0"/>
        <v/>
      </c>
      <c r="O8" s="149">
        <f>IFERROR(D8-W10Q2FY26!D8,"OOS")</f>
        <v>200000</v>
      </c>
      <c r="P8" s="146" t="str">
        <f t="shared" si="1"/>
        <v>iPhone 16 128GB tăng 200K = 20990.0K</v>
      </c>
      <c r="Q8" s="149">
        <f>IFERROR(E8-W10Q2FY26!E8,"OOS")</f>
        <v>0</v>
      </c>
      <c r="R8" s="146" t="str">
        <f t="shared" si="2"/>
        <v/>
      </c>
      <c r="S8" s="149">
        <f>IFERROR(F8-W10Q2FY26!F8,"OOS")</f>
        <v>0</v>
      </c>
      <c r="T8" s="146" t="str">
        <f t="shared" si="3"/>
        <v/>
      </c>
      <c r="U8" s="149">
        <f>IFERROR(G8-W10Q2FY26!G8,"OOS")</f>
        <v>0</v>
      </c>
      <c r="V8" s="146" t="str">
        <f t="shared" si="4"/>
        <v/>
      </c>
    </row>
    <row r="9" spans="1:22" x14ac:dyDescent="0.2">
      <c r="A9" t="s">
        <v>24</v>
      </c>
      <c r="B9" s="3"/>
      <c r="C9" s="135">
        <v>25090000</v>
      </c>
      <c r="D9" s="140">
        <v>24990000</v>
      </c>
      <c r="E9" s="139">
        <v>23790000</v>
      </c>
      <c r="F9" s="132">
        <v>24790000</v>
      </c>
      <c r="G9" s="110">
        <v>24590000</v>
      </c>
      <c r="H9" s="153"/>
      <c r="M9" s="148">
        <f>IFERROR(C9-W10Q2FY26!C9,"OOS")</f>
        <v>0</v>
      </c>
      <c r="N9" s="146" t="str">
        <f t="shared" si="0"/>
        <v/>
      </c>
      <c r="O9" s="149">
        <f>IFERROR(D9-W10Q2FY26!D9,"OOS")</f>
        <v>200000</v>
      </c>
      <c r="P9" s="146" t="str">
        <f t="shared" si="1"/>
        <v>iPhone 16  Plus 128GB tăng 200K = 24990.0K</v>
      </c>
      <c r="Q9" s="149">
        <f>IFERROR(E9-W10Q2FY26!E9,"OOS")</f>
        <v>0</v>
      </c>
      <c r="R9" s="146" t="str">
        <f t="shared" si="2"/>
        <v/>
      </c>
      <c r="S9" s="149">
        <f>IFERROR(F9-W10Q2FY26!F9,"OOS")</f>
        <v>0</v>
      </c>
      <c r="T9" s="146" t="str">
        <f t="shared" si="3"/>
        <v/>
      </c>
      <c r="U9" s="149">
        <f>IFERROR(G9-W10Q2FY26!G9,"OOS")</f>
        <v>0</v>
      </c>
      <c r="V9" s="146" t="str">
        <f t="shared" si="4"/>
        <v/>
      </c>
    </row>
    <row r="10" spans="1:22" x14ac:dyDescent="0.2">
      <c r="A10" t="s">
        <v>264</v>
      </c>
      <c r="B10" s="25"/>
      <c r="C10" s="135" t="s">
        <v>22</v>
      </c>
      <c r="D10" s="110">
        <v>25590000</v>
      </c>
      <c r="E10" s="112" t="s">
        <v>22</v>
      </c>
      <c r="F10" s="132">
        <v>26590000</v>
      </c>
      <c r="G10" s="110">
        <v>24990000</v>
      </c>
      <c r="H10" s="153"/>
      <c r="M10" s="148" t="str">
        <f>IFERROR(C10-W10Q2FY26!C10,"OOS")</f>
        <v>OOS</v>
      </c>
      <c r="N10" s="146" t="e">
        <f t="shared" si="0"/>
        <v>#VALUE!</v>
      </c>
      <c r="O10" s="149">
        <f>IFERROR(D10-W10Q2FY26!D10,"OOS")</f>
        <v>0</v>
      </c>
      <c r="P10" s="146" t="str">
        <f t="shared" si="1"/>
        <v/>
      </c>
      <c r="Q10" s="149" t="str">
        <f>IFERROR(E10-W10Q2FY26!E10,"OOS")</f>
        <v>OOS</v>
      </c>
      <c r="R10" s="146" t="e">
        <f t="shared" si="2"/>
        <v>#VALUE!</v>
      </c>
      <c r="S10" s="149">
        <f>IFERROR(F10-W10Q2FY26!F10,"OOS")</f>
        <v>0</v>
      </c>
      <c r="T10" s="146" t="str">
        <f t="shared" si="3"/>
        <v/>
      </c>
      <c r="U10" s="149">
        <f>IFERROR(G10-W10Q2FY26!G10,"OOS")</f>
        <v>0</v>
      </c>
      <c r="V10" s="146" t="str">
        <f t="shared" si="4"/>
        <v/>
      </c>
    </row>
    <row r="11" spans="1:22" x14ac:dyDescent="0.2">
      <c r="A11" t="s">
        <v>183</v>
      </c>
      <c r="B11" s="3"/>
      <c r="C11" s="135">
        <v>31590000</v>
      </c>
      <c r="D11" s="135">
        <v>31490000</v>
      </c>
      <c r="E11" s="112" t="s">
        <v>22</v>
      </c>
      <c r="F11" s="133">
        <v>31390000</v>
      </c>
      <c r="G11" s="110">
        <v>31190000</v>
      </c>
      <c r="H11" s="153"/>
      <c r="M11" s="148">
        <f>IFERROR(C11-W10Q2FY26!C11,"OOS")</f>
        <v>0</v>
      </c>
      <c r="N11" s="146" t="str">
        <f t="shared" si="0"/>
        <v/>
      </c>
      <c r="O11" s="149">
        <f>IFERROR(D11-W10Q2FY26!D11,"OOS")</f>
        <v>0</v>
      </c>
      <c r="P11" s="146" t="str">
        <f t="shared" si="1"/>
        <v/>
      </c>
      <c r="Q11" s="149" t="str">
        <f>IFERROR(E11-W10Q2FY26!E11,"OOS")</f>
        <v>OOS</v>
      </c>
      <c r="R11" s="146" t="e">
        <f t="shared" si="2"/>
        <v>#VALUE!</v>
      </c>
      <c r="S11" s="149">
        <f>IFERROR(F11-W10Q2FY26!F11,"OOS")</f>
        <v>-600000</v>
      </c>
      <c r="T11" s="146" t="str">
        <f t="shared" si="3"/>
        <v>iPhone 16 Pro Max 256GB giảm 600K = 31390.0K</v>
      </c>
      <c r="U11" s="149">
        <f>IFERROR(G11-W10Q2FY26!G11,"OOS")</f>
        <v>0</v>
      </c>
      <c r="V11" s="146" t="str">
        <f t="shared" si="4"/>
        <v/>
      </c>
    </row>
    <row r="12" spans="1:22" x14ac:dyDescent="0.2">
      <c r="A12" t="s">
        <v>25</v>
      </c>
      <c r="B12" s="25"/>
      <c r="C12" s="140">
        <v>17990000</v>
      </c>
      <c r="D12" s="140">
        <v>17990000</v>
      </c>
      <c r="E12" s="154">
        <v>17490000</v>
      </c>
      <c r="F12" s="133">
        <v>18090000</v>
      </c>
      <c r="G12" s="110">
        <v>17490000</v>
      </c>
      <c r="H12" s="153"/>
      <c r="M12" s="148">
        <f>IFERROR(C12-W10Q2FY26!C12,"OOS")</f>
        <v>100000</v>
      </c>
      <c r="N12" s="146" t="str">
        <f t="shared" si="0"/>
        <v>iPhone 15  128GB tăng 100K = 17990.0K</v>
      </c>
      <c r="O12" s="149">
        <f>IFERROR(D12-W10Q2FY26!D12,"OOS")</f>
        <v>200000</v>
      </c>
      <c r="P12" s="146" t="str">
        <f t="shared" si="1"/>
        <v>iPhone 15  128GB tăng 200K = 17990.0K</v>
      </c>
      <c r="Q12" s="149">
        <f>IFERROR(E12-W10Q2FY26!E12,"OOS")</f>
        <v>-200000</v>
      </c>
      <c r="R12" s="146" t="str">
        <f t="shared" si="2"/>
        <v>iPhone 15  128GB giảm 200K = 17490.0K</v>
      </c>
      <c r="S12" s="149">
        <f>IFERROR(F12-W10Q2FY26!F12,"OOS")</f>
        <v>500000</v>
      </c>
      <c r="T12" s="146" t="str">
        <f t="shared" si="3"/>
        <v>iPhone 15  128GB tăng 500K = 18090.0K</v>
      </c>
      <c r="U12" s="149">
        <f>IFERROR(G12-W10Q2FY26!G12,"OOS")</f>
        <v>0</v>
      </c>
      <c r="V12" s="146" t="str">
        <f t="shared" si="4"/>
        <v/>
      </c>
    </row>
    <row r="13" spans="1:22" x14ac:dyDescent="0.2">
      <c r="A13" t="s">
        <v>26</v>
      </c>
      <c r="B13" s="25"/>
      <c r="C13" s="140">
        <v>18990000</v>
      </c>
      <c r="D13" s="135" t="s">
        <v>22</v>
      </c>
      <c r="E13" s="130" t="s">
        <v>22</v>
      </c>
      <c r="F13" s="132">
        <v>17690000</v>
      </c>
      <c r="G13" s="110" t="s">
        <v>22</v>
      </c>
      <c r="H13" s="153"/>
      <c r="M13" s="148">
        <f>IFERROR(C13-W10Q2FY26!C13,"OOS")</f>
        <v>-1000000</v>
      </c>
      <c r="N13" s="146" t="str">
        <f t="shared" si="0"/>
        <v>iPhone 15  Plus 128GB giảm 1000K = 18990.0K</v>
      </c>
      <c r="O13" s="149" t="str">
        <f>IFERROR(D13-W10Q2FY26!D13,"OOS")</f>
        <v>OOS</v>
      </c>
      <c r="P13" s="146" t="e">
        <f t="shared" si="1"/>
        <v>#VALUE!</v>
      </c>
      <c r="Q13" s="149" t="str">
        <f>IFERROR(E13-W10Q2FY26!E13,"OOS")</f>
        <v>OOS</v>
      </c>
      <c r="R13" s="146" t="e">
        <f t="shared" si="2"/>
        <v>#VALUE!</v>
      </c>
      <c r="S13" s="149">
        <f>IFERROR(F13-W10Q2FY26!F13,"OOS")</f>
        <v>0</v>
      </c>
      <c r="T13" s="146" t="str">
        <f t="shared" si="3"/>
        <v/>
      </c>
      <c r="U13" s="149" t="str">
        <f>IFERROR(G13-W10Q2FY26!G13,"OOS")</f>
        <v>OOS</v>
      </c>
      <c r="V13" s="146" t="e">
        <f t="shared" si="4"/>
        <v>#VALUE!</v>
      </c>
    </row>
    <row r="14" spans="1:22" x14ac:dyDescent="0.2">
      <c r="A14" t="s">
        <v>27</v>
      </c>
      <c r="B14" s="25"/>
      <c r="C14" s="135">
        <v>13990000</v>
      </c>
      <c r="D14" s="140">
        <v>13890000</v>
      </c>
      <c r="E14" s="130">
        <v>13590000</v>
      </c>
      <c r="F14" s="133">
        <v>13890000</v>
      </c>
      <c r="G14" s="110">
        <v>13390000</v>
      </c>
      <c r="H14" s="153"/>
      <c r="M14" s="148">
        <f>IFERROR(C14-W10Q2FY26!C14,"OOS")</f>
        <v>0</v>
      </c>
      <c r="N14" s="146" t="str">
        <f t="shared" si="0"/>
        <v/>
      </c>
      <c r="O14" s="149">
        <f>IFERROR(D14-W10Q2FY26!D14,"OOS")</f>
        <v>100000</v>
      </c>
      <c r="P14" s="146" t="str">
        <f t="shared" si="1"/>
        <v>iPhone 14 128GB tăng 100K = 13890.0K</v>
      </c>
      <c r="Q14" s="149">
        <f>IFERROR(E14-W10Q2FY26!E14,"OOS")</f>
        <v>0</v>
      </c>
      <c r="R14" s="146" t="str">
        <f t="shared" si="2"/>
        <v/>
      </c>
      <c r="S14" s="149">
        <f>IFERROR(F14-W10Q2FY26!F14,"OOS")</f>
        <v>300000</v>
      </c>
      <c r="T14" s="146" t="str">
        <f t="shared" si="3"/>
        <v>iPhone 14 128GB tăng 300K = 13890.0K</v>
      </c>
      <c r="U14" s="149">
        <f>IFERROR(G14-W10Q2FY26!G14,"OOS")</f>
        <v>0</v>
      </c>
      <c r="V14" s="146" t="str">
        <f t="shared" si="4"/>
        <v/>
      </c>
    </row>
    <row r="15" spans="1:22" x14ac:dyDescent="0.2">
      <c r="A15" t="s">
        <v>28</v>
      </c>
      <c r="B15" s="3"/>
      <c r="C15" s="140">
        <v>11990000</v>
      </c>
      <c r="D15" s="140">
        <v>11990000</v>
      </c>
      <c r="E15" s="139">
        <v>11990000</v>
      </c>
      <c r="F15" s="133">
        <v>12290000</v>
      </c>
      <c r="G15" s="110">
        <v>11890000</v>
      </c>
      <c r="H15" s="153"/>
      <c r="M15" s="148">
        <f>IFERROR(C15-W10Q2FY26!C15,"OOS")</f>
        <v>-500000</v>
      </c>
      <c r="N15" s="146" t="str">
        <f t="shared" si="0"/>
        <v>iPhone 13  128GB giảm 500K = 11990.0K</v>
      </c>
      <c r="O15" s="149">
        <f>IFERROR(D15-W10Q2FY26!D15,"OOS")</f>
        <v>-300000</v>
      </c>
      <c r="P15" s="146" t="str">
        <f t="shared" si="1"/>
        <v>iPhone 13  128GB giảm 300K = 11990.0K</v>
      </c>
      <c r="Q15" s="149">
        <f>IFERROR(E15-W10Q2FY26!E15,"OOS")</f>
        <v>0</v>
      </c>
      <c r="R15" s="146" t="str">
        <f t="shared" si="2"/>
        <v/>
      </c>
      <c r="S15" s="149">
        <f>IFERROR(F15-W10Q2FY26!F15,"OOS")</f>
        <v>390000</v>
      </c>
      <c r="T15" s="146" t="str">
        <f t="shared" si="3"/>
        <v>iPhone 13  128GB tăng 390K = 12290.0K</v>
      </c>
      <c r="U15" s="149">
        <f>IFERROR(G15-W10Q2FY26!G15,"OOS")</f>
        <v>0</v>
      </c>
      <c r="V15" s="146" t="str">
        <f t="shared" si="4"/>
        <v/>
      </c>
    </row>
    <row r="16" spans="1:22" x14ac:dyDescent="0.2">
      <c r="A16" t="s">
        <v>29</v>
      </c>
      <c r="B16" s="25"/>
      <c r="C16" s="140">
        <v>11790000</v>
      </c>
      <c r="D16" s="135">
        <v>11490000</v>
      </c>
      <c r="E16" s="139">
        <v>11290000</v>
      </c>
      <c r="F16" s="133">
        <v>11790000</v>
      </c>
      <c r="G16" s="111">
        <v>10790000</v>
      </c>
      <c r="H16" s="153"/>
      <c r="M16" s="148">
        <f>IFERROR(C16-W10Q2FY26!C16,"OOS")</f>
        <v>0</v>
      </c>
      <c r="N16" s="146" t="str">
        <f t="shared" si="0"/>
        <v/>
      </c>
      <c r="O16" s="149">
        <f>IFERROR(D16-W10Q2FY26!D16,"OOS")</f>
        <v>0</v>
      </c>
      <c r="P16" s="146" t="str">
        <f t="shared" si="1"/>
        <v/>
      </c>
      <c r="Q16" s="149">
        <f>IFERROR(E16-W10Q2FY26!E16,"OOS")</f>
        <v>0</v>
      </c>
      <c r="R16" s="146" t="str">
        <f t="shared" si="2"/>
        <v/>
      </c>
      <c r="S16" s="149">
        <f>IFERROR(F16-W10Q2FY26!F16,"OOS")</f>
        <v>200000</v>
      </c>
      <c r="T16" s="146" t="str">
        <f t="shared" si="3"/>
        <v>iPad Mini 7 128GB Wifi tăng 200K = 11790.0K</v>
      </c>
      <c r="U16" s="149">
        <f>IFERROR(G16-W10Q2FY26!G16,"OOS")</f>
        <v>-700000</v>
      </c>
      <c r="V16" s="146" t="str">
        <f t="shared" si="4"/>
        <v>iPad Mini 7 128GB Wifi giảm 700K = 10790.0K</v>
      </c>
    </row>
    <row r="17" spans="1:25" x14ac:dyDescent="0.2">
      <c r="A17" t="s">
        <v>30</v>
      </c>
      <c r="B17" s="3"/>
      <c r="C17" s="140">
        <v>9490000</v>
      </c>
      <c r="D17" s="140">
        <v>9490000</v>
      </c>
      <c r="E17" s="154">
        <v>8890000</v>
      </c>
      <c r="F17" s="133">
        <v>9490000</v>
      </c>
      <c r="G17" s="110">
        <v>8990000</v>
      </c>
      <c r="H17" s="153"/>
      <c r="M17" s="148">
        <f>IFERROR(C17-W10Q2FY26!C17,"OOS")</f>
        <v>-100000</v>
      </c>
      <c r="N17" s="146" t="str">
        <f t="shared" si="0"/>
        <v>iPad Gen 11th  128GB Wifi giảm 100K = 9490.0K</v>
      </c>
      <c r="O17" s="149">
        <f>IFERROR(D17-W10Q2FY26!D17,"OOS")</f>
        <v>200000</v>
      </c>
      <c r="P17" s="146" t="str">
        <f t="shared" si="1"/>
        <v>iPad Gen 11th  128GB Wifi tăng 200K = 9490.0K</v>
      </c>
      <c r="Q17" s="149">
        <f>IFERROR(E17-W10Q2FY26!E17,"OOS")</f>
        <v>-300000</v>
      </c>
      <c r="R17" s="146" t="str">
        <f t="shared" si="2"/>
        <v>iPad Gen 11th  128GB Wifi giảm 300K = 8890.0K</v>
      </c>
      <c r="S17" s="149">
        <f>IFERROR(F17-W10Q2FY26!F17,"OOS")</f>
        <v>200000</v>
      </c>
      <c r="T17" s="146" t="str">
        <f t="shared" si="3"/>
        <v>iPad Gen 11th  128GB Wifi tăng 200K = 9490.0K</v>
      </c>
      <c r="U17" s="149">
        <f>IFERROR(G17-W10Q2FY26!G17,"OOS")</f>
        <v>0</v>
      </c>
      <c r="V17" s="146" t="str">
        <f t="shared" si="4"/>
        <v/>
      </c>
      <c r="W17" t="s">
        <v>31</v>
      </c>
      <c r="X17" t="s">
        <v>32</v>
      </c>
      <c r="Y17" t="b">
        <v>1</v>
      </c>
    </row>
    <row r="18" spans="1:25" x14ac:dyDescent="0.2">
      <c r="A18" t="s">
        <v>33</v>
      </c>
      <c r="B18" s="3"/>
      <c r="C18" s="140">
        <v>15990000</v>
      </c>
      <c r="D18" s="135">
        <v>15790000</v>
      </c>
      <c r="E18" s="154">
        <v>14290000</v>
      </c>
      <c r="F18" s="133">
        <v>15890000</v>
      </c>
      <c r="G18" s="111">
        <v>14990000</v>
      </c>
      <c r="H18" s="153"/>
      <c r="M18" s="148">
        <f>IFERROR(C18-W10Q2FY26!C18,"OOS")</f>
        <v>100000</v>
      </c>
      <c r="N18" s="146" t="str">
        <f t="shared" si="0"/>
        <v>iPad Air M3  11" 128 GB Wifi tăng 100K = 15990.0K</v>
      </c>
      <c r="O18" s="149">
        <f>IFERROR(D18-W10Q2FY26!D18,"OOS")</f>
        <v>100000</v>
      </c>
      <c r="P18" s="146" t="str">
        <f t="shared" si="1"/>
        <v>iPad Air M3  11" 128 GB Wifi tăng 100K = 15790.0K</v>
      </c>
      <c r="Q18" s="149">
        <f>IFERROR(E18-W10Q2FY26!E18,"OOS")</f>
        <v>-1100000</v>
      </c>
      <c r="R18" s="146" t="str">
        <f t="shared" si="2"/>
        <v>iPad Air M3  11" 128 GB Wifi giảm 1100K = 14290.0K</v>
      </c>
      <c r="S18" s="149">
        <f>IFERROR(F18-W10Q2FY26!F18,"OOS")</f>
        <v>300000</v>
      </c>
      <c r="T18" s="146" t="str">
        <f t="shared" si="3"/>
        <v>iPad Air M3  11" 128 GB Wifi tăng 300K = 15890.0K</v>
      </c>
      <c r="U18" s="149">
        <f>IFERROR(G18-W10Q2FY26!G18,"OOS")</f>
        <v>-300000</v>
      </c>
      <c r="V18" s="146" t="str">
        <f t="shared" si="4"/>
        <v>iPad Air M3  11" 128 GB Wifi giảm 300K = 14990.0K</v>
      </c>
      <c r="W18" t="s">
        <v>2</v>
      </c>
      <c r="X18" t="s">
        <v>34</v>
      </c>
      <c r="Y18" t="b">
        <v>1</v>
      </c>
    </row>
    <row r="19" spans="1:25" x14ac:dyDescent="0.2">
      <c r="A19" t="s">
        <v>37</v>
      </c>
      <c r="B19" s="25"/>
      <c r="C19" s="140">
        <v>19990000</v>
      </c>
      <c r="D19" s="135">
        <v>20990000</v>
      </c>
      <c r="E19" s="154">
        <v>19490000</v>
      </c>
      <c r="F19" s="132">
        <v>18990000</v>
      </c>
      <c r="G19" s="111">
        <v>18990000</v>
      </c>
      <c r="H19" s="153"/>
      <c r="M19" s="148">
        <f>IFERROR(C19-W10Q2FY26!C19,"OOS")</f>
        <v>-1700000</v>
      </c>
      <c r="N19" s="146" t="str">
        <f t="shared" si="0"/>
        <v>iPad Air M3  13" 128 GB Wifi giảm 1700K = 19990.0K</v>
      </c>
      <c r="O19" s="149">
        <f>IFERROR(D19-W10Q2FY26!D19,"OOS")</f>
        <v>0</v>
      </c>
      <c r="P19" s="146" t="str">
        <f t="shared" si="1"/>
        <v/>
      </c>
      <c r="Q19" s="149">
        <f>IFERROR(E19-W10Q2FY26!E19,"OOS")</f>
        <v>-1000000</v>
      </c>
      <c r="R19" s="146" t="str">
        <f t="shared" si="2"/>
        <v>iPad Air M3  13" 128 GB Wifi giảm 1000K = 19490.0K</v>
      </c>
      <c r="S19" s="149">
        <f>IFERROR(F19-W10Q2FY26!F19,"OOS")</f>
        <v>0</v>
      </c>
      <c r="T19" s="146" t="str">
        <f t="shared" si="3"/>
        <v/>
      </c>
      <c r="U19" s="149">
        <f>IFERROR(G19-W10Q2FY26!G19,"OOS")</f>
        <v>200000</v>
      </c>
      <c r="V19" s="146" t="str">
        <f t="shared" si="4"/>
        <v>iPad Air M3  13" 128 GB Wifi tăng 200K = 18990.0K</v>
      </c>
      <c r="W19" t="s">
        <v>3</v>
      </c>
      <c r="X19" t="s">
        <v>36</v>
      </c>
      <c r="Y19" t="b">
        <v>1</v>
      </c>
    </row>
    <row r="20" spans="1:25" x14ac:dyDescent="0.2">
      <c r="A20" t="s">
        <v>184</v>
      </c>
      <c r="B20" s="25"/>
      <c r="C20" s="112" t="s">
        <v>22</v>
      </c>
      <c r="D20" s="112" t="s">
        <v>22</v>
      </c>
      <c r="E20" s="112" t="s">
        <v>22</v>
      </c>
      <c r="F20" s="132" t="s">
        <v>22</v>
      </c>
      <c r="G20" s="112" t="s">
        <v>22</v>
      </c>
      <c r="H20" s="153"/>
      <c r="M20" s="148" t="str">
        <f>IFERROR(C20-W10Q2FY26!C20,"OOS")</f>
        <v>OOS</v>
      </c>
      <c r="N20" s="146" t="e">
        <f t="shared" si="0"/>
        <v>#VALUE!</v>
      </c>
      <c r="O20" s="149" t="str">
        <f>IFERROR(D20-W10Q2FY26!D20,"OOS")</f>
        <v>OOS</v>
      </c>
      <c r="P20" s="146" t="e">
        <f t="shared" si="1"/>
        <v>#VALUE!</v>
      </c>
      <c r="Q20" s="149" t="str">
        <f>IFERROR(E20-W10Q2FY26!E20,"OOS")</f>
        <v>OOS</v>
      </c>
      <c r="R20" s="146" t="e">
        <f t="shared" si="2"/>
        <v>#VALUE!</v>
      </c>
      <c r="S20" s="149" t="str">
        <f>IFERROR(F20-W10Q2FY26!F20,"OOS")</f>
        <v>OOS</v>
      </c>
      <c r="T20" s="146" t="e">
        <f t="shared" si="3"/>
        <v>#VALUE!</v>
      </c>
      <c r="U20" s="149" t="str">
        <f>IFERROR(G20-W10Q2FY26!G20,"OOS")</f>
        <v>OOS</v>
      </c>
      <c r="V20" s="146" t="e">
        <f t="shared" si="4"/>
        <v>#VALUE!</v>
      </c>
      <c r="W20" t="s">
        <v>4</v>
      </c>
      <c r="X20" t="s">
        <v>38</v>
      </c>
      <c r="Y20" t="b">
        <v>1</v>
      </c>
    </row>
    <row r="21" spans="1:25" x14ac:dyDescent="0.2">
      <c r="A21" t="s">
        <v>185</v>
      </c>
      <c r="B21" s="3"/>
      <c r="C21" s="112" t="s">
        <v>22</v>
      </c>
      <c r="D21" s="112" t="s">
        <v>22</v>
      </c>
      <c r="E21" s="112" t="s">
        <v>22</v>
      </c>
      <c r="F21" s="112" t="s">
        <v>22</v>
      </c>
      <c r="G21" s="112" t="s">
        <v>22</v>
      </c>
      <c r="H21" s="153"/>
      <c r="M21" s="148" t="str">
        <f>IFERROR(C21-W10Q2FY26!C21,"OOS")</f>
        <v>OOS</v>
      </c>
      <c r="N21" s="146" t="e">
        <f t="shared" si="0"/>
        <v>#VALUE!</v>
      </c>
      <c r="O21" s="149" t="str">
        <f>IFERROR(D21-W10Q2FY26!D21,"OOS")</f>
        <v>OOS</v>
      </c>
      <c r="P21" s="146" t="e">
        <f t="shared" si="1"/>
        <v>#VALUE!</v>
      </c>
      <c r="Q21" s="149" t="str">
        <f>IFERROR(E21-W10Q2FY26!E21,"OOS")</f>
        <v>OOS</v>
      </c>
      <c r="R21" s="146" t="e">
        <f t="shared" si="2"/>
        <v>#VALUE!</v>
      </c>
      <c r="S21" s="149" t="str">
        <f>IFERROR(F21-W10Q2FY26!F21,"OOS")</f>
        <v>OOS</v>
      </c>
      <c r="T21" s="146" t="e">
        <f t="shared" si="3"/>
        <v>#VALUE!</v>
      </c>
      <c r="U21" s="149" t="str">
        <f>IFERROR(G21-W10Q2FY26!G21,"OOS")</f>
        <v>OOS</v>
      </c>
      <c r="V21" s="146" t="e">
        <f t="shared" si="4"/>
        <v>#VALUE!</v>
      </c>
      <c r="W21" t="s">
        <v>41</v>
      </c>
      <c r="X21" t="s">
        <v>42</v>
      </c>
      <c r="Y21" t="b">
        <v>1</v>
      </c>
    </row>
    <row r="22" spans="1:25" x14ac:dyDescent="0.2">
      <c r="A22" t="s">
        <v>40</v>
      </c>
      <c r="B22" s="3"/>
      <c r="C22" s="135">
        <v>29290000</v>
      </c>
      <c r="D22" s="135">
        <v>28990000</v>
      </c>
      <c r="E22" s="123">
        <v>28990000</v>
      </c>
      <c r="F22" s="133">
        <v>29290000</v>
      </c>
      <c r="G22" s="112">
        <v>28990000</v>
      </c>
      <c r="H22" s="153"/>
      <c r="M22" s="148">
        <f>IFERROR(C22-W10Q2FY26!C22,"OOS")</f>
        <v>0</v>
      </c>
      <c r="N22" s="146" t="str">
        <f t="shared" si="0"/>
        <v/>
      </c>
      <c r="O22" s="149">
        <f>IFERROR(D22-W10Q2FY26!D22,"OOS")</f>
        <v>0</v>
      </c>
      <c r="P22" s="146" t="str">
        <f t="shared" si="1"/>
        <v/>
      </c>
      <c r="Q22" s="149">
        <f>IFERROR(E22-W10Q2FY26!E22,"OOS")</f>
        <v>0</v>
      </c>
      <c r="R22" s="146" t="str">
        <f t="shared" si="2"/>
        <v/>
      </c>
      <c r="S22" s="149">
        <f>IFERROR(F22-W10Q2FY26!F22,"OOS")</f>
        <v>200000</v>
      </c>
      <c r="T22" s="146" t="str">
        <f t="shared" si="3"/>
        <v>iPad Pro M5 11” 256GB Wifi tăng 200K = 29290.0K</v>
      </c>
      <c r="U22" s="149">
        <f>IFERROR(G22-W10Q2FY26!G22,"OOS")</f>
        <v>0</v>
      </c>
      <c r="V22" s="146" t="str">
        <f t="shared" si="4"/>
        <v/>
      </c>
    </row>
    <row r="23" spans="1:25" x14ac:dyDescent="0.2">
      <c r="A23" t="s">
        <v>43</v>
      </c>
      <c r="B23" s="3"/>
      <c r="C23" s="140">
        <v>39290000</v>
      </c>
      <c r="D23" s="141">
        <v>38990000</v>
      </c>
      <c r="E23" s="112">
        <v>38990000</v>
      </c>
      <c r="F23" s="132">
        <v>38990000</v>
      </c>
      <c r="G23" s="112">
        <v>38990000</v>
      </c>
      <c r="H23" s="153"/>
      <c r="M23" s="148">
        <f>IFERROR(C23-W10Q2FY26!C23,"OOS")</f>
        <v>300000</v>
      </c>
      <c r="N23" s="146" t="str">
        <f t="shared" si="0"/>
        <v>iPad Pro M5 13” 256GB Wifi tăng 300K = 39290.0K</v>
      </c>
      <c r="O23" s="149">
        <f>IFERROR(D23-W10Q2FY26!D23,"OOS")</f>
        <v>0</v>
      </c>
      <c r="P23" s="146" t="str">
        <f t="shared" si="1"/>
        <v/>
      </c>
      <c r="Q23" s="149">
        <f>IFERROR(E23-W10Q2FY26!E23,"OOS")</f>
        <v>0</v>
      </c>
      <c r="R23" s="146" t="str">
        <f t="shared" si="2"/>
        <v/>
      </c>
      <c r="S23" s="149">
        <f>IFERROR(F23-W10Q2FY26!F23,"OOS")</f>
        <v>0</v>
      </c>
      <c r="T23" s="146" t="str">
        <f t="shared" si="3"/>
        <v/>
      </c>
      <c r="U23" s="149">
        <f>IFERROR(G23-W10Q2FY26!G23,"OOS")</f>
        <v>0</v>
      </c>
      <c r="V23" s="146" t="str">
        <f t="shared" si="4"/>
        <v/>
      </c>
    </row>
    <row r="24" spans="1:25" x14ac:dyDescent="0.2">
      <c r="A24" t="s">
        <v>44</v>
      </c>
      <c r="B24" s="25"/>
      <c r="C24" s="135">
        <v>6390000</v>
      </c>
      <c r="D24" s="140">
        <v>6290000</v>
      </c>
      <c r="E24" s="139">
        <v>6190000</v>
      </c>
      <c r="F24" s="133">
        <v>6190000</v>
      </c>
      <c r="G24" s="112">
        <v>6290000</v>
      </c>
      <c r="H24" s="153"/>
      <c r="M24" s="148">
        <f>IFERROR(C24-W10Q2FY26!C24,"OOS")</f>
        <v>0</v>
      </c>
      <c r="N24" s="146" t="str">
        <f t="shared" si="0"/>
        <v/>
      </c>
      <c r="O24" s="149">
        <f>IFERROR(D24-W10Q2FY26!D24,"OOS")</f>
        <v>0</v>
      </c>
      <c r="P24" s="146" t="str">
        <f t="shared" si="1"/>
        <v/>
      </c>
      <c r="Q24" s="149">
        <f>IFERROR(E24-W10Q2FY26!E24,"OOS")</f>
        <v>0</v>
      </c>
      <c r="R24" s="146" t="str">
        <f t="shared" si="2"/>
        <v/>
      </c>
      <c r="S24" s="149">
        <f>IFERROR(F24-W10Q2FY26!F24,"OOS")</f>
        <v>-100000</v>
      </c>
      <c r="T24" s="146" t="str">
        <f t="shared" si="3"/>
        <v>AW SE 3 (40mm GPS) giảm 100K = 6190.0K</v>
      </c>
      <c r="U24" s="149">
        <f>IFERROR(G24-W10Q2FY26!G24,"OOS")</f>
        <v>0</v>
      </c>
      <c r="V24" s="146" t="str">
        <f t="shared" si="4"/>
        <v/>
      </c>
    </row>
    <row r="25" spans="1:25" x14ac:dyDescent="0.2">
      <c r="A25" t="s">
        <v>45</v>
      </c>
      <c r="B25" s="25"/>
      <c r="C25" s="135">
        <v>7990000</v>
      </c>
      <c r="D25" s="140">
        <v>7690000</v>
      </c>
      <c r="E25" s="154">
        <v>7790000</v>
      </c>
      <c r="F25" s="133">
        <v>7890000</v>
      </c>
      <c r="G25" s="112">
        <v>7690000</v>
      </c>
      <c r="H25" s="153"/>
      <c r="M25" s="148">
        <f>IFERROR(C25-W10Q2FY26!C25,"OOS")</f>
        <v>0</v>
      </c>
      <c r="N25" s="146" t="str">
        <f t="shared" si="0"/>
        <v/>
      </c>
      <c r="O25" s="149">
        <f>IFERROR(D25-W10Q2FY26!D25,"OOS")</f>
        <v>0</v>
      </c>
      <c r="P25" s="146" t="str">
        <f t="shared" si="1"/>
        <v/>
      </c>
      <c r="Q25" s="149">
        <f>IFERROR(E25-W10Q2FY26!E25,"OOS")</f>
        <v>100000</v>
      </c>
      <c r="R25" s="146" t="str">
        <f t="shared" si="2"/>
        <v>AW SE 3 (40mm LTE) tăng 100K = 7790.0K</v>
      </c>
      <c r="S25" s="149">
        <f>IFERROR(F25-W10Q2FY26!F25,"OOS")</f>
        <v>200000</v>
      </c>
      <c r="T25" s="146" t="str">
        <f t="shared" si="3"/>
        <v>AW SE 3 (40mm LTE) tăng 200K = 7890.0K</v>
      </c>
      <c r="U25" s="149">
        <f>IFERROR(G25-W10Q2FY26!G25,"OOS")</f>
        <v>0</v>
      </c>
      <c r="V25" s="146" t="str">
        <f t="shared" si="4"/>
        <v/>
      </c>
    </row>
    <row r="26" spans="1:25" x14ac:dyDescent="0.2">
      <c r="A26" t="s">
        <v>46</v>
      </c>
      <c r="B26" s="25"/>
      <c r="C26" s="135">
        <v>7290000</v>
      </c>
      <c r="D26" s="140">
        <v>6990000</v>
      </c>
      <c r="E26" s="139">
        <v>6990000</v>
      </c>
      <c r="F26" s="133">
        <v>7090000</v>
      </c>
      <c r="G26" s="112">
        <v>7190000</v>
      </c>
      <c r="H26" s="153"/>
      <c r="M26" s="148">
        <f>IFERROR(C26-W10Q2FY26!C26,"OOS")</f>
        <v>0</v>
      </c>
      <c r="N26" s="146" t="str">
        <f t="shared" si="0"/>
        <v/>
      </c>
      <c r="O26" s="149">
        <f>IFERROR(D26-W10Q2FY26!D26,"OOS")</f>
        <v>0</v>
      </c>
      <c r="P26" s="146" t="str">
        <f t="shared" si="1"/>
        <v/>
      </c>
      <c r="Q26" s="149">
        <f>IFERROR(E26-W10Q2FY26!E26,"OOS")</f>
        <v>0</v>
      </c>
      <c r="R26" s="146" t="str">
        <f t="shared" si="2"/>
        <v/>
      </c>
      <c r="S26" s="149">
        <f>IFERROR(F26-W10Q2FY26!F26,"OOS")</f>
        <v>-200000</v>
      </c>
      <c r="T26" s="146" t="str">
        <f t="shared" si="3"/>
        <v>AW SE 3 (44mm GPS) giảm 200K = 7090.0K</v>
      </c>
      <c r="U26" s="149">
        <f>IFERROR(G26-W10Q2FY26!G26,"OOS")</f>
        <v>0</v>
      </c>
      <c r="V26" s="146" t="str">
        <f t="shared" si="4"/>
        <v/>
      </c>
    </row>
    <row r="27" spans="1:25" x14ac:dyDescent="0.2">
      <c r="A27" t="s">
        <v>47</v>
      </c>
      <c r="B27" s="25"/>
      <c r="C27" s="135">
        <v>8790000</v>
      </c>
      <c r="D27" s="135">
        <v>8490000</v>
      </c>
      <c r="E27" s="139">
        <v>8590000</v>
      </c>
      <c r="F27" s="133">
        <v>8690000</v>
      </c>
      <c r="G27" s="112">
        <v>8690000</v>
      </c>
      <c r="H27" s="153"/>
      <c r="M27" s="148">
        <f>IFERROR(C27-W10Q2FY26!C27,"OOS")</f>
        <v>0</v>
      </c>
      <c r="N27" s="146" t="str">
        <f t="shared" si="0"/>
        <v/>
      </c>
      <c r="O27" s="149">
        <f>IFERROR(D27-W10Q2FY26!D27,"OOS")</f>
        <v>0</v>
      </c>
      <c r="P27" s="146" t="str">
        <f t="shared" si="1"/>
        <v/>
      </c>
      <c r="Q27" s="149">
        <f>IFERROR(E27-W10Q2FY26!E27,"OOS")</f>
        <v>0</v>
      </c>
      <c r="R27" s="146" t="str">
        <f t="shared" si="2"/>
        <v/>
      </c>
      <c r="S27" s="149">
        <f>IFERROR(F27-W10Q2FY26!F27,"OOS")</f>
        <v>-100000</v>
      </c>
      <c r="T27" s="146" t="str">
        <f t="shared" si="3"/>
        <v>AW SE 3 (44mm LTE) giảm 100K = 8690.0K</v>
      </c>
      <c r="U27" s="149">
        <f>IFERROR(G27-W10Q2FY26!G27,"OOS")</f>
        <v>0</v>
      </c>
      <c r="V27" s="146" t="str">
        <f t="shared" si="4"/>
        <v/>
      </c>
    </row>
    <row r="28" spans="1:25" x14ac:dyDescent="0.2">
      <c r="A28" t="s">
        <v>48</v>
      </c>
      <c r="B28" s="3"/>
      <c r="C28" s="135">
        <v>9190000</v>
      </c>
      <c r="D28" s="140">
        <v>9190000</v>
      </c>
      <c r="E28" s="139">
        <v>8990000</v>
      </c>
      <c r="F28" s="133">
        <v>8990000</v>
      </c>
      <c r="G28" s="112">
        <v>8990000</v>
      </c>
      <c r="H28" s="153"/>
      <c r="M28" s="148">
        <f>IFERROR(C28-W10Q2FY26!C28,"OOS")</f>
        <v>0</v>
      </c>
      <c r="N28" s="146" t="str">
        <f t="shared" si="0"/>
        <v/>
      </c>
      <c r="O28" s="149">
        <f>IFERROR(D28-W10Q2FY26!D28,"OOS")</f>
        <v>0</v>
      </c>
      <c r="P28" s="146" t="str">
        <f t="shared" si="1"/>
        <v/>
      </c>
      <c r="Q28" s="149">
        <f>IFERROR(E28-W10Q2FY26!E28,"OOS")</f>
        <v>0</v>
      </c>
      <c r="R28" s="146" t="str">
        <f t="shared" si="2"/>
        <v/>
      </c>
      <c r="S28" s="149">
        <f>IFERROR(F28-W10Q2FY26!F28,"OOS")</f>
        <v>-100000</v>
      </c>
      <c r="T28" s="146" t="str">
        <f t="shared" si="3"/>
        <v>AW S11 (42mm GPS) giảm 100K = 8990.0K</v>
      </c>
      <c r="U28" s="149">
        <f>IFERROR(G28-W10Q2FY26!G28,"OOS")</f>
        <v>0</v>
      </c>
      <c r="V28" s="146" t="str">
        <f t="shared" si="4"/>
        <v/>
      </c>
    </row>
    <row r="29" spans="1:25" x14ac:dyDescent="0.2">
      <c r="A29" t="s">
        <v>49</v>
      </c>
      <c r="B29" s="3"/>
      <c r="C29" s="135">
        <v>12090000</v>
      </c>
      <c r="D29" s="140">
        <v>11990000</v>
      </c>
      <c r="E29" s="139">
        <v>11990000</v>
      </c>
      <c r="F29" s="132">
        <v>12090000</v>
      </c>
      <c r="G29" s="112">
        <v>11990000</v>
      </c>
      <c r="H29" s="153"/>
      <c r="M29" s="148">
        <f>IFERROR(C29-W10Q2FY26!C29,"OOS")</f>
        <v>0</v>
      </c>
      <c r="N29" s="146" t="str">
        <f t="shared" si="0"/>
        <v/>
      </c>
      <c r="O29" s="149">
        <f>IFERROR(D29-W10Q2FY26!D29,"OOS")</f>
        <v>0</v>
      </c>
      <c r="P29" s="146" t="str">
        <f t="shared" si="1"/>
        <v/>
      </c>
      <c r="Q29" s="149">
        <f>IFERROR(E29-W10Q2FY26!E29,"OOS")</f>
        <v>0</v>
      </c>
      <c r="R29" s="146" t="str">
        <f t="shared" si="2"/>
        <v/>
      </c>
      <c r="S29" s="149">
        <f>IFERROR(F29-W10Q2FY26!F29,"OOS")</f>
        <v>0</v>
      </c>
      <c r="T29" s="146" t="str">
        <f t="shared" si="3"/>
        <v/>
      </c>
      <c r="U29" s="149">
        <f>IFERROR(G29-W10Q2FY26!G29,"OOS")</f>
        <v>0</v>
      </c>
      <c r="V29" s="146" t="str">
        <f t="shared" si="4"/>
        <v/>
      </c>
    </row>
    <row r="30" spans="1:25" x14ac:dyDescent="0.2">
      <c r="A30" t="s">
        <v>50</v>
      </c>
      <c r="B30" s="3"/>
      <c r="C30" s="135">
        <v>9990000</v>
      </c>
      <c r="D30" s="135">
        <v>9990000</v>
      </c>
      <c r="E30" s="139">
        <v>9690000</v>
      </c>
      <c r="F30" s="133">
        <v>9790000</v>
      </c>
      <c r="G30" s="110">
        <v>9990000</v>
      </c>
      <c r="H30" s="153"/>
      <c r="M30" s="148">
        <f>IFERROR(C30-W10Q2FY26!C30,"OOS")</f>
        <v>0</v>
      </c>
      <c r="N30" s="146" t="str">
        <f t="shared" si="0"/>
        <v/>
      </c>
      <c r="O30" s="149">
        <f>IFERROR(D30-W10Q2FY26!D30,"OOS")</f>
        <v>0</v>
      </c>
      <c r="P30" s="146" t="str">
        <f t="shared" si="1"/>
        <v/>
      </c>
      <c r="Q30" s="149">
        <f>IFERROR(E30-W10Q2FY26!E30,"OOS")</f>
        <v>0</v>
      </c>
      <c r="R30" s="146" t="str">
        <f t="shared" si="2"/>
        <v/>
      </c>
      <c r="S30" s="149">
        <f>IFERROR(F30-W10Q2FY26!F30,"OOS")</f>
        <v>-100000</v>
      </c>
      <c r="T30" s="146" t="str">
        <f t="shared" si="3"/>
        <v>AW S11 (46mm GPS) giảm 100K = 9790.0K</v>
      </c>
      <c r="U30" s="149">
        <f>IFERROR(G30-W10Q2FY26!G30,"OOS")</f>
        <v>0</v>
      </c>
      <c r="V30" s="146" t="str">
        <f t="shared" si="4"/>
        <v/>
      </c>
    </row>
    <row r="31" spans="1:25" x14ac:dyDescent="0.2">
      <c r="A31" t="s">
        <v>51</v>
      </c>
      <c r="B31" s="3"/>
      <c r="C31" s="135">
        <v>12990000</v>
      </c>
      <c r="D31" s="140">
        <v>12490000</v>
      </c>
      <c r="E31" s="139">
        <v>12490000</v>
      </c>
      <c r="F31" s="133">
        <v>12890000</v>
      </c>
      <c r="G31" s="110">
        <v>12990000</v>
      </c>
      <c r="H31" s="153"/>
      <c r="M31" s="148">
        <f>IFERROR(C31-W10Q2FY26!C31,"OOS")</f>
        <v>0</v>
      </c>
      <c r="N31" s="146" t="str">
        <f t="shared" si="0"/>
        <v/>
      </c>
      <c r="O31" s="149">
        <f>IFERROR(D31-W10Q2FY26!D31,"OOS")</f>
        <v>0</v>
      </c>
      <c r="P31" s="146" t="str">
        <f t="shared" si="1"/>
        <v/>
      </c>
      <c r="Q31" s="149">
        <f>IFERROR(E31-W10Q2FY26!E31,"OOS")</f>
        <v>0</v>
      </c>
      <c r="R31" s="146" t="str">
        <f t="shared" si="2"/>
        <v/>
      </c>
      <c r="S31" s="149">
        <f>IFERROR(F31-W10Q2FY26!F31,"OOS")</f>
        <v>-100000</v>
      </c>
      <c r="T31" s="146" t="str">
        <f t="shared" si="3"/>
        <v>AW S11 (46mm CEL) giảm 100K = 12890.0K</v>
      </c>
      <c r="U31" s="149">
        <f>IFERROR(G31-W10Q2FY26!G31,"OOS")</f>
        <v>0</v>
      </c>
      <c r="V31" s="146" t="str">
        <f t="shared" si="4"/>
        <v/>
      </c>
    </row>
    <row r="32" spans="1:25" x14ac:dyDescent="0.2">
      <c r="A32" t="s">
        <v>52</v>
      </c>
      <c r="B32" s="25"/>
      <c r="C32" s="135">
        <v>23490000</v>
      </c>
      <c r="D32" s="135">
        <v>22990000</v>
      </c>
      <c r="E32" s="112">
        <v>22490000</v>
      </c>
      <c r="F32" s="132">
        <v>22990000</v>
      </c>
      <c r="G32" s="110">
        <v>22990000</v>
      </c>
      <c r="H32" s="153"/>
      <c r="M32" s="148">
        <f>IFERROR(C32-W10Q2FY26!C32,"OOS")</f>
        <v>0</v>
      </c>
      <c r="N32" s="146" t="str">
        <f t="shared" si="0"/>
        <v/>
      </c>
      <c r="O32" s="149">
        <f>IFERROR(D32-W10Q2FY26!D32,"OOS")</f>
        <v>0</v>
      </c>
      <c r="P32" s="146" t="str">
        <f t="shared" si="1"/>
        <v/>
      </c>
      <c r="Q32" s="149">
        <f>IFERROR(E32-W10Q2FY26!E32,"OOS")</f>
        <v>0</v>
      </c>
      <c r="R32" s="146" t="str">
        <f t="shared" si="2"/>
        <v/>
      </c>
      <c r="S32" s="149">
        <f>IFERROR(F32-W10Q2FY26!F32,"OOS")</f>
        <v>0</v>
      </c>
      <c r="T32" s="146" t="str">
        <f t="shared" si="3"/>
        <v/>
      </c>
      <c r="U32" s="149">
        <f>IFERROR(G32-W10Q2FY26!G32,"OOS")</f>
        <v>0</v>
      </c>
      <c r="V32" s="146" t="str">
        <f t="shared" si="4"/>
        <v/>
      </c>
    </row>
    <row r="33" spans="1:22" x14ac:dyDescent="0.2">
      <c r="A33" t="s">
        <v>53</v>
      </c>
      <c r="B33" s="3"/>
      <c r="C33" s="135">
        <v>4990000</v>
      </c>
      <c r="D33" s="130" t="s">
        <v>22</v>
      </c>
      <c r="E33" s="130" t="s">
        <v>22</v>
      </c>
      <c r="F33" s="133">
        <v>4990000</v>
      </c>
      <c r="G33" s="110">
        <v>5590000</v>
      </c>
      <c r="H33" s="153"/>
      <c r="M33" s="148">
        <f>IFERROR(C33-W10Q2FY26!C33,"OOS")</f>
        <v>0</v>
      </c>
      <c r="N33" s="146" t="str">
        <f t="shared" si="0"/>
        <v/>
      </c>
      <c r="O33" s="149" t="str">
        <f>IFERROR(D33-W10Q2FY26!D33,"OOS")</f>
        <v>OOS</v>
      </c>
      <c r="P33" s="146" t="e">
        <f t="shared" si="1"/>
        <v>#VALUE!</v>
      </c>
      <c r="Q33" s="149" t="str">
        <f>IFERROR(E33-W10Q2FY26!E33,"OOS")</f>
        <v>OOS</v>
      </c>
      <c r="R33" s="146" t="e">
        <f t="shared" si="2"/>
        <v>#VALUE!</v>
      </c>
      <c r="S33" s="149">
        <f>IFERROR(F33-W10Q2FY26!F33,"OOS")</f>
        <v>40000</v>
      </c>
      <c r="T33" s="146" t="str">
        <f t="shared" si="3"/>
        <v>AirPods Pro 2 - 2023 (C-Type) tăng 40K = 4990.0K</v>
      </c>
      <c r="U33" s="149">
        <f>IFERROR(G33-W10Q2FY26!G33,"OOS")</f>
        <v>0</v>
      </c>
      <c r="V33" s="146" t="str">
        <f t="shared" si="4"/>
        <v/>
      </c>
    </row>
    <row r="34" spans="1:22" x14ac:dyDescent="0.2">
      <c r="A34" t="s">
        <v>54</v>
      </c>
      <c r="B34" s="3"/>
      <c r="C34" s="135">
        <v>4390000</v>
      </c>
      <c r="D34" s="135">
        <v>4290000</v>
      </c>
      <c r="E34" s="154">
        <v>4390000</v>
      </c>
      <c r="F34" s="133">
        <v>4390000</v>
      </c>
      <c r="G34" s="110">
        <v>4290000</v>
      </c>
      <c r="H34" s="153"/>
      <c r="M34" s="148">
        <f>IFERROR(C34-W10Q2FY26!C34,"OOS")</f>
        <v>0</v>
      </c>
      <c r="N34" s="146" t="str">
        <f t="shared" si="0"/>
        <v/>
      </c>
      <c r="O34" s="149">
        <f>IFERROR(D34-W10Q2FY26!D34,"OOS")</f>
        <v>0</v>
      </c>
      <c r="P34" s="146" t="str">
        <f t="shared" si="1"/>
        <v/>
      </c>
      <c r="Q34" s="149">
        <f>IFERROR(E34-W10Q2FY26!E34,"OOS")</f>
        <v>100000</v>
      </c>
      <c r="R34" s="146" t="str">
        <f t="shared" si="2"/>
        <v>AirPods 4 ANC tăng 100K = 4390.0K</v>
      </c>
      <c r="S34" s="149">
        <f>IFERROR(F34-W10Q2FY26!F34,"OOS")</f>
        <v>40000</v>
      </c>
      <c r="T34" s="146" t="str">
        <f t="shared" si="3"/>
        <v>AirPods 4 ANC tăng 40K = 4390.0K</v>
      </c>
      <c r="U34" s="149">
        <f>IFERROR(G34-W10Q2FY26!G34,"OOS")</f>
        <v>0</v>
      </c>
      <c r="V34" s="146" t="str">
        <f t="shared" si="4"/>
        <v/>
      </c>
    </row>
    <row r="35" spans="1:22" x14ac:dyDescent="0.2">
      <c r="A35" t="s">
        <v>55</v>
      </c>
      <c r="B35" s="3"/>
      <c r="C35" s="135">
        <v>2990000</v>
      </c>
      <c r="D35" s="140">
        <v>2790000</v>
      </c>
      <c r="E35" s="154">
        <v>2990000</v>
      </c>
      <c r="F35" s="132">
        <v>2990000</v>
      </c>
      <c r="G35" s="112">
        <v>2990000</v>
      </c>
      <c r="H35" s="153"/>
      <c r="M35" s="148">
        <f>IFERROR(C35-W10Q2FY26!C35,"OOS")</f>
        <v>0</v>
      </c>
      <c r="N35" s="146" t="str">
        <f t="shared" si="0"/>
        <v/>
      </c>
      <c r="O35" s="149">
        <f>IFERROR(D35-W10Q2FY26!D35,"OOS")</f>
        <v>-100000</v>
      </c>
      <c r="P35" s="146" t="str">
        <f t="shared" si="1"/>
        <v>AirPods 4 with charging case giảm 100K = 2790.0K</v>
      </c>
      <c r="Q35" s="149">
        <f>IFERROR(E35-W10Q2FY26!E35,"OOS")</f>
        <v>100000</v>
      </c>
      <c r="R35" s="146" t="str">
        <f t="shared" si="2"/>
        <v>AirPods 4 with charging case tăng 100K = 2990.0K</v>
      </c>
      <c r="S35" s="149">
        <f>IFERROR(F35-W10Q2FY26!F35,"OOS")</f>
        <v>0</v>
      </c>
      <c r="T35" s="146" t="str">
        <f t="shared" si="3"/>
        <v/>
      </c>
      <c r="U35" s="149">
        <f>IFERROR(G35-W10Q2FY26!G35,"OOS")</f>
        <v>0</v>
      </c>
      <c r="V35" s="146" t="str">
        <f t="shared" si="4"/>
        <v/>
      </c>
    </row>
    <row r="36" spans="1:22" x14ac:dyDescent="0.2">
      <c r="A36" t="s">
        <v>56</v>
      </c>
      <c r="B36" s="3"/>
      <c r="C36" s="135">
        <v>6390000</v>
      </c>
      <c r="D36" s="140">
        <v>6290000</v>
      </c>
      <c r="E36" s="134">
        <v>6290000</v>
      </c>
      <c r="F36" s="132">
        <v>6390000</v>
      </c>
      <c r="G36" s="123">
        <v>6390000</v>
      </c>
      <c r="H36" s="153"/>
      <c r="M36" s="148">
        <f>IFERROR(C36-W10Q2FY26!C36,"OOS")</f>
        <v>0</v>
      </c>
      <c r="N36" s="146" t="str">
        <f t="shared" si="0"/>
        <v/>
      </c>
      <c r="O36" s="149">
        <f>IFERROR(D36-W10Q2FY26!D36,"OOS")</f>
        <v>-100000</v>
      </c>
      <c r="P36" s="146" t="str">
        <f t="shared" si="1"/>
        <v>AirPods Pro 3 giảm 100K = 6290.0K</v>
      </c>
      <c r="Q36" s="149">
        <f>IFERROR(E36-W10Q2FY26!E36,"OOS")</f>
        <v>0</v>
      </c>
      <c r="R36" s="146" t="str">
        <f t="shared" si="2"/>
        <v/>
      </c>
      <c r="S36" s="149">
        <f>IFERROR(F36-W10Q2FY26!F36,"OOS")</f>
        <v>0</v>
      </c>
      <c r="T36" s="146" t="str">
        <f t="shared" si="3"/>
        <v/>
      </c>
      <c r="U36" s="149">
        <f>IFERROR(G36-W10Q2FY26!G36,"OOS")</f>
        <v>-100000</v>
      </c>
      <c r="V36" s="146" t="str">
        <f t="shared" si="4"/>
        <v>AirPods Pro 3 giảm 100K = 6390.0K</v>
      </c>
    </row>
    <row r="37" spans="1:22" x14ac:dyDescent="0.2">
      <c r="A37" t="s">
        <v>186</v>
      </c>
      <c r="B37" s="25"/>
      <c r="C37" s="140">
        <v>19990000</v>
      </c>
      <c r="D37" s="140">
        <v>19990000</v>
      </c>
      <c r="E37" s="142"/>
      <c r="F37" s="133">
        <v>20190000</v>
      </c>
      <c r="G37" s="110">
        <v>18990000</v>
      </c>
      <c r="H37" s="153"/>
      <c r="M37" s="148">
        <f>IFERROR(C37-W10Q2FY26!C37,"OOS")</f>
        <v>300000</v>
      </c>
      <c r="N37" s="146" t="str">
        <f t="shared" si="0"/>
        <v>MacBook Air 13" M2 16/256GB tăng 300K = 19990.0K</v>
      </c>
      <c r="O37" s="149">
        <f>IFERROR(D37-W10Q2FY26!D37,"OOS")</f>
        <v>300000</v>
      </c>
      <c r="P37" s="146" t="str">
        <f t="shared" si="1"/>
        <v>MacBook Air 13" M2 16/256GB tăng 300K = 19990.0K</v>
      </c>
      <c r="Q37" s="149">
        <f>IFERROR(E37-W10Q2FY26!E37,"OOS")</f>
        <v>0</v>
      </c>
      <c r="R37" s="146" t="str">
        <f t="shared" si="2"/>
        <v/>
      </c>
      <c r="S37" s="149">
        <f>IFERROR(F37-W10Q2FY26!F37,"OOS")</f>
        <v>500000</v>
      </c>
      <c r="T37" s="146" t="str">
        <f t="shared" si="3"/>
        <v>MacBook Air 13" M2 16/256GB tăng 500K = 20190.0K</v>
      </c>
      <c r="U37" s="149">
        <f>IFERROR(G37-W10Q2FY26!G37,"OOS")</f>
        <v>0</v>
      </c>
      <c r="V37" s="146" t="str">
        <f t="shared" si="4"/>
        <v/>
      </c>
    </row>
    <row r="38" spans="1:22" x14ac:dyDescent="0.2">
      <c r="A38" t="s">
        <v>57</v>
      </c>
      <c r="B38" s="25"/>
      <c r="C38" s="135">
        <v>29990000</v>
      </c>
      <c r="D38" s="135">
        <v>29990000</v>
      </c>
      <c r="E38" s="142"/>
      <c r="F38" s="110">
        <v>29990000</v>
      </c>
      <c r="G38" s="110">
        <v>29990000</v>
      </c>
      <c r="H38" s="153"/>
      <c r="M38" s="148">
        <f>IFERROR(C38-W10Q2FY26!C38,"OOS")</f>
        <v>29990000</v>
      </c>
      <c r="N38" s="146" t="str">
        <f t="shared" si="0"/>
        <v>MacBook Air 13" M5 16/512GB tăng 29990K = 29990.0K</v>
      </c>
      <c r="O38" s="149">
        <f>IFERROR(D38-W10Q2FY26!D38,"OOS")</f>
        <v>29990000</v>
      </c>
      <c r="P38" s="146" t="str">
        <f t="shared" si="1"/>
        <v>MacBook Air 13" M5 16/512GB tăng 29990K = 29990.0K</v>
      </c>
      <c r="Q38" s="149">
        <f>IFERROR(E38-W10Q2FY26!E38,"OOS")</f>
        <v>0</v>
      </c>
      <c r="R38" s="146" t="str">
        <f t="shared" si="2"/>
        <v/>
      </c>
      <c r="S38" s="149">
        <f>IFERROR(F38-W10Q2FY26!F38,"OOS")</f>
        <v>29990000</v>
      </c>
      <c r="T38" s="146" t="str">
        <f t="shared" si="3"/>
        <v>MacBook Air 13" M5 16/512GB tăng 29990K = 29990.0K</v>
      </c>
      <c r="U38" s="149">
        <f>IFERROR(G38-W10Q2FY26!G38,"OOS")</f>
        <v>0</v>
      </c>
      <c r="V38" s="146" t="str">
        <f t="shared" si="4"/>
        <v/>
      </c>
    </row>
    <row r="39" spans="1:22" x14ac:dyDescent="0.2">
      <c r="A39" t="s">
        <v>58</v>
      </c>
      <c r="B39" s="25"/>
      <c r="C39" s="135">
        <v>16490000</v>
      </c>
      <c r="D39" s="135">
        <v>16490000</v>
      </c>
      <c r="E39" s="142"/>
      <c r="F39" s="110">
        <v>16490000</v>
      </c>
      <c r="G39" s="110">
        <v>16499000</v>
      </c>
      <c r="H39" s="153"/>
      <c r="M39" s="148">
        <f>IFERROR(C39-W10Q2FY26!C39,"OOS")</f>
        <v>16490000</v>
      </c>
      <c r="N39" s="146" t="str">
        <f t="shared" si="0"/>
        <v>MacBook NEO A18 Pro ( 8/256GB) tăng 16490K = 16490.0K</v>
      </c>
      <c r="O39" s="149">
        <f>IFERROR(D39-W10Q2FY26!D39,"OOS")</f>
        <v>16490000</v>
      </c>
      <c r="P39" s="146" t="str">
        <f t="shared" si="1"/>
        <v>MacBook NEO A18 Pro ( 8/256GB) tăng 16490K = 16490.0K</v>
      </c>
      <c r="Q39" s="149">
        <f>IFERROR(E39-W10Q2FY26!E39,"OOS")</f>
        <v>0</v>
      </c>
      <c r="R39" s="146" t="str">
        <f t="shared" si="2"/>
        <v/>
      </c>
      <c r="S39" s="149">
        <f>IFERROR(F39-W10Q2FY26!F39,"OOS")</f>
        <v>16490000</v>
      </c>
      <c r="T39" s="146" t="str">
        <f t="shared" si="3"/>
        <v>MacBook NEO A18 Pro ( 8/256GB) tăng 16490K = 16490.0K</v>
      </c>
      <c r="U39" s="149">
        <f>IFERROR(G39-W10Q2FY26!G39,"OOS")</f>
        <v>16499000</v>
      </c>
      <c r="V39" s="146" t="str">
        <f t="shared" si="4"/>
        <v>MacBook NEO A18 Pro ( 8/256GB) tăng 16499K = 16499.0K</v>
      </c>
    </row>
    <row r="40" spans="1:22" x14ac:dyDescent="0.2">
      <c r="A40" t="s">
        <v>59</v>
      </c>
      <c r="B40" s="3"/>
      <c r="C40" s="140">
        <v>24590000</v>
      </c>
      <c r="D40" s="135">
        <v>25190000</v>
      </c>
      <c r="E40" s="142"/>
      <c r="F40" s="132">
        <v>25190000</v>
      </c>
      <c r="G40" s="111">
        <v>24690000</v>
      </c>
      <c r="H40" s="153"/>
      <c r="M40" s="148">
        <f>IFERROR(C40-W10Q2FY26!C40,"OOS")</f>
        <v>-600000</v>
      </c>
      <c r="N40" s="146" t="str">
        <f t="shared" si="0"/>
        <v>MacBook Air 13" M4 16/256GB giảm 600K = 24590.0K</v>
      </c>
      <c r="O40" s="149">
        <f>IFERROR(D40-W10Q2FY26!D40,"OOS")</f>
        <v>0</v>
      </c>
      <c r="P40" s="146" t="str">
        <f t="shared" si="1"/>
        <v/>
      </c>
      <c r="Q40" s="149">
        <f>IFERROR(E40-W10Q2FY26!E40,"OOS")</f>
        <v>0</v>
      </c>
      <c r="R40" s="146" t="str">
        <f t="shared" si="2"/>
        <v/>
      </c>
      <c r="S40" s="149">
        <f>IFERROR(F40-W10Q2FY26!F40,"OOS")</f>
        <v>0</v>
      </c>
      <c r="T40" s="146" t="str">
        <f t="shared" si="3"/>
        <v/>
      </c>
      <c r="U40" s="149">
        <f>IFERROR(G40-W10Q2FY26!G40,"OOS")</f>
        <v>-500000</v>
      </c>
      <c r="V40" s="146" t="str">
        <f t="shared" si="4"/>
        <v>MacBook Air 13" M4 16/256GB giảm 500K = 24690.0K</v>
      </c>
    </row>
    <row r="41" spans="1:22" x14ac:dyDescent="0.2">
      <c r="A41" t="s">
        <v>61</v>
      </c>
      <c r="B41" s="25"/>
      <c r="C41" s="135">
        <v>29990000</v>
      </c>
      <c r="D41" s="135">
        <v>29990000</v>
      </c>
      <c r="E41" s="142"/>
      <c r="F41" s="132">
        <v>29990000</v>
      </c>
      <c r="G41" s="110">
        <v>28990000</v>
      </c>
      <c r="H41" s="153"/>
      <c r="M41" s="148">
        <f>IFERROR(C41-W10Q2FY26!C41,"OOS")</f>
        <v>0</v>
      </c>
      <c r="N41" s="146" t="str">
        <f t="shared" si="0"/>
        <v/>
      </c>
      <c r="O41" s="149">
        <f>IFERROR(D41-W10Q2FY26!D41,"OOS")</f>
        <v>0</v>
      </c>
      <c r="P41" s="146" t="str">
        <f t="shared" si="1"/>
        <v/>
      </c>
      <c r="Q41" s="149">
        <f>IFERROR(E41-W10Q2FY26!E41,"OOS")</f>
        <v>0</v>
      </c>
      <c r="R41" s="146" t="str">
        <f t="shared" si="2"/>
        <v/>
      </c>
      <c r="S41" s="149">
        <f>IFERROR(F41-W10Q2FY26!F41,"OOS")</f>
        <v>0</v>
      </c>
      <c r="T41" s="146" t="str">
        <f t="shared" si="3"/>
        <v/>
      </c>
      <c r="U41" s="149">
        <f>IFERROR(G41-W10Q2FY26!G41,"OOS")</f>
        <v>0</v>
      </c>
      <c r="V41" s="146" t="str">
        <f t="shared" si="4"/>
        <v/>
      </c>
    </row>
    <row r="42" spans="1:22" x14ac:dyDescent="0.2">
      <c r="A42" t="s">
        <v>187</v>
      </c>
      <c r="B42" s="25"/>
      <c r="C42" s="135" t="s">
        <v>22</v>
      </c>
      <c r="D42" s="135" t="s">
        <v>22</v>
      </c>
      <c r="E42" s="142"/>
      <c r="F42" s="132">
        <v>38590000</v>
      </c>
      <c r="G42" s="110">
        <v>38390000</v>
      </c>
      <c r="H42" s="153"/>
      <c r="M42" s="148" t="str">
        <f>IFERROR(C42-W10Q2FY26!C42,"OOS")</f>
        <v>OOS</v>
      </c>
      <c r="N42" s="146" t="e">
        <f t="shared" si="0"/>
        <v>#VALUE!</v>
      </c>
      <c r="O42" s="149" t="str">
        <f>IFERROR(D42-W10Q2FY26!D42,"OOS")</f>
        <v>OOS</v>
      </c>
      <c r="P42" s="146" t="e">
        <f t="shared" si="1"/>
        <v>#VALUE!</v>
      </c>
      <c r="Q42" s="149">
        <f>IFERROR(E42-W10Q2FY26!E42,"OOS")</f>
        <v>0</v>
      </c>
      <c r="R42" s="146" t="str">
        <f t="shared" si="2"/>
        <v/>
      </c>
      <c r="S42" s="149">
        <f>IFERROR(F42-W10Q2FY26!F42,"OOS")</f>
        <v>0</v>
      </c>
      <c r="T42" s="146" t="str">
        <f t="shared" si="3"/>
        <v/>
      </c>
      <c r="U42" s="149">
        <f>IFERROR(G42-W10Q2FY26!G42,"OOS")</f>
        <v>0</v>
      </c>
      <c r="V42" s="146" t="str">
        <f t="shared" si="4"/>
        <v/>
      </c>
    </row>
    <row r="43" spans="1:22" x14ac:dyDescent="0.2">
      <c r="A43" t="s">
        <v>62</v>
      </c>
      <c r="B43" s="25"/>
      <c r="C43" s="140">
        <v>41990000</v>
      </c>
      <c r="D43" s="140">
        <v>40990000</v>
      </c>
      <c r="E43" s="142"/>
      <c r="F43" s="133">
        <v>41490000</v>
      </c>
      <c r="G43" s="110">
        <v>41690000</v>
      </c>
      <c r="H43" s="153"/>
      <c r="M43" s="148">
        <f>IFERROR(C43-W10Q2FY26!C43,"OOS")</f>
        <v>500000</v>
      </c>
      <c r="N43" s="146" t="str">
        <f t="shared" si="0"/>
        <v>MacBook Pro 14" M5 16/512GB tăng 500K = 41990.0K</v>
      </c>
      <c r="O43" s="149">
        <f>IFERROR(D43-W10Q2FY26!D43,"OOS")</f>
        <v>300000</v>
      </c>
      <c r="P43" s="146" t="str">
        <f t="shared" si="1"/>
        <v>MacBook Pro 14" M5 16/512GB tăng 300K = 40990.0K</v>
      </c>
      <c r="Q43" s="149">
        <f>IFERROR(E43-W10Q2FY26!E43,"OOS")</f>
        <v>0</v>
      </c>
      <c r="R43" s="146" t="str">
        <f t="shared" si="2"/>
        <v/>
      </c>
      <c r="S43" s="149">
        <f>IFERROR(F43-W10Q2FY26!F43,"OOS")</f>
        <v>-500000</v>
      </c>
      <c r="T43" s="146" t="str">
        <f t="shared" si="3"/>
        <v>MacBook Pro 14" M5 16/512GB giảm 500K = 41490.0K</v>
      </c>
      <c r="U43" s="149">
        <f>IFERROR(G43-W10Q2FY26!G43,"OOS")</f>
        <v>0</v>
      </c>
      <c r="V43" s="146" t="str">
        <f t="shared" si="4"/>
        <v/>
      </c>
    </row>
    <row r="44" spans="1:22" x14ac:dyDescent="0.2">
      <c r="A44" t="s">
        <v>188</v>
      </c>
      <c r="B44" s="25"/>
      <c r="C44" s="135" t="s">
        <v>22</v>
      </c>
      <c r="D44" s="135">
        <v>63990000</v>
      </c>
      <c r="E44" s="142"/>
      <c r="F44" s="133">
        <v>62990000</v>
      </c>
      <c r="G44" s="110">
        <v>63990000</v>
      </c>
      <c r="H44" s="153"/>
      <c r="M44" s="148" t="str">
        <f>IFERROR(C44-W10Q2FY26!C44,"OOS")</f>
        <v>OOS</v>
      </c>
      <c r="N44" s="146" t="e">
        <f t="shared" si="0"/>
        <v>#VALUE!</v>
      </c>
      <c r="O44" s="149">
        <f>IFERROR(D44-W10Q2FY26!D44,"OOS")</f>
        <v>0</v>
      </c>
      <c r="P44" s="146" t="str">
        <f t="shared" si="1"/>
        <v/>
      </c>
      <c r="Q44" s="149">
        <f>IFERROR(E44-W10Q2FY26!E44,"OOS")</f>
        <v>0</v>
      </c>
      <c r="R44" s="146" t="str">
        <f t="shared" si="2"/>
        <v/>
      </c>
      <c r="S44" s="149">
        <f>IFERROR(F44-W10Q2FY26!F44,"OOS")</f>
        <v>-1000000</v>
      </c>
      <c r="T44" s="146" t="str">
        <f t="shared" si="3"/>
        <v>MacBook Pro 16" M4 24/512GB giảm 1000K = 62990.0K</v>
      </c>
      <c r="U44" s="149">
        <f>IFERROR(G44-W10Q2FY26!G44,"OOS")</f>
        <v>0</v>
      </c>
      <c r="V44" s="146" t="str">
        <f t="shared" si="4"/>
        <v/>
      </c>
    </row>
    <row r="45" spans="1:22" x14ac:dyDescent="0.2">
      <c r="C45" s="124"/>
      <c r="D45" s="124"/>
    </row>
    <row r="46" spans="1:22" x14ac:dyDescent="0.2">
      <c r="C46" s="124"/>
      <c r="D46" s="124"/>
    </row>
    <row r="47" spans="1:22" x14ac:dyDescent="0.2">
      <c r="C47" s="124"/>
      <c r="D47" s="124"/>
    </row>
    <row r="48" spans="1:22" x14ac:dyDescent="0.2">
      <c r="C48" s="124"/>
      <c r="D48" s="124"/>
    </row>
    <row r="49" spans="3:4" x14ac:dyDescent="0.2">
      <c r="C49" s="124"/>
      <c r="D49" s="124"/>
    </row>
    <row r="50" spans="3:4" x14ac:dyDescent="0.2">
      <c r="C50" s="124"/>
      <c r="D50" s="124"/>
    </row>
    <row r="51" spans="3:4" x14ac:dyDescent="0.2">
      <c r="C51" s="124"/>
      <c r="D51" s="124"/>
    </row>
    <row r="52" spans="3:4" x14ac:dyDescent="0.2">
      <c r="C52" s="124"/>
      <c r="D52" s="124"/>
    </row>
    <row r="53" spans="3:4" x14ac:dyDescent="0.2">
      <c r="C53" s="124"/>
      <c r="D53" s="124"/>
    </row>
    <row r="54" spans="3:4" x14ac:dyDescent="0.2">
      <c r="C54" s="124"/>
      <c r="D54" s="124"/>
    </row>
    <row r="55" spans="3:4" x14ac:dyDescent="0.2">
      <c r="C55" s="124"/>
      <c r="D55" s="124"/>
    </row>
    <row r="56" spans="3:4" x14ac:dyDescent="0.2">
      <c r="C56" s="124"/>
      <c r="D56" s="124"/>
    </row>
    <row r="57" spans="3:4" x14ac:dyDescent="0.2">
      <c r="C57" s="124"/>
      <c r="D57" s="124"/>
    </row>
    <row r="58" spans="3:4" x14ac:dyDescent="0.2">
      <c r="C58" s="124"/>
      <c r="D58" s="124"/>
    </row>
    <row r="59" spans="3:4" x14ac:dyDescent="0.2">
      <c r="C59" s="124"/>
      <c r="D59" s="124"/>
    </row>
    <row r="60" spans="3:4" x14ac:dyDescent="0.2">
      <c r="C60" s="124"/>
      <c r="D60" s="124"/>
    </row>
    <row r="61" spans="3:4" x14ac:dyDescent="0.2">
      <c r="C61" s="124"/>
      <c r="D61" s="124"/>
    </row>
    <row r="62" spans="3:4" x14ac:dyDescent="0.2">
      <c r="C62" s="124"/>
      <c r="D62" s="124"/>
    </row>
    <row r="63" spans="3:4" x14ac:dyDescent="0.2">
      <c r="C63" s="124"/>
      <c r="D63" s="124"/>
    </row>
    <row r="64" spans="3:4" x14ac:dyDescent="0.2">
      <c r="C64" s="124"/>
      <c r="D64" s="124"/>
    </row>
    <row r="65" spans="3:4" x14ac:dyDescent="0.2">
      <c r="C65" s="124"/>
      <c r="D65" s="124"/>
    </row>
    <row r="66" spans="3:4" x14ac:dyDescent="0.2">
      <c r="C66" s="124"/>
      <c r="D66" s="124"/>
    </row>
    <row r="67" spans="3:4" x14ac:dyDescent="0.2">
      <c r="C67" s="124"/>
      <c r="D67" s="124"/>
    </row>
    <row r="68" spans="3:4" x14ac:dyDescent="0.2">
      <c r="C68" s="124"/>
      <c r="D68" s="124"/>
    </row>
    <row r="69" spans="3:4" x14ac:dyDescent="0.2">
      <c r="C69" s="124"/>
      <c r="D69" s="124"/>
    </row>
    <row r="70" spans="3:4" x14ac:dyDescent="0.2">
      <c r="C70" s="124"/>
      <c r="D70" s="124"/>
    </row>
    <row r="71" spans="3:4" x14ac:dyDescent="0.2">
      <c r="C71" s="124"/>
      <c r="D71" s="124"/>
    </row>
    <row r="72" spans="3:4" x14ac:dyDescent="0.2">
      <c r="C72" s="124"/>
      <c r="D72" s="124"/>
    </row>
    <row r="73" spans="3:4" x14ac:dyDescent="0.2">
      <c r="C73" s="124"/>
      <c r="D73" s="124"/>
    </row>
    <row r="74" spans="3:4" x14ac:dyDescent="0.2">
      <c r="C74" s="124"/>
      <c r="D74" s="124"/>
    </row>
    <row r="75" spans="3:4" x14ac:dyDescent="0.2">
      <c r="C75" s="124"/>
      <c r="D75" s="124"/>
    </row>
    <row r="76" spans="3:4" x14ac:dyDescent="0.2">
      <c r="C76" s="124"/>
      <c r="D76" s="124"/>
    </row>
    <row r="77" spans="3:4" x14ac:dyDescent="0.2">
      <c r="C77" s="124"/>
      <c r="D77" s="124"/>
    </row>
    <row r="78" spans="3:4" x14ac:dyDescent="0.2">
      <c r="C78" s="124"/>
      <c r="D78" s="124"/>
    </row>
    <row r="79" spans="3:4" x14ac:dyDescent="0.2">
      <c r="C79" s="124"/>
      <c r="D79" s="124"/>
    </row>
    <row r="80" spans="3:4" x14ac:dyDescent="0.2">
      <c r="C80" s="124"/>
      <c r="D80" s="124"/>
    </row>
    <row r="81" spans="3:4" x14ac:dyDescent="0.2">
      <c r="C81" s="124"/>
      <c r="D81" s="124"/>
    </row>
    <row r="82" spans="3:4" x14ac:dyDescent="0.2">
      <c r="C82" s="124"/>
      <c r="D82" s="124"/>
    </row>
    <row r="83" spans="3:4" x14ac:dyDescent="0.2">
      <c r="C83" s="124"/>
      <c r="D83" s="124"/>
    </row>
    <row r="84" spans="3:4" x14ac:dyDescent="0.2">
      <c r="C84" s="124"/>
      <c r="D84" s="124"/>
    </row>
    <row r="85" spans="3:4" x14ac:dyDescent="0.2">
      <c r="C85" s="124"/>
      <c r="D85" s="124"/>
    </row>
    <row r="86" spans="3:4" x14ac:dyDescent="0.2">
      <c r="C86" s="124"/>
      <c r="D86" s="124"/>
    </row>
    <row r="87" spans="3:4" x14ac:dyDescent="0.2">
      <c r="C87" s="124"/>
      <c r="D87" s="124"/>
    </row>
    <row r="88" spans="3:4" x14ac:dyDescent="0.2">
      <c r="C88" s="124"/>
      <c r="D88" s="124"/>
    </row>
    <row r="89" spans="3:4" x14ac:dyDescent="0.2">
      <c r="C89" s="124"/>
      <c r="D89" s="124"/>
    </row>
    <row r="90" spans="3:4" x14ac:dyDescent="0.2">
      <c r="C90" s="124"/>
      <c r="D90" s="124"/>
    </row>
    <row r="91" spans="3:4" x14ac:dyDescent="0.2">
      <c r="C91" s="124"/>
      <c r="D91" s="124"/>
    </row>
    <row r="92" spans="3:4" x14ac:dyDescent="0.2">
      <c r="C92" s="124"/>
      <c r="D92" s="124"/>
    </row>
    <row r="93" spans="3:4" x14ac:dyDescent="0.2">
      <c r="C93" s="124"/>
      <c r="D93" s="124"/>
    </row>
    <row r="94" spans="3:4" x14ac:dyDescent="0.2">
      <c r="C94" s="124"/>
      <c r="D94" s="124"/>
    </row>
    <row r="95" spans="3:4" x14ac:dyDescent="0.2">
      <c r="C95" s="124"/>
      <c r="D95" s="124"/>
    </row>
    <row r="96" spans="3:4" x14ac:dyDescent="0.2">
      <c r="C96" s="124"/>
      <c r="D96" s="124"/>
    </row>
    <row r="97" spans="3:4" x14ac:dyDescent="0.2">
      <c r="C97" s="124"/>
      <c r="D97" s="124"/>
    </row>
    <row r="98" spans="3:4" x14ac:dyDescent="0.2">
      <c r="C98" s="124"/>
      <c r="D98" s="124"/>
    </row>
    <row r="99" spans="3:4" x14ac:dyDescent="0.2">
      <c r="C99" s="124"/>
      <c r="D99" s="124"/>
    </row>
    <row r="100" spans="3:4" x14ac:dyDescent="0.2">
      <c r="C100" s="124"/>
      <c r="D100" s="124"/>
    </row>
    <row r="101" spans="3:4" x14ac:dyDescent="0.2">
      <c r="C101" s="124"/>
      <c r="D101" s="124"/>
    </row>
    <row r="102" spans="3:4" x14ac:dyDescent="0.2">
      <c r="C102" s="124"/>
      <c r="D102" s="124"/>
    </row>
    <row r="103" spans="3:4" x14ac:dyDescent="0.2">
      <c r="C103" s="124"/>
      <c r="D103" s="124"/>
    </row>
    <row r="104" spans="3:4" x14ac:dyDescent="0.2">
      <c r="C104" s="124"/>
      <c r="D104" s="124"/>
    </row>
    <row r="105" spans="3:4" x14ac:dyDescent="0.2">
      <c r="C105" s="124"/>
      <c r="D105" s="124"/>
    </row>
    <row r="106" spans="3:4" x14ac:dyDescent="0.2">
      <c r="C106" s="124"/>
      <c r="D106" s="124"/>
    </row>
    <row r="107" spans="3:4" x14ac:dyDescent="0.2">
      <c r="C107" s="124"/>
      <c r="D107" s="124"/>
    </row>
    <row r="108" spans="3:4" x14ac:dyDescent="0.2">
      <c r="C108" s="124"/>
      <c r="D108" s="124"/>
    </row>
    <row r="109" spans="3:4" x14ac:dyDescent="0.2">
      <c r="C109" s="124"/>
      <c r="D109" s="124"/>
    </row>
    <row r="110" spans="3:4" x14ac:dyDescent="0.2">
      <c r="C110" s="124"/>
      <c r="D110" s="124"/>
    </row>
    <row r="111" spans="3:4" x14ac:dyDescent="0.2">
      <c r="C111" s="124"/>
      <c r="D111" s="124"/>
    </row>
    <row r="112" spans="3:4" x14ac:dyDescent="0.2">
      <c r="C112" s="124"/>
      <c r="D112" s="124"/>
    </row>
    <row r="113" spans="3:4" x14ac:dyDescent="0.2">
      <c r="C113" s="124"/>
      <c r="D113" s="124"/>
    </row>
    <row r="114" spans="3:4" x14ac:dyDescent="0.2">
      <c r="C114" s="124"/>
      <c r="D114" s="124"/>
    </row>
    <row r="115" spans="3:4" x14ac:dyDescent="0.2">
      <c r="C115" s="124"/>
      <c r="D115" s="124"/>
    </row>
    <row r="116" spans="3:4" x14ac:dyDescent="0.2">
      <c r="C116" s="124"/>
      <c r="D116" s="124"/>
    </row>
    <row r="117" spans="3:4" x14ac:dyDescent="0.2">
      <c r="C117" s="124"/>
      <c r="D117" s="124"/>
    </row>
    <row r="118" spans="3:4" x14ac:dyDescent="0.2">
      <c r="C118" s="124"/>
      <c r="D118" s="124"/>
    </row>
    <row r="119" spans="3:4" x14ac:dyDescent="0.2">
      <c r="C119" s="124"/>
      <c r="D119" s="124"/>
    </row>
    <row r="120" spans="3:4" x14ac:dyDescent="0.2">
      <c r="C120" s="124"/>
      <c r="D120" s="124"/>
    </row>
    <row r="121" spans="3:4" x14ac:dyDescent="0.2">
      <c r="C121" s="124"/>
      <c r="D121" s="124"/>
    </row>
    <row r="122" spans="3:4" x14ac:dyDescent="0.2">
      <c r="C122" s="124"/>
      <c r="D122" s="124"/>
    </row>
    <row r="123" spans="3:4" x14ac:dyDescent="0.2">
      <c r="C123" s="124"/>
      <c r="D123" s="124"/>
    </row>
    <row r="124" spans="3:4" x14ac:dyDescent="0.2">
      <c r="C124" s="124"/>
      <c r="D124" s="124"/>
    </row>
    <row r="125" spans="3:4" x14ac:dyDescent="0.2">
      <c r="C125" s="124"/>
      <c r="D125" s="124"/>
    </row>
    <row r="126" spans="3:4" x14ac:dyDescent="0.2">
      <c r="C126" s="124"/>
      <c r="D126" s="124"/>
    </row>
    <row r="127" spans="3:4" x14ac:dyDescent="0.2">
      <c r="C127" s="124"/>
      <c r="D127" s="124"/>
    </row>
    <row r="128" spans="3:4" x14ac:dyDescent="0.2">
      <c r="C128" s="124"/>
      <c r="D128" s="124"/>
    </row>
    <row r="129" spans="3:4" x14ac:dyDescent="0.2">
      <c r="C129" s="124"/>
      <c r="D129" s="124"/>
    </row>
    <row r="130" spans="3:4" x14ac:dyDescent="0.2">
      <c r="C130" s="124"/>
      <c r="D130" s="124"/>
    </row>
    <row r="131" spans="3:4" x14ac:dyDescent="0.2">
      <c r="C131" s="124"/>
      <c r="D131" s="124"/>
    </row>
    <row r="132" spans="3:4" x14ac:dyDescent="0.2">
      <c r="C132" s="124"/>
      <c r="D132" s="124"/>
    </row>
    <row r="133" spans="3:4" x14ac:dyDescent="0.2">
      <c r="C133" s="124"/>
      <c r="D133" s="124"/>
    </row>
    <row r="134" spans="3:4" x14ac:dyDescent="0.2">
      <c r="C134" s="124"/>
      <c r="D134" s="124"/>
    </row>
    <row r="135" spans="3:4" x14ac:dyDescent="0.2">
      <c r="C135" s="124"/>
      <c r="D135" s="124"/>
    </row>
    <row r="136" spans="3:4" x14ac:dyDescent="0.2">
      <c r="C136" s="124"/>
      <c r="D136" s="124"/>
    </row>
    <row r="137" spans="3:4" x14ac:dyDescent="0.2">
      <c r="C137" s="124"/>
      <c r="D137" s="124"/>
    </row>
    <row r="138" spans="3:4" x14ac:dyDescent="0.2">
      <c r="C138" s="124"/>
      <c r="D138" s="124"/>
    </row>
    <row r="139" spans="3:4" x14ac:dyDescent="0.2">
      <c r="C139" s="124"/>
      <c r="D139" s="124"/>
    </row>
    <row r="140" spans="3:4" x14ac:dyDescent="0.2">
      <c r="C140" s="124"/>
      <c r="D140" s="124"/>
    </row>
    <row r="141" spans="3:4" x14ac:dyDescent="0.2">
      <c r="C141" s="124"/>
      <c r="D141" s="124"/>
    </row>
    <row r="142" spans="3:4" x14ac:dyDescent="0.2">
      <c r="C142" s="124"/>
      <c r="D142" s="124"/>
    </row>
    <row r="143" spans="3:4" x14ac:dyDescent="0.2">
      <c r="C143" s="124"/>
      <c r="D143" s="124"/>
    </row>
    <row r="144" spans="3:4" x14ac:dyDescent="0.2">
      <c r="C144" s="124"/>
      <c r="D144" s="124"/>
    </row>
    <row r="145" spans="3:4" x14ac:dyDescent="0.2">
      <c r="C145" s="124"/>
      <c r="D145" s="124"/>
    </row>
    <row r="146" spans="3:4" x14ac:dyDescent="0.2">
      <c r="C146" s="124"/>
      <c r="D146" s="124"/>
    </row>
    <row r="147" spans="3:4" x14ac:dyDescent="0.2">
      <c r="C147" s="124"/>
      <c r="D147" s="124"/>
    </row>
    <row r="148" spans="3:4" x14ac:dyDescent="0.2">
      <c r="C148" s="124"/>
      <c r="D148" s="124"/>
    </row>
    <row r="149" spans="3:4" x14ac:dyDescent="0.2">
      <c r="C149" s="124"/>
      <c r="D149" s="124"/>
    </row>
    <row r="150" spans="3:4" x14ac:dyDescent="0.2">
      <c r="C150" s="124"/>
      <c r="D150" s="124"/>
    </row>
    <row r="151" spans="3:4" x14ac:dyDescent="0.2">
      <c r="C151" s="124"/>
      <c r="D151" s="124"/>
    </row>
    <row r="152" spans="3:4" x14ac:dyDescent="0.2">
      <c r="C152" s="124"/>
      <c r="D152" s="124"/>
    </row>
    <row r="153" spans="3:4" x14ac:dyDescent="0.2">
      <c r="C153" s="124"/>
      <c r="D153" s="124"/>
    </row>
    <row r="154" spans="3:4" x14ac:dyDescent="0.2">
      <c r="C154" s="124"/>
      <c r="D154" s="124"/>
    </row>
    <row r="155" spans="3:4" x14ac:dyDescent="0.2">
      <c r="C155" s="124"/>
      <c r="D155" s="124"/>
    </row>
    <row r="156" spans="3:4" x14ac:dyDescent="0.2">
      <c r="C156" s="124"/>
      <c r="D156" s="124"/>
    </row>
  </sheetData>
  <conditionalFormatting sqref="D33">
    <cfRule type="expression" dxfId="69" priority="1" stopIfTrue="1">
      <formula>$Q33=0</formula>
    </cfRule>
    <cfRule type="expression" dxfId="68" priority="2" stopIfTrue="1">
      <formula>AND($Q33&lt;&gt;0,$Q33&lt;&gt;"")</formula>
    </cfRule>
  </conditionalFormatting>
  <conditionalFormatting sqref="E3:E44">
    <cfRule type="expression" dxfId="67" priority="15" stopIfTrue="1">
      <formula>$Q3=0</formula>
    </cfRule>
    <cfRule type="expression" dxfId="66" priority="16" stopIfTrue="1">
      <formula>AND($Q3&lt;&gt;0,$Q3&lt;&gt;"")</formula>
    </cfRule>
  </conditionalFormatting>
  <conditionalFormatting sqref="N2:N44">
    <cfRule type="containsText" dxfId="65" priority="3" operator="containsText" text="Tăng">
      <formula>NOT(ISERROR(SEARCH("Tăng",N2)))</formula>
    </cfRule>
    <cfRule type="containsText" dxfId="64" priority="4" operator="containsText" text="giảm">
      <formula>NOT(ISERROR(SEARCH("giảm",N2)))</formula>
    </cfRule>
  </conditionalFormatting>
  <conditionalFormatting sqref="P2:P44">
    <cfRule type="containsText" dxfId="63" priority="5" operator="containsText" text="Tăng">
      <formula>NOT(ISERROR(SEARCH("Tăng",P2)))</formula>
    </cfRule>
    <cfRule type="containsText" dxfId="62" priority="6" operator="containsText" text="giảm">
      <formula>NOT(ISERROR(SEARCH("giảm",P2)))</formula>
    </cfRule>
  </conditionalFormatting>
  <conditionalFormatting sqref="R2:R44">
    <cfRule type="containsText" dxfId="61" priority="7" operator="containsText" text="Tăng">
      <formula>NOT(ISERROR(SEARCH("Tăng",R2)))</formula>
    </cfRule>
    <cfRule type="containsText" dxfId="60" priority="8" operator="containsText" text="giảm">
      <formula>NOT(ISERROR(SEARCH("giảm",R2)))</formula>
    </cfRule>
  </conditionalFormatting>
  <conditionalFormatting sqref="T2:T44">
    <cfRule type="containsText" dxfId="59" priority="9" operator="containsText" text="Tăng">
      <formula>NOT(ISERROR(SEARCH("Tăng",T2)))</formula>
    </cfRule>
    <cfRule type="containsText" dxfId="58" priority="10" operator="containsText" text="giảm">
      <formula>NOT(ISERROR(SEARCH("giảm",T2)))</formula>
    </cfRule>
  </conditionalFormatting>
  <conditionalFormatting sqref="V2:V44">
    <cfRule type="containsText" dxfId="57" priority="11" operator="containsText" text="Tăng">
      <formula>NOT(ISERROR(SEARCH("Tăng",V2)))</formula>
    </cfRule>
    <cfRule type="containsText" dxfId="56" priority="12" operator="containsText" text="giảm">
      <formula>NOT(ISERROR(SEARCH("giảm",V2)))</formula>
    </cfRule>
  </conditionalFormatting>
  <pageMargins left="0.7" right="0.7" top="0.75" bottom="0.75" header="0.3" footer="0.3"/>
  <pageSetup paperSize="9" orientation="portrait" horizontalDpi="0" verticalDpi="0"/>
  <legacyDrawing r:id="rId1"/>
</worksheet>
</file>

<file path=xl/worksheets/sheet9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200-000000000000}">
  <dimension ref="A1:Y156"/>
  <sheetViews>
    <sheetView showGridLines="0" zoomScale="83" zoomScaleNormal="50" workbookViewId="0">
      <pane xSplit="2" ySplit="1" topLeftCell="C2" activePane="bottomRight" state="frozen"/>
      <selection pane="topRight" activeCell="C1" sqref="C1"/>
      <selection pane="bottomLeft" activeCell="A2" sqref="A2"/>
      <selection pane="bottomRight" activeCell="C1" sqref="C1"/>
    </sheetView>
  </sheetViews>
  <sheetFormatPr baseColWidth="10" defaultColWidth="11" defaultRowHeight="16" x14ac:dyDescent="0.2"/>
  <cols>
    <col min="1" max="1" width="24.5" customWidth="1"/>
    <col min="2" max="2" width="15.83203125" hidden="1" customWidth="1"/>
    <col min="3" max="3" width="14.83203125" customWidth="1"/>
    <col min="4" max="4" width="16" customWidth="1"/>
    <col min="5" max="5" width="15.5" style="6" customWidth="1"/>
    <col min="6" max="6" width="14.33203125" customWidth="1"/>
    <col min="7" max="7" width="11.83203125" bestFit="1" customWidth="1"/>
    <col min="8" max="12" width="11" hidden="1" customWidth="1"/>
    <col min="13" max="13" width="14.33203125" hidden="1" customWidth="1"/>
    <col min="14" max="14" width="42" hidden="1" customWidth="1"/>
    <col min="15" max="15" width="14.83203125" hidden="1" customWidth="1"/>
    <col min="16" max="16" width="51.5" hidden="1" customWidth="1"/>
    <col min="17" max="17" width="13.5" hidden="1" customWidth="1"/>
    <col min="18" max="18" width="46" hidden="1" customWidth="1"/>
    <col min="19" max="19" width="15.5" hidden="1" customWidth="1"/>
    <col min="20" max="20" width="38" hidden="1" customWidth="1"/>
    <col min="21" max="21" width="14.1640625" hidden="1" customWidth="1"/>
    <col min="22" max="22" width="54.83203125" customWidth="1"/>
  </cols>
  <sheetData>
    <row r="1" spans="1:22" ht="29" customHeight="1" x14ac:dyDescent="0.2">
      <c r="B1" s="46" t="s">
        <v>0</v>
      </c>
      <c r="C1" s="80" t="s">
        <v>1</v>
      </c>
      <c r="D1" s="80" t="s">
        <v>2</v>
      </c>
      <c r="E1" s="115" t="s">
        <v>3</v>
      </c>
      <c r="F1" s="81" t="s">
        <v>4</v>
      </c>
      <c r="G1" s="81" t="s">
        <v>5</v>
      </c>
      <c r="M1" s="143" t="s">
        <v>6</v>
      </c>
      <c r="N1" s="143" t="s">
        <v>7</v>
      </c>
      <c r="O1" s="144" t="s">
        <v>8</v>
      </c>
      <c r="P1" s="144" t="s">
        <v>9</v>
      </c>
      <c r="Q1" s="144" t="s">
        <v>10</v>
      </c>
      <c r="R1" s="144" t="s">
        <v>11</v>
      </c>
      <c r="S1" s="144" t="s">
        <v>12</v>
      </c>
      <c r="T1" s="144" t="s">
        <v>13</v>
      </c>
      <c r="U1" s="144" t="s">
        <v>14</v>
      </c>
      <c r="V1" s="145" t="s">
        <v>15</v>
      </c>
    </row>
    <row r="2" spans="1:22" x14ac:dyDescent="0.2">
      <c r="A2" t="s">
        <v>16</v>
      </c>
      <c r="B2" s="82"/>
      <c r="C2" s="126">
        <v>17990000</v>
      </c>
      <c r="D2" s="127">
        <v>17790000</v>
      </c>
      <c r="E2" s="128">
        <v>17990000</v>
      </c>
      <c r="F2" s="125">
        <v>17990000</v>
      </c>
      <c r="G2" s="155">
        <v>17790000</v>
      </c>
      <c r="H2" s="153"/>
      <c r="M2" s="148">
        <f>IFERROR(C2-W11Q2FY26!C2,"OOS")</f>
        <v>0</v>
      </c>
      <c r="N2" s="146" t="str">
        <f t="shared" ref="N2:N44" si="0">IF(M2=0,"",$A2 &amp; IF(M2&gt;0," tăng "," giảm ") &amp; TEXT(ABS(M2)/1000,"0") &amp; "K = " &amp; TEXT(C2/1000,"#.##0") &amp; "K")</f>
        <v/>
      </c>
      <c r="O2" s="149">
        <f>IFERROR(D2-W11Q2FY26!D2,"OOS")</f>
        <v>0</v>
      </c>
      <c r="P2" s="146" t="str">
        <f t="shared" ref="P2:P44" si="1">IF(O2=0,"",$A2 &amp; IF(O2&gt;0," tăng "," giảm ") &amp; TEXT(ABS(O2)/1000,"0") &amp; "K = " &amp; TEXT(D2/1000,"#.##0") &amp; "K")</f>
        <v/>
      </c>
      <c r="Q2" s="149">
        <f>IFERROR(E2-W11Q2FY26!E2,"OOS")</f>
        <v>0</v>
      </c>
      <c r="R2" s="146" t="str">
        <f t="shared" ref="R2:R44" si="2">IF(Q2=0,"",$A2 &amp; IF(Q2&gt;0," tăng "," giảm ") &amp; TEXT(ABS(Q2)/1000,"0") &amp; "K = " &amp; TEXT(E2/1000,"#.##0") &amp; "K")</f>
        <v/>
      </c>
      <c r="S2" s="149">
        <f>IFERROR(F2-W11Q2FY26!F2,"OOS")</f>
        <v>0</v>
      </c>
      <c r="T2" s="146" t="str">
        <f t="shared" ref="T2:T44" si="3">IF(S2=0,"",$A2 &amp; IF(S2&gt;0," tăng "," giảm ") &amp; TEXT(ABS(S2)/1000,"0") &amp; "K = " &amp; TEXT(F2/1000,"#.##0") &amp; "K")</f>
        <v/>
      </c>
      <c r="U2" s="149">
        <f>IFERROR(G2-W11Q2FY26!G2,"OOS")</f>
        <v>-200000</v>
      </c>
      <c r="V2" s="146" t="str">
        <f t="shared" ref="V2:V44" si="4">IF(U2=0,"",$A2 &amp; IF(U2&gt;0," tăng "," giảm ") &amp; TEXT(ABS(U2)/1000,"0") &amp; "K = " &amp; TEXT(G2/1000,"#.##0") &amp; "K")</f>
        <v>iPhone 17e 256GB giảm 200K = 17790.0K</v>
      </c>
    </row>
    <row r="3" spans="1:22" x14ac:dyDescent="0.2">
      <c r="A3" t="s">
        <v>17</v>
      </c>
      <c r="B3" s="82"/>
      <c r="C3" s="129">
        <v>24890000</v>
      </c>
      <c r="D3" s="127">
        <v>24690000</v>
      </c>
      <c r="E3" s="130">
        <v>24190000</v>
      </c>
      <c r="F3" s="131">
        <v>24790000</v>
      </c>
      <c r="G3" s="111">
        <v>24190000</v>
      </c>
      <c r="H3" s="153"/>
      <c r="M3" s="148">
        <f>IFERROR(C3-W11Q2FY26!C3,"OOS")</f>
        <v>-100000</v>
      </c>
      <c r="N3" s="146" t="str">
        <f t="shared" si="0"/>
        <v>iPhone 17  256GB giảm 100K = 24890.0K</v>
      </c>
      <c r="O3" s="149">
        <f>IFERROR(D3-W11Q2FY26!D3,"OOS")</f>
        <v>0</v>
      </c>
      <c r="P3" s="146" t="str">
        <f t="shared" si="1"/>
        <v/>
      </c>
      <c r="Q3" s="149">
        <f>IFERROR(E3-W11Q2FY26!E3,"OOS")</f>
        <v>0</v>
      </c>
      <c r="R3" s="146" t="str">
        <f t="shared" si="2"/>
        <v/>
      </c>
      <c r="S3" s="149">
        <f>IFERROR(F3-W11Q2FY26!F3,"OOS")</f>
        <v>100000</v>
      </c>
      <c r="T3" s="146" t="str">
        <f t="shared" si="3"/>
        <v>iPhone 17  256GB tăng 100K = 24790.0K</v>
      </c>
      <c r="U3" s="149">
        <f>IFERROR(G3-W11Q2FY26!G3,"OOS")</f>
        <v>-300000</v>
      </c>
      <c r="V3" s="146" t="str">
        <f t="shared" si="4"/>
        <v>iPhone 17  256GB giảm 300K = 24190.0K</v>
      </c>
    </row>
    <row r="4" spans="1:22" x14ac:dyDescent="0.2">
      <c r="A4" t="s">
        <v>18</v>
      </c>
      <c r="B4" s="82"/>
      <c r="C4" s="127">
        <v>24990000</v>
      </c>
      <c r="D4" s="127">
        <v>24990000</v>
      </c>
      <c r="E4" s="130">
        <v>24490000</v>
      </c>
      <c r="F4" s="132">
        <v>24990000</v>
      </c>
      <c r="G4" s="110">
        <v>24990000</v>
      </c>
      <c r="H4" s="153"/>
      <c r="M4" s="148">
        <f>IFERROR(C4-W11Q2FY26!C4,"OOS")</f>
        <v>0</v>
      </c>
      <c r="N4" s="146" t="str">
        <f t="shared" si="0"/>
        <v/>
      </c>
      <c r="O4" s="149">
        <f>IFERROR(D4-W11Q2FY26!D4,"OOS")</f>
        <v>0</v>
      </c>
      <c r="P4" s="146" t="str">
        <f t="shared" si="1"/>
        <v/>
      </c>
      <c r="Q4" s="149">
        <f>IFERROR(E4-W11Q2FY26!E4,"OOS")</f>
        <v>0</v>
      </c>
      <c r="R4" s="146" t="str">
        <f t="shared" si="2"/>
        <v/>
      </c>
      <c r="S4" s="149">
        <f>IFERROR(F4-W11Q2FY26!F4,"OOS")</f>
        <v>0</v>
      </c>
      <c r="T4" s="146" t="str">
        <f t="shared" si="3"/>
        <v/>
      </c>
      <c r="U4" s="149">
        <f>IFERROR(G4-W11Q2FY26!G4,"OOS")</f>
        <v>0</v>
      </c>
      <c r="V4" s="146" t="str">
        <f t="shared" si="4"/>
        <v/>
      </c>
    </row>
    <row r="5" spans="1:22" x14ac:dyDescent="0.2">
      <c r="A5" t="s">
        <v>19</v>
      </c>
      <c r="B5" s="82"/>
      <c r="C5" s="127">
        <v>34790000</v>
      </c>
      <c r="D5" s="127">
        <v>34490000</v>
      </c>
      <c r="E5" s="130">
        <v>33190000</v>
      </c>
      <c r="F5" s="133">
        <v>34490000</v>
      </c>
      <c r="G5" s="110">
        <v>34190000</v>
      </c>
      <c r="H5" s="153"/>
      <c r="M5" s="148">
        <f>IFERROR(C5-W11Q2FY26!C5,"OOS")</f>
        <v>0</v>
      </c>
      <c r="N5" s="146" t="str">
        <f t="shared" si="0"/>
        <v/>
      </c>
      <c r="O5" s="149">
        <f>IFERROR(D5-W11Q2FY26!D5,"OOS")</f>
        <v>0</v>
      </c>
      <c r="P5" s="146" t="str">
        <f t="shared" si="1"/>
        <v/>
      </c>
      <c r="Q5" s="149">
        <f>IFERROR(E5-W11Q2FY26!E5,"OOS")</f>
        <v>0</v>
      </c>
      <c r="R5" s="146" t="str">
        <f t="shared" si="2"/>
        <v/>
      </c>
      <c r="S5" s="149">
        <f>IFERROR(F5-W11Q2FY26!F5,"OOS")</f>
        <v>-100000</v>
      </c>
      <c r="T5" s="146" t="str">
        <f t="shared" si="3"/>
        <v>iPhone 17 Pro 256GB giảm 100K = 34490.0K</v>
      </c>
      <c r="U5" s="149">
        <f>IFERROR(G5-W11Q2FY26!G5,"OOS")</f>
        <v>0</v>
      </c>
      <c r="V5" s="146" t="str">
        <f t="shared" si="4"/>
        <v/>
      </c>
    </row>
    <row r="6" spans="1:22" x14ac:dyDescent="0.2">
      <c r="A6" t="s">
        <v>20</v>
      </c>
      <c r="B6" s="82"/>
      <c r="C6" s="127">
        <v>37990000</v>
      </c>
      <c r="D6" s="129">
        <v>37790000</v>
      </c>
      <c r="E6" s="134">
        <v>36490000</v>
      </c>
      <c r="F6" s="132">
        <v>37990000</v>
      </c>
      <c r="G6" s="111">
        <v>37190000</v>
      </c>
      <c r="H6" s="153"/>
      <c r="M6" s="148">
        <f>IFERROR(C6-W11Q2FY26!C6,"OOS")</f>
        <v>0</v>
      </c>
      <c r="N6" s="146" t="str">
        <f t="shared" si="0"/>
        <v/>
      </c>
      <c r="O6" s="149">
        <f>IFERROR(D6-W11Q2FY26!D6,"OOS")</f>
        <v>-200000</v>
      </c>
      <c r="P6" s="146" t="str">
        <f t="shared" si="1"/>
        <v>iPhone 17 Pro Max 256GB giảm 200K = 37790.0K</v>
      </c>
      <c r="Q6" s="149">
        <f>IFERROR(E6-W11Q2FY26!E6,"OOS")</f>
        <v>0</v>
      </c>
      <c r="R6" s="146" t="str">
        <f t="shared" si="2"/>
        <v/>
      </c>
      <c r="S6" s="149">
        <f>IFERROR(F6-W11Q2FY26!F6,"OOS")</f>
        <v>0</v>
      </c>
      <c r="T6" s="146" t="str">
        <f t="shared" si="3"/>
        <v/>
      </c>
      <c r="U6" s="149">
        <f>IFERROR(G6-W11Q2FY26!G6,"OOS")</f>
        <v>200000</v>
      </c>
      <c r="V6" s="146" t="str">
        <f t="shared" si="4"/>
        <v>iPhone 17 Pro Max 256GB tăng 200K = 37190.0K</v>
      </c>
    </row>
    <row r="7" spans="1:22" x14ac:dyDescent="0.2">
      <c r="A7" t="s">
        <v>21</v>
      </c>
      <c r="B7" s="82"/>
      <c r="C7" s="127">
        <v>15990000</v>
      </c>
      <c r="D7" s="135">
        <v>15990000</v>
      </c>
      <c r="E7" s="134">
        <v>12490000</v>
      </c>
      <c r="F7" s="136">
        <v>12490000</v>
      </c>
      <c r="G7" s="110">
        <v>15190000</v>
      </c>
      <c r="H7" s="153"/>
      <c r="M7" s="148">
        <f>IFERROR(C7-W11Q2FY26!C7,"OOS")</f>
        <v>0</v>
      </c>
      <c r="N7" s="146" t="str">
        <f t="shared" si="0"/>
        <v/>
      </c>
      <c r="O7" s="149">
        <f>IFERROR(D7-W11Q2FY26!D7,"OOS")</f>
        <v>0</v>
      </c>
      <c r="P7" s="146" t="str">
        <f t="shared" si="1"/>
        <v/>
      </c>
      <c r="Q7" s="149">
        <f>IFERROR(E7-W11Q2FY26!E7,"OOS")</f>
        <v>0</v>
      </c>
      <c r="R7" s="146" t="str">
        <f t="shared" si="2"/>
        <v/>
      </c>
      <c r="S7" s="149">
        <f>IFERROR(F7-W11Q2FY26!F7,"OOS")</f>
        <v>0</v>
      </c>
      <c r="T7" s="146" t="str">
        <f t="shared" si="3"/>
        <v/>
      </c>
      <c r="U7" s="149">
        <f>IFERROR(G7-W11Q2FY26!G7,"OOS")</f>
        <v>0</v>
      </c>
      <c r="V7" s="146" t="str">
        <f t="shared" si="4"/>
        <v/>
      </c>
    </row>
    <row r="8" spans="1:22" x14ac:dyDescent="0.2">
      <c r="A8" t="s">
        <v>23</v>
      </c>
      <c r="B8" s="70"/>
      <c r="C8" s="138">
        <v>21090000</v>
      </c>
      <c r="D8" s="137">
        <v>20790000</v>
      </c>
      <c r="E8" s="139">
        <v>20090000</v>
      </c>
      <c r="F8" s="132">
        <v>20790000</v>
      </c>
      <c r="G8" s="110">
        <v>20790000</v>
      </c>
      <c r="H8" s="153"/>
      <c r="M8" s="148">
        <f>IFERROR(C8-W11Q2FY26!C8,"OOS")</f>
        <v>0</v>
      </c>
      <c r="N8" s="146" t="str">
        <f t="shared" si="0"/>
        <v/>
      </c>
      <c r="O8" s="149">
        <f>IFERROR(D8-W11Q2FY26!D8,"OOS")</f>
        <v>-200000</v>
      </c>
      <c r="P8" s="146" t="str">
        <f t="shared" si="1"/>
        <v>iPhone 16 128GB giảm 200K = 20790.0K</v>
      </c>
      <c r="Q8" s="149">
        <f>IFERROR(E8-W11Q2FY26!E8,"OOS")</f>
        <v>0</v>
      </c>
      <c r="R8" s="146" t="str">
        <f t="shared" si="2"/>
        <v/>
      </c>
      <c r="S8" s="149">
        <f>IFERROR(F8-W11Q2FY26!F8,"OOS")</f>
        <v>0</v>
      </c>
      <c r="T8" s="146" t="str">
        <f t="shared" si="3"/>
        <v/>
      </c>
      <c r="U8" s="149">
        <f>IFERROR(G8-W11Q2FY26!G8,"OOS")</f>
        <v>0</v>
      </c>
      <c r="V8" s="146" t="str">
        <f t="shared" si="4"/>
        <v/>
      </c>
    </row>
    <row r="9" spans="1:22" x14ac:dyDescent="0.2">
      <c r="A9" t="s">
        <v>24</v>
      </c>
      <c r="B9" s="3"/>
      <c r="C9" s="135">
        <v>25090000</v>
      </c>
      <c r="D9" s="140">
        <v>24790000</v>
      </c>
      <c r="E9" s="139">
        <v>23790000</v>
      </c>
      <c r="F9" s="132">
        <v>24790000</v>
      </c>
      <c r="G9" s="110">
        <v>24590000</v>
      </c>
      <c r="H9" s="153"/>
      <c r="M9" s="148">
        <f>IFERROR(C9-W11Q2FY26!C9,"OOS")</f>
        <v>0</v>
      </c>
      <c r="N9" s="146" t="str">
        <f t="shared" si="0"/>
        <v/>
      </c>
      <c r="O9" s="149">
        <f>IFERROR(D9-W11Q2FY26!D9,"OOS")</f>
        <v>-200000</v>
      </c>
      <c r="P9" s="146" t="str">
        <f t="shared" si="1"/>
        <v>iPhone 16  Plus 128GB giảm 200K = 24790.0K</v>
      </c>
      <c r="Q9" s="149">
        <f>IFERROR(E9-W11Q2FY26!E9,"OOS")</f>
        <v>0</v>
      </c>
      <c r="R9" s="146" t="str">
        <f t="shared" si="2"/>
        <v/>
      </c>
      <c r="S9" s="149">
        <f>IFERROR(F9-W11Q2FY26!F9,"OOS")</f>
        <v>0</v>
      </c>
      <c r="T9" s="146" t="str">
        <f t="shared" si="3"/>
        <v/>
      </c>
      <c r="U9" s="149">
        <f>IFERROR(G9-W11Q2FY26!G9,"OOS")</f>
        <v>0</v>
      </c>
      <c r="V9" s="146" t="str">
        <f t="shared" si="4"/>
        <v/>
      </c>
    </row>
    <row r="10" spans="1:22" x14ac:dyDescent="0.2">
      <c r="A10" t="s">
        <v>264</v>
      </c>
      <c r="B10" s="25"/>
      <c r="C10" s="135" t="s">
        <v>22</v>
      </c>
      <c r="D10" s="110">
        <v>25590000</v>
      </c>
      <c r="E10" s="112" t="s">
        <v>22</v>
      </c>
      <c r="F10" s="132">
        <v>26590000</v>
      </c>
      <c r="G10" s="110">
        <v>24990000</v>
      </c>
      <c r="H10" s="153"/>
      <c r="M10" s="148" t="str">
        <f>IFERROR(C10-W11Q2FY26!C10,"OOS")</f>
        <v>OOS</v>
      </c>
      <c r="N10" s="146" t="e">
        <f t="shared" si="0"/>
        <v>#VALUE!</v>
      </c>
      <c r="O10" s="149">
        <f>IFERROR(D10-W11Q2FY26!D10,"OOS")</f>
        <v>0</v>
      </c>
      <c r="P10" s="146" t="str">
        <f t="shared" si="1"/>
        <v/>
      </c>
      <c r="Q10" s="149" t="str">
        <f>IFERROR(E10-W11Q2FY26!E10,"OOS")</f>
        <v>OOS</v>
      </c>
      <c r="R10" s="146" t="e">
        <f t="shared" si="2"/>
        <v>#VALUE!</v>
      </c>
      <c r="S10" s="149">
        <f>IFERROR(F10-W11Q2FY26!F10,"OOS")</f>
        <v>0</v>
      </c>
      <c r="T10" s="146" t="str">
        <f t="shared" si="3"/>
        <v/>
      </c>
      <c r="U10" s="149">
        <f>IFERROR(G10-W11Q2FY26!G10,"OOS")</f>
        <v>0</v>
      </c>
      <c r="V10" s="146" t="str">
        <f t="shared" si="4"/>
        <v/>
      </c>
    </row>
    <row r="11" spans="1:22" x14ac:dyDescent="0.2">
      <c r="A11" t="s">
        <v>183</v>
      </c>
      <c r="B11" s="3"/>
      <c r="C11" s="135">
        <v>31590000</v>
      </c>
      <c r="D11" s="112" t="s">
        <v>22</v>
      </c>
      <c r="E11" s="112" t="s">
        <v>22</v>
      </c>
      <c r="F11" s="133">
        <v>31590000</v>
      </c>
      <c r="G11" s="110">
        <v>31190000</v>
      </c>
      <c r="H11" s="153"/>
      <c r="M11" s="148">
        <f>IFERROR(C11-W11Q2FY26!C11,"OOS")</f>
        <v>0</v>
      </c>
      <c r="N11" s="146" t="str">
        <f t="shared" si="0"/>
        <v/>
      </c>
      <c r="O11" s="149" t="str">
        <f>IFERROR(D11-W11Q2FY26!D11,"OOS")</f>
        <v>OOS</v>
      </c>
      <c r="P11" s="146" t="e">
        <f t="shared" si="1"/>
        <v>#VALUE!</v>
      </c>
      <c r="Q11" s="149" t="str">
        <f>IFERROR(E11-W11Q2FY26!E11,"OOS")</f>
        <v>OOS</v>
      </c>
      <c r="R11" s="146" t="e">
        <f t="shared" si="2"/>
        <v>#VALUE!</v>
      </c>
      <c r="S11" s="149">
        <f>IFERROR(F11-W11Q2FY26!F11,"OOS")</f>
        <v>200000</v>
      </c>
      <c r="T11" s="146" t="str">
        <f t="shared" si="3"/>
        <v>iPhone 16 Pro Max 256GB tăng 200K = 31590.0K</v>
      </c>
      <c r="U11" s="149">
        <f>IFERROR(G11-W11Q2FY26!G11,"OOS")</f>
        <v>0</v>
      </c>
      <c r="V11" s="146" t="str">
        <f t="shared" si="4"/>
        <v/>
      </c>
    </row>
    <row r="12" spans="1:22" x14ac:dyDescent="0.2">
      <c r="A12" t="s">
        <v>25</v>
      </c>
      <c r="B12" s="25"/>
      <c r="C12" s="135">
        <v>17990000</v>
      </c>
      <c r="D12" s="135">
        <v>17990000</v>
      </c>
      <c r="E12" s="154">
        <v>17490000</v>
      </c>
      <c r="F12" s="133">
        <v>17990000</v>
      </c>
      <c r="G12" s="110">
        <v>17490000</v>
      </c>
      <c r="H12" s="153"/>
      <c r="M12" s="148">
        <f>IFERROR(C12-W11Q2FY26!C12,"OOS")</f>
        <v>0</v>
      </c>
      <c r="N12" s="146" t="str">
        <f t="shared" si="0"/>
        <v/>
      </c>
      <c r="O12" s="149">
        <f>IFERROR(D12-W11Q2FY26!D12,"OOS")</f>
        <v>0</v>
      </c>
      <c r="P12" s="146" t="str">
        <f t="shared" si="1"/>
        <v/>
      </c>
      <c r="Q12" s="149">
        <f>IFERROR(E12-W11Q2FY26!E12,"OOS")</f>
        <v>0</v>
      </c>
      <c r="R12" s="146" t="str">
        <f t="shared" si="2"/>
        <v/>
      </c>
      <c r="S12" s="149">
        <f>IFERROR(F12-W11Q2FY26!F12,"OOS")</f>
        <v>-100000</v>
      </c>
      <c r="T12" s="146" t="str">
        <f t="shared" si="3"/>
        <v>iPhone 15  128GB giảm 100K = 17990.0K</v>
      </c>
      <c r="U12" s="149">
        <f>IFERROR(G12-W11Q2FY26!G12,"OOS")</f>
        <v>0</v>
      </c>
      <c r="V12" s="146" t="str">
        <f t="shared" si="4"/>
        <v/>
      </c>
    </row>
    <row r="13" spans="1:22" x14ac:dyDescent="0.2">
      <c r="A13" t="s">
        <v>26</v>
      </c>
      <c r="B13" s="25"/>
      <c r="C13" s="135">
        <v>18990000</v>
      </c>
      <c r="D13" s="135" t="s">
        <v>22</v>
      </c>
      <c r="E13" s="130" t="s">
        <v>22</v>
      </c>
      <c r="F13" s="132">
        <v>17690000</v>
      </c>
      <c r="G13" s="110" t="s">
        <v>22</v>
      </c>
      <c r="H13" s="153"/>
      <c r="M13" s="148">
        <f>IFERROR(C13-W11Q2FY26!C13,"OOS")</f>
        <v>0</v>
      </c>
      <c r="N13" s="146" t="str">
        <f t="shared" si="0"/>
        <v/>
      </c>
      <c r="O13" s="149" t="str">
        <f>IFERROR(D13-W11Q2FY26!D13,"OOS")</f>
        <v>OOS</v>
      </c>
      <c r="P13" s="146" t="e">
        <f t="shared" si="1"/>
        <v>#VALUE!</v>
      </c>
      <c r="Q13" s="149" t="str">
        <f>IFERROR(E13-W11Q2FY26!E13,"OOS")</f>
        <v>OOS</v>
      </c>
      <c r="R13" s="146" t="e">
        <f t="shared" si="2"/>
        <v>#VALUE!</v>
      </c>
      <c r="S13" s="149">
        <f>IFERROR(F13-W11Q2FY26!F13,"OOS")</f>
        <v>0</v>
      </c>
      <c r="T13" s="146" t="str">
        <f t="shared" si="3"/>
        <v/>
      </c>
      <c r="U13" s="149" t="str">
        <f>IFERROR(G13-W11Q2FY26!G13,"OOS")</f>
        <v>OOS</v>
      </c>
      <c r="V13" s="146" t="e">
        <f t="shared" si="4"/>
        <v>#VALUE!</v>
      </c>
    </row>
    <row r="14" spans="1:22" x14ac:dyDescent="0.2">
      <c r="A14" t="s">
        <v>27</v>
      </c>
      <c r="B14" s="25"/>
      <c r="C14" s="135">
        <v>13990000</v>
      </c>
      <c r="D14" s="135">
        <v>13890000</v>
      </c>
      <c r="E14" s="130">
        <v>13590000</v>
      </c>
      <c r="F14" s="133">
        <v>13990000</v>
      </c>
      <c r="G14" s="111">
        <v>12990000</v>
      </c>
      <c r="H14" s="153"/>
      <c r="M14" s="148">
        <f>IFERROR(C14-W11Q2FY26!C14,"OOS")</f>
        <v>0</v>
      </c>
      <c r="N14" s="146" t="str">
        <f t="shared" si="0"/>
        <v/>
      </c>
      <c r="O14" s="149">
        <f>IFERROR(D14-W11Q2FY26!D14,"OOS")</f>
        <v>0</v>
      </c>
      <c r="P14" s="146" t="str">
        <f t="shared" si="1"/>
        <v/>
      </c>
      <c r="Q14" s="149">
        <f>IFERROR(E14-W11Q2FY26!E14,"OOS")</f>
        <v>0</v>
      </c>
      <c r="R14" s="146" t="str">
        <f t="shared" si="2"/>
        <v/>
      </c>
      <c r="S14" s="149">
        <f>IFERROR(F14-W11Q2FY26!F14,"OOS")</f>
        <v>100000</v>
      </c>
      <c r="T14" s="146" t="str">
        <f t="shared" si="3"/>
        <v>iPhone 14 128GB tăng 100K = 13990.0K</v>
      </c>
      <c r="U14" s="149">
        <f>IFERROR(G14-W11Q2FY26!G14,"OOS")</f>
        <v>-400000</v>
      </c>
      <c r="V14" s="146" t="str">
        <f t="shared" si="4"/>
        <v>iPhone 14 128GB giảm 400K = 12990.0K</v>
      </c>
    </row>
    <row r="15" spans="1:22" x14ac:dyDescent="0.2">
      <c r="A15" t="s">
        <v>28</v>
      </c>
      <c r="B15" s="3"/>
      <c r="C15" s="135">
        <v>11990000</v>
      </c>
      <c r="D15" s="140">
        <v>11990000</v>
      </c>
      <c r="E15" s="139">
        <v>11990000</v>
      </c>
      <c r="F15" s="133">
        <v>12290000</v>
      </c>
      <c r="G15" s="110">
        <v>11890000</v>
      </c>
      <c r="H15" s="153"/>
      <c r="M15" s="148">
        <f>IFERROR(C15-W11Q2FY26!C15,"OOS")</f>
        <v>0</v>
      </c>
      <c r="N15" s="146" t="str">
        <f t="shared" si="0"/>
        <v/>
      </c>
      <c r="O15" s="149">
        <f>IFERROR(D15-W11Q2FY26!D15,"OOS")</f>
        <v>0</v>
      </c>
      <c r="P15" s="146" t="str">
        <f t="shared" si="1"/>
        <v/>
      </c>
      <c r="Q15" s="149">
        <f>IFERROR(E15-W11Q2FY26!E15,"OOS")</f>
        <v>0</v>
      </c>
      <c r="R15" s="146" t="str">
        <f t="shared" si="2"/>
        <v/>
      </c>
      <c r="S15" s="149">
        <f>IFERROR(F15-W11Q2FY26!F15,"OOS")</f>
        <v>0</v>
      </c>
      <c r="T15" s="146" t="str">
        <f t="shared" si="3"/>
        <v/>
      </c>
      <c r="U15" s="149">
        <f>IFERROR(G15-W11Q2FY26!G15,"OOS")</f>
        <v>0</v>
      </c>
      <c r="V15" s="146" t="str">
        <f t="shared" si="4"/>
        <v/>
      </c>
    </row>
    <row r="16" spans="1:22" x14ac:dyDescent="0.2">
      <c r="A16" t="s">
        <v>29</v>
      </c>
      <c r="B16" s="25"/>
      <c r="C16" s="140">
        <v>13590000</v>
      </c>
      <c r="D16" s="135">
        <v>13490000</v>
      </c>
      <c r="E16" s="139">
        <v>13290000</v>
      </c>
      <c r="F16" s="133">
        <v>11990000</v>
      </c>
      <c r="G16" s="110">
        <v>10790000</v>
      </c>
      <c r="H16" s="153"/>
      <c r="M16" s="148">
        <f>IFERROR(C16-W11Q2FY26!C16,"OOS")</f>
        <v>1800000</v>
      </c>
      <c r="N16" s="146" t="str">
        <f t="shared" si="0"/>
        <v>iPad Mini 7 128GB Wifi tăng 1800K = 13590.0K</v>
      </c>
      <c r="O16" s="149">
        <f>IFERROR(D16-W11Q2FY26!D16,"OOS")</f>
        <v>2000000</v>
      </c>
      <c r="P16" s="146" t="str">
        <f t="shared" si="1"/>
        <v>iPad Mini 7 128GB Wifi tăng 2000K = 13490.0K</v>
      </c>
      <c r="Q16" s="149">
        <f>IFERROR(E16-W11Q2FY26!E16,"OOS")</f>
        <v>2000000</v>
      </c>
      <c r="R16" s="146" t="str">
        <f t="shared" si="2"/>
        <v>iPad Mini 7 128GB Wifi tăng 2000K = 13290.0K</v>
      </c>
      <c r="S16" s="149">
        <f>IFERROR(F16-W11Q2FY26!F16,"OOS")</f>
        <v>200000</v>
      </c>
      <c r="T16" s="146" t="str">
        <f t="shared" si="3"/>
        <v>iPad Mini 7 128GB Wifi tăng 200K = 11990.0K</v>
      </c>
      <c r="U16" s="149">
        <f>IFERROR(G16-W11Q2FY26!G16,"OOS")</f>
        <v>0</v>
      </c>
      <c r="V16" s="146" t="str">
        <f t="shared" si="4"/>
        <v/>
      </c>
    </row>
    <row r="17" spans="1:25" x14ac:dyDescent="0.2">
      <c r="A17" t="s">
        <v>30</v>
      </c>
      <c r="B17" s="3"/>
      <c r="C17" s="140">
        <v>9490000</v>
      </c>
      <c r="D17" s="140">
        <v>9490000</v>
      </c>
      <c r="E17" s="154">
        <v>9190000</v>
      </c>
      <c r="F17" s="132">
        <v>9490000</v>
      </c>
      <c r="G17" s="110">
        <v>8990000</v>
      </c>
      <c r="H17" s="153"/>
      <c r="M17" s="148">
        <f>IFERROR(C17-W11Q2FY26!C17,"OOS")</f>
        <v>0</v>
      </c>
      <c r="N17" s="146" t="str">
        <f t="shared" si="0"/>
        <v/>
      </c>
      <c r="O17" s="149">
        <f>IFERROR(D17-W11Q2FY26!D17,"OOS")</f>
        <v>0</v>
      </c>
      <c r="P17" s="146" t="str">
        <f t="shared" si="1"/>
        <v/>
      </c>
      <c r="Q17" s="149">
        <f>IFERROR(E17-W11Q2FY26!E17,"OOS")</f>
        <v>300000</v>
      </c>
      <c r="R17" s="146" t="str">
        <f t="shared" si="2"/>
        <v>iPad Gen 11th  128GB Wifi tăng 300K = 9190.0K</v>
      </c>
      <c r="S17" s="149">
        <f>IFERROR(F17-W11Q2FY26!F17,"OOS")</f>
        <v>0</v>
      </c>
      <c r="T17" s="146" t="str">
        <f t="shared" si="3"/>
        <v/>
      </c>
      <c r="U17" s="149">
        <f>IFERROR(G17-W11Q2FY26!G17,"OOS")</f>
        <v>0</v>
      </c>
      <c r="V17" s="146" t="str">
        <f t="shared" si="4"/>
        <v/>
      </c>
      <c r="W17" t="s">
        <v>31</v>
      </c>
      <c r="X17" t="s">
        <v>32</v>
      </c>
      <c r="Y17" t="b">
        <v>1</v>
      </c>
    </row>
    <row r="18" spans="1:25" x14ac:dyDescent="0.2">
      <c r="A18" t="s">
        <v>33</v>
      </c>
      <c r="B18" s="3"/>
      <c r="C18" s="140"/>
      <c r="D18" s="135"/>
      <c r="E18" s="154"/>
      <c r="F18" s="133"/>
      <c r="G18" s="110"/>
      <c r="H18" s="153"/>
      <c r="M18" s="148">
        <f>IFERROR(C18-W11Q2FY26!C18,"OOS")</f>
        <v>-15990000</v>
      </c>
      <c r="N18" s="146" t="str">
        <f t="shared" si="0"/>
        <v>iPad Air M3  11" 128 GB Wifi giảm 15990K = .0K</v>
      </c>
      <c r="O18" s="149">
        <f>IFERROR(D18-W11Q2FY26!D18,"OOS")</f>
        <v>-15790000</v>
      </c>
      <c r="P18" s="146" t="str">
        <f t="shared" si="1"/>
        <v>iPad Air M3  11" 128 GB Wifi giảm 15790K = .0K</v>
      </c>
      <c r="Q18" s="149">
        <f>IFERROR(E18-W11Q2FY26!E18,"OOS")</f>
        <v>-14290000</v>
      </c>
      <c r="R18" s="146" t="str">
        <f t="shared" si="2"/>
        <v>iPad Air M3  11" 128 GB Wifi giảm 14290K = .0K</v>
      </c>
      <c r="S18" s="149">
        <f>IFERROR(F18-W11Q2FY26!F18,"OOS")</f>
        <v>-15890000</v>
      </c>
      <c r="T18" s="146" t="str">
        <f t="shared" si="3"/>
        <v>iPad Air M3  11" 128 GB Wifi giảm 15890K = .0K</v>
      </c>
      <c r="U18" s="149">
        <f>IFERROR(G18-W11Q2FY26!G18,"OOS")</f>
        <v>-14990000</v>
      </c>
      <c r="V18" s="146" t="str">
        <f t="shared" si="4"/>
        <v>iPad Air M3  11" 128 GB Wifi giảm 14990K = .0K</v>
      </c>
      <c r="W18" t="s">
        <v>2</v>
      </c>
      <c r="X18" t="s">
        <v>34</v>
      </c>
      <c r="Y18" t="b">
        <v>1</v>
      </c>
    </row>
    <row r="19" spans="1:25" x14ac:dyDescent="0.2">
      <c r="A19" t="s">
        <v>37</v>
      </c>
      <c r="B19" s="25"/>
      <c r="C19" s="135"/>
      <c r="D19" s="140"/>
      <c r="E19" s="154"/>
      <c r="F19" s="132"/>
      <c r="G19" s="110"/>
      <c r="H19" s="153"/>
      <c r="M19" s="148">
        <f>IFERROR(C19-W11Q2FY26!C19,"OOS")</f>
        <v>-19990000</v>
      </c>
      <c r="N19" s="146" t="str">
        <f t="shared" si="0"/>
        <v>iPad Air M3  13" 128 GB Wifi giảm 19990K = .0K</v>
      </c>
      <c r="O19" s="149">
        <f>IFERROR(D19-W11Q2FY26!D19,"OOS")</f>
        <v>-20990000</v>
      </c>
      <c r="P19" s="146" t="str">
        <f t="shared" si="1"/>
        <v>iPad Air M3  13" 128 GB Wifi giảm 20990K = .0K</v>
      </c>
      <c r="Q19" s="149">
        <f>IFERROR(E19-W11Q2FY26!E19,"OOS")</f>
        <v>-19490000</v>
      </c>
      <c r="R19" s="146" t="str">
        <f t="shared" si="2"/>
        <v>iPad Air M3  13" 128 GB Wifi giảm 19490K = .0K</v>
      </c>
      <c r="S19" s="149">
        <f>IFERROR(F19-W11Q2FY26!F19,"OOS")</f>
        <v>-18990000</v>
      </c>
      <c r="T19" s="146" t="str">
        <f t="shared" si="3"/>
        <v>iPad Air M3  13" 128 GB Wifi giảm 18990K = .0K</v>
      </c>
      <c r="U19" s="149">
        <f>IFERROR(G19-W11Q2FY26!G19,"OOS")</f>
        <v>-18990000</v>
      </c>
      <c r="V19" s="146" t="str">
        <f t="shared" si="4"/>
        <v>iPad Air M3  13" 128 GB Wifi giảm 18990K = .0K</v>
      </c>
      <c r="W19" t="s">
        <v>3</v>
      </c>
      <c r="X19" t="s">
        <v>36</v>
      </c>
      <c r="Y19" t="b">
        <v>1</v>
      </c>
    </row>
    <row r="20" spans="1:25" x14ac:dyDescent="0.2">
      <c r="A20" t="s">
        <v>184</v>
      </c>
      <c r="B20" s="25"/>
      <c r="C20" s="112" t="s">
        <v>22</v>
      </c>
      <c r="D20" s="112" t="s">
        <v>22</v>
      </c>
      <c r="E20" s="112" t="s">
        <v>22</v>
      </c>
      <c r="F20" s="132" t="s">
        <v>22</v>
      </c>
      <c r="G20" s="110" t="s">
        <v>22</v>
      </c>
      <c r="H20" s="153"/>
      <c r="M20" s="148" t="str">
        <f>IFERROR(C20-W11Q2FY26!C20,"OOS")</f>
        <v>OOS</v>
      </c>
      <c r="N20" s="146" t="e">
        <f t="shared" si="0"/>
        <v>#VALUE!</v>
      </c>
      <c r="O20" s="149" t="str">
        <f>IFERROR(D20-W11Q2FY26!D20,"OOS")</f>
        <v>OOS</v>
      </c>
      <c r="P20" s="146" t="e">
        <f t="shared" si="1"/>
        <v>#VALUE!</v>
      </c>
      <c r="Q20" s="149" t="str">
        <f>IFERROR(E20-W11Q2FY26!E20,"OOS")</f>
        <v>OOS</v>
      </c>
      <c r="R20" s="146" t="e">
        <f t="shared" si="2"/>
        <v>#VALUE!</v>
      </c>
      <c r="S20" s="149" t="str">
        <f>IFERROR(F20-W11Q2FY26!F20,"OOS")</f>
        <v>OOS</v>
      </c>
      <c r="T20" s="146" t="e">
        <f t="shared" si="3"/>
        <v>#VALUE!</v>
      </c>
      <c r="U20" s="149" t="str">
        <f>IFERROR(G20-W11Q2FY26!G20,"OOS")</f>
        <v>OOS</v>
      </c>
      <c r="V20" s="146" t="e">
        <f t="shared" si="4"/>
        <v>#VALUE!</v>
      </c>
      <c r="W20" t="s">
        <v>4</v>
      </c>
      <c r="X20" t="s">
        <v>38</v>
      </c>
      <c r="Y20" t="b">
        <v>1</v>
      </c>
    </row>
    <row r="21" spans="1:25" x14ac:dyDescent="0.2">
      <c r="A21" t="s">
        <v>185</v>
      </c>
      <c r="B21" s="3"/>
      <c r="C21" s="112" t="s">
        <v>22</v>
      </c>
      <c r="D21" s="112" t="s">
        <v>22</v>
      </c>
      <c r="E21" s="112" t="s">
        <v>22</v>
      </c>
      <c r="F21" s="112" t="s">
        <v>22</v>
      </c>
      <c r="G21" s="112" t="s">
        <v>22</v>
      </c>
      <c r="H21" s="153"/>
      <c r="M21" s="148" t="str">
        <f>IFERROR(C21-W11Q2FY26!C21,"OOS")</f>
        <v>OOS</v>
      </c>
      <c r="N21" s="146" t="e">
        <f t="shared" si="0"/>
        <v>#VALUE!</v>
      </c>
      <c r="O21" s="149" t="str">
        <f>IFERROR(D21-W11Q2FY26!D21,"OOS")</f>
        <v>OOS</v>
      </c>
      <c r="P21" s="146" t="e">
        <f t="shared" si="1"/>
        <v>#VALUE!</v>
      </c>
      <c r="Q21" s="149" t="str">
        <f>IFERROR(E21-W11Q2FY26!E21,"OOS")</f>
        <v>OOS</v>
      </c>
      <c r="R21" s="146" t="e">
        <f t="shared" si="2"/>
        <v>#VALUE!</v>
      </c>
      <c r="S21" s="149" t="str">
        <f>IFERROR(F21-W11Q2FY26!F21,"OOS")</f>
        <v>OOS</v>
      </c>
      <c r="T21" s="146" t="e">
        <f t="shared" si="3"/>
        <v>#VALUE!</v>
      </c>
      <c r="U21" s="149" t="str">
        <f>IFERROR(G21-W11Q2FY26!G21,"OOS")</f>
        <v>OOS</v>
      </c>
      <c r="V21" s="146" t="e">
        <f t="shared" si="4"/>
        <v>#VALUE!</v>
      </c>
      <c r="W21" t="s">
        <v>41</v>
      </c>
      <c r="X21" t="s">
        <v>42</v>
      </c>
      <c r="Y21" t="b">
        <v>1</v>
      </c>
    </row>
    <row r="22" spans="1:25" x14ac:dyDescent="0.2">
      <c r="A22" t="s">
        <v>40</v>
      </c>
      <c r="B22" s="3"/>
      <c r="C22" s="135">
        <v>29290000</v>
      </c>
      <c r="D22" s="135">
        <v>28990000</v>
      </c>
      <c r="E22" s="123">
        <v>28990000</v>
      </c>
      <c r="F22" s="133">
        <v>29390000</v>
      </c>
      <c r="G22" s="112">
        <v>28990000</v>
      </c>
      <c r="H22" s="153"/>
      <c r="M22" s="148">
        <f>IFERROR(C22-W11Q2FY26!C22,"OOS")</f>
        <v>0</v>
      </c>
      <c r="N22" s="146" t="str">
        <f t="shared" si="0"/>
        <v/>
      </c>
      <c r="O22" s="149">
        <f>IFERROR(D22-W11Q2FY26!D22,"OOS")</f>
        <v>0</v>
      </c>
      <c r="P22" s="146" t="str">
        <f t="shared" si="1"/>
        <v/>
      </c>
      <c r="Q22" s="149">
        <f>IFERROR(E22-W11Q2FY26!E22,"OOS")</f>
        <v>0</v>
      </c>
      <c r="R22" s="146" t="str">
        <f t="shared" si="2"/>
        <v/>
      </c>
      <c r="S22" s="149">
        <f>IFERROR(F22-W11Q2FY26!F22,"OOS")</f>
        <v>100000</v>
      </c>
      <c r="T22" s="146" t="str">
        <f t="shared" si="3"/>
        <v>iPad Pro M5 11” 256GB Wifi tăng 100K = 29390.0K</v>
      </c>
      <c r="U22" s="149">
        <f>IFERROR(G22-W11Q2FY26!G22,"OOS")</f>
        <v>0</v>
      </c>
      <c r="V22" s="146" t="str">
        <f t="shared" si="4"/>
        <v/>
      </c>
    </row>
    <row r="23" spans="1:25" x14ac:dyDescent="0.2">
      <c r="A23" t="s">
        <v>43</v>
      </c>
      <c r="B23" s="3"/>
      <c r="C23" s="135">
        <v>39290000</v>
      </c>
      <c r="D23" s="141">
        <v>38990000</v>
      </c>
      <c r="E23" s="112">
        <v>38990000</v>
      </c>
      <c r="F23" s="132">
        <v>38990000</v>
      </c>
      <c r="G23" s="112">
        <v>38990000</v>
      </c>
      <c r="H23" s="153"/>
      <c r="M23" s="148">
        <f>IFERROR(C23-W11Q2FY26!C23,"OOS")</f>
        <v>0</v>
      </c>
      <c r="N23" s="146" t="str">
        <f t="shared" si="0"/>
        <v/>
      </c>
      <c r="O23" s="149">
        <f>IFERROR(D23-W11Q2FY26!D23,"OOS")</f>
        <v>0</v>
      </c>
      <c r="P23" s="146" t="str">
        <f t="shared" si="1"/>
        <v/>
      </c>
      <c r="Q23" s="149">
        <f>IFERROR(E23-W11Q2FY26!E23,"OOS")</f>
        <v>0</v>
      </c>
      <c r="R23" s="146" t="str">
        <f t="shared" si="2"/>
        <v/>
      </c>
      <c r="S23" s="149">
        <f>IFERROR(F23-W11Q2FY26!F23,"OOS")</f>
        <v>0</v>
      </c>
      <c r="T23" s="146" t="str">
        <f t="shared" si="3"/>
        <v/>
      </c>
      <c r="U23" s="149">
        <f>IFERROR(G23-W11Q2FY26!G23,"OOS")</f>
        <v>0</v>
      </c>
      <c r="V23" s="146" t="str">
        <f t="shared" si="4"/>
        <v/>
      </c>
    </row>
    <row r="24" spans="1:25" x14ac:dyDescent="0.2">
      <c r="A24" t="s">
        <v>44</v>
      </c>
      <c r="B24" s="25"/>
      <c r="C24" s="140">
        <v>6790000</v>
      </c>
      <c r="D24" s="140">
        <v>6790000</v>
      </c>
      <c r="E24" s="139">
        <v>6490000</v>
      </c>
      <c r="F24" s="133">
        <v>6790000</v>
      </c>
      <c r="G24" s="123">
        <v>6590000</v>
      </c>
      <c r="H24" s="153"/>
      <c r="M24" s="148">
        <f>IFERROR(C24-W11Q2FY26!C24,"OOS")</f>
        <v>400000</v>
      </c>
      <c r="N24" s="146" t="str">
        <f t="shared" si="0"/>
        <v>AW SE 3 (40mm GPS) tăng 400K = 6790.0K</v>
      </c>
      <c r="O24" s="149">
        <f>IFERROR(D24-W11Q2FY26!D24,"OOS")</f>
        <v>500000</v>
      </c>
      <c r="P24" s="146" t="str">
        <f t="shared" si="1"/>
        <v>AW SE 3 (40mm GPS) tăng 500K = 6790.0K</v>
      </c>
      <c r="Q24" s="149">
        <f>IFERROR(E24-W11Q2FY26!E24,"OOS")</f>
        <v>300000</v>
      </c>
      <c r="R24" s="146" t="str">
        <f t="shared" si="2"/>
        <v>AW SE 3 (40mm GPS) tăng 300K = 6490.0K</v>
      </c>
      <c r="S24" s="149">
        <f>IFERROR(F24-W11Q2FY26!F24,"OOS")</f>
        <v>600000</v>
      </c>
      <c r="T24" s="146" t="str">
        <f t="shared" si="3"/>
        <v>AW SE 3 (40mm GPS) tăng 600K = 6790.0K</v>
      </c>
      <c r="U24" s="149">
        <f>IFERROR(G24-W11Q2FY26!G24,"OOS")</f>
        <v>300000</v>
      </c>
      <c r="V24" s="146" t="str">
        <f t="shared" si="4"/>
        <v>AW SE 3 (40mm GPS) tăng 300K = 6590.0K</v>
      </c>
    </row>
    <row r="25" spans="1:25" x14ac:dyDescent="0.2">
      <c r="A25" t="s">
        <v>45</v>
      </c>
      <c r="B25" s="25"/>
      <c r="C25" s="140">
        <v>8390000</v>
      </c>
      <c r="D25" s="140">
        <v>8290000</v>
      </c>
      <c r="E25" s="154">
        <v>7990000</v>
      </c>
      <c r="F25" s="133">
        <v>8390000</v>
      </c>
      <c r="G25" s="123">
        <v>8190000</v>
      </c>
      <c r="H25" s="153"/>
      <c r="M25" s="148">
        <f>IFERROR(C25-W11Q2FY26!C25,"OOS")</f>
        <v>400000</v>
      </c>
      <c r="N25" s="146" t="str">
        <f t="shared" si="0"/>
        <v>AW SE 3 (40mm LTE) tăng 400K = 8390.0K</v>
      </c>
      <c r="O25" s="149">
        <f>IFERROR(D25-W11Q2FY26!D25,"OOS")</f>
        <v>600000</v>
      </c>
      <c r="P25" s="146" t="str">
        <f t="shared" si="1"/>
        <v>AW SE 3 (40mm LTE) tăng 600K = 8290.0K</v>
      </c>
      <c r="Q25" s="149">
        <f>IFERROR(E25-W11Q2FY26!E25,"OOS")</f>
        <v>200000</v>
      </c>
      <c r="R25" s="146" t="str">
        <f t="shared" si="2"/>
        <v>AW SE 3 (40mm LTE) tăng 200K = 7990.0K</v>
      </c>
      <c r="S25" s="149">
        <f>IFERROR(F25-W11Q2FY26!F25,"OOS")</f>
        <v>500000</v>
      </c>
      <c r="T25" s="146" t="str">
        <f t="shared" si="3"/>
        <v>AW SE 3 (40mm LTE) tăng 500K = 8390.0K</v>
      </c>
      <c r="U25" s="149">
        <f>IFERROR(G25-W11Q2FY26!G25,"OOS")</f>
        <v>500000</v>
      </c>
      <c r="V25" s="146" t="str">
        <f t="shared" si="4"/>
        <v>AW SE 3 (40mm LTE) tăng 500K = 8190.0K</v>
      </c>
    </row>
    <row r="26" spans="1:25" x14ac:dyDescent="0.2">
      <c r="A26" t="s">
        <v>46</v>
      </c>
      <c r="B26" s="25"/>
      <c r="C26" s="140">
        <v>7690000</v>
      </c>
      <c r="D26" s="135">
        <v>6990000</v>
      </c>
      <c r="E26" s="139">
        <v>7390000</v>
      </c>
      <c r="F26" s="133">
        <v>7690000</v>
      </c>
      <c r="G26" s="123">
        <v>7490000</v>
      </c>
      <c r="H26" s="153"/>
      <c r="M26" s="148">
        <f>IFERROR(C26-W11Q2FY26!C26,"OOS")</f>
        <v>400000</v>
      </c>
      <c r="N26" s="146" t="str">
        <f t="shared" si="0"/>
        <v>AW SE 3 (44mm GPS) tăng 400K = 7690.0K</v>
      </c>
      <c r="O26" s="149">
        <f>IFERROR(D26-W11Q2FY26!D26,"OOS")</f>
        <v>0</v>
      </c>
      <c r="P26" s="146" t="str">
        <f t="shared" si="1"/>
        <v/>
      </c>
      <c r="Q26" s="149">
        <f>IFERROR(E26-W11Q2FY26!E26,"OOS")</f>
        <v>400000</v>
      </c>
      <c r="R26" s="146" t="str">
        <f t="shared" si="2"/>
        <v>AW SE 3 (44mm GPS) tăng 400K = 7390.0K</v>
      </c>
      <c r="S26" s="149">
        <f>IFERROR(F26-W11Q2FY26!F26,"OOS")</f>
        <v>600000</v>
      </c>
      <c r="T26" s="146" t="str">
        <f t="shared" si="3"/>
        <v>AW SE 3 (44mm GPS) tăng 600K = 7690.0K</v>
      </c>
      <c r="U26" s="149">
        <f>IFERROR(G26-W11Q2FY26!G26,"OOS")</f>
        <v>300000</v>
      </c>
      <c r="V26" s="146" t="str">
        <f t="shared" si="4"/>
        <v>AW SE 3 (44mm GPS) tăng 300K = 7490.0K</v>
      </c>
    </row>
    <row r="27" spans="1:25" x14ac:dyDescent="0.2">
      <c r="A27" t="s">
        <v>47</v>
      </c>
      <c r="B27" s="25"/>
      <c r="C27" s="140">
        <v>9190000</v>
      </c>
      <c r="D27" s="140">
        <v>9190000</v>
      </c>
      <c r="E27" s="139">
        <v>8990000</v>
      </c>
      <c r="F27" s="133">
        <v>9190000</v>
      </c>
      <c r="G27" s="123">
        <v>8790000</v>
      </c>
      <c r="H27" s="153"/>
      <c r="M27" s="148">
        <f>IFERROR(C27-W11Q2FY26!C27,"OOS")</f>
        <v>400000</v>
      </c>
      <c r="N27" s="146" t="str">
        <f t="shared" si="0"/>
        <v>AW SE 3 (44mm LTE) tăng 400K = 9190.0K</v>
      </c>
      <c r="O27" s="149">
        <f>IFERROR(D27-W11Q2FY26!D27,"OOS")</f>
        <v>700000</v>
      </c>
      <c r="P27" s="146" t="str">
        <f t="shared" si="1"/>
        <v>AW SE 3 (44mm LTE) tăng 700K = 9190.0K</v>
      </c>
      <c r="Q27" s="149">
        <f>IFERROR(E27-W11Q2FY26!E27,"OOS")</f>
        <v>400000</v>
      </c>
      <c r="R27" s="146" t="str">
        <f t="shared" si="2"/>
        <v>AW SE 3 (44mm LTE) tăng 400K = 8990.0K</v>
      </c>
      <c r="S27" s="149">
        <f>IFERROR(F27-W11Q2FY26!F27,"OOS")</f>
        <v>500000</v>
      </c>
      <c r="T27" s="146" t="str">
        <f t="shared" si="3"/>
        <v>AW SE 3 (44mm LTE) tăng 500K = 9190.0K</v>
      </c>
      <c r="U27" s="149">
        <f>IFERROR(G27-W11Q2FY26!G27,"OOS")</f>
        <v>100000</v>
      </c>
      <c r="V27" s="146" t="str">
        <f t="shared" si="4"/>
        <v>AW SE 3 (44mm LTE) tăng 100K = 8790.0K</v>
      </c>
    </row>
    <row r="28" spans="1:25" x14ac:dyDescent="0.2">
      <c r="A28" t="s">
        <v>48</v>
      </c>
      <c r="B28" s="3"/>
      <c r="C28" s="140">
        <v>11190000</v>
      </c>
      <c r="D28" s="140">
        <v>11190000</v>
      </c>
      <c r="E28" s="139">
        <v>10690000</v>
      </c>
      <c r="F28" s="133">
        <v>11190000</v>
      </c>
      <c r="G28" s="123">
        <v>10990000</v>
      </c>
      <c r="H28" s="153"/>
      <c r="M28" s="148">
        <f>IFERROR(C28-W11Q2FY26!C28,"OOS")</f>
        <v>2000000</v>
      </c>
      <c r="N28" s="146" t="str">
        <f t="shared" si="0"/>
        <v>AW S11 (42mm GPS) tăng 2000K = 11190.0K</v>
      </c>
      <c r="O28" s="149">
        <f>IFERROR(D28-W11Q2FY26!D28,"OOS")</f>
        <v>2000000</v>
      </c>
      <c r="P28" s="146" t="str">
        <f t="shared" si="1"/>
        <v>AW S11 (42mm GPS) tăng 2000K = 11190.0K</v>
      </c>
      <c r="Q28" s="149">
        <f>IFERROR(E28-W11Q2FY26!E28,"OOS")</f>
        <v>1700000</v>
      </c>
      <c r="R28" s="146" t="str">
        <f t="shared" si="2"/>
        <v>AW S11 (42mm GPS) tăng 1700K = 10690.0K</v>
      </c>
      <c r="S28" s="149">
        <f>IFERROR(F28-W11Q2FY26!F28,"OOS")</f>
        <v>2200000</v>
      </c>
      <c r="T28" s="146" t="str">
        <f t="shared" si="3"/>
        <v>AW S11 (42mm GPS) tăng 2200K = 11190.0K</v>
      </c>
      <c r="U28" s="149">
        <f>IFERROR(G28-W11Q2FY26!G28,"OOS")</f>
        <v>2000000</v>
      </c>
      <c r="V28" s="146" t="str">
        <f t="shared" si="4"/>
        <v>AW S11 (42mm GPS) tăng 2000K = 10990.0K</v>
      </c>
    </row>
    <row r="29" spans="1:25" x14ac:dyDescent="0.2">
      <c r="A29" t="s">
        <v>49</v>
      </c>
      <c r="B29" s="3"/>
      <c r="C29" s="140">
        <v>14090000</v>
      </c>
      <c r="D29" s="140">
        <v>14090000</v>
      </c>
      <c r="E29" s="139">
        <v>13990000</v>
      </c>
      <c r="F29" s="133">
        <v>14090000</v>
      </c>
      <c r="G29" s="123">
        <v>13990000</v>
      </c>
      <c r="H29" s="153"/>
      <c r="M29" s="148">
        <f>IFERROR(C29-W11Q2FY26!C29,"OOS")</f>
        <v>2000000</v>
      </c>
      <c r="N29" s="146" t="str">
        <f t="shared" si="0"/>
        <v>AW S11 (42mm CEL) tăng 2000K = 14090.0K</v>
      </c>
      <c r="O29" s="149">
        <f>IFERROR(D29-W11Q2FY26!D29,"OOS")</f>
        <v>2100000</v>
      </c>
      <c r="P29" s="146" t="str">
        <f t="shared" si="1"/>
        <v>AW S11 (42mm CEL) tăng 2100K = 14090.0K</v>
      </c>
      <c r="Q29" s="149">
        <f>IFERROR(E29-W11Q2FY26!E29,"OOS")</f>
        <v>2000000</v>
      </c>
      <c r="R29" s="146" t="str">
        <f t="shared" si="2"/>
        <v>AW S11 (42mm CEL) tăng 2000K = 13990.0K</v>
      </c>
      <c r="S29" s="149">
        <f>IFERROR(F29-W11Q2FY26!F29,"OOS")</f>
        <v>2000000</v>
      </c>
      <c r="T29" s="146" t="str">
        <f t="shared" si="3"/>
        <v>AW S11 (42mm CEL) tăng 2000K = 14090.0K</v>
      </c>
      <c r="U29" s="149">
        <f>IFERROR(G29-W11Q2FY26!G29,"OOS")</f>
        <v>2000000</v>
      </c>
      <c r="V29" s="146" t="str">
        <f t="shared" si="4"/>
        <v>AW S11 (42mm CEL) tăng 2000K = 13990.0K</v>
      </c>
    </row>
    <row r="30" spans="1:25" x14ac:dyDescent="0.2">
      <c r="A30" t="s">
        <v>50</v>
      </c>
      <c r="B30" s="3"/>
      <c r="C30" s="140">
        <v>11990000</v>
      </c>
      <c r="D30" s="135">
        <v>11990000</v>
      </c>
      <c r="E30" s="139">
        <v>11490000</v>
      </c>
      <c r="F30" s="133">
        <v>11990000</v>
      </c>
      <c r="G30" s="111">
        <v>11890000</v>
      </c>
      <c r="H30" s="153"/>
      <c r="M30" s="148">
        <f>IFERROR(C30-W11Q2FY26!C30,"OOS")</f>
        <v>2000000</v>
      </c>
      <c r="N30" s="146" t="str">
        <f t="shared" si="0"/>
        <v>AW S11 (46mm GPS) tăng 2000K = 11990.0K</v>
      </c>
      <c r="O30" s="149">
        <f>IFERROR(D30-W11Q2FY26!D30,"OOS")</f>
        <v>2000000</v>
      </c>
      <c r="P30" s="146" t="str">
        <f t="shared" si="1"/>
        <v>AW S11 (46mm GPS) tăng 2000K = 11990.0K</v>
      </c>
      <c r="Q30" s="149">
        <f>IFERROR(E30-W11Q2FY26!E30,"OOS")</f>
        <v>1800000</v>
      </c>
      <c r="R30" s="146" t="str">
        <f t="shared" si="2"/>
        <v>AW S11 (46mm GPS) tăng 1800K = 11490.0K</v>
      </c>
      <c r="S30" s="149">
        <f>IFERROR(F30-W11Q2FY26!F30,"OOS")</f>
        <v>2200000</v>
      </c>
      <c r="T30" s="146" t="str">
        <f t="shared" si="3"/>
        <v>AW S11 (46mm GPS) tăng 2200K = 11990.0K</v>
      </c>
      <c r="U30" s="149">
        <f>IFERROR(G30-W11Q2FY26!G30,"OOS")</f>
        <v>1900000</v>
      </c>
      <c r="V30" s="146" t="str">
        <f t="shared" si="4"/>
        <v>AW S11 (46mm GPS) tăng 1900K = 11890.0K</v>
      </c>
    </row>
    <row r="31" spans="1:25" x14ac:dyDescent="0.2">
      <c r="A31" t="s">
        <v>51</v>
      </c>
      <c r="B31" s="3"/>
      <c r="C31" s="135" t="s">
        <v>22</v>
      </c>
      <c r="D31" s="140">
        <v>14990000</v>
      </c>
      <c r="E31" s="139">
        <v>14490000</v>
      </c>
      <c r="F31" s="133">
        <v>14990000</v>
      </c>
      <c r="G31" s="111">
        <v>14890000</v>
      </c>
      <c r="H31" s="153"/>
      <c r="M31" s="148" t="str">
        <f>IFERROR(C31-W11Q2FY26!C31,"OOS")</f>
        <v>OOS</v>
      </c>
      <c r="N31" s="146" t="e">
        <f t="shared" si="0"/>
        <v>#VALUE!</v>
      </c>
      <c r="O31" s="149">
        <f>IFERROR(D31-W11Q2FY26!D31,"OOS")</f>
        <v>2500000</v>
      </c>
      <c r="P31" s="146" t="str">
        <f t="shared" si="1"/>
        <v>AW S11 (46mm CEL) tăng 2500K = 14990.0K</v>
      </c>
      <c r="Q31" s="149">
        <f>IFERROR(E31-W11Q2FY26!E31,"OOS")</f>
        <v>2000000</v>
      </c>
      <c r="R31" s="146" t="str">
        <f t="shared" si="2"/>
        <v>AW S11 (46mm CEL) tăng 2000K = 14490.0K</v>
      </c>
      <c r="S31" s="149">
        <f>IFERROR(F31-W11Q2FY26!F31,"OOS")</f>
        <v>2100000</v>
      </c>
      <c r="T31" s="146" t="str">
        <f t="shared" si="3"/>
        <v>AW S11 (46mm CEL) tăng 2100K = 14990.0K</v>
      </c>
      <c r="U31" s="149">
        <f>IFERROR(G31-W11Q2FY26!G31,"OOS")</f>
        <v>1900000</v>
      </c>
      <c r="V31" s="146" t="str">
        <f t="shared" si="4"/>
        <v>AW S11 (46mm CEL) tăng 1900K = 14890.0K</v>
      </c>
    </row>
    <row r="32" spans="1:25" x14ac:dyDescent="0.2">
      <c r="A32" t="s">
        <v>52</v>
      </c>
      <c r="B32" s="25"/>
      <c r="C32" s="135">
        <v>23490000</v>
      </c>
      <c r="D32" s="135">
        <v>22990000</v>
      </c>
      <c r="E32" s="112">
        <v>22490000</v>
      </c>
      <c r="F32" s="132">
        <v>23190000</v>
      </c>
      <c r="G32" s="110">
        <v>22990000</v>
      </c>
      <c r="H32" s="153"/>
      <c r="M32" s="148">
        <f>IFERROR(C32-W11Q2FY26!C32,"OOS")</f>
        <v>0</v>
      </c>
      <c r="N32" s="146" t="str">
        <f t="shared" si="0"/>
        <v/>
      </c>
      <c r="O32" s="149">
        <f>IFERROR(D32-W11Q2FY26!D32,"OOS")</f>
        <v>0</v>
      </c>
      <c r="P32" s="146" t="str">
        <f t="shared" si="1"/>
        <v/>
      </c>
      <c r="Q32" s="149">
        <f>IFERROR(E32-W11Q2FY26!E32,"OOS")</f>
        <v>0</v>
      </c>
      <c r="R32" s="146" t="str">
        <f t="shared" si="2"/>
        <v/>
      </c>
      <c r="S32" s="149">
        <f>IFERROR(F32-W11Q2FY26!F32,"OOS")</f>
        <v>200000</v>
      </c>
      <c r="T32" s="146" t="str">
        <f t="shared" si="3"/>
        <v>AW Ultra 3 (49mm) tăng 200K = 23190.0K</v>
      </c>
      <c r="U32" s="149">
        <f>IFERROR(G32-W11Q2FY26!G32,"OOS")</f>
        <v>0</v>
      </c>
      <c r="V32" s="146" t="str">
        <f t="shared" si="4"/>
        <v/>
      </c>
    </row>
    <row r="33" spans="1:22" x14ac:dyDescent="0.2">
      <c r="A33" t="s">
        <v>53</v>
      </c>
      <c r="B33" s="3"/>
      <c r="C33" s="140">
        <v>5190000</v>
      </c>
      <c r="D33" s="135" t="s">
        <v>22</v>
      </c>
      <c r="E33" s="130" t="s">
        <v>22</v>
      </c>
      <c r="F33" s="133">
        <v>5190000</v>
      </c>
      <c r="G33" s="110">
        <v>5590000</v>
      </c>
      <c r="H33" s="153"/>
      <c r="M33" s="148">
        <f>IFERROR(C33-W11Q2FY26!C33,"OOS")</f>
        <v>200000</v>
      </c>
      <c r="N33" s="146" t="str">
        <f t="shared" si="0"/>
        <v>AirPods Pro 2 - 2023 (C-Type) tăng 200K = 5190.0K</v>
      </c>
      <c r="O33" s="149" t="str">
        <f>IFERROR(D33-W11Q2FY26!D33,"OOS")</f>
        <v>OOS</v>
      </c>
      <c r="P33" s="146" t="e">
        <f t="shared" si="1"/>
        <v>#VALUE!</v>
      </c>
      <c r="Q33" s="149" t="str">
        <f>IFERROR(E33-W11Q2FY26!E33,"OOS")</f>
        <v>OOS</v>
      </c>
      <c r="R33" s="146" t="e">
        <f t="shared" si="2"/>
        <v>#VALUE!</v>
      </c>
      <c r="S33" s="149">
        <f>IFERROR(F33-W11Q2FY26!F33,"OOS")</f>
        <v>200000</v>
      </c>
      <c r="T33" s="146" t="str">
        <f t="shared" si="3"/>
        <v>AirPods Pro 2 - 2023 (C-Type) tăng 200K = 5190.0K</v>
      </c>
      <c r="U33" s="149">
        <f>IFERROR(G33-W11Q2FY26!G33,"OOS")</f>
        <v>0</v>
      </c>
      <c r="V33" s="146" t="str">
        <f t="shared" si="4"/>
        <v/>
      </c>
    </row>
    <row r="34" spans="1:22" x14ac:dyDescent="0.2">
      <c r="A34" t="s">
        <v>54</v>
      </c>
      <c r="B34" s="3"/>
      <c r="C34" s="140">
        <v>4690000</v>
      </c>
      <c r="D34" s="140">
        <v>4590000</v>
      </c>
      <c r="E34" s="154">
        <v>4290000</v>
      </c>
      <c r="F34" s="133">
        <v>4650000</v>
      </c>
      <c r="G34" s="111">
        <v>4390000</v>
      </c>
      <c r="H34" s="153"/>
      <c r="M34" s="148">
        <f>IFERROR(C34-W11Q2FY26!C34,"OOS")</f>
        <v>300000</v>
      </c>
      <c r="N34" s="146" t="str">
        <f t="shared" si="0"/>
        <v>AirPods 4 ANC tăng 300K = 4690.0K</v>
      </c>
      <c r="O34" s="149">
        <f>IFERROR(D34-W11Q2FY26!D34,"OOS")</f>
        <v>300000</v>
      </c>
      <c r="P34" s="146" t="str">
        <f t="shared" si="1"/>
        <v>AirPods 4 ANC tăng 300K = 4590.0K</v>
      </c>
      <c r="Q34" s="149">
        <f>IFERROR(E34-W11Q2FY26!E34,"OOS")</f>
        <v>-100000</v>
      </c>
      <c r="R34" s="146" t="str">
        <f t="shared" si="2"/>
        <v>AirPods 4 ANC giảm 100K = 4290.0K</v>
      </c>
      <c r="S34" s="149">
        <f>IFERROR(F34-W11Q2FY26!F34,"OOS")</f>
        <v>260000</v>
      </c>
      <c r="T34" s="146" t="str">
        <f t="shared" si="3"/>
        <v>AirPods 4 ANC tăng 260K = 4650.0K</v>
      </c>
      <c r="U34" s="149">
        <f>IFERROR(G34-W11Q2FY26!G34,"OOS")</f>
        <v>100000</v>
      </c>
      <c r="V34" s="146" t="str">
        <f t="shared" si="4"/>
        <v>AirPods 4 ANC tăng 100K = 4390.0K</v>
      </c>
    </row>
    <row r="35" spans="1:22" x14ac:dyDescent="0.2">
      <c r="A35" t="s">
        <v>55</v>
      </c>
      <c r="B35" s="3"/>
      <c r="C35" s="140">
        <v>3490000</v>
      </c>
      <c r="D35" s="140">
        <v>3490000</v>
      </c>
      <c r="E35" s="154">
        <v>3290000</v>
      </c>
      <c r="F35" s="133">
        <v>3490000</v>
      </c>
      <c r="G35" s="123">
        <v>3290000</v>
      </c>
      <c r="H35" s="153"/>
      <c r="M35" s="148">
        <f>IFERROR(C35-W11Q2FY26!C35,"OOS")</f>
        <v>500000</v>
      </c>
      <c r="N35" s="146" t="str">
        <f t="shared" si="0"/>
        <v>AirPods 4 with charging case tăng 500K = 3490.0K</v>
      </c>
      <c r="O35" s="149">
        <f>IFERROR(D35-W11Q2FY26!D35,"OOS")</f>
        <v>700000</v>
      </c>
      <c r="P35" s="146" t="str">
        <f t="shared" si="1"/>
        <v>AirPods 4 with charging case tăng 700K = 3490.0K</v>
      </c>
      <c r="Q35" s="149">
        <f>IFERROR(E35-W11Q2FY26!E35,"OOS")</f>
        <v>300000</v>
      </c>
      <c r="R35" s="146" t="str">
        <f t="shared" si="2"/>
        <v>AirPods 4 with charging case tăng 300K = 3290.0K</v>
      </c>
      <c r="S35" s="149">
        <f>IFERROR(F35-W11Q2FY26!F35,"OOS")</f>
        <v>500000</v>
      </c>
      <c r="T35" s="146" t="str">
        <f t="shared" si="3"/>
        <v>AirPods 4 with charging case tăng 500K = 3490.0K</v>
      </c>
      <c r="U35" s="149">
        <f>IFERROR(G35-W11Q2FY26!G35,"OOS")</f>
        <v>300000</v>
      </c>
      <c r="V35" s="146" t="str">
        <f t="shared" si="4"/>
        <v>AirPods 4 with charging case tăng 300K = 3290.0K</v>
      </c>
    </row>
    <row r="36" spans="1:22" x14ac:dyDescent="0.2">
      <c r="A36" t="s">
        <v>56</v>
      </c>
      <c r="B36" s="3"/>
      <c r="C36" s="140">
        <v>6590000</v>
      </c>
      <c r="D36" s="140">
        <v>6590000</v>
      </c>
      <c r="E36" s="134">
        <v>6290000</v>
      </c>
      <c r="F36" s="133">
        <v>6590000</v>
      </c>
      <c r="G36" s="112">
        <v>6390000</v>
      </c>
      <c r="H36" s="153"/>
      <c r="M36" s="148">
        <f>IFERROR(C36-W11Q2FY26!C36,"OOS")</f>
        <v>200000</v>
      </c>
      <c r="N36" s="146" t="str">
        <f t="shared" si="0"/>
        <v>AirPods Pro 3 tăng 200K = 6590.0K</v>
      </c>
      <c r="O36" s="149">
        <f>IFERROR(D36-W11Q2FY26!D36,"OOS")</f>
        <v>300000</v>
      </c>
      <c r="P36" s="146" t="str">
        <f t="shared" si="1"/>
        <v>AirPods Pro 3 tăng 300K = 6590.0K</v>
      </c>
      <c r="Q36" s="149">
        <f>IFERROR(E36-W11Q2FY26!E36,"OOS")</f>
        <v>0</v>
      </c>
      <c r="R36" s="146" t="str">
        <f t="shared" si="2"/>
        <v/>
      </c>
      <c r="S36" s="149">
        <f>IFERROR(F36-W11Q2FY26!F36,"OOS")</f>
        <v>200000</v>
      </c>
      <c r="T36" s="146" t="str">
        <f t="shared" si="3"/>
        <v>AirPods Pro 3 tăng 200K = 6590.0K</v>
      </c>
      <c r="U36" s="149">
        <f>IFERROR(G36-W11Q2FY26!G36,"OOS")</f>
        <v>0</v>
      </c>
      <c r="V36" s="146" t="str">
        <f t="shared" si="4"/>
        <v/>
      </c>
    </row>
    <row r="37" spans="1:22" x14ac:dyDescent="0.2">
      <c r="A37" t="s">
        <v>186</v>
      </c>
      <c r="B37" s="25"/>
      <c r="C37" s="135">
        <v>19990000</v>
      </c>
      <c r="D37" s="135">
        <v>19990000</v>
      </c>
      <c r="E37" s="142"/>
      <c r="F37" s="133">
        <v>19990000</v>
      </c>
      <c r="G37" s="110">
        <v>18990000</v>
      </c>
      <c r="H37" s="153"/>
      <c r="M37" s="148">
        <f>IFERROR(C37-W11Q2FY26!C37,"OOS")</f>
        <v>0</v>
      </c>
      <c r="N37" s="146" t="str">
        <f t="shared" si="0"/>
        <v/>
      </c>
      <c r="O37" s="149">
        <f>IFERROR(D37-W11Q2FY26!D37,"OOS")</f>
        <v>0</v>
      </c>
      <c r="P37" s="146" t="str">
        <f t="shared" si="1"/>
        <v/>
      </c>
      <c r="Q37" s="149">
        <f>IFERROR(E37-W11Q2FY26!E37,"OOS")</f>
        <v>0</v>
      </c>
      <c r="R37" s="146" t="str">
        <f t="shared" si="2"/>
        <v/>
      </c>
      <c r="S37" s="149">
        <f>IFERROR(F37-W11Q2FY26!F37,"OOS")</f>
        <v>-200000</v>
      </c>
      <c r="T37" s="146" t="str">
        <f t="shared" si="3"/>
        <v>MacBook Air 13" M2 16/256GB giảm 200K = 19990.0K</v>
      </c>
      <c r="U37" s="149">
        <f>IFERROR(G37-W11Q2FY26!G37,"OOS")</f>
        <v>0</v>
      </c>
      <c r="V37" s="146" t="str">
        <f t="shared" si="4"/>
        <v/>
      </c>
    </row>
    <row r="38" spans="1:22" x14ac:dyDescent="0.2">
      <c r="A38" t="s">
        <v>57</v>
      </c>
      <c r="B38" s="25"/>
      <c r="C38" s="135">
        <v>29990000</v>
      </c>
      <c r="D38" s="135">
        <v>29990000</v>
      </c>
      <c r="E38" s="142"/>
      <c r="F38" s="110">
        <v>29990000</v>
      </c>
      <c r="G38" s="110">
        <v>29990000</v>
      </c>
      <c r="H38" s="153"/>
      <c r="M38" s="148">
        <f>IFERROR(C38-W11Q2FY26!C38,"OOS")</f>
        <v>0</v>
      </c>
      <c r="N38" s="146" t="str">
        <f t="shared" si="0"/>
        <v/>
      </c>
      <c r="O38" s="149">
        <f>IFERROR(D38-W11Q2FY26!D38,"OOS")</f>
        <v>0</v>
      </c>
      <c r="P38" s="146" t="str">
        <f t="shared" si="1"/>
        <v/>
      </c>
      <c r="Q38" s="149">
        <f>IFERROR(E38-W11Q2FY26!E38,"OOS")</f>
        <v>0</v>
      </c>
      <c r="R38" s="146" t="str">
        <f t="shared" si="2"/>
        <v/>
      </c>
      <c r="S38" s="149">
        <f>IFERROR(F38-W11Q2FY26!F38,"OOS")</f>
        <v>0</v>
      </c>
      <c r="T38" s="146" t="str">
        <f t="shared" si="3"/>
        <v/>
      </c>
      <c r="U38" s="149">
        <f>IFERROR(G38-W11Q2FY26!G38,"OOS")</f>
        <v>0</v>
      </c>
      <c r="V38" s="146" t="str">
        <f t="shared" si="4"/>
        <v/>
      </c>
    </row>
    <row r="39" spans="1:22" x14ac:dyDescent="0.2">
      <c r="A39" t="s">
        <v>58</v>
      </c>
      <c r="B39" s="25"/>
      <c r="C39" s="135">
        <v>16490000</v>
      </c>
      <c r="D39" s="135">
        <v>16490000</v>
      </c>
      <c r="E39" s="142"/>
      <c r="F39" s="110">
        <v>16490000</v>
      </c>
      <c r="G39" s="110">
        <v>16499000</v>
      </c>
      <c r="H39" s="153"/>
      <c r="M39" s="148">
        <f>IFERROR(C39-W11Q2FY26!C39,"OOS")</f>
        <v>0</v>
      </c>
      <c r="N39" s="146" t="str">
        <f t="shared" si="0"/>
        <v/>
      </c>
      <c r="O39" s="149">
        <f>IFERROR(D39-W11Q2FY26!D39,"OOS")</f>
        <v>0</v>
      </c>
      <c r="P39" s="146" t="str">
        <f t="shared" si="1"/>
        <v/>
      </c>
      <c r="Q39" s="149">
        <f>IFERROR(E39-W11Q2FY26!E39,"OOS")</f>
        <v>0</v>
      </c>
      <c r="R39" s="146" t="str">
        <f t="shared" si="2"/>
        <v/>
      </c>
      <c r="S39" s="149">
        <f>IFERROR(F39-W11Q2FY26!F39,"OOS")</f>
        <v>0</v>
      </c>
      <c r="T39" s="146" t="str">
        <f t="shared" si="3"/>
        <v/>
      </c>
      <c r="U39" s="149">
        <f>IFERROR(G39-W11Q2FY26!G39,"OOS")</f>
        <v>0</v>
      </c>
      <c r="V39" s="146" t="str">
        <f t="shared" si="4"/>
        <v/>
      </c>
    </row>
    <row r="40" spans="1:22" x14ac:dyDescent="0.2">
      <c r="A40" t="s">
        <v>59</v>
      </c>
      <c r="B40" s="3"/>
      <c r="C40" s="140">
        <v>24990000</v>
      </c>
      <c r="D40" s="140">
        <v>24590000</v>
      </c>
      <c r="E40" s="142"/>
      <c r="F40" s="133">
        <v>24990000</v>
      </c>
      <c r="G40" s="111">
        <v>24590000</v>
      </c>
      <c r="H40" s="153"/>
      <c r="M40" s="148">
        <f>IFERROR(C40-W11Q2FY26!C40,"OOS")</f>
        <v>400000</v>
      </c>
      <c r="N40" s="146" t="str">
        <f t="shared" si="0"/>
        <v>MacBook Air 13" M4 16/256GB tăng 400K = 24990.0K</v>
      </c>
      <c r="O40" s="149">
        <f>IFERROR(D40-W11Q2FY26!D40,"OOS")</f>
        <v>-600000</v>
      </c>
      <c r="P40" s="146" t="str">
        <f t="shared" si="1"/>
        <v>MacBook Air 13" M4 16/256GB giảm 600K = 24590.0K</v>
      </c>
      <c r="Q40" s="149">
        <f>IFERROR(E40-W11Q2FY26!E40,"OOS")</f>
        <v>0</v>
      </c>
      <c r="R40" s="146" t="str">
        <f t="shared" si="2"/>
        <v/>
      </c>
      <c r="S40" s="149">
        <f>IFERROR(F40-W11Q2FY26!F40,"OOS")</f>
        <v>-200000</v>
      </c>
      <c r="T40" s="146" t="str">
        <f t="shared" si="3"/>
        <v>MacBook Air 13" M4 16/256GB giảm 200K = 24990.0K</v>
      </c>
      <c r="U40" s="149">
        <f>IFERROR(G40-W11Q2FY26!G40,"OOS")</f>
        <v>-100000</v>
      </c>
      <c r="V40" s="146" t="str">
        <f t="shared" si="4"/>
        <v>MacBook Air 13" M4 16/256GB giảm 100K = 24590.0K</v>
      </c>
    </row>
    <row r="41" spans="1:22" x14ac:dyDescent="0.2">
      <c r="A41" t="s">
        <v>61</v>
      </c>
      <c r="B41" s="25"/>
      <c r="C41" s="135">
        <v>29990000</v>
      </c>
      <c r="D41" s="135">
        <v>29990000</v>
      </c>
      <c r="E41" s="142"/>
      <c r="F41" s="132">
        <v>29990000</v>
      </c>
      <c r="G41" s="110">
        <v>28990000</v>
      </c>
      <c r="H41" s="153"/>
      <c r="M41" s="148">
        <f>IFERROR(C41-W11Q2FY26!C41,"OOS")</f>
        <v>0</v>
      </c>
      <c r="N41" s="146" t="str">
        <f t="shared" si="0"/>
        <v/>
      </c>
      <c r="O41" s="149">
        <f>IFERROR(D41-W11Q2FY26!D41,"OOS")</f>
        <v>0</v>
      </c>
      <c r="P41" s="146" t="str">
        <f t="shared" si="1"/>
        <v/>
      </c>
      <c r="Q41" s="149">
        <f>IFERROR(E41-W11Q2FY26!E41,"OOS")</f>
        <v>0</v>
      </c>
      <c r="R41" s="146" t="str">
        <f t="shared" si="2"/>
        <v/>
      </c>
      <c r="S41" s="149">
        <f>IFERROR(F41-W11Q2FY26!F41,"OOS")</f>
        <v>0</v>
      </c>
      <c r="T41" s="146" t="str">
        <f t="shared" si="3"/>
        <v/>
      </c>
      <c r="U41" s="149">
        <f>IFERROR(G41-W11Q2FY26!G41,"OOS")</f>
        <v>0</v>
      </c>
      <c r="V41" s="146" t="str">
        <f t="shared" si="4"/>
        <v/>
      </c>
    </row>
    <row r="42" spans="1:22" x14ac:dyDescent="0.2">
      <c r="A42" t="s">
        <v>187</v>
      </c>
      <c r="B42" s="25"/>
      <c r="C42" s="135" t="s">
        <v>22</v>
      </c>
      <c r="D42" s="135" t="s">
        <v>22</v>
      </c>
      <c r="E42" s="142"/>
      <c r="F42" s="132">
        <v>38590000</v>
      </c>
      <c r="G42" s="110">
        <v>38390000</v>
      </c>
      <c r="H42" s="153"/>
      <c r="M42" s="148" t="str">
        <f>IFERROR(C42-W11Q2FY26!C42,"OOS")</f>
        <v>OOS</v>
      </c>
      <c r="N42" s="146" t="e">
        <f t="shared" si="0"/>
        <v>#VALUE!</v>
      </c>
      <c r="O42" s="149" t="str">
        <f>IFERROR(D42-W11Q2FY26!D42,"OOS")</f>
        <v>OOS</v>
      </c>
      <c r="P42" s="146" t="e">
        <f t="shared" si="1"/>
        <v>#VALUE!</v>
      </c>
      <c r="Q42" s="149">
        <f>IFERROR(E42-W11Q2FY26!E42,"OOS")</f>
        <v>0</v>
      </c>
      <c r="R42" s="146" t="str">
        <f t="shared" si="2"/>
        <v/>
      </c>
      <c r="S42" s="149">
        <f>IFERROR(F42-W11Q2FY26!F42,"OOS")</f>
        <v>0</v>
      </c>
      <c r="T42" s="146" t="str">
        <f t="shared" si="3"/>
        <v/>
      </c>
      <c r="U42" s="149">
        <f>IFERROR(G42-W11Q2FY26!G42,"OOS")</f>
        <v>0</v>
      </c>
      <c r="V42" s="146" t="str">
        <f t="shared" si="4"/>
        <v/>
      </c>
    </row>
    <row r="43" spans="1:22" x14ac:dyDescent="0.2">
      <c r="A43" t="s">
        <v>62</v>
      </c>
      <c r="B43" s="25"/>
      <c r="C43" s="135">
        <v>41990000</v>
      </c>
      <c r="D43" s="140">
        <v>41490000</v>
      </c>
      <c r="E43" s="142"/>
      <c r="F43" s="132">
        <v>41490000</v>
      </c>
      <c r="G43" s="111">
        <v>40690000</v>
      </c>
      <c r="H43" s="153"/>
      <c r="M43" s="148">
        <f>IFERROR(C43-W11Q2FY26!C43,"OOS")</f>
        <v>0</v>
      </c>
      <c r="N43" s="146" t="str">
        <f t="shared" si="0"/>
        <v/>
      </c>
      <c r="O43" s="149">
        <f>IFERROR(D43-W11Q2FY26!D43,"OOS")</f>
        <v>500000</v>
      </c>
      <c r="P43" s="146" t="str">
        <f t="shared" si="1"/>
        <v>MacBook Pro 14" M5 16/512GB tăng 500K = 41490.0K</v>
      </c>
      <c r="Q43" s="149">
        <f>IFERROR(E43-W11Q2FY26!E43,"OOS")</f>
        <v>0</v>
      </c>
      <c r="R43" s="146" t="str">
        <f t="shared" si="2"/>
        <v/>
      </c>
      <c r="S43" s="149">
        <f>IFERROR(F43-W11Q2FY26!F43,"OOS")</f>
        <v>0</v>
      </c>
      <c r="T43" s="146" t="str">
        <f t="shared" si="3"/>
        <v/>
      </c>
      <c r="U43" s="149">
        <f>IFERROR(G43-W11Q2FY26!G43,"OOS")</f>
        <v>-1000000</v>
      </c>
      <c r="V43" s="146" t="str">
        <f t="shared" si="4"/>
        <v>MacBook Pro 14" M5 16/512GB giảm 1000K = 40690.0K</v>
      </c>
    </row>
    <row r="44" spans="1:22" x14ac:dyDescent="0.2">
      <c r="A44" t="s">
        <v>188</v>
      </c>
      <c r="B44" s="25"/>
      <c r="C44" s="135" t="s">
        <v>22</v>
      </c>
      <c r="D44" s="140">
        <v>62990000</v>
      </c>
      <c r="E44" s="142"/>
      <c r="F44" s="132">
        <v>62990000</v>
      </c>
      <c r="G44" s="110">
        <v>63990000</v>
      </c>
      <c r="H44" s="153"/>
      <c r="M44" s="148" t="str">
        <f>IFERROR(C44-W11Q2FY26!C44,"OOS")</f>
        <v>OOS</v>
      </c>
      <c r="N44" s="146" t="e">
        <f t="shared" si="0"/>
        <v>#VALUE!</v>
      </c>
      <c r="O44" s="149">
        <f>IFERROR(D44-W11Q2FY26!D44,"OOS")</f>
        <v>-1000000</v>
      </c>
      <c r="P44" s="146" t="str">
        <f t="shared" si="1"/>
        <v>MacBook Pro 16" M4 24/512GB giảm 1000K = 62990.0K</v>
      </c>
      <c r="Q44" s="149">
        <f>IFERROR(E44-W11Q2FY26!E44,"OOS")</f>
        <v>0</v>
      </c>
      <c r="R44" s="146" t="str">
        <f t="shared" si="2"/>
        <v/>
      </c>
      <c r="S44" s="149">
        <f>IFERROR(F44-W11Q2FY26!F44,"OOS")</f>
        <v>0</v>
      </c>
      <c r="T44" s="146" t="str">
        <f t="shared" si="3"/>
        <v/>
      </c>
      <c r="U44" s="149">
        <f>IFERROR(G44-W11Q2FY26!G44,"OOS")</f>
        <v>0</v>
      </c>
      <c r="V44" s="146" t="str">
        <f t="shared" si="4"/>
        <v/>
      </c>
    </row>
    <row r="45" spans="1:22" x14ac:dyDescent="0.2">
      <c r="C45" s="124"/>
      <c r="D45" s="124"/>
    </row>
    <row r="46" spans="1:22" x14ac:dyDescent="0.2">
      <c r="C46" s="124"/>
      <c r="D46" s="124"/>
    </row>
    <row r="47" spans="1:22" x14ac:dyDescent="0.2">
      <c r="C47" s="124"/>
      <c r="D47" s="124"/>
    </row>
    <row r="48" spans="1:22" x14ac:dyDescent="0.2">
      <c r="C48" s="124"/>
      <c r="D48" s="124"/>
    </row>
    <row r="49" spans="3:4" x14ac:dyDescent="0.2">
      <c r="C49" s="124"/>
      <c r="D49" s="124"/>
    </row>
    <row r="50" spans="3:4" x14ac:dyDescent="0.2">
      <c r="C50" s="124"/>
      <c r="D50" s="124"/>
    </row>
    <row r="51" spans="3:4" x14ac:dyDescent="0.2">
      <c r="C51" s="124"/>
      <c r="D51" s="124"/>
    </row>
    <row r="52" spans="3:4" x14ac:dyDescent="0.2">
      <c r="C52" s="124"/>
      <c r="D52" s="124"/>
    </row>
    <row r="53" spans="3:4" x14ac:dyDescent="0.2">
      <c r="C53" s="124"/>
      <c r="D53" s="124"/>
    </row>
    <row r="54" spans="3:4" x14ac:dyDescent="0.2">
      <c r="C54" s="124"/>
      <c r="D54" s="124"/>
    </row>
    <row r="55" spans="3:4" x14ac:dyDescent="0.2">
      <c r="C55" s="124"/>
      <c r="D55" s="124"/>
    </row>
    <row r="56" spans="3:4" x14ac:dyDescent="0.2">
      <c r="C56" s="124"/>
      <c r="D56" s="124"/>
    </row>
    <row r="57" spans="3:4" x14ac:dyDescent="0.2">
      <c r="C57" s="124"/>
      <c r="D57" s="124"/>
    </row>
    <row r="58" spans="3:4" x14ac:dyDescent="0.2">
      <c r="C58" s="124"/>
      <c r="D58" s="124"/>
    </row>
    <row r="59" spans="3:4" x14ac:dyDescent="0.2">
      <c r="C59" s="124"/>
      <c r="D59" s="124"/>
    </row>
    <row r="60" spans="3:4" x14ac:dyDescent="0.2">
      <c r="C60" s="124"/>
      <c r="D60" s="124"/>
    </row>
    <row r="61" spans="3:4" x14ac:dyDescent="0.2">
      <c r="C61" s="124"/>
      <c r="D61" s="124"/>
    </row>
    <row r="62" spans="3:4" x14ac:dyDescent="0.2">
      <c r="C62" s="124"/>
      <c r="D62" s="124"/>
    </row>
    <row r="63" spans="3:4" x14ac:dyDescent="0.2">
      <c r="C63" s="124"/>
      <c r="D63" s="124"/>
    </row>
    <row r="64" spans="3:4" x14ac:dyDescent="0.2">
      <c r="C64" s="124"/>
      <c r="D64" s="124"/>
    </row>
    <row r="65" spans="3:4" x14ac:dyDescent="0.2">
      <c r="C65" s="124"/>
      <c r="D65" s="124"/>
    </row>
    <row r="66" spans="3:4" x14ac:dyDescent="0.2">
      <c r="C66" s="124"/>
      <c r="D66" s="124"/>
    </row>
    <row r="67" spans="3:4" x14ac:dyDescent="0.2">
      <c r="C67" s="124"/>
      <c r="D67" s="124"/>
    </row>
    <row r="68" spans="3:4" x14ac:dyDescent="0.2">
      <c r="C68" s="124"/>
      <c r="D68" s="124"/>
    </row>
    <row r="69" spans="3:4" x14ac:dyDescent="0.2">
      <c r="C69" s="124"/>
      <c r="D69" s="124"/>
    </row>
    <row r="70" spans="3:4" x14ac:dyDescent="0.2">
      <c r="C70" s="124"/>
      <c r="D70" s="124"/>
    </row>
    <row r="71" spans="3:4" x14ac:dyDescent="0.2">
      <c r="C71" s="124"/>
      <c r="D71" s="124"/>
    </row>
    <row r="72" spans="3:4" x14ac:dyDescent="0.2">
      <c r="C72" s="124"/>
      <c r="D72" s="124"/>
    </row>
    <row r="73" spans="3:4" x14ac:dyDescent="0.2">
      <c r="C73" s="124"/>
      <c r="D73" s="124"/>
    </row>
    <row r="74" spans="3:4" x14ac:dyDescent="0.2">
      <c r="C74" s="124"/>
      <c r="D74" s="124"/>
    </row>
    <row r="75" spans="3:4" x14ac:dyDescent="0.2">
      <c r="C75" s="124"/>
      <c r="D75" s="124"/>
    </row>
    <row r="76" spans="3:4" x14ac:dyDescent="0.2">
      <c r="C76" s="124"/>
      <c r="D76" s="124"/>
    </row>
    <row r="77" spans="3:4" x14ac:dyDescent="0.2">
      <c r="C77" s="124"/>
      <c r="D77" s="124"/>
    </row>
    <row r="78" spans="3:4" x14ac:dyDescent="0.2">
      <c r="C78" s="124"/>
      <c r="D78" s="124"/>
    </row>
    <row r="79" spans="3:4" x14ac:dyDescent="0.2">
      <c r="C79" s="124"/>
      <c r="D79" s="124"/>
    </row>
    <row r="80" spans="3:4" x14ac:dyDescent="0.2">
      <c r="C80" s="124"/>
      <c r="D80" s="124"/>
    </row>
    <row r="81" spans="3:4" x14ac:dyDescent="0.2">
      <c r="C81" s="124"/>
      <c r="D81" s="124"/>
    </row>
    <row r="82" spans="3:4" x14ac:dyDescent="0.2">
      <c r="C82" s="124"/>
      <c r="D82" s="124"/>
    </row>
    <row r="83" spans="3:4" x14ac:dyDescent="0.2">
      <c r="C83" s="124"/>
      <c r="D83" s="124"/>
    </row>
    <row r="84" spans="3:4" x14ac:dyDescent="0.2">
      <c r="C84" s="124"/>
      <c r="D84" s="124"/>
    </row>
    <row r="85" spans="3:4" x14ac:dyDescent="0.2">
      <c r="C85" s="124"/>
      <c r="D85" s="124"/>
    </row>
    <row r="86" spans="3:4" x14ac:dyDescent="0.2">
      <c r="C86" s="124"/>
      <c r="D86" s="124"/>
    </row>
    <row r="87" spans="3:4" x14ac:dyDescent="0.2">
      <c r="C87" s="124"/>
      <c r="D87" s="124"/>
    </row>
    <row r="88" spans="3:4" x14ac:dyDescent="0.2">
      <c r="C88" s="124"/>
      <c r="D88" s="124"/>
    </row>
    <row r="89" spans="3:4" x14ac:dyDescent="0.2">
      <c r="C89" s="124"/>
      <c r="D89" s="124"/>
    </row>
    <row r="90" spans="3:4" x14ac:dyDescent="0.2">
      <c r="C90" s="124"/>
      <c r="D90" s="124"/>
    </row>
    <row r="91" spans="3:4" x14ac:dyDescent="0.2">
      <c r="C91" s="124"/>
      <c r="D91" s="124"/>
    </row>
    <row r="92" spans="3:4" x14ac:dyDescent="0.2">
      <c r="C92" s="124"/>
      <c r="D92" s="124"/>
    </row>
    <row r="93" spans="3:4" x14ac:dyDescent="0.2">
      <c r="C93" s="124"/>
      <c r="D93" s="124"/>
    </row>
    <row r="94" spans="3:4" x14ac:dyDescent="0.2">
      <c r="C94" s="124"/>
      <c r="D94" s="124"/>
    </row>
    <row r="95" spans="3:4" x14ac:dyDescent="0.2">
      <c r="C95" s="124"/>
      <c r="D95" s="124"/>
    </row>
    <row r="96" spans="3:4" x14ac:dyDescent="0.2">
      <c r="C96" s="124"/>
      <c r="D96" s="124"/>
    </row>
    <row r="97" spans="3:4" x14ac:dyDescent="0.2">
      <c r="C97" s="124"/>
      <c r="D97" s="124"/>
    </row>
    <row r="98" spans="3:4" x14ac:dyDescent="0.2">
      <c r="C98" s="124"/>
      <c r="D98" s="124"/>
    </row>
    <row r="99" spans="3:4" x14ac:dyDescent="0.2">
      <c r="C99" s="124"/>
      <c r="D99" s="124"/>
    </row>
    <row r="100" spans="3:4" x14ac:dyDescent="0.2">
      <c r="C100" s="124"/>
      <c r="D100" s="124"/>
    </row>
    <row r="101" spans="3:4" x14ac:dyDescent="0.2">
      <c r="C101" s="124"/>
      <c r="D101" s="124"/>
    </row>
    <row r="102" spans="3:4" x14ac:dyDescent="0.2">
      <c r="C102" s="124"/>
      <c r="D102" s="124"/>
    </row>
    <row r="103" spans="3:4" x14ac:dyDescent="0.2">
      <c r="C103" s="124"/>
      <c r="D103" s="124"/>
    </row>
    <row r="104" spans="3:4" x14ac:dyDescent="0.2">
      <c r="C104" s="124"/>
      <c r="D104" s="124"/>
    </row>
    <row r="105" spans="3:4" x14ac:dyDescent="0.2">
      <c r="C105" s="124"/>
      <c r="D105" s="124"/>
    </row>
    <row r="106" spans="3:4" x14ac:dyDescent="0.2">
      <c r="C106" s="124"/>
      <c r="D106" s="124"/>
    </row>
    <row r="107" spans="3:4" x14ac:dyDescent="0.2">
      <c r="C107" s="124"/>
      <c r="D107" s="124"/>
    </row>
    <row r="108" spans="3:4" x14ac:dyDescent="0.2">
      <c r="C108" s="124"/>
      <c r="D108" s="124"/>
    </row>
    <row r="109" spans="3:4" x14ac:dyDescent="0.2">
      <c r="C109" s="124"/>
      <c r="D109" s="124"/>
    </row>
    <row r="110" spans="3:4" x14ac:dyDescent="0.2">
      <c r="C110" s="124"/>
      <c r="D110" s="124"/>
    </row>
    <row r="111" spans="3:4" x14ac:dyDescent="0.2">
      <c r="C111" s="124"/>
      <c r="D111" s="124"/>
    </row>
    <row r="112" spans="3:4" x14ac:dyDescent="0.2">
      <c r="C112" s="124"/>
      <c r="D112" s="124"/>
    </row>
    <row r="113" spans="3:4" x14ac:dyDescent="0.2">
      <c r="C113" s="124"/>
      <c r="D113" s="124"/>
    </row>
    <row r="114" spans="3:4" x14ac:dyDescent="0.2">
      <c r="C114" s="124"/>
      <c r="D114" s="124"/>
    </row>
    <row r="115" spans="3:4" x14ac:dyDescent="0.2">
      <c r="C115" s="124"/>
      <c r="D115" s="124"/>
    </row>
    <row r="116" spans="3:4" x14ac:dyDescent="0.2">
      <c r="C116" s="124"/>
      <c r="D116" s="124"/>
    </row>
    <row r="117" spans="3:4" x14ac:dyDescent="0.2">
      <c r="C117" s="124"/>
      <c r="D117" s="124"/>
    </row>
    <row r="118" spans="3:4" x14ac:dyDescent="0.2">
      <c r="C118" s="124"/>
      <c r="D118" s="124"/>
    </row>
    <row r="119" spans="3:4" x14ac:dyDescent="0.2">
      <c r="C119" s="124"/>
      <c r="D119" s="124"/>
    </row>
    <row r="120" spans="3:4" x14ac:dyDescent="0.2">
      <c r="C120" s="124"/>
      <c r="D120" s="124"/>
    </row>
    <row r="121" spans="3:4" x14ac:dyDescent="0.2">
      <c r="C121" s="124"/>
      <c r="D121" s="124"/>
    </row>
    <row r="122" spans="3:4" x14ac:dyDescent="0.2">
      <c r="C122" s="124"/>
      <c r="D122" s="124"/>
    </row>
    <row r="123" spans="3:4" x14ac:dyDescent="0.2">
      <c r="C123" s="124"/>
      <c r="D123" s="124"/>
    </row>
    <row r="124" spans="3:4" x14ac:dyDescent="0.2">
      <c r="C124" s="124"/>
      <c r="D124" s="124"/>
    </row>
    <row r="125" spans="3:4" x14ac:dyDescent="0.2">
      <c r="C125" s="124"/>
      <c r="D125" s="124"/>
    </row>
    <row r="126" spans="3:4" x14ac:dyDescent="0.2">
      <c r="C126" s="124"/>
      <c r="D126" s="124"/>
    </row>
    <row r="127" spans="3:4" x14ac:dyDescent="0.2">
      <c r="C127" s="124"/>
      <c r="D127" s="124"/>
    </row>
    <row r="128" spans="3:4" x14ac:dyDescent="0.2">
      <c r="C128" s="124"/>
      <c r="D128" s="124"/>
    </row>
    <row r="129" spans="3:4" x14ac:dyDescent="0.2">
      <c r="C129" s="124"/>
      <c r="D129" s="124"/>
    </row>
    <row r="130" spans="3:4" x14ac:dyDescent="0.2">
      <c r="C130" s="124"/>
      <c r="D130" s="124"/>
    </row>
    <row r="131" spans="3:4" x14ac:dyDescent="0.2">
      <c r="C131" s="124"/>
      <c r="D131" s="124"/>
    </row>
    <row r="132" spans="3:4" x14ac:dyDescent="0.2">
      <c r="C132" s="124"/>
      <c r="D132" s="124"/>
    </row>
    <row r="133" spans="3:4" x14ac:dyDescent="0.2">
      <c r="C133" s="124"/>
      <c r="D133" s="124"/>
    </row>
    <row r="134" spans="3:4" x14ac:dyDescent="0.2">
      <c r="C134" s="124"/>
      <c r="D134" s="124"/>
    </row>
    <row r="135" spans="3:4" x14ac:dyDescent="0.2">
      <c r="C135" s="124"/>
      <c r="D135" s="124"/>
    </row>
    <row r="136" spans="3:4" x14ac:dyDescent="0.2">
      <c r="C136" s="124"/>
      <c r="D136" s="124"/>
    </row>
    <row r="137" spans="3:4" x14ac:dyDescent="0.2">
      <c r="C137" s="124"/>
      <c r="D137" s="124"/>
    </row>
    <row r="138" spans="3:4" x14ac:dyDescent="0.2">
      <c r="C138" s="124"/>
      <c r="D138" s="124"/>
    </row>
    <row r="139" spans="3:4" x14ac:dyDescent="0.2">
      <c r="C139" s="124"/>
      <c r="D139" s="124"/>
    </row>
    <row r="140" spans="3:4" x14ac:dyDescent="0.2">
      <c r="C140" s="124"/>
      <c r="D140" s="124"/>
    </row>
    <row r="141" spans="3:4" x14ac:dyDescent="0.2">
      <c r="C141" s="124"/>
      <c r="D141" s="124"/>
    </row>
    <row r="142" spans="3:4" x14ac:dyDescent="0.2">
      <c r="C142" s="124"/>
      <c r="D142" s="124"/>
    </row>
    <row r="143" spans="3:4" x14ac:dyDescent="0.2">
      <c r="C143" s="124"/>
      <c r="D143" s="124"/>
    </row>
    <row r="144" spans="3:4" x14ac:dyDescent="0.2">
      <c r="C144" s="124"/>
      <c r="D144" s="124"/>
    </row>
    <row r="145" spans="3:4" x14ac:dyDescent="0.2">
      <c r="C145" s="124"/>
      <c r="D145" s="124"/>
    </row>
    <row r="146" spans="3:4" x14ac:dyDescent="0.2">
      <c r="C146" s="124"/>
      <c r="D146" s="124"/>
    </row>
    <row r="147" spans="3:4" x14ac:dyDescent="0.2">
      <c r="C147" s="124"/>
      <c r="D147" s="124"/>
    </row>
    <row r="148" spans="3:4" x14ac:dyDescent="0.2">
      <c r="C148" s="124"/>
      <c r="D148" s="124"/>
    </row>
    <row r="149" spans="3:4" x14ac:dyDescent="0.2">
      <c r="C149" s="124"/>
      <c r="D149" s="124"/>
    </row>
    <row r="150" spans="3:4" x14ac:dyDescent="0.2">
      <c r="C150" s="124"/>
      <c r="D150" s="124"/>
    </row>
    <row r="151" spans="3:4" x14ac:dyDescent="0.2">
      <c r="C151" s="124"/>
      <c r="D151" s="124"/>
    </row>
    <row r="152" spans="3:4" x14ac:dyDescent="0.2">
      <c r="C152" s="124"/>
      <c r="D152" s="124"/>
    </row>
    <row r="153" spans="3:4" x14ac:dyDescent="0.2">
      <c r="C153" s="124"/>
      <c r="D153" s="124"/>
    </row>
    <row r="154" spans="3:4" x14ac:dyDescent="0.2">
      <c r="C154" s="124"/>
      <c r="D154" s="124"/>
    </row>
    <row r="155" spans="3:4" x14ac:dyDescent="0.2">
      <c r="C155" s="124"/>
      <c r="D155" s="124"/>
    </row>
    <row r="156" spans="3:4" x14ac:dyDescent="0.2">
      <c r="C156" s="124"/>
      <c r="D156" s="124"/>
    </row>
  </sheetData>
  <conditionalFormatting sqref="E3:E44">
    <cfRule type="expression" dxfId="55" priority="15" stopIfTrue="1">
      <formula>$Q3=0</formula>
    </cfRule>
    <cfRule type="expression" dxfId="54" priority="16" stopIfTrue="1">
      <formula>AND($Q3&lt;&gt;0,$Q3&lt;&gt;"")</formula>
    </cfRule>
  </conditionalFormatting>
  <conditionalFormatting sqref="N2:N44">
    <cfRule type="containsText" dxfId="53" priority="5" operator="containsText" text="Tăng">
      <formula>NOT(ISERROR(SEARCH("Tăng",N2)))</formula>
    </cfRule>
    <cfRule type="containsText" dxfId="52" priority="6" operator="containsText" text="giảm">
      <formula>NOT(ISERROR(SEARCH("giảm",N2)))</formula>
    </cfRule>
  </conditionalFormatting>
  <conditionalFormatting sqref="P2:P44">
    <cfRule type="containsText" dxfId="51" priority="7" operator="containsText" text="Tăng">
      <formula>NOT(ISERROR(SEARCH("Tăng",P2)))</formula>
    </cfRule>
    <cfRule type="containsText" dxfId="50" priority="8" operator="containsText" text="giảm">
      <formula>NOT(ISERROR(SEARCH("giảm",P2)))</formula>
    </cfRule>
  </conditionalFormatting>
  <conditionalFormatting sqref="R2:R44">
    <cfRule type="containsText" dxfId="49" priority="9" operator="containsText" text="Tăng">
      <formula>NOT(ISERROR(SEARCH("Tăng",R2)))</formula>
    </cfRule>
    <cfRule type="containsText" dxfId="48" priority="10" operator="containsText" text="giảm">
      <formula>NOT(ISERROR(SEARCH("giảm",R2)))</formula>
    </cfRule>
  </conditionalFormatting>
  <conditionalFormatting sqref="T2:T44">
    <cfRule type="containsText" dxfId="47" priority="11" operator="containsText" text="Tăng">
      <formula>NOT(ISERROR(SEARCH("Tăng",T2)))</formula>
    </cfRule>
    <cfRule type="containsText" dxfId="46" priority="12" operator="containsText" text="giảm">
      <formula>NOT(ISERROR(SEARCH("giảm",T2)))</formula>
    </cfRule>
  </conditionalFormatting>
  <conditionalFormatting sqref="V2:V44">
    <cfRule type="containsText" dxfId="45" priority="13" operator="containsText" text="Tăng">
      <formula>NOT(ISERROR(SEARCH("Tăng",V2)))</formula>
    </cfRule>
    <cfRule type="containsText" dxfId="44" priority="14" operator="containsText" text="giảm">
      <formula>NOT(ISERROR(SEARCH("giảm",V2)))</formula>
    </cfRule>
  </conditionalFormatting>
  <pageMargins left="0.7" right="0.7" top="0.75" bottom="0.75" header="0.3" footer="0.3"/>
  <pageSetup paperSize="9" orientation="portrait" horizontalDpi="0" verticalDpi="0"/>
  <legacyDrawing r:id="rId1"/>
</worksheet>
</file>

<file path=xl/worksheets/sheet10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300-000000000000}">
  <dimension ref="A1:Y154"/>
  <sheetViews>
    <sheetView showGridLines="0" zoomScale="83" zoomScaleNormal="50" workbookViewId="0">
      <pane xSplit="2" ySplit="1" topLeftCell="D2" activePane="bottomRight" state="frozen"/>
      <selection pane="topRight" activeCell="C1" sqref="C1"/>
      <selection pane="bottomLeft" activeCell="A2" sqref="A2"/>
      <selection pane="bottomRight" activeCell="X39" sqref="X39"/>
    </sheetView>
  </sheetViews>
  <sheetFormatPr baseColWidth="10" defaultColWidth="11" defaultRowHeight="16" x14ac:dyDescent="0.2"/>
  <cols>
    <col min="1" max="1" width="24.5" customWidth="1"/>
    <col min="2" max="2" width="15.83203125" hidden="1" customWidth="1"/>
    <col min="3" max="3" width="14.83203125" customWidth="1"/>
    <col min="4" max="4" width="16" customWidth="1"/>
    <col min="5" max="5" width="15.5" style="6" customWidth="1"/>
    <col min="6" max="6" width="14.33203125" customWidth="1"/>
    <col min="7" max="12" width="11" customWidth="1"/>
    <col min="13" max="13" width="14.33203125" customWidth="1"/>
    <col min="14" max="14" width="42" customWidth="1"/>
    <col min="15" max="15" width="14.83203125" customWidth="1"/>
    <col min="16" max="16" width="51.5" customWidth="1"/>
    <col min="17" max="17" width="13.5" customWidth="1"/>
    <col min="18" max="18" width="46" customWidth="1"/>
    <col min="19" max="19" width="15.5" customWidth="1"/>
    <col min="20" max="20" width="42.33203125" customWidth="1"/>
    <col min="21" max="21" width="14.1640625" customWidth="1"/>
    <col min="22" max="22" width="11" customWidth="1"/>
  </cols>
  <sheetData>
    <row r="1" spans="1:22" ht="29" customHeight="1" x14ac:dyDescent="0.2">
      <c r="B1" s="46" t="s">
        <v>0</v>
      </c>
      <c r="C1" s="80" t="s">
        <v>1</v>
      </c>
      <c r="D1" s="80" t="s">
        <v>2</v>
      </c>
      <c r="E1" s="115" t="s">
        <v>3</v>
      </c>
      <c r="F1" s="81" t="s">
        <v>4</v>
      </c>
      <c r="G1" s="81" t="s">
        <v>5</v>
      </c>
      <c r="M1" s="143" t="s">
        <v>6</v>
      </c>
      <c r="N1" s="143" t="s">
        <v>7</v>
      </c>
      <c r="O1" s="144" t="s">
        <v>8</v>
      </c>
      <c r="P1" s="144" t="s">
        <v>9</v>
      </c>
      <c r="Q1" s="144" t="s">
        <v>10</v>
      </c>
      <c r="R1" s="144" t="s">
        <v>11</v>
      </c>
      <c r="S1" s="144" t="s">
        <v>12</v>
      </c>
      <c r="T1" s="144" t="s">
        <v>13</v>
      </c>
      <c r="U1" s="144" t="s">
        <v>14</v>
      </c>
      <c r="V1" s="145" t="s">
        <v>15</v>
      </c>
    </row>
    <row r="2" spans="1:22" x14ac:dyDescent="0.2">
      <c r="A2" t="s">
        <v>16</v>
      </c>
      <c r="B2" s="82"/>
      <c r="C2" s="126">
        <v>17990000</v>
      </c>
      <c r="D2" s="127">
        <v>17790000</v>
      </c>
      <c r="E2" s="128">
        <v>17990000</v>
      </c>
      <c r="F2" s="155">
        <v>17790000</v>
      </c>
      <c r="G2" s="110">
        <v>17790000</v>
      </c>
      <c r="H2" s="153"/>
      <c r="M2" s="148">
        <f>IFERROR(C2-W12Q2FY26!C2,"OOS")</f>
        <v>0</v>
      </c>
      <c r="N2" s="146" t="str">
        <f t="shared" ref="N2:N42" si="0">IF(M2=0,"",$A2 &amp; IF(M2&gt;0," tăng "," giảm ") &amp; TEXT(ABS(M2)/1000,"0") &amp; "K = " &amp; TEXT(C2/1000,"#.##0") &amp; "K")</f>
        <v/>
      </c>
      <c r="O2" s="149">
        <f>IFERROR(D2-W12Q2FY26!D2,"OOS")</f>
        <v>0</v>
      </c>
      <c r="P2" s="146" t="str">
        <f t="shared" ref="P2:P42" si="1">IF(O2=0,"",$A2 &amp; IF(O2&gt;0," tăng "," giảm ") &amp; TEXT(ABS(O2)/1000,"0") &amp; "K = " &amp; TEXT(D2/1000,"#.##0") &amp; "K")</f>
        <v/>
      </c>
      <c r="Q2" s="149">
        <f>IFERROR(E2-W12Q2FY26!E2,"OOS")</f>
        <v>0</v>
      </c>
      <c r="R2" s="146" t="str">
        <f t="shared" ref="R2:R42" si="2">IF(Q2=0,"",$A2 &amp; IF(Q2&gt;0," tăng "," giảm ") &amp; TEXT(ABS(Q2)/1000,"0") &amp; "K = " &amp; TEXT(E2/1000,"#.##0") &amp; "K")</f>
        <v/>
      </c>
      <c r="S2" s="149">
        <f>IFERROR(F2-W12Q2FY26!F2,"OOS")</f>
        <v>-200000</v>
      </c>
      <c r="T2" s="146" t="str">
        <f t="shared" ref="T2:T42" si="3">IF(S2=0,"",$A2 &amp; IF(S2&gt;0," tăng "," giảm ") &amp; TEXT(ABS(S2)/1000,"0") &amp; "K = " &amp; TEXT(F2/1000,"#.##0") &amp; "K")</f>
        <v>iPhone 17e 256GB giảm 200K = 17790.0K</v>
      </c>
      <c r="U2" s="149">
        <f>IFERROR(G2-W12Q2FY26!G2,"OOS")</f>
        <v>0</v>
      </c>
      <c r="V2" s="146" t="str">
        <f t="shared" ref="V2:V42" si="4">IF(U2=0,"",$A2 &amp; IF(U2&gt;0," tăng "," giảm ") &amp; TEXT(ABS(U2)/1000,"0") &amp; "K = " &amp; TEXT(G2/1000,"#.##0") &amp; "K")</f>
        <v/>
      </c>
    </row>
    <row r="3" spans="1:22" x14ac:dyDescent="0.2">
      <c r="A3" t="s">
        <v>17</v>
      </c>
      <c r="B3" s="82"/>
      <c r="C3" s="129">
        <v>24990000</v>
      </c>
      <c r="D3" s="127">
        <v>24690000</v>
      </c>
      <c r="E3" s="130">
        <v>24190000</v>
      </c>
      <c r="F3" s="131">
        <v>24190000</v>
      </c>
      <c r="G3" s="110">
        <v>24190000</v>
      </c>
      <c r="H3" s="153"/>
      <c r="M3" s="148">
        <f>IFERROR(C3-W12Q2FY26!C3,"OOS")</f>
        <v>100000</v>
      </c>
      <c r="N3" s="146" t="str">
        <f t="shared" si="0"/>
        <v>iPhone 17  256GB tăng 100K = 24990.0K</v>
      </c>
      <c r="O3" s="149">
        <f>IFERROR(D3-W12Q2FY26!D3,"OOS")</f>
        <v>0</v>
      </c>
      <c r="P3" s="146" t="str">
        <f t="shared" si="1"/>
        <v/>
      </c>
      <c r="Q3" s="149">
        <f>IFERROR(E3-W12Q2FY26!E3,"OOS")</f>
        <v>0</v>
      </c>
      <c r="R3" s="146" t="str">
        <f t="shared" si="2"/>
        <v/>
      </c>
      <c r="S3" s="149">
        <f>IFERROR(F3-W12Q2FY26!F3,"OOS")</f>
        <v>-600000</v>
      </c>
      <c r="T3" s="146" t="str">
        <f t="shared" si="3"/>
        <v>iPhone 17  256GB giảm 600K = 24190.0K</v>
      </c>
      <c r="U3" s="149">
        <f>IFERROR(G3-W12Q2FY26!G3,"OOS")</f>
        <v>0</v>
      </c>
      <c r="V3" s="146" t="str">
        <f t="shared" si="4"/>
        <v/>
      </c>
    </row>
    <row r="4" spans="1:22" x14ac:dyDescent="0.2">
      <c r="A4" t="s">
        <v>18</v>
      </c>
      <c r="B4" s="82"/>
      <c r="C4" s="127">
        <v>24990000</v>
      </c>
      <c r="D4" s="127">
        <v>24990000</v>
      </c>
      <c r="E4" s="130">
        <v>24490000</v>
      </c>
      <c r="F4" s="132">
        <v>24990000</v>
      </c>
      <c r="G4" s="110">
        <v>24990000</v>
      </c>
      <c r="H4" s="153"/>
      <c r="M4" s="148">
        <f>IFERROR(C4-W12Q2FY26!C4,"OOS")</f>
        <v>0</v>
      </c>
      <c r="N4" s="146" t="str">
        <f t="shared" si="0"/>
        <v/>
      </c>
      <c r="O4" s="149">
        <f>IFERROR(D4-W12Q2FY26!D4,"OOS")</f>
        <v>0</v>
      </c>
      <c r="P4" s="146" t="str">
        <f t="shared" si="1"/>
        <v/>
      </c>
      <c r="Q4" s="149">
        <f>IFERROR(E4-W12Q2FY26!E4,"OOS")</f>
        <v>0</v>
      </c>
      <c r="R4" s="146" t="str">
        <f t="shared" si="2"/>
        <v/>
      </c>
      <c r="S4" s="149">
        <f>IFERROR(F4-W12Q2FY26!F4,"OOS")</f>
        <v>0</v>
      </c>
      <c r="T4" s="146" t="str">
        <f t="shared" si="3"/>
        <v/>
      </c>
      <c r="U4" s="149">
        <f>IFERROR(G4-W12Q2FY26!G4,"OOS")</f>
        <v>0</v>
      </c>
      <c r="V4" s="146" t="str">
        <f t="shared" si="4"/>
        <v/>
      </c>
    </row>
    <row r="5" spans="1:22" x14ac:dyDescent="0.2">
      <c r="A5" t="s">
        <v>19</v>
      </c>
      <c r="B5" s="82"/>
      <c r="C5" s="127">
        <v>34790000</v>
      </c>
      <c r="D5" s="127">
        <v>34490000</v>
      </c>
      <c r="E5" s="130">
        <v>33190000</v>
      </c>
      <c r="F5" s="133">
        <v>34790000</v>
      </c>
      <c r="G5" s="110">
        <v>34190000</v>
      </c>
      <c r="H5" s="153"/>
      <c r="M5" s="148">
        <f>IFERROR(C5-W12Q2FY26!C5,"OOS")</f>
        <v>0</v>
      </c>
      <c r="N5" s="146" t="str">
        <f t="shared" si="0"/>
        <v/>
      </c>
      <c r="O5" s="149">
        <f>IFERROR(D5-W12Q2FY26!D5,"OOS")</f>
        <v>0</v>
      </c>
      <c r="P5" s="146" t="str">
        <f t="shared" si="1"/>
        <v/>
      </c>
      <c r="Q5" s="149">
        <f>IFERROR(E5-W12Q2FY26!E5,"OOS")</f>
        <v>0</v>
      </c>
      <c r="R5" s="146" t="str">
        <f t="shared" si="2"/>
        <v/>
      </c>
      <c r="S5" s="149">
        <f>IFERROR(F5-W12Q2FY26!F5,"OOS")</f>
        <v>300000</v>
      </c>
      <c r="T5" s="146" t="str">
        <f t="shared" si="3"/>
        <v>iPhone 17 Pro 256GB tăng 300K = 34790.0K</v>
      </c>
      <c r="U5" s="149">
        <f>IFERROR(G5-W12Q2FY26!G5,"OOS")</f>
        <v>0</v>
      </c>
      <c r="V5" s="146" t="str">
        <f t="shared" si="4"/>
        <v/>
      </c>
    </row>
    <row r="6" spans="1:22" x14ac:dyDescent="0.2">
      <c r="A6" t="s">
        <v>20</v>
      </c>
      <c r="B6" s="82"/>
      <c r="C6" s="127">
        <v>37990000</v>
      </c>
      <c r="D6" s="127">
        <v>37790000</v>
      </c>
      <c r="E6" s="134">
        <v>36490000</v>
      </c>
      <c r="F6" s="132">
        <v>37790000</v>
      </c>
      <c r="G6" s="111">
        <v>36990000</v>
      </c>
      <c r="H6" s="153"/>
      <c r="M6" s="148">
        <f>IFERROR(C6-W12Q2FY26!C6,"OOS")</f>
        <v>0</v>
      </c>
      <c r="N6" s="146" t="str">
        <f t="shared" si="0"/>
        <v/>
      </c>
      <c r="O6" s="149">
        <f>IFERROR(D6-W12Q2FY26!D6,"OOS")</f>
        <v>0</v>
      </c>
      <c r="P6" s="146" t="str">
        <f t="shared" si="1"/>
        <v/>
      </c>
      <c r="Q6" s="149">
        <f>IFERROR(E6-W12Q2FY26!E6,"OOS")</f>
        <v>0</v>
      </c>
      <c r="R6" s="146" t="str">
        <f t="shared" si="2"/>
        <v/>
      </c>
      <c r="S6" s="149">
        <f>IFERROR(F6-W12Q2FY26!F6,"OOS")</f>
        <v>-200000</v>
      </c>
      <c r="T6" s="146" t="str">
        <f t="shared" si="3"/>
        <v>iPhone 17 Pro Max 256GB giảm 200K = 37790.0K</v>
      </c>
      <c r="U6" s="149">
        <f>IFERROR(G6-W12Q2FY26!G6,"OOS")</f>
        <v>-200000</v>
      </c>
      <c r="V6" s="146" t="str">
        <f t="shared" si="4"/>
        <v>iPhone 17 Pro Max 256GB giảm 200K = 36990.0K</v>
      </c>
    </row>
    <row r="7" spans="1:22" x14ac:dyDescent="0.2">
      <c r="A7" t="s">
        <v>21</v>
      </c>
      <c r="B7" s="82"/>
      <c r="C7" s="129">
        <v>13990000</v>
      </c>
      <c r="D7" s="135">
        <v>16690000</v>
      </c>
      <c r="E7" s="134">
        <v>12490000</v>
      </c>
      <c r="F7" s="136">
        <v>12490000</v>
      </c>
      <c r="G7" s="110">
        <v>15190000</v>
      </c>
      <c r="H7" s="153"/>
      <c r="M7" s="148">
        <f>IFERROR(C7-W12Q2FY26!C7,"OOS")</f>
        <v>-2000000</v>
      </c>
      <c r="N7" s="146" t="str">
        <f t="shared" si="0"/>
        <v>iPhone 16e  128GB giảm 2000K = 13990.0K</v>
      </c>
      <c r="O7" s="149">
        <f>IFERROR(D7-W12Q2FY26!D7,"OOS")</f>
        <v>700000</v>
      </c>
      <c r="P7" s="146" t="str">
        <f t="shared" si="1"/>
        <v>iPhone 16e  128GB tăng 700K = 16690.0K</v>
      </c>
      <c r="Q7" s="149">
        <f>IFERROR(E7-W12Q2FY26!E7,"OOS")</f>
        <v>0</v>
      </c>
      <c r="R7" s="146" t="str">
        <f t="shared" si="2"/>
        <v/>
      </c>
      <c r="S7" s="149">
        <f>IFERROR(F7-W12Q2FY26!F7,"OOS")</f>
        <v>0</v>
      </c>
      <c r="T7" s="146" t="str">
        <f t="shared" si="3"/>
        <v/>
      </c>
      <c r="U7" s="149">
        <f>IFERROR(G7-W12Q2FY26!G7,"OOS")</f>
        <v>0</v>
      </c>
      <c r="V7" s="146" t="str">
        <f t="shared" si="4"/>
        <v/>
      </c>
    </row>
    <row r="8" spans="1:22" x14ac:dyDescent="0.2">
      <c r="A8" t="s">
        <v>23</v>
      </c>
      <c r="B8" s="70"/>
      <c r="C8" s="137">
        <v>21290000</v>
      </c>
      <c r="D8" s="137">
        <v>20990000</v>
      </c>
      <c r="E8" s="139">
        <v>20090000</v>
      </c>
      <c r="F8" s="133">
        <v>21090000</v>
      </c>
      <c r="G8" s="110">
        <v>20790000</v>
      </c>
      <c r="H8" s="153"/>
      <c r="M8" s="148">
        <f>IFERROR(C8-W12Q2FY26!C8,"OOS")</f>
        <v>200000</v>
      </c>
      <c r="N8" s="146" t="str">
        <f t="shared" si="0"/>
        <v>iPhone 16 128GB tăng 200K = 21290.0K</v>
      </c>
      <c r="O8" s="149">
        <f>IFERROR(D8-W12Q2FY26!D8,"OOS")</f>
        <v>200000</v>
      </c>
      <c r="P8" s="146" t="str">
        <f t="shared" si="1"/>
        <v>iPhone 16 128GB tăng 200K = 20990.0K</v>
      </c>
      <c r="Q8" s="149">
        <f>IFERROR(E8-W12Q2FY26!E8,"OOS")</f>
        <v>0</v>
      </c>
      <c r="R8" s="146" t="str">
        <f t="shared" si="2"/>
        <v/>
      </c>
      <c r="S8" s="149">
        <f>IFERROR(F8-W12Q2FY26!F8,"OOS")</f>
        <v>300000</v>
      </c>
      <c r="T8" s="146" t="str">
        <f t="shared" si="3"/>
        <v>iPhone 16 128GB tăng 300K = 21090.0K</v>
      </c>
      <c r="U8" s="149">
        <f>IFERROR(G8-W12Q2FY26!G8,"OOS")</f>
        <v>0</v>
      </c>
      <c r="V8" s="146" t="str">
        <f t="shared" si="4"/>
        <v/>
      </c>
    </row>
    <row r="9" spans="1:22" x14ac:dyDescent="0.2">
      <c r="A9" t="s">
        <v>24</v>
      </c>
      <c r="B9" s="3"/>
      <c r="C9" s="140">
        <v>25290000</v>
      </c>
      <c r="D9" s="140">
        <v>24790000</v>
      </c>
      <c r="E9" s="139">
        <v>23790000</v>
      </c>
      <c r="F9" s="133">
        <v>25090000</v>
      </c>
      <c r="G9" s="110">
        <v>24590000</v>
      </c>
      <c r="H9" s="153"/>
      <c r="M9" s="148">
        <f>IFERROR(C9-W12Q2FY26!C9,"OOS")</f>
        <v>200000</v>
      </c>
      <c r="N9" s="146" t="str">
        <f t="shared" si="0"/>
        <v>iPhone 16  Plus 128GB tăng 200K = 25290.0K</v>
      </c>
      <c r="O9" s="149">
        <f>IFERROR(D9-W12Q2FY26!D9,"OOS")</f>
        <v>0</v>
      </c>
      <c r="P9" s="146" t="str">
        <f t="shared" si="1"/>
        <v/>
      </c>
      <c r="Q9" s="149">
        <f>IFERROR(E9-W12Q2FY26!E9,"OOS")</f>
        <v>0</v>
      </c>
      <c r="R9" s="146" t="str">
        <f t="shared" si="2"/>
        <v/>
      </c>
      <c r="S9" s="149">
        <f>IFERROR(F9-W12Q2FY26!F9,"OOS")</f>
        <v>300000</v>
      </c>
      <c r="T9" s="146" t="str">
        <f t="shared" si="3"/>
        <v>iPhone 16  Plus 128GB tăng 300K = 25090.0K</v>
      </c>
      <c r="U9" s="149">
        <f>IFERROR(G9-W12Q2FY26!G9,"OOS")</f>
        <v>0</v>
      </c>
      <c r="V9" s="146" t="str">
        <f t="shared" si="4"/>
        <v/>
      </c>
    </row>
    <row r="10" spans="1:22" x14ac:dyDescent="0.2">
      <c r="A10" t="s">
        <v>264</v>
      </c>
      <c r="B10" s="25"/>
      <c r="C10" s="135" t="s">
        <v>22</v>
      </c>
      <c r="D10" s="110">
        <v>25590000</v>
      </c>
      <c r="E10" s="112" t="s">
        <v>22</v>
      </c>
      <c r="F10" s="132">
        <v>26590000</v>
      </c>
      <c r="G10" s="112" t="s">
        <v>22</v>
      </c>
      <c r="H10" s="153"/>
      <c r="M10" s="148" t="str">
        <f>IFERROR(C10-W12Q2FY26!C10,"OOS")</f>
        <v>OOS</v>
      </c>
      <c r="N10" s="146" t="e">
        <f t="shared" si="0"/>
        <v>#VALUE!</v>
      </c>
      <c r="O10" s="149">
        <f>IFERROR(D10-W12Q2FY26!D10,"OOS")</f>
        <v>0</v>
      </c>
      <c r="P10" s="146" t="str">
        <f t="shared" si="1"/>
        <v/>
      </c>
      <c r="Q10" s="149" t="str">
        <f>IFERROR(E10-W12Q2FY26!E10,"OOS")</f>
        <v>OOS</v>
      </c>
      <c r="R10" s="146" t="e">
        <f t="shared" si="2"/>
        <v>#VALUE!</v>
      </c>
      <c r="S10" s="149">
        <f>IFERROR(F10-W12Q2FY26!F10,"OOS")</f>
        <v>0</v>
      </c>
      <c r="T10" s="146" t="str">
        <f t="shared" si="3"/>
        <v/>
      </c>
      <c r="U10" s="149" t="str">
        <f>IFERROR(G10-W12Q2FY26!G10,"OOS")</f>
        <v>OOS</v>
      </c>
      <c r="V10" s="146" t="e">
        <f t="shared" si="4"/>
        <v>#VALUE!</v>
      </c>
    </row>
    <row r="11" spans="1:22" x14ac:dyDescent="0.2">
      <c r="A11" t="s">
        <v>183</v>
      </c>
      <c r="B11" s="3"/>
      <c r="C11" s="140">
        <v>31990000</v>
      </c>
      <c r="D11" s="112" t="s">
        <v>22</v>
      </c>
      <c r="E11" s="112" t="s">
        <v>22</v>
      </c>
      <c r="F11" s="133">
        <v>30990000</v>
      </c>
      <c r="G11" s="112" t="s">
        <v>22</v>
      </c>
      <c r="H11" s="153"/>
      <c r="M11" s="148">
        <f>IFERROR(C11-W12Q2FY26!C11,"OOS")</f>
        <v>400000</v>
      </c>
      <c r="N11" s="146" t="str">
        <f t="shared" si="0"/>
        <v>iPhone 16 Pro Max 256GB tăng 400K = 31990.0K</v>
      </c>
      <c r="O11" s="149" t="str">
        <f>IFERROR(D11-W12Q2FY26!D11,"OOS")</f>
        <v>OOS</v>
      </c>
      <c r="P11" s="146" t="e">
        <f t="shared" si="1"/>
        <v>#VALUE!</v>
      </c>
      <c r="Q11" s="149" t="str">
        <f>IFERROR(E11-W12Q2FY26!E11,"OOS")</f>
        <v>OOS</v>
      </c>
      <c r="R11" s="146" t="e">
        <f t="shared" si="2"/>
        <v>#VALUE!</v>
      </c>
      <c r="S11" s="149">
        <f>IFERROR(F11-W12Q2FY26!F11,"OOS")</f>
        <v>-600000</v>
      </c>
      <c r="T11" s="146" t="str">
        <f t="shared" si="3"/>
        <v>iPhone 16 Pro Max 256GB giảm 600K = 30990.0K</v>
      </c>
      <c r="U11" s="149" t="str">
        <f>IFERROR(G11-W12Q2FY26!G11,"OOS")</f>
        <v>OOS</v>
      </c>
      <c r="V11" s="146" t="e">
        <f t="shared" si="4"/>
        <v>#VALUE!</v>
      </c>
    </row>
    <row r="12" spans="1:22" x14ac:dyDescent="0.2">
      <c r="A12" t="s">
        <v>25</v>
      </c>
      <c r="B12" s="25"/>
      <c r="C12" s="135">
        <v>17990000</v>
      </c>
      <c r="D12" s="135">
        <v>17990000</v>
      </c>
      <c r="E12" s="154">
        <v>17490000</v>
      </c>
      <c r="F12" s="132">
        <v>17990000</v>
      </c>
      <c r="G12" s="111">
        <v>17690000</v>
      </c>
      <c r="H12" s="153"/>
      <c r="M12" s="148">
        <f>IFERROR(C12-W12Q2FY26!C12,"OOS")</f>
        <v>0</v>
      </c>
      <c r="N12" s="146" t="str">
        <f t="shared" si="0"/>
        <v/>
      </c>
      <c r="O12" s="149">
        <f>IFERROR(D12-W12Q2FY26!D12,"OOS")</f>
        <v>0</v>
      </c>
      <c r="P12" s="146" t="str">
        <f t="shared" si="1"/>
        <v/>
      </c>
      <c r="Q12" s="149">
        <f>IFERROR(E12-W12Q2FY26!E12,"OOS")</f>
        <v>0</v>
      </c>
      <c r="R12" s="146" t="str">
        <f t="shared" si="2"/>
        <v/>
      </c>
      <c r="S12" s="149">
        <f>IFERROR(F12-W12Q2FY26!F12,"OOS")</f>
        <v>0</v>
      </c>
      <c r="T12" s="146" t="str">
        <f t="shared" si="3"/>
        <v/>
      </c>
      <c r="U12" s="149">
        <f>IFERROR(G12-W12Q2FY26!G12,"OOS")</f>
        <v>200000</v>
      </c>
      <c r="V12" s="146" t="str">
        <f t="shared" si="4"/>
        <v>iPhone 15  128GB tăng 200K = 17690.0K</v>
      </c>
    </row>
    <row r="13" spans="1:22" x14ac:dyDescent="0.2">
      <c r="A13" t="s">
        <v>26</v>
      </c>
      <c r="B13" s="25"/>
      <c r="C13" s="135">
        <v>18990000</v>
      </c>
      <c r="D13" s="135" t="s">
        <v>22</v>
      </c>
      <c r="E13" s="130" t="s">
        <v>22</v>
      </c>
      <c r="F13" s="132">
        <v>17690000</v>
      </c>
      <c r="G13" s="110" t="s">
        <v>22</v>
      </c>
      <c r="H13" s="153"/>
      <c r="M13" s="148">
        <f>IFERROR(C13-W12Q2FY26!C13,"OOS")</f>
        <v>0</v>
      </c>
      <c r="N13" s="146" t="str">
        <f t="shared" si="0"/>
        <v/>
      </c>
      <c r="O13" s="149" t="str">
        <f>IFERROR(D13-W12Q2FY26!D13,"OOS")</f>
        <v>OOS</v>
      </c>
      <c r="P13" s="146" t="e">
        <f t="shared" si="1"/>
        <v>#VALUE!</v>
      </c>
      <c r="Q13" s="149" t="str">
        <f>IFERROR(E13-W12Q2FY26!E13,"OOS")</f>
        <v>OOS</v>
      </c>
      <c r="R13" s="146" t="e">
        <f t="shared" si="2"/>
        <v>#VALUE!</v>
      </c>
      <c r="S13" s="149">
        <f>IFERROR(F13-W12Q2FY26!F13,"OOS")</f>
        <v>0</v>
      </c>
      <c r="T13" s="146" t="str">
        <f t="shared" si="3"/>
        <v/>
      </c>
      <c r="U13" s="149" t="str">
        <f>IFERROR(G13-W12Q2FY26!G13,"OOS")</f>
        <v>OOS</v>
      </c>
      <c r="V13" s="146" t="e">
        <f t="shared" si="4"/>
        <v>#VALUE!</v>
      </c>
    </row>
    <row r="14" spans="1:22" x14ac:dyDescent="0.2">
      <c r="A14" t="s">
        <v>27</v>
      </c>
      <c r="B14" s="25"/>
      <c r="C14" s="135">
        <v>13990000</v>
      </c>
      <c r="D14" s="135">
        <v>13990000</v>
      </c>
      <c r="E14" s="130">
        <v>13590000</v>
      </c>
      <c r="F14" s="132">
        <v>13990000</v>
      </c>
      <c r="G14" s="111">
        <v>12990000</v>
      </c>
      <c r="H14" s="153"/>
      <c r="M14" s="148">
        <f>IFERROR(C14-W12Q2FY26!C14,"OOS")</f>
        <v>0</v>
      </c>
      <c r="N14" s="146" t="str">
        <f t="shared" si="0"/>
        <v/>
      </c>
      <c r="O14" s="149">
        <f>IFERROR(D14-W12Q2FY26!D14,"OOS")</f>
        <v>100000</v>
      </c>
      <c r="P14" s="146" t="str">
        <f t="shared" si="1"/>
        <v>iPhone 14 128GB tăng 100K = 13990.0K</v>
      </c>
      <c r="Q14" s="149">
        <f>IFERROR(E14-W12Q2FY26!E14,"OOS")</f>
        <v>0</v>
      </c>
      <c r="R14" s="146" t="str">
        <f t="shared" si="2"/>
        <v/>
      </c>
      <c r="S14" s="149">
        <f>IFERROR(F14-W12Q2FY26!F14,"OOS")</f>
        <v>0</v>
      </c>
      <c r="T14" s="146" t="str">
        <f t="shared" si="3"/>
        <v/>
      </c>
      <c r="U14" s="149">
        <f>IFERROR(G14-W12Q2FY26!G14,"OOS")</f>
        <v>0</v>
      </c>
      <c r="V14" s="146" t="str">
        <f t="shared" si="4"/>
        <v/>
      </c>
    </row>
    <row r="15" spans="1:22" x14ac:dyDescent="0.2">
      <c r="A15" t="s">
        <v>28</v>
      </c>
      <c r="B15" s="3"/>
      <c r="C15" s="135">
        <v>11990000</v>
      </c>
      <c r="D15" s="135">
        <v>11990000</v>
      </c>
      <c r="E15" s="139">
        <v>11990000</v>
      </c>
      <c r="F15" s="133">
        <v>11790000</v>
      </c>
      <c r="G15" s="110">
        <v>11890000</v>
      </c>
      <c r="H15" s="153"/>
      <c r="M15" s="148">
        <f>IFERROR(C15-W12Q2FY26!C15,"OOS")</f>
        <v>0</v>
      </c>
      <c r="N15" s="146" t="str">
        <f t="shared" si="0"/>
        <v/>
      </c>
      <c r="O15" s="149">
        <f>IFERROR(D15-W12Q2FY26!D15,"OOS")</f>
        <v>0</v>
      </c>
      <c r="P15" s="146" t="str">
        <f t="shared" si="1"/>
        <v/>
      </c>
      <c r="Q15" s="149">
        <f>IFERROR(E15-W12Q2FY26!E15,"OOS")</f>
        <v>0</v>
      </c>
      <c r="R15" s="146" t="str">
        <f t="shared" si="2"/>
        <v/>
      </c>
      <c r="S15" s="149">
        <f>IFERROR(F15-W12Q2FY26!F15,"OOS")</f>
        <v>-500000</v>
      </c>
      <c r="T15" s="146" t="str">
        <f t="shared" si="3"/>
        <v>iPhone 13  128GB giảm 500K = 11790.0K</v>
      </c>
      <c r="U15" s="149">
        <f>IFERROR(G15-W12Q2FY26!G15,"OOS")</f>
        <v>0</v>
      </c>
      <c r="V15" s="146" t="str">
        <f t="shared" si="4"/>
        <v/>
      </c>
    </row>
    <row r="16" spans="1:22" x14ac:dyDescent="0.2">
      <c r="A16" t="s">
        <v>29</v>
      </c>
      <c r="B16" s="25"/>
      <c r="C16" s="135">
        <v>13590000</v>
      </c>
      <c r="D16" s="135">
        <v>13490000</v>
      </c>
      <c r="E16" s="139">
        <v>13290000</v>
      </c>
      <c r="F16" s="133">
        <v>13590000</v>
      </c>
      <c r="G16" s="111">
        <v>13390000</v>
      </c>
      <c r="H16" s="153"/>
      <c r="M16" s="148">
        <f>IFERROR(C16-W12Q2FY26!C16,"OOS")</f>
        <v>0</v>
      </c>
      <c r="N16" s="146" t="str">
        <f t="shared" si="0"/>
        <v/>
      </c>
      <c r="O16" s="149">
        <f>IFERROR(D16-W12Q2FY26!D16,"OOS")</f>
        <v>0</v>
      </c>
      <c r="P16" s="146" t="str">
        <f t="shared" si="1"/>
        <v/>
      </c>
      <c r="Q16" s="149">
        <f>IFERROR(E16-W12Q2FY26!E16,"OOS")</f>
        <v>0</v>
      </c>
      <c r="R16" s="146" t="str">
        <f t="shared" si="2"/>
        <v/>
      </c>
      <c r="S16" s="149">
        <f>IFERROR(F16-W12Q2FY26!F16,"OOS")</f>
        <v>1600000</v>
      </c>
      <c r="T16" s="146" t="str">
        <f t="shared" si="3"/>
        <v>iPad Mini 7 128GB Wifi tăng 1600K = 13590.0K</v>
      </c>
      <c r="U16" s="149">
        <f>IFERROR(G16-W12Q2FY26!G16,"OOS")</f>
        <v>2600000</v>
      </c>
      <c r="V16" s="146" t="str">
        <f t="shared" si="4"/>
        <v>iPad Mini 7 128GB Wifi tăng 2600K = 13390.0K</v>
      </c>
    </row>
    <row r="17" spans="1:25" x14ac:dyDescent="0.2">
      <c r="A17" t="s">
        <v>30</v>
      </c>
      <c r="B17" s="3"/>
      <c r="C17" s="135">
        <v>9490000</v>
      </c>
      <c r="D17" s="135">
        <v>9490000</v>
      </c>
      <c r="E17" s="154">
        <v>9190000</v>
      </c>
      <c r="F17" s="132">
        <v>9490000</v>
      </c>
      <c r="G17" s="110">
        <v>8990000</v>
      </c>
      <c r="H17" s="153"/>
      <c r="M17" s="148">
        <f>IFERROR(C17-W12Q2FY26!C17,"OOS")</f>
        <v>0</v>
      </c>
      <c r="N17" s="146" t="str">
        <f t="shared" si="0"/>
        <v/>
      </c>
      <c r="O17" s="149">
        <f>IFERROR(D17-W12Q2FY26!D17,"OOS")</f>
        <v>0</v>
      </c>
      <c r="P17" s="146" t="str">
        <f t="shared" si="1"/>
        <v/>
      </c>
      <c r="Q17" s="149">
        <f>IFERROR(E17-W12Q2FY26!E17,"OOS")</f>
        <v>0</v>
      </c>
      <c r="R17" s="146" t="str">
        <f t="shared" si="2"/>
        <v/>
      </c>
      <c r="S17" s="149">
        <f>IFERROR(F17-W12Q2FY26!F17,"OOS")</f>
        <v>0</v>
      </c>
      <c r="T17" s="146" t="str">
        <f t="shared" si="3"/>
        <v/>
      </c>
      <c r="U17" s="149">
        <f>IFERROR(G17-W12Q2FY26!G17,"OOS")</f>
        <v>0</v>
      </c>
      <c r="V17" s="146" t="str">
        <f t="shared" si="4"/>
        <v/>
      </c>
      <c r="W17" t="s">
        <v>31</v>
      </c>
      <c r="X17" t="s">
        <v>32</v>
      </c>
      <c r="Y17" t="b">
        <v>1</v>
      </c>
    </row>
    <row r="18" spans="1:25" x14ac:dyDescent="0.2">
      <c r="A18" t="s">
        <v>33</v>
      </c>
      <c r="B18" s="3"/>
      <c r="C18" s="135">
        <v>16690000</v>
      </c>
      <c r="D18" s="140">
        <v>15490000</v>
      </c>
      <c r="E18" s="154" t="s">
        <v>22</v>
      </c>
      <c r="F18" s="132">
        <v>15790000</v>
      </c>
      <c r="G18" s="110">
        <v>16690000</v>
      </c>
      <c r="H18" s="153"/>
      <c r="M18" s="148">
        <f>IFERROR(C18-W12Q2FY26!C18,"OOS")</f>
        <v>16690000</v>
      </c>
      <c r="N18" s="146" t="str">
        <f t="shared" si="0"/>
        <v>iPad Air M3  11" 128 GB Wifi tăng 16690K = 16690.0K</v>
      </c>
      <c r="O18" s="149">
        <f>IFERROR(D18-W12Q2FY26!D18,"OOS")</f>
        <v>15490000</v>
      </c>
      <c r="P18" s="146" t="str">
        <f t="shared" si="1"/>
        <v>iPad Air M3  11" 128 GB Wifi tăng 15490K = 15490.0K</v>
      </c>
      <c r="Q18" s="149" t="str">
        <f>IFERROR(E18-W12Q2FY26!E18,"OOS")</f>
        <v>OOS</v>
      </c>
      <c r="R18" s="146" t="e">
        <f t="shared" si="2"/>
        <v>#VALUE!</v>
      </c>
      <c r="S18" s="149">
        <f>IFERROR(F18-W12Q2FY26!F18,"OOS")</f>
        <v>15790000</v>
      </c>
      <c r="T18" s="146" t="str">
        <f t="shared" si="3"/>
        <v>iPad Air M3  11" 128 GB Wifi tăng 15790K = 15790.0K</v>
      </c>
      <c r="U18" s="149">
        <f>IFERROR(G18-W12Q2FY26!G18,"OOS")</f>
        <v>16690000</v>
      </c>
      <c r="V18" s="146" t="str">
        <f t="shared" si="4"/>
        <v>iPad Air M3  11" 128 GB Wifi tăng 16690K = 16690.0K</v>
      </c>
      <c r="W18" t="s">
        <v>2</v>
      </c>
      <c r="X18" t="s">
        <v>34</v>
      </c>
      <c r="Y18" t="b">
        <v>1</v>
      </c>
    </row>
    <row r="19" spans="1:25" x14ac:dyDescent="0.2">
      <c r="A19" t="s">
        <v>37</v>
      </c>
      <c r="B19" s="25"/>
      <c r="C19" s="135">
        <v>22090000</v>
      </c>
      <c r="D19" s="135">
        <v>19990000</v>
      </c>
      <c r="E19" s="154" t="s">
        <v>22</v>
      </c>
      <c r="F19" s="132">
        <v>18990000</v>
      </c>
      <c r="G19" s="110">
        <v>22089000</v>
      </c>
      <c r="H19" s="153"/>
      <c r="M19" s="148">
        <f>IFERROR(C19-W12Q2FY26!C19,"OOS")</f>
        <v>22090000</v>
      </c>
      <c r="N19" s="146" t="str">
        <f t="shared" si="0"/>
        <v>iPad Air M3  13" 128 GB Wifi tăng 22090K = 22090.0K</v>
      </c>
      <c r="O19" s="149">
        <f>IFERROR(D19-W12Q2FY26!D19,"OOS")</f>
        <v>19990000</v>
      </c>
      <c r="P19" s="146" t="str">
        <f t="shared" si="1"/>
        <v>iPad Air M3  13" 128 GB Wifi tăng 19990K = 19990.0K</v>
      </c>
      <c r="Q19" s="149" t="str">
        <f>IFERROR(E19-W12Q2FY26!E19,"OOS")</f>
        <v>OOS</v>
      </c>
      <c r="R19" s="146" t="e">
        <f t="shared" si="2"/>
        <v>#VALUE!</v>
      </c>
      <c r="S19" s="149">
        <f>IFERROR(F19-W12Q2FY26!F19,"OOS")</f>
        <v>18990000</v>
      </c>
      <c r="T19" s="146" t="str">
        <f t="shared" si="3"/>
        <v>iPad Air M3  13" 128 GB Wifi tăng 18990K = 18990.0K</v>
      </c>
      <c r="U19" s="149">
        <f>IFERROR(G19-W12Q2FY26!G19,"OOS")</f>
        <v>22089000</v>
      </c>
      <c r="V19" s="146" t="str">
        <f t="shared" si="4"/>
        <v>iPad Air M3  13" 128 GB Wifi tăng 22089K = 22089.0K</v>
      </c>
      <c r="W19" t="s">
        <v>3</v>
      </c>
      <c r="X19" t="s">
        <v>36</v>
      </c>
      <c r="Y19" t="b">
        <v>1</v>
      </c>
    </row>
    <row r="20" spans="1:25" x14ac:dyDescent="0.2">
      <c r="A20" t="s">
        <v>40</v>
      </c>
      <c r="B20" s="3"/>
      <c r="C20" s="135">
        <v>29290000</v>
      </c>
      <c r="D20" s="135">
        <v>28990000</v>
      </c>
      <c r="E20" s="123">
        <v>28990000</v>
      </c>
      <c r="F20" s="132">
        <v>29390000</v>
      </c>
      <c r="G20" s="112">
        <v>28990000</v>
      </c>
      <c r="H20" s="153"/>
      <c r="M20" s="148">
        <f>IFERROR(C20-W12Q2FY26!C22,"OOS")</f>
        <v>0</v>
      </c>
      <c r="N20" s="146" t="str">
        <f t="shared" si="0"/>
        <v/>
      </c>
      <c r="O20" s="149">
        <f>IFERROR(D20-W12Q2FY26!D22,"OOS")</f>
        <v>0</v>
      </c>
      <c r="P20" s="146" t="str">
        <f t="shared" si="1"/>
        <v/>
      </c>
      <c r="Q20" s="149">
        <f>IFERROR(E20-W12Q2FY26!E22,"OOS")</f>
        <v>0</v>
      </c>
      <c r="R20" s="146" t="str">
        <f t="shared" si="2"/>
        <v/>
      </c>
      <c r="S20" s="149">
        <f>IFERROR(F20-W12Q2FY26!F22,"OOS")</f>
        <v>0</v>
      </c>
      <c r="T20" s="146" t="str">
        <f t="shared" si="3"/>
        <v/>
      </c>
      <c r="U20" s="149">
        <f>IFERROR(G20-W12Q2FY26!G22,"OOS")</f>
        <v>0</v>
      </c>
      <c r="V20" s="146" t="str">
        <f t="shared" si="4"/>
        <v/>
      </c>
      <c r="W20" t="s">
        <v>4</v>
      </c>
      <c r="X20" t="s">
        <v>38</v>
      </c>
      <c r="Y20" t="b">
        <v>1</v>
      </c>
    </row>
    <row r="21" spans="1:25" x14ac:dyDescent="0.2">
      <c r="A21" t="s">
        <v>43</v>
      </c>
      <c r="B21" s="3"/>
      <c r="C21" s="135">
        <v>39290000</v>
      </c>
      <c r="D21" s="141">
        <v>38990000</v>
      </c>
      <c r="E21" s="112">
        <v>38990000</v>
      </c>
      <c r="F21" s="132">
        <v>38990000</v>
      </c>
      <c r="G21" s="112">
        <v>38990000</v>
      </c>
      <c r="H21" s="153"/>
      <c r="M21" s="148">
        <f>IFERROR(C21-W12Q2FY26!C23,"OOS")</f>
        <v>0</v>
      </c>
      <c r="N21" s="146" t="str">
        <f t="shared" si="0"/>
        <v/>
      </c>
      <c r="O21" s="149">
        <f>IFERROR(D21-W12Q2FY26!D23,"OOS")</f>
        <v>0</v>
      </c>
      <c r="P21" s="146" t="str">
        <f t="shared" si="1"/>
        <v/>
      </c>
      <c r="Q21" s="149">
        <f>IFERROR(E21-W12Q2FY26!E23,"OOS")</f>
        <v>0</v>
      </c>
      <c r="R21" s="146" t="str">
        <f t="shared" si="2"/>
        <v/>
      </c>
      <c r="S21" s="149">
        <f>IFERROR(F21-W12Q2FY26!F23,"OOS")</f>
        <v>0</v>
      </c>
      <c r="T21" s="146" t="str">
        <f t="shared" si="3"/>
        <v/>
      </c>
      <c r="U21" s="149">
        <f>IFERROR(G21-W12Q2FY26!G23,"OOS")</f>
        <v>0</v>
      </c>
      <c r="V21" s="146" t="str">
        <f t="shared" si="4"/>
        <v/>
      </c>
      <c r="W21" t="s">
        <v>41</v>
      </c>
      <c r="X21" t="s">
        <v>42</v>
      </c>
      <c r="Y21" t="b">
        <v>1</v>
      </c>
    </row>
    <row r="22" spans="1:25" x14ac:dyDescent="0.2">
      <c r="A22" t="s">
        <v>44</v>
      </c>
      <c r="B22" s="25"/>
      <c r="C22" s="135">
        <v>6790000</v>
      </c>
      <c r="D22" s="135">
        <v>6790000</v>
      </c>
      <c r="E22" s="139">
        <v>5990000</v>
      </c>
      <c r="F22" s="132">
        <v>6790000</v>
      </c>
      <c r="G22" s="123">
        <v>6690000</v>
      </c>
      <c r="H22" s="153"/>
      <c r="M22" s="148">
        <f>IFERROR(C22-W12Q2FY26!C24,"OOS")</f>
        <v>0</v>
      </c>
      <c r="N22" s="146" t="str">
        <f t="shared" si="0"/>
        <v/>
      </c>
      <c r="O22" s="149">
        <f>IFERROR(D22-W12Q2FY26!D24,"OOS")</f>
        <v>0</v>
      </c>
      <c r="P22" s="146" t="str">
        <f t="shared" si="1"/>
        <v/>
      </c>
      <c r="Q22" s="149">
        <f>IFERROR(E22-W12Q2FY26!E24,"OOS")</f>
        <v>-500000</v>
      </c>
      <c r="R22" s="146" t="str">
        <f t="shared" si="2"/>
        <v>AW SE 3 (40mm GPS) giảm 500K = 5990.0K</v>
      </c>
      <c r="S22" s="149">
        <f>IFERROR(F22-W12Q2FY26!F24,"OOS")</f>
        <v>0</v>
      </c>
      <c r="T22" s="146" t="str">
        <f t="shared" si="3"/>
        <v/>
      </c>
      <c r="U22" s="149">
        <f>IFERROR(G22-W12Q2FY26!G24,"OOS")</f>
        <v>100000</v>
      </c>
      <c r="V22" s="146" t="str">
        <f t="shared" si="4"/>
        <v>AW SE 3 (40mm GPS) tăng 100K = 6690.0K</v>
      </c>
    </row>
    <row r="23" spans="1:25" x14ac:dyDescent="0.2">
      <c r="A23" t="s">
        <v>45</v>
      </c>
      <c r="B23" s="25"/>
      <c r="C23" s="135">
        <v>8390000</v>
      </c>
      <c r="D23" s="135">
        <v>8290000</v>
      </c>
      <c r="E23" s="154">
        <v>7490000</v>
      </c>
      <c r="F23" s="132">
        <v>8390000</v>
      </c>
      <c r="G23" s="112">
        <v>8190000</v>
      </c>
      <c r="H23" s="153"/>
      <c r="M23" s="148">
        <f>IFERROR(C23-W12Q2FY26!C25,"OOS")</f>
        <v>0</v>
      </c>
      <c r="N23" s="146" t="str">
        <f t="shared" si="0"/>
        <v/>
      </c>
      <c r="O23" s="149">
        <f>IFERROR(D23-W12Q2FY26!D25,"OOS")</f>
        <v>0</v>
      </c>
      <c r="P23" s="146" t="str">
        <f t="shared" si="1"/>
        <v/>
      </c>
      <c r="Q23" s="149">
        <f>IFERROR(E23-W12Q2FY26!E25,"OOS")</f>
        <v>-500000</v>
      </c>
      <c r="R23" s="146" t="str">
        <f t="shared" si="2"/>
        <v>AW SE 3 (40mm LTE) giảm 500K = 7490.0K</v>
      </c>
      <c r="S23" s="149">
        <f>IFERROR(F23-W12Q2FY26!F25,"OOS")</f>
        <v>0</v>
      </c>
      <c r="T23" s="146" t="str">
        <f t="shared" si="3"/>
        <v/>
      </c>
      <c r="U23" s="149">
        <f>IFERROR(G23-W12Q2FY26!G25,"OOS")</f>
        <v>0</v>
      </c>
      <c r="V23" s="146" t="str">
        <f t="shared" si="4"/>
        <v/>
      </c>
    </row>
    <row r="24" spans="1:25" x14ac:dyDescent="0.2">
      <c r="A24" t="s">
        <v>46</v>
      </c>
      <c r="B24" s="25"/>
      <c r="C24" s="135">
        <v>7690000</v>
      </c>
      <c r="D24" s="140">
        <v>7690000</v>
      </c>
      <c r="E24" s="139">
        <v>6890000</v>
      </c>
      <c r="F24" s="132">
        <v>7690000</v>
      </c>
      <c r="G24" s="112">
        <v>7490000</v>
      </c>
      <c r="H24" s="153"/>
      <c r="M24" s="148">
        <f>IFERROR(C24-W12Q2FY26!C26,"OOS")</f>
        <v>0</v>
      </c>
      <c r="N24" s="146" t="str">
        <f t="shared" si="0"/>
        <v/>
      </c>
      <c r="O24" s="149">
        <f>IFERROR(D24-W12Q2FY26!D26,"OOS")</f>
        <v>700000</v>
      </c>
      <c r="P24" s="146" t="str">
        <f t="shared" si="1"/>
        <v>AW SE 3 (44mm GPS) tăng 700K = 7690.0K</v>
      </c>
      <c r="Q24" s="149">
        <f>IFERROR(E24-W12Q2FY26!E26,"OOS")</f>
        <v>-500000</v>
      </c>
      <c r="R24" s="146" t="str">
        <f t="shared" si="2"/>
        <v>AW SE 3 (44mm GPS) giảm 500K = 6890.0K</v>
      </c>
      <c r="S24" s="149">
        <f>IFERROR(F24-W12Q2FY26!F26,"OOS")</f>
        <v>0</v>
      </c>
      <c r="T24" s="146" t="str">
        <f t="shared" si="3"/>
        <v/>
      </c>
      <c r="U24" s="149">
        <f>IFERROR(G24-W12Q2FY26!G26,"OOS")</f>
        <v>0</v>
      </c>
      <c r="V24" s="146" t="str">
        <f t="shared" si="4"/>
        <v/>
      </c>
    </row>
    <row r="25" spans="1:25" x14ac:dyDescent="0.2">
      <c r="A25" t="s">
        <v>47</v>
      </c>
      <c r="B25" s="25"/>
      <c r="C25" s="135">
        <v>9190000</v>
      </c>
      <c r="D25" s="135">
        <v>9190000</v>
      </c>
      <c r="E25" s="139">
        <v>8490000</v>
      </c>
      <c r="F25" s="132">
        <v>9190000</v>
      </c>
      <c r="G25" s="112">
        <v>8790000</v>
      </c>
      <c r="H25" s="153"/>
      <c r="M25" s="148">
        <f>IFERROR(C25-W12Q2FY26!C27,"OOS")</f>
        <v>0</v>
      </c>
      <c r="N25" s="146" t="str">
        <f t="shared" si="0"/>
        <v/>
      </c>
      <c r="O25" s="149">
        <f>IFERROR(D25-W12Q2FY26!D27,"OOS")</f>
        <v>0</v>
      </c>
      <c r="P25" s="146" t="str">
        <f t="shared" si="1"/>
        <v/>
      </c>
      <c r="Q25" s="149">
        <f>IFERROR(E25-W12Q2FY26!E27,"OOS")</f>
        <v>-500000</v>
      </c>
      <c r="R25" s="146" t="str">
        <f t="shared" si="2"/>
        <v>AW SE 3 (44mm LTE) giảm 500K = 8490.0K</v>
      </c>
      <c r="S25" s="149">
        <f>IFERROR(F25-W12Q2FY26!F27,"OOS")</f>
        <v>0</v>
      </c>
      <c r="T25" s="146" t="str">
        <f t="shared" si="3"/>
        <v/>
      </c>
      <c r="U25" s="149">
        <f>IFERROR(G25-W12Q2FY26!G27,"OOS")</f>
        <v>0</v>
      </c>
      <c r="V25" s="146" t="str">
        <f t="shared" si="4"/>
        <v/>
      </c>
    </row>
    <row r="26" spans="1:25" x14ac:dyDescent="0.2">
      <c r="A26" t="s">
        <v>48</v>
      </c>
      <c r="B26" s="3"/>
      <c r="C26" s="135">
        <v>11190000</v>
      </c>
      <c r="D26" s="135">
        <v>11190000</v>
      </c>
      <c r="E26" s="139">
        <v>10190000</v>
      </c>
      <c r="F26" s="132">
        <v>11190000</v>
      </c>
      <c r="G26" s="112">
        <v>10990000</v>
      </c>
      <c r="H26" s="153"/>
      <c r="M26" s="148">
        <f>IFERROR(C26-W12Q2FY26!C28,"OOS")</f>
        <v>0</v>
      </c>
      <c r="N26" s="146" t="str">
        <f t="shared" si="0"/>
        <v/>
      </c>
      <c r="O26" s="149">
        <f>IFERROR(D26-W12Q2FY26!D28,"OOS")</f>
        <v>0</v>
      </c>
      <c r="P26" s="146" t="str">
        <f t="shared" si="1"/>
        <v/>
      </c>
      <c r="Q26" s="149">
        <f>IFERROR(E26-W12Q2FY26!E28,"OOS")</f>
        <v>-500000</v>
      </c>
      <c r="R26" s="146" t="str">
        <f t="shared" si="2"/>
        <v>AW S11 (42mm GPS) giảm 500K = 10190.0K</v>
      </c>
      <c r="S26" s="149">
        <f>IFERROR(F26-W12Q2FY26!F28,"OOS")</f>
        <v>0</v>
      </c>
      <c r="T26" s="146" t="str">
        <f t="shared" si="3"/>
        <v/>
      </c>
      <c r="U26" s="149">
        <f>IFERROR(G26-W12Q2FY26!G28,"OOS")</f>
        <v>0</v>
      </c>
      <c r="V26" s="146" t="str">
        <f t="shared" si="4"/>
        <v/>
      </c>
    </row>
    <row r="27" spans="1:25" x14ac:dyDescent="0.2">
      <c r="A27" t="s">
        <v>49</v>
      </c>
      <c r="B27" s="3"/>
      <c r="C27" s="135">
        <v>14090000</v>
      </c>
      <c r="D27" s="135">
        <v>14090000</v>
      </c>
      <c r="E27" s="139">
        <v>13490000</v>
      </c>
      <c r="F27" s="132">
        <v>14090000</v>
      </c>
      <c r="G27" s="112">
        <v>13990000</v>
      </c>
      <c r="H27" s="153"/>
      <c r="M27" s="148">
        <f>IFERROR(C27-W12Q2FY26!C29,"OOS")</f>
        <v>0</v>
      </c>
      <c r="N27" s="146" t="str">
        <f t="shared" si="0"/>
        <v/>
      </c>
      <c r="O27" s="149">
        <f>IFERROR(D27-W12Q2FY26!D29,"OOS")</f>
        <v>0</v>
      </c>
      <c r="P27" s="146" t="str">
        <f t="shared" si="1"/>
        <v/>
      </c>
      <c r="Q27" s="149">
        <f>IFERROR(E27-W12Q2FY26!E29,"OOS")</f>
        <v>-500000</v>
      </c>
      <c r="R27" s="146" t="str">
        <f t="shared" si="2"/>
        <v>AW S11 (42mm CEL) giảm 500K = 13490.0K</v>
      </c>
      <c r="S27" s="149">
        <f>IFERROR(F27-W12Q2FY26!F29,"OOS")</f>
        <v>0</v>
      </c>
      <c r="T27" s="146" t="str">
        <f t="shared" si="3"/>
        <v/>
      </c>
      <c r="U27" s="149">
        <f>IFERROR(G27-W12Q2FY26!G29,"OOS")</f>
        <v>0</v>
      </c>
      <c r="V27" s="146" t="str">
        <f t="shared" si="4"/>
        <v/>
      </c>
    </row>
    <row r="28" spans="1:25" x14ac:dyDescent="0.2">
      <c r="A28" t="s">
        <v>50</v>
      </c>
      <c r="B28" s="3"/>
      <c r="C28" s="135">
        <v>11990000</v>
      </c>
      <c r="D28" s="135">
        <v>11990000</v>
      </c>
      <c r="E28" s="139">
        <v>10990000</v>
      </c>
      <c r="F28" s="132">
        <v>11990000</v>
      </c>
      <c r="G28" s="112">
        <v>11890000</v>
      </c>
      <c r="H28" s="153"/>
      <c r="M28" s="148">
        <f>IFERROR(C28-W12Q2FY26!C30,"OOS")</f>
        <v>0</v>
      </c>
      <c r="N28" s="146" t="str">
        <f t="shared" si="0"/>
        <v/>
      </c>
      <c r="O28" s="149">
        <f>IFERROR(D28-W12Q2FY26!D30,"OOS")</f>
        <v>0</v>
      </c>
      <c r="P28" s="146" t="str">
        <f t="shared" si="1"/>
        <v/>
      </c>
      <c r="Q28" s="149">
        <f>IFERROR(E28-W12Q2FY26!E30,"OOS")</f>
        <v>-500000</v>
      </c>
      <c r="R28" s="146" t="str">
        <f t="shared" si="2"/>
        <v>AW S11 (46mm GPS) giảm 500K = 10990.0K</v>
      </c>
      <c r="S28" s="149">
        <f>IFERROR(F28-W12Q2FY26!F30,"OOS")</f>
        <v>0</v>
      </c>
      <c r="T28" s="146" t="str">
        <f t="shared" si="3"/>
        <v/>
      </c>
      <c r="U28" s="149">
        <f>IFERROR(G28-W12Q2FY26!G30,"OOS")</f>
        <v>0</v>
      </c>
      <c r="V28" s="146" t="str">
        <f t="shared" si="4"/>
        <v/>
      </c>
    </row>
    <row r="29" spans="1:25" x14ac:dyDescent="0.2">
      <c r="A29" t="s">
        <v>51</v>
      </c>
      <c r="B29" s="3"/>
      <c r="C29" s="135" t="s">
        <v>22</v>
      </c>
      <c r="D29" s="135">
        <v>14990000</v>
      </c>
      <c r="E29" s="139">
        <v>13990000</v>
      </c>
      <c r="F29" s="132">
        <v>14990000</v>
      </c>
      <c r="G29" s="112">
        <v>14890000</v>
      </c>
      <c r="H29" s="153"/>
      <c r="M29" s="148" t="str">
        <f>IFERROR(C29-W12Q2FY26!C31,"OOS")</f>
        <v>OOS</v>
      </c>
      <c r="N29" s="146" t="e">
        <f t="shared" si="0"/>
        <v>#VALUE!</v>
      </c>
      <c r="O29" s="149">
        <f>IFERROR(D29-W12Q2FY26!D31,"OOS")</f>
        <v>0</v>
      </c>
      <c r="P29" s="146" t="str">
        <f t="shared" si="1"/>
        <v/>
      </c>
      <c r="Q29" s="149">
        <f>IFERROR(E29-W12Q2FY26!E31,"OOS")</f>
        <v>-500000</v>
      </c>
      <c r="R29" s="146" t="str">
        <f t="shared" si="2"/>
        <v>AW S11 (46mm CEL) giảm 500K = 13990.0K</v>
      </c>
      <c r="S29" s="149">
        <f>IFERROR(F29-W12Q2FY26!F31,"OOS")</f>
        <v>0</v>
      </c>
      <c r="T29" s="146" t="str">
        <f t="shared" si="3"/>
        <v/>
      </c>
      <c r="U29" s="149">
        <f>IFERROR(G29-W12Q2FY26!G31,"OOS")</f>
        <v>0</v>
      </c>
      <c r="V29" s="146" t="str">
        <f t="shared" si="4"/>
        <v/>
      </c>
    </row>
    <row r="30" spans="1:25" x14ac:dyDescent="0.2">
      <c r="A30" t="s">
        <v>52</v>
      </c>
      <c r="B30" s="25"/>
      <c r="C30" s="135">
        <v>23490000</v>
      </c>
      <c r="D30" s="135">
        <v>22990000</v>
      </c>
      <c r="E30" s="112">
        <v>21990000</v>
      </c>
      <c r="F30" s="132">
        <v>23190000</v>
      </c>
      <c r="G30" s="110">
        <v>22990000</v>
      </c>
      <c r="H30" s="153"/>
      <c r="M30" s="148">
        <f>IFERROR(C30-W12Q2FY26!C32,"OOS")</f>
        <v>0</v>
      </c>
      <c r="N30" s="146" t="str">
        <f t="shared" si="0"/>
        <v/>
      </c>
      <c r="O30" s="149">
        <f>IFERROR(D30-W12Q2FY26!D32,"OOS")</f>
        <v>0</v>
      </c>
      <c r="P30" s="146" t="str">
        <f t="shared" si="1"/>
        <v/>
      </c>
      <c r="Q30" s="149">
        <f>IFERROR(E30-W12Q2FY26!E32,"OOS")</f>
        <v>-500000</v>
      </c>
      <c r="R30" s="146" t="str">
        <f t="shared" si="2"/>
        <v>AW Ultra 3 (49mm) giảm 500K = 21990.0K</v>
      </c>
      <c r="S30" s="149">
        <f>IFERROR(F30-W12Q2FY26!F32,"OOS")</f>
        <v>0</v>
      </c>
      <c r="T30" s="146" t="str">
        <f t="shared" si="3"/>
        <v/>
      </c>
      <c r="U30" s="149">
        <f>IFERROR(G30-W12Q2FY26!G32,"OOS")</f>
        <v>0</v>
      </c>
      <c r="V30" s="146" t="str">
        <f t="shared" si="4"/>
        <v/>
      </c>
    </row>
    <row r="31" spans="1:25" x14ac:dyDescent="0.2">
      <c r="A31" t="s">
        <v>53</v>
      </c>
      <c r="B31" s="3"/>
      <c r="C31" s="135">
        <v>5190000</v>
      </c>
      <c r="D31" s="135" t="s">
        <v>22</v>
      </c>
      <c r="E31" s="130" t="s">
        <v>22</v>
      </c>
      <c r="F31" s="132">
        <v>5190000</v>
      </c>
      <c r="G31" s="110">
        <v>5590000</v>
      </c>
      <c r="H31" s="153"/>
      <c r="M31" s="148">
        <f>IFERROR(C31-W12Q2FY26!C33,"OOS")</f>
        <v>0</v>
      </c>
      <c r="N31" s="146" t="str">
        <f t="shared" si="0"/>
        <v/>
      </c>
      <c r="O31" s="149" t="str">
        <f>IFERROR(D31-W12Q2FY26!D33,"OOS")</f>
        <v>OOS</v>
      </c>
      <c r="P31" s="146" t="e">
        <f t="shared" si="1"/>
        <v>#VALUE!</v>
      </c>
      <c r="Q31" s="149" t="str">
        <f>IFERROR(E31-W12Q2FY26!E33,"OOS")</f>
        <v>OOS</v>
      </c>
      <c r="R31" s="146" t="e">
        <f t="shared" si="2"/>
        <v>#VALUE!</v>
      </c>
      <c r="S31" s="149">
        <f>IFERROR(F31-W12Q2FY26!F33,"OOS")</f>
        <v>0</v>
      </c>
      <c r="T31" s="146" t="str">
        <f t="shared" si="3"/>
        <v/>
      </c>
      <c r="U31" s="149">
        <f>IFERROR(G31-W12Q2FY26!G33,"OOS")</f>
        <v>0</v>
      </c>
      <c r="V31" s="146" t="str">
        <f t="shared" si="4"/>
        <v/>
      </c>
    </row>
    <row r="32" spans="1:25" x14ac:dyDescent="0.2">
      <c r="A32" t="s">
        <v>54</v>
      </c>
      <c r="B32" s="3"/>
      <c r="C32" s="135">
        <v>4690000</v>
      </c>
      <c r="D32" s="135">
        <v>4590000</v>
      </c>
      <c r="E32" s="154">
        <v>4290000</v>
      </c>
      <c r="F32" s="133">
        <v>4690000</v>
      </c>
      <c r="G32" s="111">
        <v>4590000</v>
      </c>
      <c r="H32" s="153"/>
      <c r="M32" s="148">
        <f>IFERROR(C32-W12Q2FY26!C34,"OOS")</f>
        <v>0</v>
      </c>
      <c r="N32" s="146" t="str">
        <f t="shared" si="0"/>
        <v/>
      </c>
      <c r="O32" s="149">
        <f>IFERROR(D32-W12Q2FY26!D34,"OOS")</f>
        <v>0</v>
      </c>
      <c r="P32" s="146" t="str">
        <f t="shared" si="1"/>
        <v/>
      </c>
      <c r="Q32" s="149">
        <f>IFERROR(E32-W12Q2FY26!E34,"OOS")</f>
        <v>0</v>
      </c>
      <c r="R32" s="146" t="str">
        <f t="shared" si="2"/>
        <v/>
      </c>
      <c r="S32" s="149">
        <f>IFERROR(F32-W12Q2FY26!F34,"OOS")</f>
        <v>40000</v>
      </c>
      <c r="T32" s="146" t="str">
        <f t="shared" si="3"/>
        <v>AirPods 4 ANC tăng 40K = 4690.0K</v>
      </c>
      <c r="U32" s="149">
        <f>IFERROR(G32-W12Q2FY26!G34,"OOS")</f>
        <v>200000</v>
      </c>
      <c r="V32" s="146" t="str">
        <f t="shared" si="4"/>
        <v>AirPods 4 ANC tăng 200K = 4590.0K</v>
      </c>
    </row>
    <row r="33" spans="1:22" x14ac:dyDescent="0.2">
      <c r="A33" t="s">
        <v>55</v>
      </c>
      <c r="B33" s="3"/>
      <c r="C33" s="135">
        <v>3490000</v>
      </c>
      <c r="D33" s="135">
        <v>3490000</v>
      </c>
      <c r="E33" s="154">
        <v>3290000</v>
      </c>
      <c r="F33" s="132">
        <v>3490000</v>
      </c>
      <c r="G33" s="123">
        <v>3390000</v>
      </c>
      <c r="H33" s="153"/>
      <c r="M33" s="148">
        <f>IFERROR(C33-W12Q2FY26!C35,"OOS")</f>
        <v>0</v>
      </c>
      <c r="N33" s="146" t="str">
        <f t="shared" si="0"/>
        <v/>
      </c>
      <c r="O33" s="149">
        <f>IFERROR(D33-W12Q2FY26!D35,"OOS")</f>
        <v>0</v>
      </c>
      <c r="P33" s="146" t="str">
        <f t="shared" si="1"/>
        <v/>
      </c>
      <c r="Q33" s="149">
        <f>IFERROR(E33-W12Q2FY26!E35,"OOS")</f>
        <v>0</v>
      </c>
      <c r="R33" s="146" t="str">
        <f t="shared" si="2"/>
        <v/>
      </c>
      <c r="S33" s="149">
        <f>IFERROR(F33-W12Q2FY26!F35,"OOS")</f>
        <v>0</v>
      </c>
      <c r="T33" s="146" t="str">
        <f t="shared" si="3"/>
        <v/>
      </c>
      <c r="U33" s="149">
        <f>IFERROR(G33-W12Q2FY26!G35,"OOS")</f>
        <v>100000</v>
      </c>
      <c r="V33" s="146" t="str">
        <f t="shared" si="4"/>
        <v>AirPods 4 with charging case tăng 100K = 3390.0K</v>
      </c>
    </row>
    <row r="34" spans="1:22" x14ac:dyDescent="0.2">
      <c r="A34" t="s">
        <v>56</v>
      </c>
      <c r="B34" s="3"/>
      <c r="C34" s="135">
        <v>6590000</v>
      </c>
      <c r="D34" s="135">
        <v>6590000</v>
      </c>
      <c r="E34" s="134">
        <v>6290000</v>
      </c>
      <c r="F34" s="132">
        <v>6590000</v>
      </c>
      <c r="G34" s="112">
        <v>6390000</v>
      </c>
      <c r="H34" s="153"/>
      <c r="M34" s="148">
        <f>IFERROR(C34-W12Q2FY26!C36,"OOS")</f>
        <v>0</v>
      </c>
      <c r="N34" s="146" t="str">
        <f t="shared" si="0"/>
        <v/>
      </c>
      <c r="O34" s="149">
        <f>IFERROR(D34-W12Q2FY26!D36,"OOS")</f>
        <v>0</v>
      </c>
      <c r="P34" s="146" t="str">
        <f t="shared" si="1"/>
        <v/>
      </c>
      <c r="Q34" s="149">
        <f>IFERROR(E34-W12Q2FY26!E36,"OOS")</f>
        <v>0</v>
      </c>
      <c r="R34" s="146" t="str">
        <f t="shared" si="2"/>
        <v/>
      </c>
      <c r="S34" s="149">
        <f>IFERROR(F34-W12Q2FY26!F36,"OOS")</f>
        <v>0</v>
      </c>
      <c r="T34" s="146" t="str">
        <f t="shared" si="3"/>
        <v/>
      </c>
      <c r="U34" s="149">
        <f>IFERROR(G34-W12Q2FY26!G36,"OOS")</f>
        <v>0</v>
      </c>
      <c r="V34" s="146" t="str">
        <f t="shared" si="4"/>
        <v/>
      </c>
    </row>
    <row r="35" spans="1:22" x14ac:dyDescent="0.2">
      <c r="A35" t="s">
        <v>186</v>
      </c>
      <c r="B35" s="25"/>
      <c r="C35" s="135">
        <v>19990000</v>
      </c>
      <c r="D35" s="135">
        <v>19990000</v>
      </c>
      <c r="E35" s="142"/>
      <c r="F35" s="133">
        <v>20490000</v>
      </c>
      <c r="G35" s="110">
        <v>18990000</v>
      </c>
      <c r="H35" s="153"/>
      <c r="M35" s="148">
        <f>IFERROR(C35-W12Q2FY26!C37,"OOS")</f>
        <v>0</v>
      </c>
      <c r="N35" s="146" t="str">
        <f t="shared" si="0"/>
        <v/>
      </c>
      <c r="O35" s="149">
        <f>IFERROR(D35-W12Q2FY26!D37,"OOS")</f>
        <v>0</v>
      </c>
      <c r="P35" s="146" t="str">
        <f t="shared" si="1"/>
        <v/>
      </c>
      <c r="Q35" s="149">
        <f>IFERROR(E35-W12Q2FY26!E37,"OOS")</f>
        <v>0</v>
      </c>
      <c r="R35" s="146" t="str">
        <f t="shared" si="2"/>
        <v/>
      </c>
      <c r="S35" s="149">
        <f>IFERROR(F35-W12Q2FY26!F37,"OOS")</f>
        <v>500000</v>
      </c>
      <c r="T35" s="146" t="str">
        <f t="shared" si="3"/>
        <v>MacBook Air 13" M2 16/256GB tăng 500K = 20490.0K</v>
      </c>
      <c r="U35" s="149">
        <f>IFERROR(G35-W12Q2FY26!G37,"OOS")</f>
        <v>0</v>
      </c>
      <c r="V35" s="146" t="str">
        <f t="shared" si="4"/>
        <v/>
      </c>
    </row>
    <row r="36" spans="1:22" x14ac:dyDescent="0.2">
      <c r="A36" t="s">
        <v>57</v>
      </c>
      <c r="B36" s="25"/>
      <c r="C36" s="135">
        <v>29990000</v>
      </c>
      <c r="D36" s="135">
        <v>29990000</v>
      </c>
      <c r="E36" s="142"/>
      <c r="F36" s="110">
        <v>29990000</v>
      </c>
      <c r="G36" s="110">
        <v>29990000</v>
      </c>
      <c r="H36" s="153"/>
      <c r="M36" s="148">
        <f>IFERROR(C36-W12Q2FY26!C38,"OOS")</f>
        <v>0</v>
      </c>
      <c r="N36" s="146" t="str">
        <f t="shared" si="0"/>
        <v/>
      </c>
      <c r="O36" s="149">
        <f>IFERROR(D36-W12Q2FY26!D38,"OOS")</f>
        <v>0</v>
      </c>
      <c r="P36" s="146" t="str">
        <f t="shared" si="1"/>
        <v/>
      </c>
      <c r="Q36" s="149">
        <f>IFERROR(E36-W12Q2FY26!E38,"OOS")</f>
        <v>0</v>
      </c>
      <c r="R36" s="146" t="str">
        <f t="shared" si="2"/>
        <v/>
      </c>
      <c r="S36" s="149">
        <f>IFERROR(F36-W12Q2FY26!F38,"OOS")</f>
        <v>0</v>
      </c>
      <c r="T36" s="146" t="str">
        <f t="shared" si="3"/>
        <v/>
      </c>
      <c r="U36" s="149">
        <f>IFERROR(G36-W12Q2FY26!G38,"OOS")</f>
        <v>0</v>
      </c>
      <c r="V36" s="146" t="str">
        <f t="shared" si="4"/>
        <v/>
      </c>
    </row>
    <row r="37" spans="1:22" x14ac:dyDescent="0.2">
      <c r="A37" t="s">
        <v>58</v>
      </c>
      <c r="B37" s="25"/>
      <c r="C37" s="135">
        <v>16490000</v>
      </c>
      <c r="D37" s="135">
        <v>16490000</v>
      </c>
      <c r="E37" s="142"/>
      <c r="F37" s="110">
        <v>16490000</v>
      </c>
      <c r="G37" s="110">
        <v>16499000</v>
      </c>
      <c r="H37" s="153"/>
      <c r="M37" s="148">
        <f>IFERROR(C37-W12Q2FY26!C39,"OOS")</f>
        <v>0</v>
      </c>
      <c r="N37" s="146" t="str">
        <f t="shared" si="0"/>
        <v/>
      </c>
      <c r="O37" s="149">
        <f>IFERROR(D37-W12Q2FY26!D39,"OOS")</f>
        <v>0</v>
      </c>
      <c r="P37" s="146" t="str">
        <f t="shared" si="1"/>
        <v/>
      </c>
      <c r="Q37" s="149">
        <f>IFERROR(E37-W12Q2FY26!E39,"OOS")</f>
        <v>0</v>
      </c>
      <c r="R37" s="146" t="str">
        <f t="shared" si="2"/>
        <v/>
      </c>
      <c r="S37" s="149">
        <f>IFERROR(F37-W12Q2FY26!F39,"OOS")</f>
        <v>0</v>
      </c>
      <c r="T37" s="146" t="str">
        <f t="shared" si="3"/>
        <v/>
      </c>
      <c r="U37" s="149">
        <f>IFERROR(G37-W12Q2FY26!G39,"OOS")</f>
        <v>0</v>
      </c>
      <c r="V37" s="146" t="str">
        <f t="shared" si="4"/>
        <v/>
      </c>
    </row>
    <row r="38" spans="1:22" x14ac:dyDescent="0.2">
      <c r="A38" t="s">
        <v>59</v>
      </c>
      <c r="B38" s="3"/>
      <c r="C38" s="140">
        <v>24590000</v>
      </c>
      <c r="D38" s="140">
        <v>24490000</v>
      </c>
      <c r="E38" s="142"/>
      <c r="F38" s="133">
        <v>24590000</v>
      </c>
      <c r="G38" s="110">
        <v>24590000</v>
      </c>
      <c r="H38" s="153"/>
      <c r="M38" s="148">
        <f>IFERROR(C38-W12Q2FY26!C40,"OOS")</f>
        <v>-400000</v>
      </c>
      <c r="N38" s="146" t="str">
        <f t="shared" si="0"/>
        <v>MacBook Air 13" M4 16/256GB giảm 400K = 24590.0K</v>
      </c>
      <c r="O38" s="149">
        <f>IFERROR(D38-W12Q2FY26!D40,"OOS")</f>
        <v>-100000</v>
      </c>
      <c r="P38" s="146" t="str">
        <f t="shared" si="1"/>
        <v>MacBook Air 13" M4 16/256GB giảm 100K = 24490.0K</v>
      </c>
      <c r="Q38" s="149">
        <f>IFERROR(E38-W12Q2FY26!E40,"OOS")</f>
        <v>0</v>
      </c>
      <c r="R38" s="146" t="str">
        <f t="shared" si="2"/>
        <v/>
      </c>
      <c r="S38" s="149">
        <f>IFERROR(F38-W12Q2FY26!F40,"OOS")</f>
        <v>-400000</v>
      </c>
      <c r="T38" s="146" t="str">
        <f t="shared" si="3"/>
        <v>MacBook Air 13" M4 16/256GB giảm 400K = 24590.0K</v>
      </c>
      <c r="U38" s="149">
        <f>IFERROR(G38-W12Q2FY26!G40,"OOS")</f>
        <v>0</v>
      </c>
      <c r="V38" s="146" t="str">
        <f t="shared" si="4"/>
        <v/>
      </c>
    </row>
    <row r="39" spans="1:22" x14ac:dyDescent="0.2">
      <c r="A39" t="s">
        <v>61</v>
      </c>
      <c r="B39" s="25"/>
      <c r="C39" s="135">
        <v>29990000</v>
      </c>
      <c r="D39" s="135">
        <v>29990000</v>
      </c>
      <c r="E39" s="142"/>
      <c r="F39" s="132">
        <v>29990000</v>
      </c>
      <c r="G39" s="110">
        <v>28990000</v>
      </c>
      <c r="H39" s="153"/>
      <c r="M39" s="148">
        <f>IFERROR(C39-W12Q2FY26!C41,"OOS")</f>
        <v>0</v>
      </c>
      <c r="N39" s="146" t="str">
        <f t="shared" si="0"/>
        <v/>
      </c>
      <c r="O39" s="149">
        <f>IFERROR(D39-W12Q2FY26!D41,"OOS")</f>
        <v>0</v>
      </c>
      <c r="P39" s="146" t="str">
        <f t="shared" si="1"/>
        <v/>
      </c>
      <c r="Q39" s="149">
        <f>IFERROR(E39-W12Q2FY26!E41,"OOS")</f>
        <v>0</v>
      </c>
      <c r="R39" s="146" t="str">
        <f t="shared" si="2"/>
        <v/>
      </c>
      <c r="S39" s="149">
        <f>IFERROR(F39-W12Q2FY26!F41,"OOS")</f>
        <v>0</v>
      </c>
      <c r="T39" s="146" t="str">
        <f t="shared" si="3"/>
        <v/>
      </c>
      <c r="U39" s="149">
        <f>IFERROR(G39-W12Q2FY26!G41,"OOS")</f>
        <v>0</v>
      </c>
      <c r="V39" s="146" t="str">
        <f t="shared" si="4"/>
        <v/>
      </c>
    </row>
    <row r="40" spans="1:22" x14ac:dyDescent="0.2">
      <c r="A40" t="s">
        <v>187</v>
      </c>
      <c r="B40" s="25"/>
      <c r="C40" s="135" t="s">
        <v>22</v>
      </c>
      <c r="D40" s="135" t="s">
        <v>22</v>
      </c>
      <c r="E40" s="142"/>
      <c r="F40" s="132">
        <v>38590000</v>
      </c>
      <c r="G40" s="110">
        <v>38390000</v>
      </c>
      <c r="H40" s="153"/>
      <c r="M40" s="148" t="str">
        <f>IFERROR(C40-W12Q2FY26!C42,"OOS")</f>
        <v>OOS</v>
      </c>
      <c r="N40" s="146" t="e">
        <f t="shared" si="0"/>
        <v>#VALUE!</v>
      </c>
      <c r="O40" s="149" t="str">
        <f>IFERROR(D40-W12Q2FY26!D42,"OOS")</f>
        <v>OOS</v>
      </c>
      <c r="P40" s="146" t="e">
        <f t="shared" si="1"/>
        <v>#VALUE!</v>
      </c>
      <c r="Q40" s="149">
        <f>IFERROR(E40-W12Q2FY26!E42,"OOS")</f>
        <v>0</v>
      </c>
      <c r="R40" s="146" t="str">
        <f t="shared" si="2"/>
        <v/>
      </c>
      <c r="S40" s="149">
        <f>IFERROR(F40-W12Q2FY26!F42,"OOS")</f>
        <v>0</v>
      </c>
      <c r="T40" s="146" t="str">
        <f t="shared" si="3"/>
        <v/>
      </c>
      <c r="U40" s="149">
        <f>IFERROR(G40-W12Q2FY26!G42,"OOS")</f>
        <v>0</v>
      </c>
      <c r="V40" s="146" t="str">
        <f t="shared" si="4"/>
        <v/>
      </c>
    </row>
    <row r="41" spans="1:22" x14ac:dyDescent="0.2">
      <c r="A41" t="s">
        <v>62</v>
      </c>
      <c r="B41" s="25"/>
      <c r="C41" s="135">
        <v>41990000</v>
      </c>
      <c r="D41" s="135">
        <v>41490000</v>
      </c>
      <c r="E41" s="142"/>
      <c r="F41" s="132">
        <v>41490000</v>
      </c>
      <c r="G41" s="110">
        <v>40690000</v>
      </c>
      <c r="H41" s="153"/>
      <c r="M41" s="148">
        <f>IFERROR(C41-W12Q2FY26!C43,"OOS")</f>
        <v>0</v>
      </c>
      <c r="N41" s="146" t="str">
        <f t="shared" si="0"/>
        <v/>
      </c>
      <c r="O41" s="149">
        <f>IFERROR(D41-W12Q2FY26!D43,"OOS")</f>
        <v>0</v>
      </c>
      <c r="P41" s="146" t="str">
        <f t="shared" si="1"/>
        <v/>
      </c>
      <c r="Q41" s="149">
        <f>IFERROR(E41-W12Q2FY26!E43,"OOS")</f>
        <v>0</v>
      </c>
      <c r="R41" s="146" t="str">
        <f t="shared" si="2"/>
        <v/>
      </c>
      <c r="S41" s="149">
        <f>IFERROR(F41-W12Q2FY26!F43,"OOS")</f>
        <v>0</v>
      </c>
      <c r="T41" s="146" t="str">
        <f t="shared" si="3"/>
        <v/>
      </c>
      <c r="U41" s="149">
        <f>IFERROR(G41-W12Q2FY26!G43,"OOS")</f>
        <v>0</v>
      </c>
      <c r="V41" s="146" t="str">
        <f t="shared" si="4"/>
        <v/>
      </c>
    </row>
    <row r="42" spans="1:22" x14ac:dyDescent="0.2">
      <c r="A42" t="s">
        <v>188</v>
      </c>
      <c r="B42" s="25"/>
      <c r="C42" s="135" t="s">
        <v>22</v>
      </c>
      <c r="D42" s="135">
        <v>62990000</v>
      </c>
      <c r="E42" s="142"/>
      <c r="F42" s="132">
        <v>62990000</v>
      </c>
      <c r="G42" s="110">
        <v>63990000</v>
      </c>
      <c r="H42" s="153"/>
      <c r="M42" s="148" t="str">
        <f>IFERROR(C42-W12Q2FY26!C44,"OOS")</f>
        <v>OOS</v>
      </c>
      <c r="N42" s="146" t="e">
        <f t="shared" si="0"/>
        <v>#VALUE!</v>
      </c>
      <c r="O42" s="149">
        <f>IFERROR(D42-W12Q2FY26!D44,"OOS")</f>
        <v>0</v>
      </c>
      <c r="P42" s="146" t="str">
        <f t="shared" si="1"/>
        <v/>
      </c>
      <c r="Q42" s="149">
        <f>IFERROR(E42-W12Q2FY26!E44,"OOS")</f>
        <v>0</v>
      </c>
      <c r="R42" s="146" t="str">
        <f t="shared" si="2"/>
        <v/>
      </c>
      <c r="S42" s="149">
        <f>IFERROR(F42-W12Q2FY26!F44,"OOS")</f>
        <v>0</v>
      </c>
      <c r="T42" s="146" t="str">
        <f t="shared" si="3"/>
        <v/>
      </c>
      <c r="U42" s="149">
        <f>IFERROR(G42-W12Q2FY26!G44,"OOS")</f>
        <v>0</v>
      </c>
      <c r="V42" s="146" t="str">
        <f t="shared" si="4"/>
        <v/>
      </c>
    </row>
    <row r="43" spans="1:22" x14ac:dyDescent="0.2">
      <c r="C43" s="124"/>
      <c r="D43" s="124"/>
    </row>
    <row r="44" spans="1:22" x14ac:dyDescent="0.2">
      <c r="C44" s="124"/>
      <c r="D44" s="124"/>
    </row>
    <row r="45" spans="1:22" x14ac:dyDescent="0.2">
      <c r="C45" s="124"/>
      <c r="D45" s="124"/>
    </row>
    <row r="46" spans="1:22" x14ac:dyDescent="0.2">
      <c r="C46" s="124"/>
      <c r="D46" s="124"/>
    </row>
    <row r="47" spans="1:22" x14ac:dyDescent="0.2">
      <c r="C47" s="124"/>
      <c r="D47" s="124"/>
    </row>
    <row r="48" spans="1:22" x14ac:dyDescent="0.2">
      <c r="C48" s="124"/>
      <c r="D48" s="124"/>
    </row>
    <row r="49" spans="3:4" x14ac:dyDescent="0.2">
      <c r="C49" s="124"/>
      <c r="D49" s="124"/>
    </row>
    <row r="50" spans="3:4" x14ac:dyDescent="0.2">
      <c r="C50" s="124"/>
      <c r="D50" s="124"/>
    </row>
    <row r="51" spans="3:4" x14ac:dyDescent="0.2">
      <c r="C51" s="124"/>
      <c r="D51" s="124"/>
    </row>
    <row r="52" spans="3:4" x14ac:dyDescent="0.2">
      <c r="C52" s="124"/>
      <c r="D52" s="124"/>
    </row>
    <row r="53" spans="3:4" x14ac:dyDescent="0.2">
      <c r="C53" s="124"/>
      <c r="D53" s="124"/>
    </row>
    <row r="54" spans="3:4" x14ac:dyDescent="0.2">
      <c r="C54" s="124"/>
      <c r="D54" s="124"/>
    </row>
    <row r="55" spans="3:4" x14ac:dyDescent="0.2">
      <c r="C55" s="124"/>
      <c r="D55" s="124"/>
    </row>
    <row r="56" spans="3:4" x14ac:dyDescent="0.2">
      <c r="C56" s="124"/>
      <c r="D56" s="124"/>
    </row>
    <row r="57" spans="3:4" x14ac:dyDescent="0.2">
      <c r="C57" s="124"/>
      <c r="D57" s="124"/>
    </row>
    <row r="58" spans="3:4" x14ac:dyDescent="0.2">
      <c r="C58" s="124"/>
      <c r="D58" s="124"/>
    </row>
    <row r="59" spans="3:4" x14ac:dyDescent="0.2">
      <c r="C59" s="124"/>
      <c r="D59" s="124"/>
    </row>
    <row r="60" spans="3:4" x14ac:dyDescent="0.2">
      <c r="C60" s="124"/>
      <c r="D60" s="124"/>
    </row>
    <row r="61" spans="3:4" x14ac:dyDescent="0.2">
      <c r="C61" s="124"/>
      <c r="D61" s="124"/>
    </row>
    <row r="62" spans="3:4" x14ac:dyDescent="0.2">
      <c r="C62" s="124"/>
      <c r="D62" s="124"/>
    </row>
    <row r="63" spans="3:4" x14ac:dyDescent="0.2">
      <c r="C63" s="124"/>
      <c r="D63" s="124"/>
    </row>
    <row r="64" spans="3:4" x14ac:dyDescent="0.2">
      <c r="C64" s="124"/>
      <c r="D64" s="124"/>
    </row>
    <row r="65" spans="3:4" x14ac:dyDescent="0.2">
      <c r="C65" s="124"/>
      <c r="D65" s="124"/>
    </row>
    <row r="66" spans="3:4" x14ac:dyDescent="0.2">
      <c r="C66" s="124"/>
      <c r="D66" s="124"/>
    </row>
    <row r="67" spans="3:4" x14ac:dyDescent="0.2">
      <c r="C67" s="124"/>
      <c r="D67" s="124"/>
    </row>
    <row r="68" spans="3:4" x14ac:dyDescent="0.2">
      <c r="C68" s="124"/>
      <c r="D68" s="124"/>
    </row>
    <row r="69" spans="3:4" x14ac:dyDescent="0.2">
      <c r="C69" s="124"/>
      <c r="D69" s="124"/>
    </row>
    <row r="70" spans="3:4" x14ac:dyDescent="0.2">
      <c r="C70" s="124"/>
      <c r="D70" s="124"/>
    </row>
    <row r="71" spans="3:4" x14ac:dyDescent="0.2">
      <c r="C71" s="124"/>
      <c r="D71" s="124"/>
    </row>
    <row r="72" spans="3:4" x14ac:dyDescent="0.2">
      <c r="C72" s="124"/>
      <c r="D72" s="124"/>
    </row>
    <row r="73" spans="3:4" x14ac:dyDescent="0.2">
      <c r="C73" s="124"/>
      <c r="D73" s="124"/>
    </row>
    <row r="74" spans="3:4" x14ac:dyDescent="0.2">
      <c r="C74" s="124"/>
      <c r="D74" s="124"/>
    </row>
    <row r="75" spans="3:4" x14ac:dyDescent="0.2">
      <c r="C75" s="124"/>
      <c r="D75" s="124"/>
    </row>
    <row r="76" spans="3:4" x14ac:dyDescent="0.2">
      <c r="C76" s="124"/>
      <c r="D76" s="124"/>
    </row>
    <row r="77" spans="3:4" x14ac:dyDescent="0.2">
      <c r="C77" s="124"/>
      <c r="D77" s="124"/>
    </row>
    <row r="78" spans="3:4" x14ac:dyDescent="0.2">
      <c r="C78" s="124"/>
      <c r="D78" s="124"/>
    </row>
    <row r="79" spans="3:4" x14ac:dyDescent="0.2">
      <c r="C79" s="124"/>
      <c r="D79" s="124"/>
    </row>
    <row r="80" spans="3:4" x14ac:dyDescent="0.2">
      <c r="C80" s="124"/>
      <c r="D80" s="124"/>
    </row>
    <row r="81" spans="3:4" x14ac:dyDescent="0.2">
      <c r="C81" s="124"/>
      <c r="D81" s="124"/>
    </row>
    <row r="82" spans="3:4" x14ac:dyDescent="0.2">
      <c r="C82" s="124"/>
      <c r="D82" s="124"/>
    </row>
    <row r="83" spans="3:4" x14ac:dyDescent="0.2">
      <c r="C83" s="124"/>
      <c r="D83" s="124"/>
    </row>
    <row r="84" spans="3:4" x14ac:dyDescent="0.2">
      <c r="C84" s="124"/>
      <c r="D84" s="124"/>
    </row>
    <row r="85" spans="3:4" x14ac:dyDescent="0.2">
      <c r="C85" s="124"/>
      <c r="D85" s="124"/>
    </row>
    <row r="86" spans="3:4" x14ac:dyDescent="0.2">
      <c r="C86" s="124"/>
      <c r="D86" s="124"/>
    </row>
    <row r="87" spans="3:4" x14ac:dyDescent="0.2">
      <c r="C87" s="124"/>
      <c r="D87" s="124"/>
    </row>
    <row r="88" spans="3:4" x14ac:dyDescent="0.2">
      <c r="C88" s="124"/>
      <c r="D88" s="124"/>
    </row>
    <row r="89" spans="3:4" x14ac:dyDescent="0.2">
      <c r="C89" s="124"/>
      <c r="D89" s="124"/>
    </row>
    <row r="90" spans="3:4" x14ac:dyDescent="0.2">
      <c r="C90" s="124"/>
      <c r="D90" s="124"/>
    </row>
    <row r="91" spans="3:4" x14ac:dyDescent="0.2">
      <c r="C91" s="124"/>
      <c r="D91" s="124"/>
    </row>
    <row r="92" spans="3:4" x14ac:dyDescent="0.2">
      <c r="C92" s="124"/>
      <c r="D92" s="124"/>
    </row>
    <row r="93" spans="3:4" x14ac:dyDescent="0.2">
      <c r="C93" s="124"/>
      <c r="D93" s="124"/>
    </row>
    <row r="94" spans="3:4" x14ac:dyDescent="0.2">
      <c r="C94" s="124"/>
      <c r="D94" s="124"/>
    </row>
    <row r="95" spans="3:4" x14ac:dyDescent="0.2">
      <c r="C95" s="124"/>
      <c r="D95" s="124"/>
    </row>
    <row r="96" spans="3:4" x14ac:dyDescent="0.2">
      <c r="C96" s="124"/>
      <c r="D96" s="124"/>
    </row>
    <row r="97" spans="3:4" x14ac:dyDescent="0.2">
      <c r="C97" s="124"/>
      <c r="D97" s="124"/>
    </row>
    <row r="98" spans="3:4" x14ac:dyDescent="0.2">
      <c r="C98" s="124"/>
      <c r="D98" s="124"/>
    </row>
    <row r="99" spans="3:4" x14ac:dyDescent="0.2">
      <c r="C99" s="124"/>
      <c r="D99" s="124"/>
    </row>
    <row r="100" spans="3:4" x14ac:dyDescent="0.2">
      <c r="C100" s="124"/>
      <c r="D100" s="124"/>
    </row>
    <row r="101" spans="3:4" x14ac:dyDescent="0.2">
      <c r="C101" s="124"/>
      <c r="D101" s="124"/>
    </row>
    <row r="102" spans="3:4" x14ac:dyDescent="0.2">
      <c r="C102" s="124"/>
      <c r="D102" s="124"/>
    </row>
    <row r="103" spans="3:4" x14ac:dyDescent="0.2">
      <c r="C103" s="124"/>
      <c r="D103" s="124"/>
    </row>
    <row r="104" spans="3:4" x14ac:dyDescent="0.2">
      <c r="C104" s="124"/>
      <c r="D104" s="124"/>
    </row>
    <row r="105" spans="3:4" x14ac:dyDescent="0.2">
      <c r="C105" s="124"/>
      <c r="D105" s="124"/>
    </row>
    <row r="106" spans="3:4" x14ac:dyDescent="0.2">
      <c r="C106" s="124"/>
      <c r="D106" s="124"/>
    </row>
    <row r="107" spans="3:4" x14ac:dyDescent="0.2">
      <c r="C107" s="124"/>
      <c r="D107" s="124"/>
    </row>
    <row r="108" spans="3:4" x14ac:dyDescent="0.2">
      <c r="C108" s="124"/>
      <c r="D108" s="124"/>
    </row>
    <row r="109" spans="3:4" x14ac:dyDescent="0.2">
      <c r="C109" s="124"/>
      <c r="D109" s="124"/>
    </row>
    <row r="110" spans="3:4" x14ac:dyDescent="0.2">
      <c r="C110" s="124"/>
      <c r="D110" s="124"/>
    </row>
    <row r="111" spans="3:4" x14ac:dyDescent="0.2">
      <c r="C111" s="124"/>
      <c r="D111" s="124"/>
    </row>
    <row r="112" spans="3:4" x14ac:dyDescent="0.2">
      <c r="C112" s="124"/>
      <c r="D112" s="124"/>
    </row>
    <row r="113" spans="3:4" x14ac:dyDescent="0.2">
      <c r="C113" s="124"/>
      <c r="D113" s="124"/>
    </row>
    <row r="114" spans="3:4" x14ac:dyDescent="0.2">
      <c r="C114" s="124"/>
      <c r="D114" s="124"/>
    </row>
    <row r="115" spans="3:4" x14ac:dyDescent="0.2">
      <c r="C115" s="124"/>
      <c r="D115" s="124"/>
    </row>
    <row r="116" spans="3:4" x14ac:dyDescent="0.2">
      <c r="C116" s="124"/>
      <c r="D116" s="124"/>
    </row>
    <row r="117" spans="3:4" x14ac:dyDescent="0.2">
      <c r="C117" s="124"/>
      <c r="D117" s="124"/>
    </row>
    <row r="118" spans="3:4" x14ac:dyDescent="0.2">
      <c r="C118" s="124"/>
      <c r="D118" s="124"/>
    </row>
    <row r="119" spans="3:4" x14ac:dyDescent="0.2">
      <c r="C119" s="124"/>
      <c r="D119" s="124"/>
    </row>
    <row r="120" spans="3:4" x14ac:dyDescent="0.2">
      <c r="C120" s="124"/>
      <c r="D120" s="124"/>
    </row>
    <row r="121" spans="3:4" x14ac:dyDescent="0.2">
      <c r="C121" s="124"/>
      <c r="D121" s="124"/>
    </row>
    <row r="122" spans="3:4" x14ac:dyDescent="0.2">
      <c r="C122" s="124"/>
      <c r="D122" s="124"/>
    </row>
    <row r="123" spans="3:4" x14ac:dyDescent="0.2">
      <c r="C123" s="124"/>
      <c r="D123" s="124"/>
    </row>
    <row r="124" spans="3:4" x14ac:dyDescent="0.2">
      <c r="C124" s="124"/>
      <c r="D124" s="124"/>
    </row>
    <row r="125" spans="3:4" x14ac:dyDescent="0.2">
      <c r="C125" s="124"/>
      <c r="D125" s="124"/>
    </row>
    <row r="126" spans="3:4" x14ac:dyDescent="0.2">
      <c r="C126" s="124"/>
      <c r="D126" s="124"/>
    </row>
    <row r="127" spans="3:4" x14ac:dyDescent="0.2">
      <c r="C127" s="124"/>
      <c r="D127" s="124"/>
    </row>
    <row r="128" spans="3:4" x14ac:dyDescent="0.2">
      <c r="C128" s="124"/>
      <c r="D128" s="124"/>
    </row>
    <row r="129" spans="3:4" x14ac:dyDescent="0.2">
      <c r="C129" s="124"/>
      <c r="D129" s="124"/>
    </row>
    <row r="130" spans="3:4" x14ac:dyDescent="0.2">
      <c r="C130" s="124"/>
      <c r="D130" s="124"/>
    </row>
    <row r="131" spans="3:4" x14ac:dyDescent="0.2">
      <c r="C131" s="124"/>
      <c r="D131" s="124"/>
    </row>
    <row r="132" spans="3:4" x14ac:dyDescent="0.2">
      <c r="C132" s="124"/>
      <c r="D132" s="124"/>
    </row>
    <row r="133" spans="3:4" x14ac:dyDescent="0.2">
      <c r="C133" s="124"/>
      <c r="D133" s="124"/>
    </row>
    <row r="134" spans="3:4" x14ac:dyDescent="0.2">
      <c r="C134" s="124"/>
      <c r="D134" s="124"/>
    </row>
    <row r="135" spans="3:4" x14ac:dyDescent="0.2">
      <c r="C135" s="124"/>
      <c r="D135" s="124"/>
    </row>
    <row r="136" spans="3:4" x14ac:dyDescent="0.2">
      <c r="C136" s="124"/>
      <c r="D136" s="124"/>
    </row>
    <row r="137" spans="3:4" x14ac:dyDescent="0.2">
      <c r="C137" s="124"/>
      <c r="D137" s="124"/>
    </row>
    <row r="138" spans="3:4" x14ac:dyDescent="0.2">
      <c r="C138" s="124"/>
      <c r="D138" s="124"/>
    </row>
    <row r="139" spans="3:4" x14ac:dyDescent="0.2">
      <c r="C139" s="124"/>
      <c r="D139" s="124"/>
    </row>
    <row r="140" spans="3:4" x14ac:dyDescent="0.2">
      <c r="C140" s="124"/>
      <c r="D140" s="124"/>
    </row>
    <row r="141" spans="3:4" x14ac:dyDescent="0.2">
      <c r="C141" s="124"/>
      <c r="D141" s="124"/>
    </row>
    <row r="142" spans="3:4" x14ac:dyDescent="0.2">
      <c r="C142" s="124"/>
      <c r="D142" s="124"/>
    </row>
    <row r="143" spans="3:4" x14ac:dyDescent="0.2">
      <c r="C143" s="124"/>
      <c r="D143" s="124"/>
    </row>
    <row r="144" spans="3:4" x14ac:dyDescent="0.2">
      <c r="C144" s="124"/>
      <c r="D144" s="124"/>
    </row>
    <row r="145" spans="3:4" x14ac:dyDescent="0.2">
      <c r="C145" s="124"/>
      <c r="D145" s="124"/>
    </row>
    <row r="146" spans="3:4" x14ac:dyDescent="0.2">
      <c r="C146" s="124"/>
      <c r="D146" s="124"/>
    </row>
    <row r="147" spans="3:4" x14ac:dyDescent="0.2">
      <c r="C147" s="124"/>
      <c r="D147" s="124"/>
    </row>
    <row r="148" spans="3:4" x14ac:dyDescent="0.2">
      <c r="C148" s="124"/>
      <c r="D148" s="124"/>
    </row>
    <row r="149" spans="3:4" x14ac:dyDescent="0.2">
      <c r="C149" s="124"/>
      <c r="D149" s="124"/>
    </row>
    <row r="150" spans="3:4" x14ac:dyDescent="0.2">
      <c r="C150" s="124"/>
      <c r="D150" s="124"/>
    </row>
    <row r="151" spans="3:4" x14ac:dyDescent="0.2">
      <c r="C151" s="124"/>
      <c r="D151" s="124"/>
    </row>
    <row r="152" spans="3:4" x14ac:dyDescent="0.2">
      <c r="C152" s="124"/>
      <c r="D152" s="124"/>
    </row>
    <row r="153" spans="3:4" x14ac:dyDescent="0.2">
      <c r="C153" s="124"/>
      <c r="D153" s="124"/>
    </row>
    <row r="154" spans="3:4" x14ac:dyDescent="0.2">
      <c r="C154" s="124"/>
      <c r="D154" s="124"/>
    </row>
  </sheetData>
  <conditionalFormatting sqref="E3:E42">
    <cfRule type="expression" dxfId="43" priority="15" stopIfTrue="1">
      <formula>$Q3=0</formula>
    </cfRule>
    <cfRule type="expression" dxfId="42" priority="16" stopIfTrue="1">
      <formula>AND($Q3&lt;&gt;0,$Q3&lt;&gt;"")</formula>
    </cfRule>
  </conditionalFormatting>
  <conditionalFormatting sqref="G10:G11">
    <cfRule type="expression" dxfId="41" priority="1" stopIfTrue="1">
      <formula>$Q10=0</formula>
    </cfRule>
    <cfRule type="expression" dxfId="40" priority="2" stopIfTrue="1">
      <formula>AND($Q10&lt;&gt;0,$Q10&lt;&gt;"")</formula>
    </cfRule>
  </conditionalFormatting>
  <conditionalFormatting sqref="N2:N42 P2:P42 R2:R42 T2:T42 V2:V42">
    <cfRule type="containsText" dxfId="39" priority="5" operator="containsText" text="Tăng">
      <formula>NOT(ISERROR(SEARCH("Tăng",N2)))</formula>
    </cfRule>
    <cfRule type="containsText" dxfId="38" priority="6" operator="containsText" text="giảm">
      <formula>NOT(ISERROR(SEARCH("giảm",N2)))</formula>
    </cfRule>
  </conditionalFormatting>
  <pageMargins left="0.7" right="0.7" top="0.75" bottom="0.75" header="0.3" footer="0.3"/>
  <pageSetup paperSize="9" orientation="portrait" horizontalDpi="0" verticalDpi="0"/>
  <legacyDrawing r:id="rId1"/>
</worksheet>
</file>

<file path=xl/worksheets/sheet10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400-000000000000}">
  <dimension ref="A1:Y154"/>
  <sheetViews>
    <sheetView showGridLines="0" zoomScale="80" zoomScaleNormal="80" workbookViewId="0">
      <pane xSplit="2" ySplit="1" topLeftCell="C4" activePane="bottomRight" state="frozen"/>
      <selection pane="topRight" activeCell="C1" sqref="C1"/>
      <selection pane="bottomLeft" activeCell="A2" sqref="A2"/>
      <selection pane="bottomRight" activeCell="C1" sqref="C1"/>
    </sheetView>
  </sheetViews>
  <sheetFormatPr baseColWidth="10" defaultColWidth="11" defaultRowHeight="16" x14ac:dyDescent="0.2"/>
  <cols>
    <col min="1" max="1" width="24.5" customWidth="1"/>
    <col min="2" max="2" width="15.83203125" hidden="1" customWidth="1"/>
    <col min="3" max="3" width="14.83203125" customWidth="1"/>
    <col min="4" max="4" width="16" customWidth="1"/>
    <col min="5" max="5" width="15.5" style="6" customWidth="1"/>
    <col min="6" max="6" width="14.33203125" customWidth="1"/>
    <col min="7" max="12" width="11" customWidth="1"/>
    <col min="13" max="13" width="14.33203125" customWidth="1"/>
    <col min="14" max="14" width="42" customWidth="1"/>
    <col min="15" max="15" width="14.83203125" customWidth="1"/>
    <col min="16" max="16" width="51.5" customWidth="1"/>
    <col min="17" max="17" width="13.5" customWidth="1"/>
    <col min="18" max="18" width="46" customWidth="1"/>
    <col min="19" max="19" width="15.5" customWidth="1"/>
    <col min="20" max="20" width="42.33203125" customWidth="1"/>
    <col min="21" max="21" width="14.1640625" customWidth="1"/>
    <col min="22" max="22" width="43.5" customWidth="1"/>
  </cols>
  <sheetData>
    <row r="1" spans="1:22" ht="29" customHeight="1" x14ac:dyDescent="0.2">
      <c r="B1" s="46" t="s">
        <v>0</v>
      </c>
      <c r="C1" s="80" t="s">
        <v>1</v>
      </c>
      <c r="D1" s="80" t="s">
        <v>2</v>
      </c>
      <c r="E1" s="115" t="s">
        <v>3</v>
      </c>
      <c r="F1" s="81" t="s">
        <v>4</v>
      </c>
      <c r="G1" s="81" t="s">
        <v>5</v>
      </c>
      <c r="M1" s="143" t="s">
        <v>6</v>
      </c>
      <c r="N1" s="143" t="s">
        <v>7</v>
      </c>
      <c r="O1" s="144" t="s">
        <v>8</v>
      </c>
      <c r="P1" s="144" t="s">
        <v>9</v>
      </c>
      <c r="Q1" s="144" t="s">
        <v>10</v>
      </c>
      <c r="R1" s="144" t="s">
        <v>11</v>
      </c>
      <c r="S1" s="144" t="s">
        <v>12</v>
      </c>
      <c r="T1" s="144" t="s">
        <v>13</v>
      </c>
      <c r="U1" s="144" t="s">
        <v>14</v>
      </c>
      <c r="V1" s="145" t="s">
        <v>15</v>
      </c>
    </row>
    <row r="2" spans="1:22" x14ac:dyDescent="0.2">
      <c r="A2" t="s">
        <v>16</v>
      </c>
      <c r="B2" s="82"/>
      <c r="C2" s="126">
        <v>17990000</v>
      </c>
      <c r="D2" s="127">
        <v>17790000</v>
      </c>
      <c r="E2" s="128">
        <v>17790000</v>
      </c>
      <c r="F2" s="156">
        <v>17790000</v>
      </c>
      <c r="G2" s="110">
        <v>17790000</v>
      </c>
      <c r="H2" s="153"/>
      <c r="M2" s="148">
        <f>IFERROR(C2-W13Q2FY26!C2,"OOS")</f>
        <v>0</v>
      </c>
      <c r="N2" s="146" t="str">
        <f t="shared" ref="N2:N42" si="0">IF(M2=0,"",$A2 &amp; IF(M2&gt;0," tăng "," giảm ") &amp; TEXT(ABS(M2)/1000,"0") &amp; "K = " &amp; TEXT(C2/1000,"#.##0") &amp; "K")</f>
        <v/>
      </c>
      <c r="O2" s="149">
        <f>IFERROR(D2-W13Q2FY26!D2,"OOS")</f>
        <v>0</v>
      </c>
      <c r="P2" s="146" t="str">
        <f t="shared" ref="P2:P42" si="1">IF(O2=0,"",$A2 &amp; IF(O2&gt;0," tăng "," giảm ") &amp; TEXT(ABS(O2)/1000,"0") &amp; "K = " &amp; TEXT(D2/1000,"#.##0") &amp; "K")</f>
        <v/>
      </c>
      <c r="Q2" s="149">
        <f>IFERROR(E2-W13Q2FY26!E2,"OOS")</f>
        <v>-200000</v>
      </c>
      <c r="R2" s="146" t="str">
        <f t="shared" ref="R2:R42" si="2">IF(Q2=0,"",$A2 &amp; IF(Q2&gt;0," tăng "," giảm ") &amp; TEXT(ABS(Q2)/1000,"0") &amp; "K = " &amp; TEXT(E2/1000,"#.##0") &amp; "K")</f>
        <v>iPhone 17e 256GB giảm 200K = 17790.0K</v>
      </c>
      <c r="S2" s="149">
        <f>IFERROR(F2-W13Q2FY26!F2,"OOS")</f>
        <v>0</v>
      </c>
      <c r="T2" s="146" t="str">
        <f t="shared" ref="T2:T42" si="3">IF(S2=0,"",$A2 &amp; IF(S2&gt;0," tăng "," giảm ") &amp; TEXT(ABS(S2)/1000,"0") &amp; "K = " &amp; TEXT(F2/1000,"#.##0") &amp; "K")</f>
        <v/>
      </c>
      <c r="U2" s="149">
        <f>IFERROR(G2-W13Q2FY26!G2,"OOS")</f>
        <v>0</v>
      </c>
      <c r="V2" s="146" t="str">
        <f t="shared" ref="V2:V42" si="4">IF(U2=0,"",$A2 &amp; IF(U2&gt;0," tăng "," giảm ") &amp; TEXT(ABS(U2)/1000,"0") &amp; "K = " &amp; TEXT(G2/1000,"#.##0") &amp; "K")</f>
        <v/>
      </c>
    </row>
    <row r="3" spans="1:22" x14ac:dyDescent="0.2">
      <c r="A3" t="s">
        <v>17</v>
      </c>
      <c r="B3" s="82"/>
      <c r="C3" s="129">
        <v>24890000</v>
      </c>
      <c r="D3" s="129">
        <v>24590000</v>
      </c>
      <c r="E3" s="130">
        <v>24190000</v>
      </c>
      <c r="F3" s="131">
        <v>24490000</v>
      </c>
      <c r="G3" s="110">
        <v>24190000</v>
      </c>
      <c r="H3" s="153"/>
      <c r="M3" s="148">
        <f>IFERROR(C3-W13Q2FY26!C3,"OOS")</f>
        <v>-100000</v>
      </c>
      <c r="N3" s="146" t="str">
        <f t="shared" si="0"/>
        <v>iPhone 17  256GB giảm 100K = 24890.0K</v>
      </c>
      <c r="O3" s="149">
        <f>IFERROR(D3-W13Q2FY26!D3,"OOS")</f>
        <v>-100000</v>
      </c>
      <c r="P3" s="146" t="str">
        <f t="shared" si="1"/>
        <v>iPhone 17  256GB giảm 100K = 24590.0K</v>
      </c>
      <c r="Q3" s="149">
        <f>IFERROR(E3-W13Q2FY26!E3,"OOS")</f>
        <v>0</v>
      </c>
      <c r="R3" s="146" t="str">
        <f t="shared" si="2"/>
        <v/>
      </c>
      <c r="S3" s="149">
        <f>IFERROR(F3-W13Q2FY26!F3,"OOS")</f>
        <v>300000</v>
      </c>
      <c r="T3" s="146" t="str">
        <f t="shared" si="3"/>
        <v>iPhone 17  256GB tăng 300K = 24490.0K</v>
      </c>
      <c r="U3" s="149">
        <f>IFERROR(G3-W13Q2FY26!G3,"OOS")</f>
        <v>0</v>
      </c>
      <c r="V3" s="146" t="str">
        <f t="shared" si="4"/>
        <v/>
      </c>
    </row>
    <row r="4" spans="1:22" x14ac:dyDescent="0.2">
      <c r="A4" t="s">
        <v>18</v>
      </c>
      <c r="B4" s="82"/>
      <c r="C4" s="127">
        <v>24990000</v>
      </c>
      <c r="D4" s="127">
        <v>24990000</v>
      </c>
      <c r="E4" s="130">
        <v>23490000</v>
      </c>
      <c r="F4" s="132">
        <v>23990000</v>
      </c>
      <c r="G4" s="111">
        <v>23990000</v>
      </c>
      <c r="H4" s="153"/>
      <c r="M4" s="148">
        <f>IFERROR(C4-W13Q2FY26!C4,"OOS")</f>
        <v>0</v>
      </c>
      <c r="N4" s="146" t="str">
        <f t="shared" si="0"/>
        <v/>
      </c>
      <c r="O4" s="149">
        <f>IFERROR(D4-W13Q2FY26!D4,"OOS")</f>
        <v>0</v>
      </c>
      <c r="P4" s="146" t="str">
        <f t="shared" si="1"/>
        <v/>
      </c>
      <c r="Q4" s="149">
        <f>IFERROR(E4-W13Q2FY26!E4,"OOS")</f>
        <v>-1000000</v>
      </c>
      <c r="R4" s="146" t="str">
        <f t="shared" si="2"/>
        <v>iPhone Air 256G giảm 1000K = 23490.0K</v>
      </c>
      <c r="S4" s="149">
        <f>IFERROR(F4-W13Q2FY26!F4,"OOS")</f>
        <v>-1000000</v>
      </c>
      <c r="T4" s="146" t="str">
        <f t="shared" si="3"/>
        <v>iPhone Air 256G giảm 1000K = 23990.0K</v>
      </c>
      <c r="U4" s="149">
        <f>IFERROR(G4-W13Q2FY26!G4,"OOS")</f>
        <v>-1000000</v>
      </c>
      <c r="V4" s="146" t="str">
        <f t="shared" si="4"/>
        <v>iPhone Air 256G giảm 1000K = 23990.0K</v>
      </c>
    </row>
    <row r="5" spans="1:22" x14ac:dyDescent="0.2">
      <c r="A5" t="s">
        <v>19</v>
      </c>
      <c r="B5" s="82"/>
      <c r="C5" s="127">
        <v>34790000</v>
      </c>
      <c r="D5" s="127">
        <v>34490000</v>
      </c>
      <c r="E5" s="130">
        <v>33190000</v>
      </c>
      <c r="F5" s="133">
        <v>34890000</v>
      </c>
      <c r="G5" s="110">
        <v>34190000</v>
      </c>
      <c r="H5" s="153"/>
      <c r="M5" s="148">
        <f>IFERROR(C5-W13Q2FY26!C5,"OOS")</f>
        <v>0</v>
      </c>
      <c r="N5" s="146" t="str">
        <f t="shared" si="0"/>
        <v/>
      </c>
      <c r="O5" s="149">
        <f>IFERROR(D5-W13Q2FY26!D5,"OOS")</f>
        <v>0</v>
      </c>
      <c r="P5" s="146" t="str">
        <f t="shared" si="1"/>
        <v/>
      </c>
      <c r="Q5" s="149">
        <f>IFERROR(E5-W13Q2FY26!E5,"OOS")</f>
        <v>0</v>
      </c>
      <c r="R5" s="146" t="str">
        <f t="shared" si="2"/>
        <v/>
      </c>
      <c r="S5" s="149">
        <f>IFERROR(F5-W13Q2FY26!F5,"OOS")</f>
        <v>100000</v>
      </c>
      <c r="T5" s="146" t="str">
        <f t="shared" si="3"/>
        <v>iPhone 17 Pro 256GB tăng 100K = 34890.0K</v>
      </c>
      <c r="U5" s="149">
        <f>IFERROR(G5-W13Q2FY26!G5,"OOS")</f>
        <v>0</v>
      </c>
      <c r="V5" s="146" t="str">
        <f t="shared" si="4"/>
        <v/>
      </c>
    </row>
    <row r="6" spans="1:22" x14ac:dyDescent="0.2">
      <c r="A6" t="s">
        <v>20</v>
      </c>
      <c r="B6" s="82"/>
      <c r="C6" s="127">
        <v>37990000</v>
      </c>
      <c r="D6" s="127">
        <v>37790000</v>
      </c>
      <c r="E6" s="134">
        <v>36290000</v>
      </c>
      <c r="F6" s="132">
        <v>37790000</v>
      </c>
      <c r="G6" s="110">
        <v>36990000</v>
      </c>
      <c r="H6" s="153"/>
      <c r="M6" s="148">
        <f>IFERROR(C6-W13Q2FY26!C6,"OOS")</f>
        <v>0</v>
      </c>
      <c r="N6" s="146" t="str">
        <f t="shared" si="0"/>
        <v/>
      </c>
      <c r="O6" s="149">
        <f>IFERROR(D6-W13Q2FY26!D6,"OOS")</f>
        <v>0</v>
      </c>
      <c r="P6" s="146" t="str">
        <f t="shared" si="1"/>
        <v/>
      </c>
      <c r="Q6" s="149">
        <f>IFERROR(E6-W13Q2FY26!E6,"OOS")</f>
        <v>-200000</v>
      </c>
      <c r="R6" s="146" t="str">
        <f t="shared" si="2"/>
        <v>iPhone 17 Pro Max 256GB giảm 200K = 36290.0K</v>
      </c>
      <c r="S6" s="149">
        <f>IFERROR(F6-W13Q2FY26!F6,"OOS")</f>
        <v>0</v>
      </c>
      <c r="T6" s="146" t="str">
        <f t="shared" si="3"/>
        <v/>
      </c>
      <c r="U6" s="149">
        <f>IFERROR(G6-W13Q2FY26!G6,"OOS")</f>
        <v>0</v>
      </c>
      <c r="V6" s="146" t="str">
        <f t="shared" si="4"/>
        <v/>
      </c>
    </row>
    <row r="7" spans="1:22" x14ac:dyDescent="0.2">
      <c r="A7" t="s">
        <v>21</v>
      </c>
      <c r="B7" s="82"/>
      <c r="C7" s="129">
        <v>15990000</v>
      </c>
      <c r="D7" s="135">
        <v>16690000</v>
      </c>
      <c r="E7" s="134">
        <v>12490000</v>
      </c>
      <c r="F7" s="136">
        <v>12490000</v>
      </c>
      <c r="G7" s="110">
        <v>15190000</v>
      </c>
      <c r="H7" s="153"/>
      <c r="M7" s="148">
        <f>IFERROR(C7-W13Q2FY26!C7,"OOS")</f>
        <v>2000000</v>
      </c>
      <c r="N7" s="146" t="str">
        <f t="shared" si="0"/>
        <v>iPhone 16e  128GB tăng 2000K = 15990.0K</v>
      </c>
      <c r="O7" s="149">
        <f>IFERROR(D7-W13Q2FY26!D7,"OOS")</f>
        <v>0</v>
      </c>
      <c r="P7" s="146" t="str">
        <f t="shared" si="1"/>
        <v/>
      </c>
      <c r="Q7" s="149">
        <f>IFERROR(E7-W13Q2FY26!E7,"OOS")</f>
        <v>0</v>
      </c>
      <c r="R7" s="146" t="str">
        <f t="shared" si="2"/>
        <v/>
      </c>
      <c r="S7" s="149">
        <f>IFERROR(F7-W13Q2FY26!F7,"OOS")</f>
        <v>0</v>
      </c>
      <c r="T7" s="146" t="str">
        <f t="shared" si="3"/>
        <v/>
      </c>
      <c r="U7" s="149">
        <f>IFERROR(G7-W13Q2FY26!G7,"OOS")</f>
        <v>0</v>
      </c>
      <c r="V7" s="146" t="str">
        <f t="shared" si="4"/>
        <v/>
      </c>
    </row>
    <row r="8" spans="1:22" x14ac:dyDescent="0.2">
      <c r="A8" t="s">
        <v>23</v>
      </c>
      <c r="B8" s="70"/>
      <c r="C8" s="138">
        <v>21290000</v>
      </c>
      <c r="D8" s="138">
        <v>20990000</v>
      </c>
      <c r="E8" s="139">
        <v>20490000</v>
      </c>
      <c r="F8" s="132">
        <v>21090000</v>
      </c>
      <c r="G8" s="110">
        <v>20790000</v>
      </c>
      <c r="H8" s="153"/>
      <c r="M8" s="148">
        <f>IFERROR(C8-W13Q2FY26!C8,"OOS")</f>
        <v>0</v>
      </c>
      <c r="N8" s="146" t="str">
        <f t="shared" si="0"/>
        <v/>
      </c>
      <c r="O8" s="149">
        <f>IFERROR(D8-W13Q2FY26!D8,"OOS")</f>
        <v>0</v>
      </c>
      <c r="P8" s="146" t="str">
        <f t="shared" si="1"/>
        <v/>
      </c>
      <c r="Q8" s="149">
        <f>IFERROR(E8-W13Q2FY26!E8,"OOS")</f>
        <v>400000</v>
      </c>
      <c r="R8" s="146" t="str">
        <f t="shared" si="2"/>
        <v>iPhone 16 128GB tăng 400K = 20490.0K</v>
      </c>
      <c r="S8" s="149">
        <f>IFERROR(F8-W13Q2FY26!F8,"OOS")</f>
        <v>0</v>
      </c>
      <c r="T8" s="146" t="str">
        <f t="shared" si="3"/>
        <v/>
      </c>
      <c r="U8" s="149">
        <f>IFERROR(G8-W13Q2FY26!G8,"OOS")</f>
        <v>0</v>
      </c>
      <c r="V8" s="146" t="str">
        <f t="shared" si="4"/>
        <v/>
      </c>
    </row>
    <row r="9" spans="1:22" x14ac:dyDescent="0.2">
      <c r="A9" t="s">
        <v>24</v>
      </c>
      <c r="B9" s="3"/>
      <c r="C9" s="135">
        <v>25290000</v>
      </c>
      <c r="D9" s="140">
        <v>24990000</v>
      </c>
      <c r="E9" s="139">
        <v>23990000</v>
      </c>
      <c r="F9" s="132">
        <v>25090000</v>
      </c>
      <c r="G9" s="110">
        <v>24590000</v>
      </c>
      <c r="H9" s="153"/>
      <c r="M9" s="148">
        <f>IFERROR(C9-W13Q2FY26!C9,"OOS")</f>
        <v>0</v>
      </c>
      <c r="N9" s="146" t="str">
        <f t="shared" si="0"/>
        <v/>
      </c>
      <c r="O9" s="149">
        <f>IFERROR(D9-W13Q2FY26!D9,"OOS")</f>
        <v>200000</v>
      </c>
      <c r="P9" s="146" t="str">
        <f t="shared" si="1"/>
        <v>iPhone 16  Plus 128GB tăng 200K = 24990.0K</v>
      </c>
      <c r="Q9" s="149">
        <f>IFERROR(E9-W13Q2FY26!E9,"OOS")</f>
        <v>200000</v>
      </c>
      <c r="R9" s="146" t="str">
        <f t="shared" si="2"/>
        <v>iPhone 16  Plus 128GB tăng 200K = 23990.0K</v>
      </c>
      <c r="S9" s="149">
        <f>IFERROR(F9-W13Q2FY26!F9,"OOS")</f>
        <v>0</v>
      </c>
      <c r="T9" s="146" t="str">
        <f t="shared" si="3"/>
        <v/>
      </c>
      <c r="U9" s="149">
        <f>IFERROR(G9-W13Q2FY26!G9,"OOS")</f>
        <v>0</v>
      </c>
      <c r="V9" s="146" t="str">
        <f t="shared" si="4"/>
        <v/>
      </c>
    </row>
    <row r="10" spans="1:22" x14ac:dyDescent="0.2">
      <c r="A10" t="s">
        <v>264</v>
      </c>
      <c r="B10" s="25"/>
      <c r="C10" s="135" t="s">
        <v>22</v>
      </c>
      <c r="D10" s="110">
        <v>25590000</v>
      </c>
      <c r="E10" s="112" t="s">
        <v>22</v>
      </c>
      <c r="F10" s="133">
        <v>25990000</v>
      </c>
      <c r="G10" s="110" t="s">
        <v>22</v>
      </c>
      <c r="H10" s="153"/>
      <c r="M10" s="148" t="str">
        <f>IFERROR(C10-W13Q2FY26!C10,"OOS")</f>
        <v>OOS</v>
      </c>
      <c r="N10" s="146" t="e">
        <f t="shared" si="0"/>
        <v>#VALUE!</v>
      </c>
      <c r="O10" s="149">
        <f>IFERROR(D10-W13Q2FY26!D10,"OOS")</f>
        <v>0</v>
      </c>
      <c r="P10" s="146" t="str">
        <f t="shared" si="1"/>
        <v/>
      </c>
      <c r="Q10" s="149" t="str">
        <f>IFERROR(E10-W13Q2FY26!E10,"OOS")</f>
        <v>OOS</v>
      </c>
      <c r="R10" s="146" t="e">
        <f t="shared" si="2"/>
        <v>#VALUE!</v>
      </c>
      <c r="S10" s="149">
        <f>IFERROR(F10-W13Q2FY26!F10,"OOS")</f>
        <v>-600000</v>
      </c>
      <c r="T10" s="146" t="str">
        <f t="shared" si="3"/>
        <v>iPhone 16 Pro 128GB giảm 600K = 25990.0K</v>
      </c>
      <c r="U10" s="149" t="str">
        <f>IFERROR(G10-W13Q2FY26!G10,"OOS")</f>
        <v>OOS</v>
      </c>
      <c r="V10" s="146" t="e">
        <f t="shared" si="4"/>
        <v>#VALUE!</v>
      </c>
    </row>
    <row r="11" spans="1:22" x14ac:dyDescent="0.2">
      <c r="A11" t="s">
        <v>183</v>
      </c>
      <c r="B11" s="3"/>
      <c r="C11" s="140">
        <v>31590000</v>
      </c>
      <c r="D11" s="112" t="s">
        <v>22</v>
      </c>
      <c r="E11" s="112" t="s">
        <v>22</v>
      </c>
      <c r="F11" s="133">
        <v>31590000</v>
      </c>
      <c r="G11" s="110" t="s">
        <v>22</v>
      </c>
      <c r="H11" s="153"/>
      <c r="M11" s="148">
        <f>IFERROR(C11-W13Q2FY26!C11,"OOS")</f>
        <v>-400000</v>
      </c>
      <c r="N11" s="146" t="str">
        <f t="shared" si="0"/>
        <v>iPhone 16 Pro Max 256GB giảm 400K = 31590.0K</v>
      </c>
      <c r="O11" s="149" t="str">
        <f>IFERROR(D11-W13Q2FY26!D11,"OOS")</f>
        <v>OOS</v>
      </c>
      <c r="P11" s="146" t="e">
        <f t="shared" si="1"/>
        <v>#VALUE!</v>
      </c>
      <c r="Q11" s="149" t="str">
        <f>IFERROR(E11-W13Q2FY26!E11,"OOS")</f>
        <v>OOS</v>
      </c>
      <c r="R11" s="146" t="e">
        <f t="shared" si="2"/>
        <v>#VALUE!</v>
      </c>
      <c r="S11" s="149">
        <f>IFERROR(F11-W13Q2FY26!F11,"OOS")</f>
        <v>600000</v>
      </c>
      <c r="T11" s="146" t="str">
        <f t="shared" si="3"/>
        <v>iPhone 16 Pro Max 256GB tăng 600K = 31590.0K</v>
      </c>
      <c r="U11" s="149" t="str">
        <f>IFERROR(G11-W13Q2FY26!G11,"OOS")</f>
        <v>OOS</v>
      </c>
      <c r="V11" s="146" t="e">
        <f t="shared" si="4"/>
        <v>#VALUE!</v>
      </c>
    </row>
    <row r="12" spans="1:22" x14ac:dyDescent="0.2">
      <c r="A12" t="s">
        <v>25</v>
      </c>
      <c r="B12" s="25"/>
      <c r="C12" s="135">
        <v>17990000</v>
      </c>
      <c r="D12" s="135">
        <v>17990000</v>
      </c>
      <c r="E12" s="154">
        <v>17690000</v>
      </c>
      <c r="F12" s="132">
        <v>17990000</v>
      </c>
      <c r="G12" s="110">
        <v>17690000</v>
      </c>
      <c r="H12" s="153"/>
      <c r="M12" s="148">
        <f>IFERROR(C12-W13Q2FY26!C12,"OOS")</f>
        <v>0</v>
      </c>
      <c r="N12" s="146" t="str">
        <f t="shared" si="0"/>
        <v/>
      </c>
      <c r="O12" s="149">
        <f>IFERROR(D12-W13Q2FY26!D12,"OOS")</f>
        <v>0</v>
      </c>
      <c r="P12" s="146" t="str">
        <f t="shared" si="1"/>
        <v/>
      </c>
      <c r="Q12" s="149">
        <f>IFERROR(E12-W13Q2FY26!E12,"OOS")</f>
        <v>200000</v>
      </c>
      <c r="R12" s="146" t="str">
        <f t="shared" si="2"/>
        <v>iPhone 15  128GB tăng 200K = 17690.0K</v>
      </c>
      <c r="S12" s="149">
        <f>IFERROR(F12-W13Q2FY26!F12,"OOS")</f>
        <v>0</v>
      </c>
      <c r="T12" s="146" t="str">
        <f t="shared" si="3"/>
        <v/>
      </c>
      <c r="U12" s="149">
        <f>IFERROR(G12-W13Q2FY26!G12,"OOS")</f>
        <v>0</v>
      </c>
      <c r="V12" s="146" t="str">
        <f t="shared" si="4"/>
        <v/>
      </c>
    </row>
    <row r="13" spans="1:22" x14ac:dyDescent="0.2">
      <c r="A13" t="s">
        <v>26</v>
      </c>
      <c r="B13" s="25"/>
      <c r="C13" s="135">
        <v>18990000</v>
      </c>
      <c r="D13" s="135" t="s">
        <v>22</v>
      </c>
      <c r="E13" s="130" t="s">
        <v>22</v>
      </c>
      <c r="F13" s="132">
        <v>17690000</v>
      </c>
      <c r="G13" s="110" t="s">
        <v>22</v>
      </c>
      <c r="H13" s="153"/>
      <c r="M13" s="148">
        <f>IFERROR(C13-W13Q2FY26!C13,"OOS")</f>
        <v>0</v>
      </c>
      <c r="N13" s="146" t="str">
        <f t="shared" si="0"/>
        <v/>
      </c>
      <c r="O13" s="149" t="str">
        <f>IFERROR(D13-W13Q2FY26!D13,"OOS")</f>
        <v>OOS</v>
      </c>
      <c r="P13" s="146" t="e">
        <f t="shared" si="1"/>
        <v>#VALUE!</v>
      </c>
      <c r="Q13" s="149" t="str">
        <f>IFERROR(E13-W13Q2FY26!E13,"OOS")</f>
        <v>OOS</v>
      </c>
      <c r="R13" s="146" t="e">
        <f t="shared" si="2"/>
        <v>#VALUE!</v>
      </c>
      <c r="S13" s="149">
        <f>IFERROR(F13-W13Q2FY26!F13,"OOS")</f>
        <v>0</v>
      </c>
      <c r="T13" s="146" t="str">
        <f t="shared" si="3"/>
        <v/>
      </c>
      <c r="U13" s="149" t="str">
        <f>IFERROR(G13-W13Q2FY26!G13,"OOS")</f>
        <v>OOS</v>
      </c>
      <c r="V13" s="146" t="e">
        <f t="shared" si="4"/>
        <v>#VALUE!</v>
      </c>
    </row>
    <row r="14" spans="1:22" x14ac:dyDescent="0.2">
      <c r="A14" t="s">
        <v>27</v>
      </c>
      <c r="B14" s="25"/>
      <c r="C14" s="135">
        <v>13990000</v>
      </c>
      <c r="D14" s="135">
        <v>13990000</v>
      </c>
      <c r="E14" s="130">
        <v>13790000</v>
      </c>
      <c r="F14" s="132">
        <v>13990000</v>
      </c>
      <c r="G14" s="110">
        <v>12990000</v>
      </c>
      <c r="H14" s="153"/>
      <c r="M14" s="148">
        <f>IFERROR(C14-W13Q2FY26!C14,"OOS")</f>
        <v>0</v>
      </c>
      <c r="N14" s="146" t="str">
        <f t="shared" si="0"/>
        <v/>
      </c>
      <c r="O14" s="149">
        <f>IFERROR(D14-W13Q2FY26!D14,"OOS")</f>
        <v>0</v>
      </c>
      <c r="P14" s="146" t="str">
        <f t="shared" si="1"/>
        <v/>
      </c>
      <c r="Q14" s="149">
        <f>IFERROR(E14-W13Q2FY26!E14,"OOS")</f>
        <v>200000</v>
      </c>
      <c r="R14" s="146" t="str">
        <f t="shared" si="2"/>
        <v>iPhone 14 128GB tăng 200K = 13790.0K</v>
      </c>
      <c r="S14" s="149">
        <f>IFERROR(F14-W13Q2FY26!F14,"OOS")</f>
        <v>0</v>
      </c>
      <c r="T14" s="146" t="str">
        <f t="shared" si="3"/>
        <v/>
      </c>
      <c r="U14" s="149">
        <f>IFERROR(G14-W13Q2FY26!G14,"OOS")</f>
        <v>0</v>
      </c>
      <c r="V14" s="146" t="str">
        <f t="shared" si="4"/>
        <v/>
      </c>
    </row>
    <row r="15" spans="1:22" x14ac:dyDescent="0.2">
      <c r="A15" t="s">
        <v>28</v>
      </c>
      <c r="B15" s="3"/>
      <c r="C15" s="135">
        <v>11990000</v>
      </c>
      <c r="D15" s="135">
        <v>11990000</v>
      </c>
      <c r="E15" s="139">
        <v>12090000</v>
      </c>
      <c r="F15" s="133">
        <v>11990000</v>
      </c>
      <c r="G15" s="110">
        <v>11890000</v>
      </c>
      <c r="H15" s="153"/>
      <c r="M15" s="148">
        <f>IFERROR(C15-W13Q2FY26!C15,"OOS")</f>
        <v>0</v>
      </c>
      <c r="N15" s="146" t="str">
        <f t="shared" si="0"/>
        <v/>
      </c>
      <c r="O15" s="149">
        <f>IFERROR(D15-W13Q2FY26!D15,"OOS")</f>
        <v>0</v>
      </c>
      <c r="P15" s="146" t="str">
        <f t="shared" si="1"/>
        <v/>
      </c>
      <c r="Q15" s="149">
        <f>IFERROR(E15-W13Q2FY26!E15,"OOS")</f>
        <v>100000</v>
      </c>
      <c r="R15" s="146" t="str">
        <f t="shared" si="2"/>
        <v>iPhone 13  128GB tăng 100K = 12090.0K</v>
      </c>
      <c r="S15" s="149">
        <f>IFERROR(F15-W13Q2FY26!F15,"OOS")</f>
        <v>200000</v>
      </c>
      <c r="T15" s="146" t="str">
        <f t="shared" si="3"/>
        <v>iPhone 13  128GB tăng 200K = 11990.0K</v>
      </c>
      <c r="U15" s="149">
        <f>IFERROR(G15-W13Q2FY26!G15,"OOS")</f>
        <v>0</v>
      </c>
      <c r="V15" s="146" t="str">
        <f t="shared" si="4"/>
        <v/>
      </c>
    </row>
    <row r="16" spans="1:22" x14ac:dyDescent="0.2">
      <c r="A16" t="s">
        <v>29</v>
      </c>
      <c r="B16" s="25"/>
      <c r="C16" s="140">
        <v>13490000</v>
      </c>
      <c r="D16" s="135">
        <v>13490000</v>
      </c>
      <c r="E16" s="139">
        <v>13290000</v>
      </c>
      <c r="F16" s="133">
        <v>13490000</v>
      </c>
      <c r="G16" s="110">
        <v>13390000</v>
      </c>
      <c r="H16" s="153"/>
      <c r="M16" s="148">
        <f>IFERROR(C16-W13Q2FY26!C16,"OOS")</f>
        <v>-100000</v>
      </c>
      <c r="N16" s="146" t="str">
        <f t="shared" si="0"/>
        <v>iPad Mini 7 128GB Wifi giảm 100K = 13490.0K</v>
      </c>
      <c r="O16" s="149">
        <f>IFERROR(D16-W13Q2FY26!D16,"OOS")</f>
        <v>0</v>
      </c>
      <c r="P16" s="146" t="str">
        <f t="shared" si="1"/>
        <v/>
      </c>
      <c r="Q16" s="149">
        <f>IFERROR(E16-W13Q2FY26!E16,"OOS")</f>
        <v>0</v>
      </c>
      <c r="R16" s="146" t="str">
        <f t="shared" si="2"/>
        <v/>
      </c>
      <c r="S16" s="149">
        <f>IFERROR(F16-W13Q2FY26!F16,"OOS")</f>
        <v>-100000</v>
      </c>
      <c r="T16" s="146" t="str">
        <f t="shared" si="3"/>
        <v>iPad Mini 7 128GB Wifi giảm 100K = 13490.0K</v>
      </c>
      <c r="U16" s="149">
        <f>IFERROR(G16-W13Q2FY26!G16,"OOS")</f>
        <v>0</v>
      </c>
      <c r="V16" s="146" t="str">
        <f t="shared" si="4"/>
        <v/>
      </c>
    </row>
    <row r="17" spans="1:25" x14ac:dyDescent="0.2">
      <c r="A17" t="s">
        <v>30</v>
      </c>
      <c r="B17" s="3"/>
      <c r="C17" s="135">
        <v>9490000</v>
      </c>
      <c r="D17" s="135">
        <v>9490000</v>
      </c>
      <c r="E17" s="154">
        <v>9190000</v>
      </c>
      <c r="F17" s="132">
        <v>9490000</v>
      </c>
      <c r="G17" s="111">
        <v>9390000</v>
      </c>
      <c r="H17" s="153"/>
      <c r="M17" s="148">
        <f>IFERROR(C17-W13Q2FY26!C17,"OOS")</f>
        <v>0</v>
      </c>
      <c r="N17" s="146" t="str">
        <f t="shared" si="0"/>
        <v/>
      </c>
      <c r="O17" s="149">
        <f>IFERROR(D17-W13Q2FY26!D17,"OOS")</f>
        <v>0</v>
      </c>
      <c r="P17" s="146" t="str">
        <f t="shared" si="1"/>
        <v/>
      </c>
      <c r="Q17" s="149">
        <f>IFERROR(E17-W13Q2FY26!E17,"OOS")</f>
        <v>0</v>
      </c>
      <c r="R17" s="146" t="str">
        <f t="shared" si="2"/>
        <v/>
      </c>
      <c r="S17" s="149">
        <f>IFERROR(F17-W13Q2FY26!F17,"OOS")</f>
        <v>0</v>
      </c>
      <c r="T17" s="146" t="str">
        <f t="shared" si="3"/>
        <v/>
      </c>
      <c r="U17" s="149">
        <f>IFERROR(G17-W13Q2FY26!G17,"OOS")</f>
        <v>400000</v>
      </c>
      <c r="V17" s="146" t="str">
        <f t="shared" si="4"/>
        <v>iPad Gen 11th  128GB Wifi tăng 400K = 9390.0K</v>
      </c>
      <c r="W17" t="s">
        <v>31</v>
      </c>
      <c r="X17" t="s">
        <v>32</v>
      </c>
      <c r="Y17" t="b">
        <v>1</v>
      </c>
    </row>
    <row r="18" spans="1:25" x14ac:dyDescent="0.2">
      <c r="A18" t="s">
        <v>33</v>
      </c>
      <c r="B18" s="3"/>
      <c r="C18" s="140">
        <v>15790000</v>
      </c>
      <c r="D18" s="135">
        <v>15490000</v>
      </c>
      <c r="E18" s="154">
        <v>14290000</v>
      </c>
      <c r="F18" s="132">
        <v>15790000</v>
      </c>
      <c r="G18" s="111">
        <v>14990000</v>
      </c>
      <c r="H18" s="153"/>
      <c r="M18" s="148">
        <f>IFERROR(C18-W13Q2FY26!C18,"OOS")</f>
        <v>-900000</v>
      </c>
      <c r="N18" s="146" t="str">
        <f t="shared" si="0"/>
        <v>iPad Air M3  11" 128 GB Wifi giảm 900K = 15790.0K</v>
      </c>
      <c r="O18" s="149">
        <f>IFERROR(D18-W13Q2FY26!D18,"OOS")</f>
        <v>0</v>
      </c>
      <c r="P18" s="146" t="str">
        <f t="shared" si="1"/>
        <v/>
      </c>
      <c r="Q18" s="149" t="str">
        <f>IFERROR(E18-W13Q2FY26!E18,"OOS")</f>
        <v>OOS</v>
      </c>
      <c r="R18" s="146" t="e">
        <f t="shared" si="2"/>
        <v>#VALUE!</v>
      </c>
      <c r="S18" s="149">
        <f>IFERROR(F18-W13Q2FY26!F18,"OOS")</f>
        <v>0</v>
      </c>
      <c r="T18" s="146" t="str">
        <f t="shared" si="3"/>
        <v/>
      </c>
      <c r="U18" s="149">
        <f>IFERROR(G18-W13Q2FY26!G18,"OOS")</f>
        <v>-1700000</v>
      </c>
      <c r="V18" s="146" t="str">
        <f t="shared" si="4"/>
        <v>iPad Air M3  11" 128 GB Wifi giảm 1700K = 14990.0K</v>
      </c>
      <c r="W18" t="s">
        <v>2</v>
      </c>
      <c r="X18" t="s">
        <v>34</v>
      </c>
      <c r="Y18" t="b">
        <v>1</v>
      </c>
    </row>
    <row r="19" spans="1:25" x14ac:dyDescent="0.2">
      <c r="A19" t="s">
        <v>37</v>
      </c>
      <c r="B19" s="25"/>
      <c r="C19" s="135">
        <v>20990000</v>
      </c>
      <c r="D19" s="135">
        <v>19990000</v>
      </c>
      <c r="E19" s="154">
        <v>19190000</v>
      </c>
      <c r="F19" s="132">
        <v>18990000</v>
      </c>
      <c r="G19" s="111">
        <v>21999000</v>
      </c>
      <c r="H19" s="153"/>
      <c r="M19" s="148">
        <f>IFERROR(C19-W13Q2FY26!C19,"OOS")</f>
        <v>-1100000</v>
      </c>
      <c r="N19" s="146" t="str">
        <f t="shared" si="0"/>
        <v>iPad Air M3  13" 128 GB Wifi giảm 1100K = 20990.0K</v>
      </c>
      <c r="O19" s="149">
        <f>IFERROR(D19-W13Q2FY26!D19,"OOS")</f>
        <v>0</v>
      </c>
      <c r="P19" s="146" t="str">
        <f t="shared" si="1"/>
        <v/>
      </c>
      <c r="Q19" s="149" t="str">
        <f>IFERROR(E19-W13Q2FY26!E19,"OOS")</f>
        <v>OOS</v>
      </c>
      <c r="R19" s="146" t="e">
        <f t="shared" si="2"/>
        <v>#VALUE!</v>
      </c>
      <c r="S19" s="149">
        <f>IFERROR(F19-W13Q2FY26!F19,"OOS")</f>
        <v>0</v>
      </c>
      <c r="T19" s="146" t="str">
        <f t="shared" si="3"/>
        <v/>
      </c>
      <c r="U19" s="149">
        <f>IFERROR(G19-W13Q2FY26!G19,"OOS")</f>
        <v>-90000</v>
      </c>
      <c r="V19" s="146" t="str">
        <f t="shared" si="4"/>
        <v>iPad Air M3  13" 128 GB Wifi giảm 90K = 21999.0K</v>
      </c>
      <c r="W19" t="s">
        <v>3</v>
      </c>
      <c r="X19" t="s">
        <v>36</v>
      </c>
      <c r="Y19" t="b">
        <v>0</v>
      </c>
    </row>
    <row r="20" spans="1:25" x14ac:dyDescent="0.2">
      <c r="A20" t="s">
        <v>40</v>
      </c>
      <c r="B20" s="3"/>
      <c r="C20" s="140">
        <v>28990000</v>
      </c>
      <c r="D20" s="135">
        <v>28990000</v>
      </c>
      <c r="E20" s="123">
        <v>28490000</v>
      </c>
      <c r="F20" s="133">
        <v>28990000</v>
      </c>
      <c r="G20" s="112">
        <v>28990000</v>
      </c>
      <c r="H20" s="153"/>
      <c r="M20" s="148">
        <f>IFERROR(C20-W13Q2FY26!C20,"OOS")</f>
        <v>-300000</v>
      </c>
      <c r="N20" s="146" t="str">
        <f t="shared" si="0"/>
        <v>iPad Pro M5 11” 256GB Wifi giảm 300K = 28990.0K</v>
      </c>
      <c r="O20" s="149">
        <f>IFERROR(D20-W13Q2FY26!D20,"OOS")</f>
        <v>0</v>
      </c>
      <c r="P20" s="146" t="str">
        <f t="shared" si="1"/>
        <v/>
      </c>
      <c r="Q20" s="149">
        <f>IFERROR(E20-W13Q2FY26!E20,"OOS")</f>
        <v>-500000</v>
      </c>
      <c r="R20" s="146" t="str">
        <f t="shared" si="2"/>
        <v>iPad Pro M5 11” 256GB Wifi giảm 500K = 28490.0K</v>
      </c>
      <c r="S20" s="149">
        <f>IFERROR(F20-W13Q2FY26!F20,"OOS")</f>
        <v>-400000</v>
      </c>
      <c r="T20" s="146" t="str">
        <f t="shared" si="3"/>
        <v>iPad Pro M5 11” 256GB Wifi giảm 400K = 28990.0K</v>
      </c>
      <c r="U20" s="149">
        <f>IFERROR(G20-W13Q2FY26!G20,"OOS")</f>
        <v>0</v>
      </c>
      <c r="V20" s="146" t="str">
        <f t="shared" si="4"/>
        <v/>
      </c>
      <c r="W20" t="s">
        <v>4</v>
      </c>
      <c r="X20" t="s">
        <v>38</v>
      </c>
      <c r="Y20" t="b">
        <v>1</v>
      </c>
    </row>
    <row r="21" spans="1:25" x14ac:dyDescent="0.2">
      <c r="A21" t="s">
        <v>43</v>
      </c>
      <c r="B21" s="3"/>
      <c r="C21" s="135">
        <v>39290000</v>
      </c>
      <c r="D21" s="141">
        <v>38990000</v>
      </c>
      <c r="E21" s="112">
        <v>37990000</v>
      </c>
      <c r="F21" s="132">
        <v>38990000</v>
      </c>
      <c r="G21" s="112">
        <v>38990000</v>
      </c>
      <c r="H21" s="153"/>
      <c r="M21" s="148">
        <f>IFERROR(C21-W13Q2FY26!C21,"OOS")</f>
        <v>0</v>
      </c>
      <c r="N21" s="146" t="str">
        <f t="shared" si="0"/>
        <v/>
      </c>
      <c r="O21" s="149">
        <f>IFERROR(D21-W13Q2FY26!D21,"OOS")</f>
        <v>0</v>
      </c>
      <c r="P21" s="146" t="str">
        <f t="shared" si="1"/>
        <v/>
      </c>
      <c r="Q21" s="149">
        <f>IFERROR(E21-W13Q2FY26!E21,"OOS")</f>
        <v>-1000000</v>
      </c>
      <c r="R21" s="146" t="str">
        <f t="shared" si="2"/>
        <v>iPad Pro M5 13” 256GB Wifi giảm 1000K = 37990.0K</v>
      </c>
      <c r="S21" s="149">
        <f>IFERROR(F21-W13Q2FY26!F21,"OOS")</f>
        <v>0</v>
      </c>
      <c r="T21" s="146" t="str">
        <f t="shared" si="3"/>
        <v/>
      </c>
      <c r="U21" s="149">
        <f>IFERROR(G21-W13Q2FY26!G21,"OOS")</f>
        <v>0</v>
      </c>
      <c r="V21" s="146" t="str">
        <f t="shared" si="4"/>
        <v/>
      </c>
      <c r="W21" t="s">
        <v>41</v>
      </c>
      <c r="X21" t="s">
        <v>42</v>
      </c>
      <c r="Y21" t="b">
        <v>1</v>
      </c>
    </row>
    <row r="22" spans="1:25" x14ac:dyDescent="0.2">
      <c r="A22" t="s">
        <v>44</v>
      </c>
      <c r="B22" s="25"/>
      <c r="C22" s="135">
        <v>6790000</v>
      </c>
      <c r="D22" s="135">
        <v>6790000</v>
      </c>
      <c r="E22" s="139">
        <v>6490000</v>
      </c>
      <c r="F22" s="132">
        <v>6790000</v>
      </c>
      <c r="G22" s="123">
        <v>6490000</v>
      </c>
      <c r="H22" s="153"/>
      <c r="M22" s="148">
        <f>IFERROR(C22-W13Q2FY26!C22,"OOS")</f>
        <v>0</v>
      </c>
      <c r="N22" s="146" t="str">
        <f t="shared" si="0"/>
        <v/>
      </c>
      <c r="O22" s="149">
        <f>IFERROR(D22-W13Q2FY26!D22,"OOS")</f>
        <v>0</v>
      </c>
      <c r="P22" s="146" t="str">
        <f t="shared" si="1"/>
        <v/>
      </c>
      <c r="Q22" s="149">
        <f>IFERROR(E22-W13Q2FY26!E22,"OOS")</f>
        <v>500000</v>
      </c>
      <c r="R22" s="146" t="str">
        <f t="shared" si="2"/>
        <v>AW SE 3 (40mm GPS) tăng 500K = 6490.0K</v>
      </c>
      <c r="S22" s="149">
        <f>IFERROR(F22-W13Q2FY26!F22,"OOS")</f>
        <v>0</v>
      </c>
      <c r="T22" s="146" t="str">
        <f t="shared" si="3"/>
        <v/>
      </c>
      <c r="U22" s="149">
        <f>IFERROR(G22-W13Q2FY26!G22,"OOS")</f>
        <v>-200000</v>
      </c>
      <c r="V22" s="146" t="str">
        <f t="shared" si="4"/>
        <v>AW SE 3 (40mm GPS) giảm 200K = 6490.0K</v>
      </c>
    </row>
    <row r="23" spans="1:25" x14ac:dyDescent="0.2">
      <c r="A23" t="s">
        <v>45</v>
      </c>
      <c r="B23" s="25"/>
      <c r="C23" s="135">
        <v>8390000</v>
      </c>
      <c r="D23" s="135">
        <v>8290000</v>
      </c>
      <c r="E23" s="154">
        <v>7990000</v>
      </c>
      <c r="F23" s="132">
        <v>8390000</v>
      </c>
      <c r="G23" s="112">
        <v>8190000</v>
      </c>
      <c r="H23" s="153"/>
      <c r="M23" s="148">
        <f>IFERROR(C23-W13Q2FY26!C23,"OOS")</f>
        <v>0</v>
      </c>
      <c r="N23" s="146" t="str">
        <f t="shared" si="0"/>
        <v/>
      </c>
      <c r="O23" s="149">
        <f>IFERROR(D23-W13Q2FY26!D23,"OOS")</f>
        <v>0</v>
      </c>
      <c r="P23" s="146" t="str">
        <f t="shared" si="1"/>
        <v/>
      </c>
      <c r="Q23" s="149">
        <f>IFERROR(E23-W13Q2FY26!E23,"OOS")</f>
        <v>500000</v>
      </c>
      <c r="R23" s="146" t="str">
        <f t="shared" si="2"/>
        <v>AW SE 3 (40mm LTE) tăng 500K = 7990.0K</v>
      </c>
      <c r="S23" s="149">
        <f>IFERROR(F23-W13Q2FY26!F23,"OOS")</f>
        <v>0</v>
      </c>
      <c r="T23" s="146" t="str">
        <f t="shared" si="3"/>
        <v/>
      </c>
      <c r="U23" s="149">
        <f>IFERROR(G23-W13Q2FY26!G23,"OOS")</f>
        <v>0</v>
      </c>
      <c r="V23" s="146" t="str">
        <f t="shared" si="4"/>
        <v/>
      </c>
    </row>
    <row r="24" spans="1:25" x14ac:dyDescent="0.2">
      <c r="A24" t="s">
        <v>46</v>
      </c>
      <c r="B24" s="25"/>
      <c r="C24" s="135">
        <v>7690000</v>
      </c>
      <c r="D24" s="135">
        <v>7690000</v>
      </c>
      <c r="E24" s="139">
        <v>7390000</v>
      </c>
      <c r="F24" s="132">
        <v>7690000</v>
      </c>
      <c r="G24" s="112">
        <v>7490000</v>
      </c>
      <c r="H24" s="153"/>
      <c r="M24" s="148">
        <f>IFERROR(C24-W13Q2FY26!C24,"OOS")</f>
        <v>0</v>
      </c>
      <c r="N24" s="146" t="str">
        <f t="shared" si="0"/>
        <v/>
      </c>
      <c r="O24" s="149">
        <f>IFERROR(D24-W13Q2FY26!D24,"OOS")</f>
        <v>0</v>
      </c>
      <c r="P24" s="146" t="str">
        <f t="shared" si="1"/>
        <v/>
      </c>
      <c r="Q24" s="149">
        <f>IFERROR(E24-W13Q2FY26!E24,"OOS")</f>
        <v>500000</v>
      </c>
      <c r="R24" s="146" t="str">
        <f t="shared" si="2"/>
        <v>AW SE 3 (44mm GPS) tăng 500K = 7390.0K</v>
      </c>
      <c r="S24" s="149">
        <f>IFERROR(F24-W13Q2FY26!F24,"OOS")</f>
        <v>0</v>
      </c>
      <c r="T24" s="146" t="str">
        <f t="shared" si="3"/>
        <v/>
      </c>
      <c r="U24" s="149">
        <f>IFERROR(G24-W13Q2FY26!G24,"OOS")</f>
        <v>0</v>
      </c>
      <c r="V24" s="146" t="str">
        <f t="shared" si="4"/>
        <v/>
      </c>
    </row>
    <row r="25" spans="1:25" x14ac:dyDescent="0.2">
      <c r="A25" t="s">
        <v>47</v>
      </c>
      <c r="B25" s="25"/>
      <c r="C25" s="135">
        <v>9190000</v>
      </c>
      <c r="D25" s="135">
        <v>9190000</v>
      </c>
      <c r="E25" s="139">
        <v>8990000</v>
      </c>
      <c r="F25" s="132">
        <v>9190000</v>
      </c>
      <c r="G25" s="112">
        <v>8790000</v>
      </c>
      <c r="H25" s="153"/>
      <c r="M25" s="148">
        <f>IFERROR(C25-W13Q2FY26!C25,"OOS")</f>
        <v>0</v>
      </c>
      <c r="N25" s="146" t="str">
        <f t="shared" si="0"/>
        <v/>
      </c>
      <c r="O25" s="149">
        <f>IFERROR(D25-W13Q2FY26!D25,"OOS")</f>
        <v>0</v>
      </c>
      <c r="P25" s="146" t="str">
        <f t="shared" si="1"/>
        <v/>
      </c>
      <c r="Q25" s="149">
        <f>IFERROR(E25-W13Q2FY26!E25,"OOS")</f>
        <v>500000</v>
      </c>
      <c r="R25" s="146" t="str">
        <f t="shared" si="2"/>
        <v>AW SE 3 (44mm LTE) tăng 500K = 8990.0K</v>
      </c>
      <c r="S25" s="149">
        <f>IFERROR(F25-W13Q2FY26!F25,"OOS")</f>
        <v>0</v>
      </c>
      <c r="T25" s="146" t="str">
        <f t="shared" si="3"/>
        <v/>
      </c>
      <c r="U25" s="149">
        <f>IFERROR(G25-W13Q2FY26!G25,"OOS")</f>
        <v>0</v>
      </c>
      <c r="V25" s="146" t="str">
        <f t="shared" si="4"/>
        <v/>
      </c>
    </row>
    <row r="26" spans="1:25" x14ac:dyDescent="0.2">
      <c r="A26" t="s">
        <v>48</v>
      </c>
      <c r="B26" s="3"/>
      <c r="C26" s="135">
        <v>11190000</v>
      </c>
      <c r="D26" s="135">
        <v>11190000</v>
      </c>
      <c r="E26" s="139">
        <v>10690000</v>
      </c>
      <c r="F26" s="132">
        <v>11190000</v>
      </c>
      <c r="G26" s="112">
        <v>10990000</v>
      </c>
      <c r="H26" s="153"/>
      <c r="M26" s="148">
        <f>IFERROR(C26-W13Q2FY26!C26,"OOS")</f>
        <v>0</v>
      </c>
      <c r="N26" s="146" t="str">
        <f t="shared" si="0"/>
        <v/>
      </c>
      <c r="O26" s="149">
        <f>IFERROR(D26-W13Q2FY26!D26,"OOS")</f>
        <v>0</v>
      </c>
      <c r="P26" s="146" t="str">
        <f t="shared" si="1"/>
        <v/>
      </c>
      <c r="Q26" s="149">
        <f>IFERROR(E26-W13Q2FY26!E26,"OOS")</f>
        <v>500000</v>
      </c>
      <c r="R26" s="146" t="str">
        <f t="shared" si="2"/>
        <v>AW S11 (42mm GPS) tăng 500K = 10690.0K</v>
      </c>
      <c r="S26" s="149">
        <f>IFERROR(F26-W13Q2FY26!F26,"OOS")</f>
        <v>0</v>
      </c>
      <c r="T26" s="146" t="str">
        <f t="shared" si="3"/>
        <v/>
      </c>
      <c r="U26" s="149">
        <f>IFERROR(G26-W13Q2FY26!G26,"OOS")</f>
        <v>0</v>
      </c>
      <c r="V26" s="146" t="str">
        <f t="shared" si="4"/>
        <v/>
      </c>
    </row>
    <row r="27" spans="1:25" x14ac:dyDescent="0.2">
      <c r="A27" t="s">
        <v>49</v>
      </c>
      <c r="B27" s="3"/>
      <c r="C27" s="140" t="s">
        <v>22</v>
      </c>
      <c r="D27" s="135">
        <v>14090000</v>
      </c>
      <c r="E27" s="139">
        <v>13990000</v>
      </c>
      <c r="F27" s="132">
        <v>14090000</v>
      </c>
      <c r="G27" s="112">
        <v>13990000</v>
      </c>
      <c r="H27" s="153"/>
      <c r="M27" s="148" t="str">
        <f>IFERROR(C27-W13Q2FY26!C27,"OOS")</f>
        <v>OOS</v>
      </c>
      <c r="N27" s="146" t="e">
        <f t="shared" si="0"/>
        <v>#VALUE!</v>
      </c>
      <c r="O27" s="149">
        <f>IFERROR(D27-W13Q2FY26!D27,"OOS")</f>
        <v>0</v>
      </c>
      <c r="P27" s="146" t="str">
        <f t="shared" si="1"/>
        <v/>
      </c>
      <c r="Q27" s="149">
        <f>IFERROR(E27-W13Q2FY26!E27,"OOS")</f>
        <v>500000</v>
      </c>
      <c r="R27" s="146" t="str">
        <f t="shared" si="2"/>
        <v>AW S11 (42mm CEL) tăng 500K = 13990.0K</v>
      </c>
      <c r="S27" s="149">
        <f>IFERROR(F27-W13Q2FY26!F27,"OOS")</f>
        <v>0</v>
      </c>
      <c r="T27" s="146" t="str">
        <f t="shared" si="3"/>
        <v/>
      </c>
      <c r="U27" s="149">
        <f>IFERROR(G27-W13Q2FY26!G27,"OOS")</f>
        <v>0</v>
      </c>
      <c r="V27" s="146" t="str">
        <f t="shared" si="4"/>
        <v/>
      </c>
    </row>
    <row r="28" spans="1:25" x14ac:dyDescent="0.2">
      <c r="A28" t="s">
        <v>50</v>
      </c>
      <c r="B28" s="3"/>
      <c r="C28" s="135">
        <v>11990000</v>
      </c>
      <c r="D28" s="135">
        <v>11990000</v>
      </c>
      <c r="E28" s="139">
        <v>11490000</v>
      </c>
      <c r="F28" s="132">
        <v>11990000</v>
      </c>
      <c r="G28" s="112">
        <v>11890000</v>
      </c>
      <c r="H28" s="153"/>
      <c r="M28" s="148">
        <f>IFERROR(C28-W13Q2FY26!C28,"OOS")</f>
        <v>0</v>
      </c>
      <c r="N28" s="146" t="str">
        <f t="shared" si="0"/>
        <v/>
      </c>
      <c r="O28" s="149">
        <f>IFERROR(D28-W13Q2FY26!D28,"OOS")</f>
        <v>0</v>
      </c>
      <c r="P28" s="146" t="str">
        <f t="shared" si="1"/>
        <v/>
      </c>
      <c r="Q28" s="149">
        <f>IFERROR(E28-W13Q2FY26!E28,"OOS")</f>
        <v>500000</v>
      </c>
      <c r="R28" s="146" t="str">
        <f t="shared" si="2"/>
        <v>AW S11 (46mm GPS) tăng 500K = 11490.0K</v>
      </c>
      <c r="S28" s="149">
        <f>IFERROR(F28-W13Q2FY26!F28,"OOS")</f>
        <v>0</v>
      </c>
      <c r="T28" s="146" t="str">
        <f t="shared" si="3"/>
        <v/>
      </c>
      <c r="U28" s="149">
        <f>IFERROR(G28-W13Q2FY26!G28,"OOS")</f>
        <v>0</v>
      </c>
      <c r="V28" s="146" t="str">
        <f t="shared" si="4"/>
        <v/>
      </c>
    </row>
    <row r="29" spans="1:25" x14ac:dyDescent="0.2">
      <c r="A29" t="s">
        <v>51</v>
      </c>
      <c r="B29" s="3"/>
      <c r="C29" s="135" t="s">
        <v>22</v>
      </c>
      <c r="D29" s="135">
        <v>14990000</v>
      </c>
      <c r="E29" s="139">
        <v>14490000</v>
      </c>
      <c r="F29" s="132">
        <v>14990000</v>
      </c>
      <c r="G29" s="112">
        <v>14890000</v>
      </c>
      <c r="H29" s="153"/>
      <c r="M29" s="148" t="str">
        <f>IFERROR(C29-W13Q2FY26!C29,"OOS")</f>
        <v>OOS</v>
      </c>
      <c r="N29" s="146" t="e">
        <f t="shared" si="0"/>
        <v>#VALUE!</v>
      </c>
      <c r="O29" s="149">
        <f>IFERROR(D29-W13Q2FY26!D29,"OOS")</f>
        <v>0</v>
      </c>
      <c r="P29" s="146" t="str">
        <f t="shared" si="1"/>
        <v/>
      </c>
      <c r="Q29" s="149">
        <f>IFERROR(E29-W13Q2FY26!E29,"OOS")</f>
        <v>500000</v>
      </c>
      <c r="R29" s="146" t="str">
        <f t="shared" si="2"/>
        <v>AW S11 (46mm CEL) tăng 500K = 14490.0K</v>
      </c>
      <c r="S29" s="149">
        <f>IFERROR(F29-W13Q2FY26!F29,"OOS")</f>
        <v>0</v>
      </c>
      <c r="T29" s="146" t="str">
        <f t="shared" si="3"/>
        <v/>
      </c>
      <c r="U29" s="149">
        <f>IFERROR(G29-W13Q2FY26!G29,"OOS")</f>
        <v>0</v>
      </c>
      <c r="V29" s="146" t="str">
        <f t="shared" si="4"/>
        <v/>
      </c>
    </row>
    <row r="30" spans="1:25" x14ac:dyDescent="0.2">
      <c r="A30" t="s">
        <v>52</v>
      </c>
      <c r="B30" s="25"/>
      <c r="C30" s="135">
        <v>23490000</v>
      </c>
      <c r="D30" s="135">
        <v>22990000</v>
      </c>
      <c r="E30" s="112">
        <v>22490000</v>
      </c>
      <c r="F30" s="132">
        <v>23190000</v>
      </c>
      <c r="G30" s="110">
        <v>22990000</v>
      </c>
      <c r="H30" s="153"/>
      <c r="M30" s="148">
        <f>IFERROR(C30-W13Q2FY26!C30,"OOS")</f>
        <v>0</v>
      </c>
      <c r="N30" s="146" t="str">
        <f t="shared" si="0"/>
        <v/>
      </c>
      <c r="O30" s="149">
        <f>IFERROR(D30-W13Q2FY26!D30,"OOS")</f>
        <v>0</v>
      </c>
      <c r="P30" s="146" t="str">
        <f t="shared" si="1"/>
        <v/>
      </c>
      <c r="Q30" s="149">
        <f>IFERROR(E30-W13Q2FY26!E30,"OOS")</f>
        <v>500000</v>
      </c>
      <c r="R30" s="146" t="str">
        <f t="shared" si="2"/>
        <v>AW Ultra 3 (49mm) tăng 500K = 22490.0K</v>
      </c>
      <c r="S30" s="149">
        <f>IFERROR(F30-W13Q2FY26!F30,"OOS")</f>
        <v>0</v>
      </c>
      <c r="T30" s="146" t="str">
        <f t="shared" si="3"/>
        <v/>
      </c>
      <c r="U30" s="149">
        <f>IFERROR(G30-W13Q2FY26!G30,"OOS")</f>
        <v>0</v>
      </c>
      <c r="V30" s="146" t="str">
        <f t="shared" si="4"/>
        <v/>
      </c>
    </row>
    <row r="31" spans="1:25" x14ac:dyDescent="0.2">
      <c r="A31" t="s">
        <v>53</v>
      </c>
      <c r="B31" s="3"/>
      <c r="C31" s="135">
        <v>5190000</v>
      </c>
      <c r="D31" s="135" t="s">
        <v>22</v>
      </c>
      <c r="E31" s="130" t="s">
        <v>22</v>
      </c>
      <c r="F31" s="132">
        <v>5190000</v>
      </c>
      <c r="G31" s="110">
        <v>5590000</v>
      </c>
      <c r="H31" s="153"/>
      <c r="M31" s="148">
        <f>IFERROR(C31-W13Q2FY26!C31,"OOS")</f>
        <v>0</v>
      </c>
      <c r="N31" s="146" t="str">
        <f t="shared" si="0"/>
        <v/>
      </c>
      <c r="O31" s="149" t="str">
        <f>IFERROR(D31-W13Q2FY26!D31,"OOS")</f>
        <v>OOS</v>
      </c>
      <c r="P31" s="146" t="e">
        <f t="shared" si="1"/>
        <v>#VALUE!</v>
      </c>
      <c r="Q31" s="149" t="str">
        <f>IFERROR(E31-W13Q2FY26!E31,"OOS")</f>
        <v>OOS</v>
      </c>
      <c r="R31" s="146" t="e">
        <f t="shared" si="2"/>
        <v>#VALUE!</v>
      </c>
      <c r="S31" s="149">
        <f>IFERROR(F31-W13Q2FY26!F31,"OOS")</f>
        <v>0</v>
      </c>
      <c r="T31" s="146" t="str">
        <f t="shared" si="3"/>
        <v/>
      </c>
      <c r="U31" s="149">
        <f>IFERROR(G31-W13Q2FY26!G31,"OOS")</f>
        <v>0</v>
      </c>
      <c r="V31" s="146" t="str">
        <f t="shared" si="4"/>
        <v/>
      </c>
    </row>
    <row r="32" spans="1:25" x14ac:dyDescent="0.2">
      <c r="A32" t="s">
        <v>54</v>
      </c>
      <c r="B32" s="3"/>
      <c r="C32" s="135">
        <v>4690000</v>
      </c>
      <c r="D32" s="135">
        <v>4590000</v>
      </c>
      <c r="E32" s="154">
        <v>4290000</v>
      </c>
      <c r="F32" s="132">
        <v>4690000</v>
      </c>
      <c r="G32" s="111">
        <v>4490000</v>
      </c>
      <c r="H32" s="153"/>
      <c r="M32" s="148">
        <f>IFERROR(C32-W13Q2FY26!C32,"OOS")</f>
        <v>0</v>
      </c>
      <c r="N32" s="146" t="str">
        <f t="shared" si="0"/>
        <v/>
      </c>
      <c r="O32" s="149">
        <f>IFERROR(D32-W13Q2FY26!D32,"OOS")</f>
        <v>0</v>
      </c>
      <c r="P32" s="146" t="str">
        <f t="shared" si="1"/>
        <v/>
      </c>
      <c r="Q32" s="149">
        <f>IFERROR(E32-W13Q2FY26!E32,"OOS")</f>
        <v>0</v>
      </c>
      <c r="R32" s="146" t="str">
        <f t="shared" si="2"/>
        <v/>
      </c>
      <c r="S32" s="149">
        <f>IFERROR(F32-W13Q2FY26!F32,"OOS")</f>
        <v>0</v>
      </c>
      <c r="T32" s="146" t="str">
        <f t="shared" si="3"/>
        <v/>
      </c>
      <c r="U32" s="149">
        <f>IFERROR(G32-W13Q2FY26!G32,"OOS")</f>
        <v>-100000</v>
      </c>
      <c r="V32" s="146" t="str">
        <f t="shared" si="4"/>
        <v>AirPods 4 ANC giảm 100K = 4490.0K</v>
      </c>
    </row>
    <row r="33" spans="1:22" x14ac:dyDescent="0.2">
      <c r="A33" t="s">
        <v>55</v>
      </c>
      <c r="B33" s="3"/>
      <c r="C33" s="135">
        <v>3490000</v>
      </c>
      <c r="D33" s="135">
        <v>3490000</v>
      </c>
      <c r="E33" s="154">
        <v>3290000</v>
      </c>
      <c r="F33" s="132">
        <v>3490000</v>
      </c>
      <c r="G33" s="123">
        <v>3590000</v>
      </c>
      <c r="H33" s="153"/>
      <c r="M33" s="148">
        <f>IFERROR(C33-W13Q2FY26!C33,"OOS")</f>
        <v>0</v>
      </c>
      <c r="N33" s="146" t="str">
        <f t="shared" si="0"/>
        <v/>
      </c>
      <c r="O33" s="149">
        <f>IFERROR(D33-W13Q2FY26!D33,"OOS")</f>
        <v>0</v>
      </c>
      <c r="P33" s="146" t="str">
        <f t="shared" si="1"/>
        <v/>
      </c>
      <c r="Q33" s="149">
        <f>IFERROR(E33-W13Q2FY26!E33,"OOS")</f>
        <v>0</v>
      </c>
      <c r="R33" s="146" t="str">
        <f t="shared" si="2"/>
        <v/>
      </c>
      <c r="S33" s="149">
        <f>IFERROR(F33-W13Q2FY26!F33,"OOS")</f>
        <v>0</v>
      </c>
      <c r="T33" s="146" t="str">
        <f t="shared" si="3"/>
        <v/>
      </c>
      <c r="U33" s="149">
        <f>IFERROR(G33-W13Q2FY26!G33,"OOS")</f>
        <v>200000</v>
      </c>
      <c r="V33" s="146" t="str">
        <f t="shared" si="4"/>
        <v>AirPods 4 with charging case tăng 200K = 3590.0K</v>
      </c>
    </row>
    <row r="34" spans="1:22" x14ac:dyDescent="0.2">
      <c r="A34" t="s">
        <v>56</v>
      </c>
      <c r="B34" s="3"/>
      <c r="C34" s="135">
        <v>6590000</v>
      </c>
      <c r="D34" s="135">
        <v>6590000</v>
      </c>
      <c r="E34" s="134">
        <v>6290000</v>
      </c>
      <c r="F34" s="132">
        <v>6590000</v>
      </c>
      <c r="G34" s="112">
        <v>6390000</v>
      </c>
      <c r="H34" s="153"/>
      <c r="M34" s="148">
        <f>IFERROR(C34-W13Q2FY26!C34,"OOS")</f>
        <v>0</v>
      </c>
      <c r="N34" s="146" t="str">
        <f t="shared" si="0"/>
        <v/>
      </c>
      <c r="O34" s="149">
        <f>IFERROR(D34-W13Q2FY26!D34,"OOS")</f>
        <v>0</v>
      </c>
      <c r="P34" s="146" t="str">
        <f t="shared" si="1"/>
        <v/>
      </c>
      <c r="Q34" s="149">
        <f>IFERROR(E34-W13Q2FY26!E34,"OOS")</f>
        <v>0</v>
      </c>
      <c r="R34" s="146" t="str">
        <f t="shared" si="2"/>
        <v/>
      </c>
      <c r="S34" s="149">
        <f>IFERROR(F34-W13Q2FY26!F34,"OOS")</f>
        <v>0</v>
      </c>
      <c r="T34" s="146" t="str">
        <f t="shared" si="3"/>
        <v/>
      </c>
      <c r="U34" s="149">
        <f>IFERROR(G34-W13Q2FY26!G34,"OOS")</f>
        <v>0</v>
      </c>
      <c r="V34" s="146" t="str">
        <f t="shared" si="4"/>
        <v/>
      </c>
    </row>
    <row r="35" spans="1:22" x14ac:dyDescent="0.2">
      <c r="A35" t="s">
        <v>186</v>
      </c>
      <c r="B35" s="25"/>
      <c r="C35" s="140" t="s">
        <v>22</v>
      </c>
      <c r="D35" s="135">
        <v>19990000</v>
      </c>
      <c r="E35" s="142"/>
      <c r="F35" s="133">
        <v>21990000</v>
      </c>
      <c r="G35" s="111" t="s">
        <v>22</v>
      </c>
      <c r="H35" s="153"/>
      <c r="M35" s="148" t="str">
        <f>IFERROR(C35-W13Q2FY26!C35,"OOS")</f>
        <v>OOS</v>
      </c>
      <c r="N35" s="146" t="e">
        <f t="shared" si="0"/>
        <v>#VALUE!</v>
      </c>
      <c r="O35" s="149">
        <f>IFERROR(D35-W13Q2FY26!D35,"OOS")</f>
        <v>0</v>
      </c>
      <c r="P35" s="146" t="str">
        <f t="shared" si="1"/>
        <v/>
      </c>
      <c r="Q35" s="149">
        <f>IFERROR(E35-W13Q2FY26!E35,"OOS")</f>
        <v>0</v>
      </c>
      <c r="R35" s="146" t="str">
        <f t="shared" si="2"/>
        <v/>
      </c>
      <c r="S35" s="149">
        <f>IFERROR(F35-W13Q2FY26!F35,"OOS")</f>
        <v>1500000</v>
      </c>
      <c r="T35" s="146" t="str">
        <f t="shared" si="3"/>
        <v>MacBook Air 13" M2 16/256GB tăng 1500K = 21990.0K</v>
      </c>
      <c r="U35" s="149" t="str">
        <f>IFERROR(G35-W13Q2FY26!G35,"OOS")</f>
        <v>OOS</v>
      </c>
      <c r="V35" s="146" t="e">
        <f t="shared" si="4"/>
        <v>#VALUE!</v>
      </c>
    </row>
    <row r="36" spans="1:22" x14ac:dyDescent="0.2">
      <c r="A36" t="s">
        <v>57</v>
      </c>
      <c r="B36" s="25"/>
      <c r="C36" s="135">
        <v>29990000</v>
      </c>
      <c r="D36" s="135">
        <v>29990000</v>
      </c>
      <c r="E36" s="142"/>
      <c r="F36" s="110">
        <v>29990000</v>
      </c>
      <c r="G36" s="110">
        <v>29990000</v>
      </c>
      <c r="H36" s="153"/>
      <c r="M36" s="148">
        <f>IFERROR(C36-W13Q2FY26!C36,"OOS")</f>
        <v>0</v>
      </c>
      <c r="N36" s="146" t="str">
        <f t="shared" si="0"/>
        <v/>
      </c>
      <c r="O36" s="149">
        <f>IFERROR(D36-W13Q2FY26!D36,"OOS")</f>
        <v>0</v>
      </c>
      <c r="P36" s="146" t="str">
        <f t="shared" si="1"/>
        <v/>
      </c>
      <c r="Q36" s="149">
        <f>IFERROR(E36-W13Q2FY26!E36,"OOS")</f>
        <v>0</v>
      </c>
      <c r="R36" s="146" t="str">
        <f t="shared" si="2"/>
        <v/>
      </c>
      <c r="S36" s="149">
        <f>IFERROR(F36-W13Q2FY26!F36,"OOS")</f>
        <v>0</v>
      </c>
      <c r="T36" s="146" t="str">
        <f t="shared" si="3"/>
        <v/>
      </c>
      <c r="U36" s="149">
        <f>IFERROR(G36-W13Q2FY26!G36,"OOS")</f>
        <v>0</v>
      </c>
      <c r="V36" s="146" t="str">
        <f t="shared" si="4"/>
        <v/>
      </c>
    </row>
    <row r="37" spans="1:22" x14ac:dyDescent="0.2">
      <c r="A37" t="s">
        <v>58</v>
      </c>
      <c r="B37" s="25"/>
      <c r="C37" s="135">
        <v>16490000</v>
      </c>
      <c r="D37" s="135">
        <v>16490000</v>
      </c>
      <c r="E37" s="142"/>
      <c r="F37" s="110">
        <v>16490000</v>
      </c>
      <c r="G37" s="110">
        <v>16499000</v>
      </c>
      <c r="H37" s="153"/>
      <c r="M37" s="148">
        <f>IFERROR(C37-W13Q2FY26!C37,"OOS")</f>
        <v>0</v>
      </c>
      <c r="N37" s="146" t="str">
        <f t="shared" si="0"/>
        <v/>
      </c>
      <c r="O37" s="149">
        <f>IFERROR(D37-W13Q2FY26!D37,"OOS")</f>
        <v>0</v>
      </c>
      <c r="P37" s="146" t="str">
        <f t="shared" si="1"/>
        <v/>
      </c>
      <c r="Q37" s="149">
        <f>IFERROR(E37-W13Q2FY26!E37,"OOS")</f>
        <v>0</v>
      </c>
      <c r="R37" s="146" t="str">
        <f t="shared" si="2"/>
        <v/>
      </c>
      <c r="S37" s="149">
        <f>IFERROR(F37-W13Q2FY26!F37,"OOS")</f>
        <v>0</v>
      </c>
      <c r="T37" s="146" t="str">
        <f t="shared" si="3"/>
        <v/>
      </c>
      <c r="U37" s="149">
        <f>IFERROR(G37-W13Q2FY26!G37,"OOS")</f>
        <v>0</v>
      </c>
      <c r="V37" s="146" t="str">
        <f t="shared" si="4"/>
        <v/>
      </c>
    </row>
    <row r="38" spans="1:22" x14ac:dyDescent="0.2">
      <c r="A38" t="s">
        <v>59</v>
      </c>
      <c r="B38" s="3"/>
      <c r="C38" s="140">
        <v>25290000</v>
      </c>
      <c r="D38" s="135">
        <v>24490000</v>
      </c>
      <c r="E38" s="142"/>
      <c r="F38" s="133">
        <v>24990000</v>
      </c>
      <c r="G38" s="110">
        <v>24590000</v>
      </c>
      <c r="H38" s="153"/>
      <c r="M38" s="148">
        <f>IFERROR(C38-W13Q2FY26!C38,"OOS")</f>
        <v>700000</v>
      </c>
      <c r="N38" s="146" t="str">
        <f t="shared" si="0"/>
        <v>MacBook Air 13" M4 16/256GB tăng 700K = 25290.0K</v>
      </c>
      <c r="O38" s="149">
        <f>IFERROR(D38-W13Q2FY26!D38,"OOS")</f>
        <v>0</v>
      </c>
      <c r="P38" s="146" t="str">
        <f t="shared" si="1"/>
        <v/>
      </c>
      <c r="Q38" s="149">
        <f>IFERROR(E38-W13Q2FY26!E38,"OOS")</f>
        <v>0</v>
      </c>
      <c r="R38" s="146" t="str">
        <f t="shared" si="2"/>
        <v/>
      </c>
      <c r="S38" s="149">
        <f>IFERROR(F38-W13Q2FY26!F38,"OOS")</f>
        <v>400000</v>
      </c>
      <c r="T38" s="146" t="str">
        <f t="shared" si="3"/>
        <v>MacBook Air 13" M4 16/256GB tăng 400K = 24990.0K</v>
      </c>
      <c r="U38" s="149">
        <f>IFERROR(G38-W13Q2FY26!G38,"OOS")</f>
        <v>0</v>
      </c>
      <c r="V38" s="146" t="str">
        <f t="shared" si="4"/>
        <v/>
      </c>
    </row>
    <row r="39" spans="1:22" x14ac:dyDescent="0.2">
      <c r="A39" t="s">
        <v>61</v>
      </c>
      <c r="B39" s="25"/>
      <c r="C39" s="135">
        <v>29990000</v>
      </c>
      <c r="D39" s="135">
        <v>29990000</v>
      </c>
      <c r="E39" s="142"/>
      <c r="F39" s="132">
        <v>29990000</v>
      </c>
      <c r="G39" s="110">
        <v>28990000</v>
      </c>
      <c r="H39" s="153"/>
      <c r="M39" s="148">
        <f>IFERROR(C39-W13Q2FY26!C39,"OOS")</f>
        <v>0</v>
      </c>
      <c r="N39" s="146" t="str">
        <f t="shared" si="0"/>
        <v/>
      </c>
      <c r="O39" s="149">
        <f>IFERROR(D39-W13Q2FY26!D39,"OOS")</f>
        <v>0</v>
      </c>
      <c r="P39" s="146" t="str">
        <f t="shared" si="1"/>
        <v/>
      </c>
      <c r="Q39" s="149">
        <f>IFERROR(E39-W13Q2FY26!E39,"OOS")</f>
        <v>0</v>
      </c>
      <c r="R39" s="146" t="str">
        <f t="shared" si="2"/>
        <v/>
      </c>
      <c r="S39" s="149">
        <f>IFERROR(F39-W13Q2FY26!F39,"OOS")</f>
        <v>0</v>
      </c>
      <c r="T39" s="146" t="str">
        <f t="shared" si="3"/>
        <v/>
      </c>
      <c r="U39" s="149">
        <f>IFERROR(G39-W13Q2FY26!G39,"OOS")</f>
        <v>0</v>
      </c>
      <c r="V39" s="146" t="str">
        <f t="shared" si="4"/>
        <v/>
      </c>
    </row>
    <row r="40" spans="1:22" x14ac:dyDescent="0.2">
      <c r="A40" t="s">
        <v>187</v>
      </c>
      <c r="B40" s="25"/>
      <c r="C40" s="135" t="s">
        <v>22</v>
      </c>
      <c r="D40" s="135" t="s">
        <v>22</v>
      </c>
      <c r="E40" s="142"/>
      <c r="F40" s="132">
        <v>38590000</v>
      </c>
      <c r="G40" s="110">
        <v>38390000</v>
      </c>
      <c r="H40" s="153"/>
      <c r="M40" s="148" t="str">
        <f>IFERROR(C40-W13Q2FY26!C40,"OOS")</f>
        <v>OOS</v>
      </c>
      <c r="N40" s="146" t="e">
        <f t="shared" si="0"/>
        <v>#VALUE!</v>
      </c>
      <c r="O40" s="149" t="str">
        <f>IFERROR(D40-W13Q2FY26!D40,"OOS")</f>
        <v>OOS</v>
      </c>
      <c r="P40" s="146" t="e">
        <f t="shared" si="1"/>
        <v>#VALUE!</v>
      </c>
      <c r="Q40" s="149">
        <f>IFERROR(E40-W13Q2FY26!E40,"OOS")</f>
        <v>0</v>
      </c>
      <c r="R40" s="146" t="str">
        <f t="shared" si="2"/>
        <v/>
      </c>
      <c r="S40" s="149">
        <f>IFERROR(F40-W13Q2FY26!F40,"OOS")</f>
        <v>0</v>
      </c>
      <c r="T40" s="146" t="str">
        <f t="shared" si="3"/>
        <v/>
      </c>
      <c r="U40" s="149">
        <f>IFERROR(G40-W13Q2FY26!G40,"OOS")</f>
        <v>0</v>
      </c>
      <c r="V40" s="146" t="str">
        <f t="shared" si="4"/>
        <v/>
      </c>
    </row>
    <row r="41" spans="1:22" x14ac:dyDescent="0.2">
      <c r="A41" t="s">
        <v>62</v>
      </c>
      <c r="B41" s="25"/>
      <c r="C41" s="140">
        <v>41490000</v>
      </c>
      <c r="D41" s="135">
        <v>41490000</v>
      </c>
      <c r="E41" s="142"/>
      <c r="F41" s="132">
        <v>41490000</v>
      </c>
      <c r="G41" s="110">
        <v>40690000</v>
      </c>
      <c r="H41" s="153"/>
      <c r="M41" s="148">
        <f>IFERROR(C41-W13Q2FY26!C41,"OOS")</f>
        <v>-500000</v>
      </c>
      <c r="N41" s="146" t="str">
        <f t="shared" si="0"/>
        <v>MacBook Pro 14" M5 16/512GB giảm 500K = 41490.0K</v>
      </c>
      <c r="O41" s="149">
        <f>IFERROR(D41-W13Q2FY26!D41,"OOS")</f>
        <v>0</v>
      </c>
      <c r="P41" s="146" t="str">
        <f t="shared" si="1"/>
        <v/>
      </c>
      <c r="Q41" s="149">
        <f>IFERROR(E41-W13Q2FY26!E41,"OOS")</f>
        <v>0</v>
      </c>
      <c r="R41" s="146" t="str">
        <f t="shared" si="2"/>
        <v/>
      </c>
      <c r="S41" s="149">
        <f>IFERROR(F41-W13Q2FY26!F41,"OOS")</f>
        <v>0</v>
      </c>
      <c r="T41" s="146" t="str">
        <f t="shared" si="3"/>
        <v/>
      </c>
      <c r="U41" s="149">
        <f>IFERROR(G41-W13Q2FY26!G41,"OOS")</f>
        <v>0</v>
      </c>
      <c r="V41" s="146" t="str">
        <f t="shared" si="4"/>
        <v/>
      </c>
    </row>
    <row r="42" spans="1:22" x14ac:dyDescent="0.2">
      <c r="A42" t="s">
        <v>188</v>
      </c>
      <c r="B42" s="25"/>
      <c r="C42" s="135" t="s">
        <v>22</v>
      </c>
      <c r="D42" s="140">
        <v>63990000</v>
      </c>
      <c r="E42" s="142"/>
      <c r="F42" s="132">
        <v>62990000</v>
      </c>
      <c r="G42" s="110">
        <v>63990000</v>
      </c>
      <c r="H42" s="153"/>
      <c r="M42" s="148" t="str">
        <f>IFERROR(C42-W13Q2FY26!C42,"OOS")</f>
        <v>OOS</v>
      </c>
      <c r="N42" s="146" t="e">
        <f t="shared" si="0"/>
        <v>#VALUE!</v>
      </c>
      <c r="O42" s="149">
        <f>IFERROR(D42-W13Q2FY26!D42,"OOS")</f>
        <v>1000000</v>
      </c>
      <c r="P42" s="146" t="str">
        <f t="shared" si="1"/>
        <v>MacBook Pro 16" M4 24/512GB tăng 1000K = 63990.0K</v>
      </c>
      <c r="Q42" s="149">
        <f>IFERROR(E42-W13Q2FY26!E42,"OOS")</f>
        <v>0</v>
      </c>
      <c r="R42" s="146" t="str">
        <f t="shared" si="2"/>
        <v/>
      </c>
      <c r="S42" s="149">
        <f>IFERROR(F42-W13Q2FY26!F42,"OOS")</f>
        <v>0</v>
      </c>
      <c r="T42" s="146" t="str">
        <f t="shared" si="3"/>
        <v/>
      </c>
      <c r="U42" s="149">
        <f>IFERROR(G42-W13Q2FY26!G42,"OOS")</f>
        <v>0</v>
      </c>
      <c r="V42" s="146" t="str">
        <f t="shared" si="4"/>
        <v/>
      </c>
    </row>
    <row r="43" spans="1:22" x14ac:dyDescent="0.2">
      <c r="C43" s="124"/>
      <c r="D43" s="124"/>
    </row>
    <row r="44" spans="1:22" x14ac:dyDescent="0.2">
      <c r="C44" s="124"/>
      <c r="D44" s="124"/>
    </row>
    <row r="45" spans="1:22" x14ac:dyDescent="0.2">
      <c r="C45" s="124"/>
      <c r="D45" s="124"/>
    </row>
    <row r="46" spans="1:22" x14ac:dyDescent="0.2">
      <c r="C46" s="124"/>
      <c r="D46" s="124"/>
    </row>
    <row r="47" spans="1:22" x14ac:dyDescent="0.2">
      <c r="C47" s="124"/>
      <c r="D47" s="124"/>
    </row>
    <row r="48" spans="1:22" x14ac:dyDescent="0.2">
      <c r="C48" s="124"/>
      <c r="D48" s="124"/>
    </row>
    <row r="49" spans="3:4" x14ac:dyDescent="0.2">
      <c r="C49" s="124"/>
      <c r="D49" s="124"/>
    </row>
    <row r="50" spans="3:4" x14ac:dyDescent="0.2">
      <c r="C50" s="124"/>
      <c r="D50" s="124"/>
    </row>
    <row r="51" spans="3:4" x14ac:dyDescent="0.2">
      <c r="C51" s="124"/>
      <c r="D51" s="124"/>
    </row>
    <row r="52" spans="3:4" x14ac:dyDescent="0.2">
      <c r="C52" s="124"/>
      <c r="D52" s="124"/>
    </row>
    <row r="53" spans="3:4" x14ac:dyDescent="0.2">
      <c r="C53" s="124"/>
      <c r="D53" s="124"/>
    </row>
    <row r="54" spans="3:4" x14ac:dyDescent="0.2">
      <c r="C54" s="124"/>
      <c r="D54" s="124"/>
    </row>
    <row r="55" spans="3:4" x14ac:dyDescent="0.2">
      <c r="C55" s="124"/>
      <c r="D55" s="124"/>
    </row>
    <row r="56" spans="3:4" x14ac:dyDescent="0.2">
      <c r="C56" s="124"/>
      <c r="D56" s="124"/>
    </row>
    <row r="57" spans="3:4" x14ac:dyDescent="0.2">
      <c r="C57" s="124"/>
      <c r="D57" s="124"/>
    </row>
    <row r="58" spans="3:4" x14ac:dyDescent="0.2">
      <c r="C58" s="124"/>
      <c r="D58" s="124"/>
    </row>
    <row r="59" spans="3:4" x14ac:dyDescent="0.2">
      <c r="C59" s="124"/>
      <c r="D59" s="124"/>
    </row>
    <row r="60" spans="3:4" x14ac:dyDescent="0.2">
      <c r="C60" s="124"/>
      <c r="D60" s="124"/>
    </row>
    <row r="61" spans="3:4" x14ac:dyDescent="0.2">
      <c r="C61" s="124"/>
      <c r="D61" s="124"/>
    </row>
    <row r="62" spans="3:4" x14ac:dyDescent="0.2">
      <c r="C62" s="124"/>
      <c r="D62" s="124"/>
    </row>
    <row r="63" spans="3:4" x14ac:dyDescent="0.2">
      <c r="C63" s="124"/>
      <c r="D63" s="124"/>
    </row>
    <row r="64" spans="3:4" x14ac:dyDescent="0.2">
      <c r="C64" s="124"/>
      <c r="D64" s="124"/>
    </row>
    <row r="65" spans="3:4" x14ac:dyDescent="0.2">
      <c r="C65" s="124"/>
      <c r="D65" s="124"/>
    </row>
    <row r="66" spans="3:4" x14ac:dyDescent="0.2">
      <c r="C66" s="124"/>
      <c r="D66" s="124"/>
    </row>
    <row r="67" spans="3:4" x14ac:dyDescent="0.2">
      <c r="C67" s="124"/>
      <c r="D67" s="124"/>
    </row>
    <row r="68" spans="3:4" x14ac:dyDescent="0.2">
      <c r="C68" s="124"/>
      <c r="D68" s="124"/>
    </row>
    <row r="69" spans="3:4" x14ac:dyDescent="0.2">
      <c r="C69" s="124"/>
      <c r="D69" s="124"/>
    </row>
    <row r="70" spans="3:4" x14ac:dyDescent="0.2">
      <c r="C70" s="124"/>
      <c r="D70" s="124"/>
    </row>
    <row r="71" spans="3:4" x14ac:dyDescent="0.2">
      <c r="C71" s="124"/>
      <c r="D71" s="124"/>
    </row>
    <row r="72" spans="3:4" x14ac:dyDescent="0.2">
      <c r="C72" s="124"/>
      <c r="D72" s="124"/>
    </row>
    <row r="73" spans="3:4" x14ac:dyDescent="0.2">
      <c r="C73" s="124"/>
      <c r="D73" s="124"/>
    </row>
    <row r="74" spans="3:4" x14ac:dyDescent="0.2">
      <c r="C74" s="124"/>
      <c r="D74" s="124"/>
    </row>
    <row r="75" spans="3:4" x14ac:dyDescent="0.2">
      <c r="C75" s="124"/>
      <c r="D75" s="124"/>
    </row>
    <row r="76" spans="3:4" x14ac:dyDescent="0.2">
      <c r="C76" s="124"/>
      <c r="D76" s="124"/>
    </row>
    <row r="77" spans="3:4" x14ac:dyDescent="0.2">
      <c r="C77" s="124"/>
      <c r="D77" s="124"/>
    </row>
    <row r="78" spans="3:4" x14ac:dyDescent="0.2">
      <c r="C78" s="124"/>
      <c r="D78" s="124"/>
    </row>
    <row r="79" spans="3:4" x14ac:dyDescent="0.2">
      <c r="C79" s="124"/>
      <c r="D79" s="124"/>
    </row>
    <row r="80" spans="3:4" x14ac:dyDescent="0.2">
      <c r="C80" s="124"/>
      <c r="D80" s="124"/>
    </row>
    <row r="81" spans="3:4" x14ac:dyDescent="0.2">
      <c r="C81" s="124"/>
      <c r="D81" s="124"/>
    </row>
    <row r="82" spans="3:4" x14ac:dyDescent="0.2">
      <c r="C82" s="124"/>
      <c r="D82" s="124"/>
    </row>
    <row r="83" spans="3:4" x14ac:dyDescent="0.2">
      <c r="C83" s="124"/>
      <c r="D83" s="124"/>
    </row>
    <row r="84" spans="3:4" x14ac:dyDescent="0.2">
      <c r="C84" s="124"/>
      <c r="D84" s="124"/>
    </row>
    <row r="85" spans="3:4" x14ac:dyDescent="0.2">
      <c r="C85" s="124"/>
      <c r="D85" s="124"/>
    </row>
    <row r="86" spans="3:4" x14ac:dyDescent="0.2">
      <c r="C86" s="124"/>
      <c r="D86" s="124"/>
    </row>
    <row r="87" spans="3:4" x14ac:dyDescent="0.2">
      <c r="C87" s="124"/>
      <c r="D87" s="124"/>
    </row>
    <row r="88" spans="3:4" x14ac:dyDescent="0.2">
      <c r="C88" s="124"/>
      <c r="D88" s="124"/>
    </row>
    <row r="89" spans="3:4" x14ac:dyDescent="0.2">
      <c r="C89" s="124"/>
      <c r="D89" s="124"/>
    </row>
    <row r="90" spans="3:4" x14ac:dyDescent="0.2">
      <c r="C90" s="124"/>
      <c r="D90" s="124"/>
    </row>
    <row r="91" spans="3:4" x14ac:dyDescent="0.2">
      <c r="C91" s="124"/>
      <c r="D91" s="124"/>
    </row>
    <row r="92" spans="3:4" x14ac:dyDescent="0.2">
      <c r="C92" s="124"/>
      <c r="D92" s="124"/>
    </row>
    <row r="93" spans="3:4" x14ac:dyDescent="0.2">
      <c r="C93" s="124"/>
      <c r="D93" s="124"/>
    </row>
    <row r="94" spans="3:4" x14ac:dyDescent="0.2">
      <c r="C94" s="124"/>
      <c r="D94" s="124"/>
    </row>
    <row r="95" spans="3:4" x14ac:dyDescent="0.2">
      <c r="C95" s="124"/>
      <c r="D95" s="124"/>
    </row>
    <row r="96" spans="3:4" x14ac:dyDescent="0.2">
      <c r="C96" s="124"/>
      <c r="D96" s="124"/>
    </row>
    <row r="97" spans="3:4" x14ac:dyDescent="0.2">
      <c r="C97" s="124"/>
      <c r="D97" s="124"/>
    </row>
    <row r="98" spans="3:4" x14ac:dyDescent="0.2">
      <c r="C98" s="124"/>
      <c r="D98" s="124"/>
    </row>
    <row r="99" spans="3:4" x14ac:dyDescent="0.2">
      <c r="C99" s="124"/>
      <c r="D99" s="124"/>
    </row>
    <row r="100" spans="3:4" x14ac:dyDescent="0.2">
      <c r="C100" s="124"/>
      <c r="D100" s="124"/>
    </row>
    <row r="101" spans="3:4" x14ac:dyDescent="0.2">
      <c r="C101" s="124"/>
      <c r="D101" s="124"/>
    </row>
    <row r="102" spans="3:4" x14ac:dyDescent="0.2">
      <c r="C102" s="124"/>
      <c r="D102" s="124"/>
    </row>
    <row r="103" spans="3:4" x14ac:dyDescent="0.2">
      <c r="C103" s="124"/>
      <c r="D103" s="124"/>
    </row>
    <row r="104" spans="3:4" x14ac:dyDescent="0.2">
      <c r="C104" s="124"/>
      <c r="D104" s="124"/>
    </row>
    <row r="105" spans="3:4" x14ac:dyDescent="0.2">
      <c r="C105" s="124"/>
      <c r="D105" s="124"/>
    </row>
    <row r="106" spans="3:4" x14ac:dyDescent="0.2">
      <c r="C106" s="124"/>
      <c r="D106" s="124"/>
    </row>
    <row r="107" spans="3:4" x14ac:dyDescent="0.2">
      <c r="C107" s="124"/>
      <c r="D107" s="124"/>
    </row>
    <row r="108" spans="3:4" x14ac:dyDescent="0.2">
      <c r="C108" s="124"/>
      <c r="D108" s="124"/>
    </row>
    <row r="109" spans="3:4" x14ac:dyDescent="0.2">
      <c r="C109" s="124"/>
      <c r="D109" s="124"/>
    </row>
    <row r="110" spans="3:4" x14ac:dyDescent="0.2">
      <c r="C110" s="124"/>
      <c r="D110" s="124"/>
    </row>
    <row r="111" spans="3:4" x14ac:dyDescent="0.2">
      <c r="C111" s="124"/>
      <c r="D111" s="124"/>
    </row>
    <row r="112" spans="3:4" x14ac:dyDescent="0.2">
      <c r="C112" s="124"/>
      <c r="D112" s="124"/>
    </row>
    <row r="113" spans="3:4" x14ac:dyDescent="0.2">
      <c r="C113" s="124"/>
      <c r="D113" s="124"/>
    </row>
    <row r="114" spans="3:4" x14ac:dyDescent="0.2">
      <c r="C114" s="124"/>
      <c r="D114" s="124"/>
    </row>
    <row r="115" spans="3:4" x14ac:dyDescent="0.2">
      <c r="C115" s="124"/>
      <c r="D115" s="124"/>
    </row>
    <row r="116" spans="3:4" x14ac:dyDescent="0.2">
      <c r="C116" s="124"/>
      <c r="D116" s="124"/>
    </row>
    <row r="117" spans="3:4" x14ac:dyDescent="0.2">
      <c r="C117" s="124"/>
      <c r="D117" s="124"/>
    </row>
    <row r="118" spans="3:4" x14ac:dyDescent="0.2">
      <c r="C118" s="124"/>
      <c r="D118" s="124"/>
    </row>
    <row r="119" spans="3:4" x14ac:dyDescent="0.2">
      <c r="C119" s="124"/>
      <c r="D119" s="124"/>
    </row>
    <row r="120" spans="3:4" x14ac:dyDescent="0.2">
      <c r="C120" s="124"/>
      <c r="D120" s="124"/>
    </row>
    <row r="121" spans="3:4" x14ac:dyDescent="0.2">
      <c r="C121" s="124"/>
      <c r="D121" s="124"/>
    </row>
    <row r="122" spans="3:4" x14ac:dyDescent="0.2">
      <c r="C122" s="124"/>
      <c r="D122" s="124"/>
    </row>
    <row r="123" spans="3:4" x14ac:dyDescent="0.2">
      <c r="C123" s="124"/>
      <c r="D123" s="124"/>
    </row>
    <row r="124" spans="3:4" x14ac:dyDescent="0.2">
      <c r="C124" s="124"/>
      <c r="D124" s="124"/>
    </row>
    <row r="125" spans="3:4" x14ac:dyDescent="0.2">
      <c r="C125" s="124"/>
      <c r="D125" s="124"/>
    </row>
    <row r="126" spans="3:4" x14ac:dyDescent="0.2">
      <c r="C126" s="124"/>
      <c r="D126" s="124"/>
    </row>
    <row r="127" spans="3:4" x14ac:dyDescent="0.2">
      <c r="C127" s="124"/>
      <c r="D127" s="124"/>
    </row>
    <row r="128" spans="3:4" x14ac:dyDescent="0.2">
      <c r="C128" s="124"/>
      <c r="D128" s="124"/>
    </row>
    <row r="129" spans="3:4" x14ac:dyDescent="0.2">
      <c r="C129" s="124"/>
      <c r="D129" s="124"/>
    </row>
    <row r="130" spans="3:4" x14ac:dyDescent="0.2">
      <c r="C130" s="124"/>
      <c r="D130" s="124"/>
    </row>
    <row r="131" spans="3:4" x14ac:dyDescent="0.2">
      <c r="C131" s="124"/>
      <c r="D131" s="124"/>
    </row>
    <row r="132" spans="3:4" x14ac:dyDescent="0.2">
      <c r="C132" s="124"/>
      <c r="D132" s="124"/>
    </row>
    <row r="133" spans="3:4" x14ac:dyDescent="0.2">
      <c r="C133" s="124"/>
      <c r="D133" s="124"/>
    </row>
    <row r="134" spans="3:4" x14ac:dyDescent="0.2">
      <c r="C134" s="124"/>
      <c r="D134" s="124"/>
    </row>
    <row r="135" spans="3:4" x14ac:dyDescent="0.2">
      <c r="C135" s="124"/>
      <c r="D135" s="124"/>
    </row>
    <row r="136" spans="3:4" x14ac:dyDescent="0.2">
      <c r="C136" s="124"/>
      <c r="D136" s="124"/>
    </row>
    <row r="137" spans="3:4" x14ac:dyDescent="0.2">
      <c r="C137" s="124"/>
      <c r="D137" s="124"/>
    </row>
    <row r="138" spans="3:4" x14ac:dyDescent="0.2">
      <c r="C138" s="124"/>
      <c r="D138" s="124"/>
    </row>
    <row r="139" spans="3:4" x14ac:dyDescent="0.2">
      <c r="C139" s="124"/>
      <c r="D139" s="124"/>
    </row>
    <row r="140" spans="3:4" x14ac:dyDescent="0.2">
      <c r="C140" s="124"/>
      <c r="D140" s="124"/>
    </row>
    <row r="141" spans="3:4" x14ac:dyDescent="0.2">
      <c r="C141" s="124"/>
      <c r="D141" s="124"/>
    </row>
    <row r="142" spans="3:4" x14ac:dyDescent="0.2">
      <c r="C142" s="124"/>
      <c r="D142" s="124"/>
    </row>
    <row r="143" spans="3:4" x14ac:dyDescent="0.2">
      <c r="C143" s="124"/>
      <c r="D143" s="124"/>
    </row>
    <row r="144" spans="3:4" x14ac:dyDescent="0.2">
      <c r="C144" s="124"/>
      <c r="D144" s="124"/>
    </row>
    <row r="145" spans="3:4" x14ac:dyDescent="0.2">
      <c r="C145" s="124"/>
      <c r="D145" s="124"/>
    </row>
    <row r="146" spans="3:4" x14ac:dyDescent="0.2">
      <c r="C146" s="124"/>
      <c r="D146" s="124"/>
    </row>
    <row r="147" spans="3:4" x14ac:dyDescent="0.2">
      <c r="C147" s="124"/>
      <c r="D147" s="124"/>
    </row>
    <row r="148" spans="3:4" x14ac:dyDescent="0.2">
      <c r="C148" s="124"/>
      <c r="D148" s="124"/>
    </row>
    <row r="149" spans="3:4" x14ac:dyDescent="0.2">
      <c r="C149" s="124"/>
      <c r="D149" s="124"/>
    </row>
    <row r="150" spans="3:4" x14ac:dyDescent="0.2">
      <c r="C150" s="124"/>
      <c r="D150" s="124"/>
    </row>
    <row r="151" spans="3:4" x14ac:dyDescent="0.2">
      <c r="C151" s="124"/>
      <c r="D151" s="124"/>
    </row>
    <row r="152" spans="3:4" x14ac:dyDescent="0.2">
      <c r="C152" s="124"/>
      <c r="D152" s="124"/>
    </row>
    <row r="153" spans="3:4" x14ac:dyDescent="0.2">
      <c r="C153" s="124"/>
      <c r="D153" s="124"/>
    </row>
    <row r="154" spans="3:4" x14ac:dyDescent="0.2">
      <c r="C154" s="124"/>
      <c r="D154" s="124"/>
    </row>
  </sheetData>
  <conditionalFormatting sqref="E3:E42">
    <cfRule type="expression" dxfId="37" priority="5" stopIfTrue="1">
      <formula>$Q3=0</formula>
    </cfRule>
    <cfRule type="expression" dxfId="36" priority="6" stopIfTrue="1">
      <formula>AND($Q3&lt;&gt;0,$Q3&lt;&gt;"")</formula>
    </cfRule>
  </conditionalFormatting>
  <conditionalFormatting sqref="G10:G11">
    <cfRule type="expression" dxfId="35" priority="1" stopIfTrue="1">
      <formula>$Q10=0</formula>
    </cfRule>
    <cfRule type="expression" dxfId="34" priority="2" stopIfTrue="1">
      <formula>AND($Q10&lt;&gt;0,$Q10&lt;&gt;"")</formula>
    </cfRule>
  </conditionalFormatting>
  <conditionalFormatting sqref="N2:N42 P2:P42 R2:R42 T2:T42 V2:V42">
    <cfRule type="containsText" dxfId="33" priority="3" operator="containsText" text="Tăng">
      <formula>NOT(ISERROR(SEARCH("Tăng",N2)))</formula>
    </cfRule>
    <cfRule type="containsText" dxfId="32" priority="4" operator="containsText" text="giảm">
      <formula>NOT(ISERROR(SEARCH("giảm",N2)))</formula>
    </cfRule>
  </conditionalFormatting>
  <pageMargins left="0.7" right="0.7" top="0.75" bottom="0.75" header="0.3" footer="0.3"/>
  <pageSetup paperSize="9" orientation="portrait" horizontalDpi="0" verticalDpi="0"/>
  <legacyDrawing r:id="rId1"/>
</worksheet>
</file>

<file path=xl/worksheets/sheet10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500-000000000000}">
  <dimension ref="A1:Y155"/>
  <sheetViews>
    <sheetView showGridLines="0" zoomScale="80" zoomScaleNormal="80" workbookViewId="0">
      <pane xSplit="2" ySplit="1" topLeftCell="R2" activePane="bottomRight" state="frozen"/>
      <selection pane="topRight" activeCell="C1" sqref="C1"/>
      <selection pane="bottomLeft" activeCell="A2" sqref="A2"/>
      <selection pane="bottomRight" activeCell="C1" sqref="C1"/>
    </sheetView>
  </sheetViews>
  <sheetFormatPr baseColWidth="10" defaultColWidth="11" defaultRowHeight="15.75" customHeight="1" x14ac:dyDescent="0.2"/>
  <cols>
    <col min="1" max="1" width="24.5" customWidth="1"/>
    <col min="2" max="2" width="15.83203125" hidden="1" customWidth="1"/>
    <col min="3" max="3" width="14.83203125" customWidth="1"/>
    <col min="4" max="4" width="16" customWidth="1"/>
    <col min="5" max="5" width="15.5" style="6" customWidth="1"/>
    <col min="6" max="6" width="14.33203125" customWidth="1"/>
    <col min="7" max="12" width="11" customWidth="1"/>
    <col min="13" max="13" width="14.33203125" customWidth="1"/>
    <col min="14" max="14" width="42" customWidth="1"/>
    <col min="15" max="15" width="14.83203125" customWidth="1"/>
    <col min="16" max="16" width="51.5" customWidth="1"/>
    <col min="17" max="17" width="13.5" customWidth="1"/>
    <col min="18" max="18" width="46" customWidth="1"/>
    <col min="19" max="19" width="15.5" customWidth="1"/>
    <col min="20" max="20" width="42.33203125" customWidth="1"/>
    <col min="21" max="21" width="14.1640625" customWidth="1"/>
    <col min="22" max="22" width="43.5" customWidth="1"/>
  </cols>
  <sheetData>
    <row r="1" spans="1:22" ht="29" customHeight="1" x14ac:dyDescent="0.2">
      <c r="B1" s="46" t="s">
        <v>0</v>
      </c>
      <c r="C1" s="80" t="s">
        <v>1</v>
      </c>
      <c r="D1" s="80" t="s">
        <v>2</v>
      </c>
      <c r="E1" s="115" t="s">
        <v>3</v>
      </c>
      <c r="F1" s="81" t="s">
        <v>4</v>
      </c>
      <c r="G1" s="81" t="s">
        <v>5</v>
      </c>
      <c r="M1" s="143" t="s">
        <v>6</v>
      </c>
      <c r="N1" s="143" t="s">
        <v>7</v>
      </c>
      <c r="O1" s="144" t="s">
        <v>8</v>
      </c>
      <c r="P1" s="144" t="s">
        <v>9</v>
      </c>
      <c r="Q1" s="144" t="s">
        <v>10</v>
      </c>
      <c r="R1" s="144" t="s">
        <v>11</v>
      </c>
      <c r="S1" s="144" t="s">
        <v>12</v>
      </c>
      <c r="T1" s="144" t="s">
        <v>13</v>
      </c>
      <c r="U1" s="144" t="s">
        <v>14</v>
      </c>
      <c r="V1" s="145" t="s">
        <v>15</v>
      </c>
    </row>
    <row r="2" spans="1:22" ht="16" customHeight="1" x14ac:dyDescent="0.2">
      <c r="A2" t="s">
        <v>16</v>
      </c>
      <c r="B2" s="82"/>
      <c r="C2" s="126">
        <v>17990000</v>
      </c>
      <c r="D2" s="127">
        <v>17790000</v>
      </c>
      <c r="E2" s="134">
        <v>17290000</v>
      </c>
      <c r="F2" s="157">
        <v>17690000</v>
      </c>
      <c r="G2" s="111">
        <v>17590000</v>
      </c>
      <c r="H2" s="153"/>
      <c r="M2" s="148">
        <f>IFERROR(C2-W1Q3FY26!C2,"OOS")</f>
        <v>0</v>
      </c>
      <c r="N2" s="146" t="str">
        <f t="shared" ref="N2:N18" si="0">IF(M2=0,"",$A2 &amp; IF(M2&gt;0," tăng "," giảm ") &amp; TEXT(ABS(M2)/1000,"0") &amp; "K = " &amp; TEXT(C2/1000,"#.##0") &amp; "K")</f>
        <v/>
      </c>
      <c r="O2" s="149">
        <f>IFERROR(D2-W1Q3FY26!D2,"OOS")</f>
        <v>0</v>
      </c>
      <c r="P2" s="146" t="str">
        <f t="shared" ref="P2:P18" si="1">IF(O2=0,"",$A2 &amp; IF(O2&gt;0," tăng "," giảm ") &amp; TEXT(ABS(O2)/1000,"0") &amp; "K = " &amp; TEXT(D2/1000,"#.##0") &amp; "K")</f>
        <v/>
      </c>
      <c r="Q2" s="149">
        <f>IFERROR(E2-W1Q3FY26!E2,"OOS")</f>
        <v>-500000</v>
      </c>
      <c r="R2" s="146" t="str">
        <f t="shared" ref="R2:R18" si="2">IF(Q2=0,"",$A2 &amp; IF(Q2&gt;0," tăng "," giảm ") &amp; TEXT(ABS(Q2)/1000,"0") &amp; "K = " &amp; TEXT(E2/1000,"#.##0") &amp; "K")</f>
        <v>iPhone 17e 256GB giảm 500K = 17290.0K</v>
      </c>
      <c r="S2" s="149">
        <f>IFERROR(F2-W1Q3FY26!F2,"OOS")</f>
        <v>-100000</v>
      </c>
      <c r="T2" s="146" t="str">
        <f t="shared" ref="T2:T18" si="3">IF(S2=0,"",$A2 &amp; IF(S2&gt;0," tăng "," giảm ") &amp; TEXT(ABS(S2)/1000,"0") &amp; "K = " &amp; TEXT(F2/1000,"#.##0") &amp; "K")</f>
        <v>iPhone 17e 256GB giảm 100K = 17690.0K</v>
      </c>
      <c r="U2" s="149">
        <f>IFERROR(G2-W1Q3FY26!G2,"OOS")</f>
        <v>-200000</v>
      </c>
      <c r="V2" s="146" t="str">
        <f t="shared" ref="V2:V18" si="4">IF(U2=0,"",$A2 &amp; IF(U2&gt;0," tăng "," giảm ") &amp; TEXT(ABS(U2)/1000,"0") &amp; "K = " &amp; TEXT(G2/1000,"#.##0") &amp; "K")</f>
        <v>iPhone 17e 256GB giảm 200K = 17590.0K</v>
      </c>
    </row>
    <row r="3" spans="1:22" ht="16" customHeight="1" x14ac:dyDescent="0.2">
      <c r="A3" t="s">
        <v>17</v>
      </c>
      <c r="B3" s="82"/>
      <c r="C3" s="129">
        <v>24490000</v>
      </c>
      <c r="D3" s="129">
        <v>24490000</v>
      </c>
      <c r="E3" s="130">
        <v>24190000</v>
      </c>
      <c r="F3" s="131">
        <v>24390000</v>
      </c>
      <c r="G3" s="110">
        <v>24190000</v>
      </c>
      <c r="H3" s="153"/>
      <c r="M3" s="148">
        <f>IFERROR(C3-W1Q3FY26!C3,"OOS")</f>
        <v>-400000</v>
      </c>
      <c r="N3" s="146" t="str">
        <f t="shared" si="0"/>
        <v>iPhone 17  256GB giảm 400K = 24490.0K</v>
      </c>
      <c r="O3" s="149">
        <f>IFERROR(D3-W1Q3FY26!D3,"OOS")</f>
        <v>-100000</v>
      </c>
      <c r="P3" s="146" t="str">
        <f t="shared" si="1"/>
        <v>iPhone 17  256GB giảm 100K = 24490.0K</v>
      </c>
      <c r="Q3" s="149">
        <f>IFERROR(E3-W1Q3FY26!E3,"OOS")</f>
        <v>0</v>
      </c>
      <c r="R3" s="146" t="str">
        <f t="shared" si="2"/>
        <v/>
      </c>
      <c r="S3" s="149">
        <f>IFERROR(F3-W1Q3FY26!F3,"OOS")</f>
        <v>-100000</v>
      </c>
      <c r="T3" s="146" t="str">
        <f t="shared" si="3"/>
        <v>iPhone 17  256GB giảm 100K = 24390.0K</v>
      </c>
      <c r="U3" s="149">
        <f>IFERROR(G3-W1Q3FY26!G3,"OOS")</f>
        <v>0</v>
      </c>
      <c r="V3" s="146" t="str">
        <f t="shared" si="4"/>
        <v/>
      </c>
    </row>
    <row r="4" spans="1:22" ht="16" customHeight="1" x14ac:dyDescent="0.2">
      <c r="A4" t="s">
        <v>18</v>
      </c>
      <c r="B4" s="82"/>
      <c r="C4" s="129">
        <v>22990000</v>
      </c>
      <c r="D4" s="129">
        <v>22490000</v>
      </c>
      <c r="E4" s="130">
        <v>23490000</v>
      </c>
      <c r="F4" s="133">
        <v>22990000</v>
      </c>
      <c r="G4" s="110">
        <v>23990000</v>
      </c>
      <c r="H4" s="153"/>
      <c r="M4" s="148">
        <f>IFERROR(C4-W1Q3FY26!C4,"OOS")</f>
        <v>-2000000</v>
      </c>
      <c r="N4" s="146" t="str">
        <f t="shared" si="0"/>
        <v>iPhone Air 256G giảm 2000K = 22990.0K</v>
      </c>
      <c r="O4" s="149">
        <f>IFERROR(D4-W1Q3FY26!D4,"OOS")</f>
        <v>-2500000</v>
      </c>
      <c r="P4" s="146" t="str">
        <f t="shared" si="1"/>
        <v>iPhone Air 256G giảm 2500K = 22490.0K</v>
      </c>
      <c r="Q4" s="149">
        <f>IFERROR(E4-W1Q3FY26!E4,"OOS")</f>
        <v>0</v>
      </c>
      <c r="R4" s="146" t="str">
        <f t="shared" si="2"/>
        <v/>
      </c>
      <c r="S4" s="149">
        <f>IFERROR(F4-W1Q3FY26!F4,"OOS")</f>
        <v>-1000000</v>
      </c>
      <c r="T4" s="146" t="str">
        <f t="shared" si="3"/>
        <v>iPhone Air 256G giảm 1000K = 22990.0K</v>
      </c>
      <c r="U4" s="149">
        <f>IFERROR(G4-W1Q3FY26!G4,"OOS")</f>
        <v>0</v>
      </c>
      <c r="V4" s="146" t="str">
        <f t="shared" si="4"/>
        <v/>
      </c>
    </row>
    <row r="5" spans="1:22" ht="16" customHeight="1" x14ac:dyDescent="0.2">
      <c r="A5" t="s">
        <v>19</v>
      </c>
      <c r="B5" s="82"/>
      <c r="C5" s="127">
        <v>34790000</v>
      </c>
      <c r="D5" s="129">
        <v>34690000</v>
      </c>
      <c r="E5" s="130">
        <v>33190000</v>
      </c>
      <c r="F5" s="133">
        <v>34790000</v>
      </c>
      <c r="G5" s="111">
        <v>33690000</v>
      </c>
      <c r="H5" s="153"/>
      <c r="M5" s="148">
        <f>IFERROR(C5-W1Q3FY26!C5,"OOS")</f>
        <v>0</v>
      </c>
      <c r="N5" s="146" t="str">
        <f t="shared" si="0"/>
        <v/>
      </c>
      <c r="O5" s="149">
        <f>IFERROR(D5-W1Q3FY26!D5,"OOS")</f>
        <v>200000</v>
      </c>
      <c r="P5" s="146" t="str">
        <f t="shared" si="1"/>
        <v>iPhone 17 Pro 256GB tăng 200K = 34690.0K</v>
      </c>
      <c r="Q5" s="149">
        <f>IFERROR(E5-W1Q3FY26!E5,"OOS")</f>
        <v>0</v>
      </c>
      <c r="R5" s="146" t="str">
        <f t="shared" si="2"/>
        <v/>
      </c>
      <c r="S5" s="149">
        <f>IFERROR(F5-W1Q3FY26!F5,"OOS")</f>
        <v>-100000</v>
      </c>
      <c r="T5" s="146" t="str">
        <f t="shared" si="3"/>
        <v>iPhone 17 Pro 256GB giảm 100K = 34790.0K</v>
      </c>
      <c r="U5" s="149">
        <f>IFERROR(G5-W1Q3FY26!G5,"OOS")</f>
        <v>-500000</v>
      </c>
      <c r="V5" s="146" t="str">
        <f t="shared" si="4"/>
        <v>iPhone 17 Pro 256GB giảm 500K = 33690.0K</v>
      </c>
    </row>
    <row r="6" spans="1:22" ht="16" customHeight="1" x14ac:dyDescent="0.2">
      <c r="A6" t="s">
        <v>20</v>
      </c>
      <c r="B6" s="82"/>
      <c r="C6" s="129">
        <v>37890000</v>
      </c>
      <c r="D6" s="127">
        <v>37790000</v>
      </c>
      <c r="E6" s="134">
        <v>36290000</v>
      </c>
      <c r="F6" s="133">
        <v>37890000</v>
      </c>
      <c r="G6" s="111">
        <v>36790000</v>
      </c>
      <c r="H6" s="153"/>
      <c r="M6" s="148">
        <f>IFERROR(C6-W1Q3FY26!C6,"OOS")</f>
        <v>-100000</v>
      </c>
      <c r="N6" s="146" t="str">
        <f t="shared" si="0"/>
        <v>iPhone 17 Pro Max 256GB giảm 100K = 37890.0K</v>
      </c>
      <c r="O6" s="149">
        <f>IFERROR(D6-W1Q3FY26!D6,"OOS")</f>
        <v>0</v>
      </c>
      <c r="P6" s="146" t="str">
        <f t="shared" si="1"/>
        <v/>
      </c>
      <c r="Q6" s="149">
        <f>IFERROR(E6-W1Q3FY26!E6,"OOS")</f>
        <v>0</v>
      </c>
      <c r="R6" s="146" t="str">
        <f t="shared" si="2"/>
        <v/>
      </c>
      <c r="S6" s="149">
        <f>IFERROR(F6-W1Q3FY26!F6,"OOS")</f>
        <v>100000</v>
      </c>
      <c r="T6" s="146" t="str">
        <f t="shared" si="3"/>
        <v>iPhone 17 Pro Max 256GB tăng 100K = 37890.0K</v>
      </c>
      <c r="U6" s="149">
        <f>IFERROR(G6-W1Q3FY26!G6,"OOS")</f>
        <v>-200000</v>
      </c>
      <c r="V6" s="146" t="str">
        <f t="shared" si="4"/>
        <v>iPhone 17 Pro Max 256GB giảm 200K = 36790.0K</v>
      </c>
    </row>
    <row r="7" spans="1:22" ht="16" customHeight="1" x14ac:dyDescent="0.2">
      <c r="A7" t="s">
        <v>21</v>
      </c>
      <c r="B7" s="82"/>
      <c r="C7" s="129">
        <v>15990000</v>
      </c>
      <c r="D7" s="135">
        <v>16690000</v>
      </c>
      <c r="E7" s="134">
        <v>11990000</v>
      </c>
      <c r="F7" s="158">
        <v>11990000</v>
      </c>
      <c r="G7" s="110">
        <v>15190000</v>
      </c>
      <c r="H7" s="153"/>
      <c r="M7" s="148">
        <f>IFERROR(C7-W1Q3FY26!C7,"OOS")</f>
        <v>0</v>
      </c>
      <c r="N7" s="146" t="str">
        <f t="shared" si="0"/>
        <v/>
      </c>
      <c r="O7" s="149">
        <f>IFERROR(D7-W1Q3FY26!D7,"OOS")</f>
        <v>0</v>
      </c>
      <c r="P7" s="146" t="str">
        <f t="shared" si="1"/>
        <v/>
      </c>
      <c r="Q7" s="149">
        <f>IFERROR(E7-W1Q3FY26!E7,"OOS")</f>
        <v>-500000</v>
      </c>
      <c r="R7" s="146" t="str">
        <f t="shared" si="2"/>
        <v>iPhone 16e  128GB giảm 500K = 11990.0K</v>
      </c>
      <c r="S7" s="149">
        <f>IFERROR(F7-W1Q3FY26!F7,"OOS")</f>
        <v>-500000</v>
      </c>
      <c r="T7" s="146" t="str">
        <f t="shared" si="3"/>
        <v>iPhone 16e  128GB giảm 500K = 11990.0K</v>
      </c>
      <c r="U7" s="149">
        <f>IFERROR(G7-W1Q3FY26!G7,"OOS")</f>
        <v>0</v>
      </c>
      <c r="V7" s="146" t="str">
        <f t="shared" si="4"/>
        <v/>
      </c>
    </row>
    <row r="8" spans="1:22" ht="16" customHeight="1" x14ac:dyDescent="0.2">
      <c r="A8" t="s">
        <v>23</v>
      </c>
      <c r="B8" s="70"/>
      <c r="C8" s="137">
        <v>20590000</v>
      </c>
      <c r="D8" s="137">
        <v>20590000</v>
      </c>
      <c r="E8" s="139">
        <v>20490000</v>
      </c>
      <c r="F8" s="133">
        <v>20490000</v>
      </c>
      <c r="G8" s="110">
        <v>20790000</v>
      </c>
      <c r="H8" s="153"/>
      <c r="M8" s="148">
        <f>IFERROR(C8-W1Q3FY26!C8,"OOS")</f>
        <v>-700000</v>
      </c>
      <c r="N8" s="146" t="str">
        <f t="shared" si="0"/>
        <v>iPhone 16 128GB giảm 700K = 20590.0K</v>
      </c>
      <c r="O8" s="149">
        <f>IFERROR(D8-W1Q3FY26!D8,"OOS")</f>
        <v>-400000</v>
      </c>
      <c r="P8" s="146" t="str">
        <f t="shared" si="1"/>
        <v>iPhone 16 128GB giảm 400K = 20590.0K</v>
      </c>
      <c r="Q8" s="149">
        <f>IFERROR(E8-W1Q3FY26!E8,"OOS")</f>
        <v>0</v>
      </c>
      <c r="R8" s="146" t="str">
        <f t="shared" si="2"/>
        <v/>
      </c>
      <c r="S8" s="149">
        <f>IFERROR(F8-W1Q3FY26!F8,"OOS")</f>
        <v>-600000</v>
      </c>
      <c r="T8" s="146" t="str">
        <f t="shared" si="3"/>
        <v>iPhone 16 128GB giảm 600K = 20490.0K</v>
      </c>
      <c r="U8" s="149">
        <f>IFERROR(G8-W1Q3FY26!G8,"OOS")</f>
        <v>0</v>
      </c>
      <c r="V8" s="146" t="str">
        <f t="shared" si="4"/>
        <v/>
      </c>
    </row>
    <row r="9" spans="1:22" ht="16" customHeight="1" x14ac:dyDescent="0.2">
      <c r="A9" t="s">
        <v>24</v>
      </c>
      <c r="B9" s="3"/>
      <c r="C9" s="140">
        <v>24290000</v>
      </c>
      <c r="D9" s="140">
        <v>24590000</v>
      </c>
      <c r="E9" s="139">
        <v>23990000</v>
      </c>
      <c r="F9" s="133">
        <v>24490000</v>
      </c>
      <c r="G9" s="110">
        <v>23990000</v>
      </c>
      <c r="H9" s="153"/>
      <c r="M9" s="148">
        <f>IFERROR(C9-W1Q3FY26!C9,"OOS")</f>
        <v>-1000000</v>
      </c>
      <c r="N9" s="146" t="str">
        <f t="shared" si="0"/>
        <v>iPhone 16  Plus 128GB giảm 1000K = 24290.0K</v>
      </c>
      <c r="O9" s="149">
        <f>IFERROR(D9-W1Q3FY26!D9,"OOS")</f>
        <v>-400000</v>
      </c>
      <c r="P9" s="146" t="str">
        <f t="shared" si="1"/>
        <v>iPhone 16  Plus 128GB giảm 400K = 24590.0K</v>
      </c>
      <c r="Q9" s="149">
        <f>IFERROR(E9-W1Q3FY26!E9,"OOS")</f>
        <v>0</v>
      </c>
      <c r="R9" s="146" t="str">
        <f t="shared" si="2"/>
        <v/>
      </c>
      <c r="S9" s="149">
        <f>IFERROR(F9-W1Q3FY26!F9,"OOS")</f>
        <v>-600000</v>
      </c>
      <c r="T9" s="146" t="str">
        <f t="shared" si="3"/>
        <v>iPhone 16  Plus 128GB giảm 600K = 24490.0K</v>
      </c>
      <c r="U9" s="149">
        <f>IFERROR(G9-W1Q3FY26!G9,"OOS")</f>
        <v>-600000</v>
      </c>
      <c r="V9" s="146" t="str">
        <f t="shared" si="4"/>
        <v>iPhone 16  Plus 128GB giảm 600K = 23990.0K</v>
      </c>
    </row>
    <row r="10" spans="1:22" ht="16" customHeight="1" x14ac:dyDescent="0.2">
      <c r="A10" t="s">
        <v>264</v>
      </c>
      <c r="B10" s="25"/>
      <c r="C10" s="135" t="s">
        <v>22</v>
      </c>
      <c r="D10" s="110">
        <v>25590000</v>
      </c>
      <c r="E10" s="112" t="s">
        <v>22</v>
      </c>
      <c r="F10" s="133">
        <v>24990000</v>
      </c>
      <c r="G10" s="110" t="s">
        <v>22</v>
      </c>
      <c r="H10" s="153"/>
      <c r="M10" s="148" t="str">
        <f>IFERROR(C10-W1Q3FY26!C10,"OOS")</f>
        <v>OOS</v>
      </c>
      <c r="N10" s="146" t="e">
        <f t="shared" si="0"/>
        <v>#VALUE!</v>
      </c>
      <c r="O10" s="149">
        <f>IFERROR(D10-W1Q3FY26!D10,"OOS")</f>
        <v>0</v>
      </c>
      <c r="P10" s="146" t="str">
        <f t="shared" si="1"/>
        <v/>
      </c>
      <c r="Q10" s="149" t="str">
        <f>IFERROR(E10-W1Q3FY26!E10,"OOS")</f>
        <v>OOS</v>
      </c>
      <c r="R10" s="146" t="e">
        <f t="shared" si="2"/>
        <v>#VALUE!</v>
      </c>
      <c r="S10" s="149">
        <f>IFERROR(F10-W1Q3FY26!F10,"OOS")</f>
        <v>-1000000</v>
      </c>
      <c r="T10" s="146" t="str">
        <f t="shared" si="3"/>
        <v>iPhone 16 Pro 128GB giảm 1000K = 24990.0K</v>
      </c>
      <c r="U10" s="149" t="str">
        <f>IFERROR(G10-W1Q3FY26!G10,"OOS")</f>
        <v>OOS</v>
      </c>
      <c r="V10" s="146" t="e">
        <f t="shared" si="4"/>
        <v>#VALUE!</v>
      </c>
    </row>
    <row r="11" spans="1:22" ht="16" customHeight="1" x14ac:dyDescent="0.2">
      <c r="A11" t="s">
        <v>183</v>
      </c>
      <c r="B11" s="3"/>
      <c r="C11" s="140">
        <v>31590000</v>
      </c>
      <c r="D11" s="112" t="s">
        <v>22</v>
      </c>
      <c r="E11" s="112" t="s">
        <v>22</v>
      </c>
      <c r="F11" s="132">
        <v>31590000</v>
      </c>
      <c r="G11" s="110" t="s">
        <v>22</v>
      </c>
      <c r="H11" s="153"/>
      <c r="M11" s="148">
        <f>IFERROR(C11-W1Q3FY26!C11,"OOS")</f>
        <v>0</v>
      </c>
      <c r="N11" s="146" t="str">
        <f t="shared" si="0"/>
        <v/>
      </c>
      <c r="O11" s="149" t="str">
        <f>IFERROR(D11-W1Q3FY26!D11,"OOS")</f>
        <v>OOS</v>
      </c>
      <c r="P11" s="146" t="e">
        <f t="shared" si="1"/>
        <v>#VALUE!</v>
      </c>
      <c r="Q11" s="149" t="str">
        <f>IFERROR(E11-W1Q3FY26!E11,"OOS")</f>
        <v>OOS</v>
      </c>
      <c r="R11" s="146" t="e">
        <f t="shared" si="2"/>
        <v>#VALUE!</v>
      </c>
      <c r="S11" s="149">
        <f>IFERROR(F11-W1Q3FY26!F11,"OOS")</f>
        <v>0</v>
      </c>
      <c r="T11" s="146" t="str">
        <f t="shared" si="3"/>
        <v/>
      </c>
      <c r="U11" s="149" t="str">
        <f>IFERROR(G11-W1Q3FY26!G11,"OOS")</f>
        <v>OOS</v>
      </c>
      <c r="V11" s="146" t="e">
        <f t="shared" si="4"/>
        <v>#VALUE!</v>
      </c>
    </row>
    <row r="12" spans="1:22" ht="16" customHeight="1" x14ac:dyDescent="0.2">
      <c r="A12" t="s">
        <v>25</v>
      </c>
      <c r="B12" s="25"/>
      <c r="C12" s="140">
        <v>17890000</v>
      </c>
      <c r="D12" s="140">
        <v>17890000</v>
      </c>
      <c r="E12" s="154">
        <v>17690000</v>
      </c>
      <c r="F12" s="133">
        <v>17590000</v>
      </c>
      <c r="G12" s="110">
        <v>17690000</v>
      </c>
      <c r="H12" s="153"/>
      <c r="M12" s="148">
        <f>IFERROR(C12-W1Q3FY26!C12,"OOS")</f>
        <v>-100000</v>
      </c>
      <c r="N12" s="146" t="str">
        <f t="shared" si="0"/>
        <v>iPhone 15  128GB giảm 100K = 17890.0K</v>
      </c>
      <c r="O12" s="149">
        <f>IFERROR(D12-W1Q3FY26!D12,"OOS")</f>
        <v>-100000</v>
      </c>
      <c r="P12" s="146" t="str">
        <f t="shared" si="1"/>
        <v>iPhone 15  128GB giảm 100K = 17890.0K</v>
      </c>
      <c r="Q12" s="149">
        <f>IFERROR(E12-W1Q3FY26!E12,"OOS")</f>
        <v>0</v>
      </c>
      <c r="R12" s="146" t="str">
        <f t="shared" si="2"/>
        <v/>
      </c>
      <c r="S12" s="149">
        <f>IFERROR(F12-W1Q3FY26!F12,"OOS")</f>
        <v>-400000</v>
      </c>
      <c r="T12" s="146" t="str">
        <f t="shared" si="3"/>
        <v>iPhone 15  128GB giảm 400K = 17590.0K</v>
      </c>
      <c r="U12" s="149">
        <f>IFERROR(G12-W1Q3FY26!G12,"OOS")</f>
        <v>0</v>
      </c>
      <c r="V12" s="146" t="str">
        <f t="shared" si="4"/>
        <v/>
      </c>
    </row>
    <row r="13" spans="1:22" ht="16" customHeight="1" x14ac:dyDescent="0.2">
      <c r="A13" t="s">
        <v>26</v>
      </c>
      <c r="B13" s="25"/>
      <c r="C13" s="140">
        <v>17990000</v>
      </c>
      <c r="D13" s="135" t="s">
        <v>22</v>
      </c>
      <c r="E13" s="130" t="s">
        <v>22</v>
      </c>
      <c r="F13" s="132">
        <v>17690000</v>
      </c>
      <c r="G13" s="110" t="s">
        <v>22</v>
      </c>
      <c r="H13" s="153"/>
      <c r="M13" s="148">
        <f>IFERROR(C13-W1Q3FY26!C13,"OOS")</f>
        <v>-1000000</v>
      </c>
      <c r="N13" s="146" t="str">
        <f t="shared" si="0"/>
        <v>iPhone 15  Plus 128GB giảm 1000K = 17990.0K</v>
      </c>
      <c r="O13" s="149" t="str">
        <f>IFERROR(D13-W1Q3FY26!D13,"OOS")</f>
        <v>OOS</v>
      </c>
      <c r="P13" s="146" t="e">
        <f t="shared" si="1"/>
        <v>#VALUE!</v>
      </c>
      <c r="Q13" s="149" t="str">
        <f>IFERROR(E13-W1Q3FY26!E13,"OOS")</f>
        <v>OOS</v>
      </c>
      <c r="R13" s="146" t="e">
        <f t="shared" si="2"/>
        <v>#VALUE!</v>
      </c>
      <c r="S13" s="149">
        <f>IFERROR(F13-W1Q3FY26!F13,"OOS")</f>
        <v>0</v>
      </c>
      <c r="T13" s="146" t="str">
        <f t="shared" si="3"/>
        <v/>
      </c>
      <c r="U13" s="149" t="str">
        <f>IFERROR(G13-W1Q3FY26!G13,"OOS")</f>
        <v>OOS</v>
      </c>
      <c r="V13" s="146" t="e">
        <f t="shared" si="4"/>
        <v>#VALUE!</v>
      </c>
    </row>
    <row r="14" spans="1:22" ht="16" customHeight="1" x14ac:dyDescent="0.2">
      <c r="A14" t="s">
        <v>27</v>
      </c>
      <c r="B14" s="25"/>
      <c r="C14" s="135">
        <v>13990000</v>
      </c>
      <c r="D14" s="135">
        <v>13990000</v>
      </c>
      <c r="E14" s="130">
        <v>13790000</v>
      </c>
      <c r="F14" s="132">
        <v>13990000</v>
      </c>
      <c r="G14" s="110">
        <v>12990000</v>
      </c>
      <c r="H14" s="153"/>
      <c r="M14" s="148">
        <f>IFERROR(C14-W1Q3FY26!C14,"OOS")</f>
        <v>0</v>
      </c>
      <c r="N14" s="146" t="str">
        <f t="shared" si="0"/>
        <v/>
      </c>
      <c r="O14" s="149">
        <f>IFERROR(D14-W1Q3FY26!D14,"OOS")</f>
        <v>0</v>
      </c>
      <c r="P14" s="146" t="str">
        <f t="shared" si="1"/>
        <v/>
      </c>
      <c r="Q14" s="149">
        <f>IFERROR(E14-W1Q3FY26!E14,"OOS")</f>
        <v>0</v>
      </c>
      <c r="R14" s="146" t="str">
        <f t="shared" si="2"/>
        <v/>
      </c>
      <c r="S14" s="149">
        <f>IFERROR(F14-W1Q3FY26!F14,"OOS")</f>
        <v>0</v>
      </c>
      <c r="T14" s="146" t="str">
        <f t="shared" si="3"/>
        <v/>
      </c>
      <c r="U14" s="149">
        <f>IFERROR(G14-W1Q3FY26!G14,"OOS")</f>
        <v>0</v>
      </c>
      <c r="V14" s="146" t="str">
        <f t="shared" si="4"/>
        <v/>
      </c>
    </row>
    <row r="15" spans="1:22" ht="16" customHeight="1" x14ac:dyDescent="0.2">
      <c r="A15" t="s">
        <v>28</v>
      </c>
      <c r="B15" s="3"/>
      <c r="C15" s="135">
        <v>11990000</v>
      </c>
      <c r="D15" s="135">
        <v>11990000</v>
      </c>
      <c r="E15" s="139">
        <v>12090000</v>
      </c>
      <c r="F15" s="132">
        <v>11990000</v>
      </c>
      <c r="G15" s="110">
        <v>11890000</v>
      </c>
      <c r="H15" s="153"/>
      <c r="M15" s="148">
        <f>IFERROR(C15-W1Q3FY26!C15,"OOS")</f>
        <v>0</v>
      </c>
      <c r="N15" s="146" t="str">
        <f t="shared" si="0"/>
        <v/>
      </c>
      <c r="O15" s="149">
        <f>IFERROR(D15-W1Q3FY26!D15,"OOS")</f>
        <v>0</v>
      </c>
      <c r="P15" s="146" t="str">
        <f t="shared" si="1"/>
        <v/>
      </c>
      <c r="Q15" s="149">
        <f>IFERROR(E15-W1Q3FY26!E15,"OOS")</f>
        <v>0</v>
      </c>
      <c r="R15" s="146" t="str">
        <f t="shared" si="2"/>
        <v/>
      </c>
      <c r="S15" s="149">
        <f>IFERROR(F15-W1Q3FY26!F15,"OOS")</f>
        <v>0</v>
      </c>
      <c r="T15" s="146" t="str">
        <f t="shared" si="3"/>
        <v/>
      </c>
      <c r="U15" s="149">
        <f>IFERROR(G15-W1Q3FY26!G15,"OOS")</f>
        <v>0</v>
      </c>
      <c r="V15" s="146" t="str">
        <f t="shared" si="4"/>
        <v/>
      </c>
    </row>
    <row r="16" spans="1:22" ht="16" customHeight="1" x14ac:dyDescent="0.2">
      <c r="A16" t="s">
        <v>29</v>
      </c>
      <c r="B16" s="25"/>
      <c r="C16" s="140">
        <v>13190000</v>
      </c>
      <c r="D16" s="140">
        <v>13190000</v>
      </c>
      <c r="E16" s="139">
        <v>13290000</v>
      </c>
      <c r="F16" s="133">
        <v>13190000</v>
      </c>
      <c r="G16" s="110">
        <v>13390000</v>
      </c>
      <c r="H16" s="153"/>
      <c r="M16" s="148">
        <f>IFERROR(C16-W1Q3FY26!C16,"OOS")</f>
        <v>-300000</v>
      </c>
      <c r="N16" s="146" t="str">
        <f t="shared" si="0"/>
        <v>iPad Mini 7 128GB Wifi giảm 300K = 13190.0K</v>
      </c>
      <c r="O16" s="149">
        <f>IFERROR(D16-W1Q3FY26!D16,"OOS")</f>
        <v>-300000</v>
      </c>
      <c r="P16" s="146" t="str">
        <f t="shared" si="1"/>
        <v>iPad Mini 7 128GB Wifi giảm 300K = 13190.0K</v>
      </c>
      <c r="Q16" s="149">
        <f>IFERROR(E16-W1Q3FY26!E16,"OOS")</f>
        <v>0</v>
      </c>
      <c r="R16" s="146" t="str">
        <f t="shared" si="2"/>
        <v/>
      </c>
      <c r="S16" s="149">
        <f>IFERROR(F16-W1Q3FY26!F16,"OOS")</f>
        <v>-300000</v>
      </c>
      <c r="T16" s="146" t="str">
        <f t="shared" si="3"/>
        <v>iPad Mini 7 128GB Wifi giảm 300K = 13190.0K</v>
      </c>
      <c r="U16" s="149">
        <f>IFERROR(G16-W1Q3FY26!G16,"OOS")</f>
        <v>0</v>
      </c>
      <c r="V16" s="146" t="str">
        <f t="shared" si="4"/>
        <v/>
      </c>
    </row>
    <row r="17" spans="1:25" ht="16" customHeight="1" x14ac:dyDescent="0.2">
      <c r="A17" t="s">
        <v>30</v>
      </c>
      <c r="B17" s="3"/>
      <c r="C17" s="135">
        <v>9490000</v>
      </c>
      <c r="D17" s="135">
        <v>9490000</v>
      </c>
      <c r="E17" s="154">
        <v>9190000</v>
      </c>
      <c r="F17" s="132">
        <v>9490000</v>
      </c>
      <c r="G17" s="110">
        <v>9390000</v>
      </c>
      <c r="H17" s="153"/>
      <c r="M17" s="148">
        <f>IFERROR(C17-W1Q3FY26!C17,"OOS")</f>
        <v>0</v>
      </c>
      <c r="N17" s="146" t="str">
        <f t="shared" si="0"/>
        <v/>
      </c>
      <c r="O17" s="149">
        <f>IFERROR(D17-W1Q3FY26!D17,"OOS")</f>
        <v>0</v>
      </c>
      <c r="P17" s="146" t="str">
        <f t="shared" si="1"/>
        <v/>
      </c>
      <c r="Q17" s="149">
        <f>IFERROR(E17-W1Q3FY26!E17,"OOS")</f>
        <v>0</v>
      </c>
      <c r="R17" s="146" t="str">
        <f t="shared" si="2"/>
        <v/>
      </c>
      <c r="S17" s="149">
        <f>IFERROR(F17-W1Q3FY26!F17,"OOS")</f>
        <v>0</v>
      </c>
      <c r="T17" s="146" t="str">
        <f t="shared" si="3"/>
        <v/>
      </c>
      <c r="U17" s="149">
        <f>IFERROR(G17-W1Q3FY26!G17,"OOS")</f>
        <v>0</v>
      </c>
      <c r="V17" s="146" t="str">
        <f t="shared" si="4"/>
        <v/>
      </c>
      <c r="W17" t="s">
        <v>31</v>
      </c>
      <c r="X17" t="s">
        <v>32</v>
      </c>
      <c r="Y17" t="b">
        <v>1</v>
      </c>
    </row>
    <row r="18" spans="1:25" ht="16" customHeight="1" x14ac:dyDescent="0.2">
      <c r="A18" t="s">
        <v>33</v>
      </c>
      <c r="B18" s="3"/>
      <c r="C18" s="140">
        <v>15490000</v>
      </c>
      <c r="D18" s="135">
        <v>15490000</v>
      </c>
      <c r="E18" s="154">
        <v>14290000</v>
      </c>
      <c r="F18" s="133">
        <v>15490000</v>
      </c>
      <c r="G18" s="110">
        <v>14990000</v>
      </c>
      <c r="H18" s="153"/>
      <c r="M18" s="148">
        <f>IFERROR(C18-W1Q3FY26!C18,"OOS")</f>
        <v>-300000</v>
      </c>
      <c r="N18" s="146" t="str">
        <f t="shared" si="0"/>
        <v>iPad Air M3  11" 128 GB Wifi giảm 300K = 15490.0K</v>
      </c>
      <c r="O18" s="149">
        <f>IFERROR(D18-W1Q3FY26!D18,"OOS")</f>
        <v>0</v>
      </c>
      <c r="P18" s="146" t="str">
        <f t="shared" si="1"/>
        <v/>
      </c>
      <c r="Q18" s="149">
        <f>IFERROR(E18-W1Q3FY26!E18,"OOS")</f>
        <v>0</v>
      </c>
      <c r="R18" s="146" t="str">
        <f t="shared" si="2"/>
        <v/>
      </c>
      <c r="S18" s="149">
        <f>IFERROR(F18-W1Q3FY26!F18,"OOS")</f>
        <v>-300000</v>
      </c>
      <c r="T18" s="146" t="str">
        <f t="shared" si="3"/>
        <v>iPad Air M3  11" 128 GB Wifi giảm 300K = 15490.0K</v>
      </c>
      <c r="U18" s="149">
        <f>IFERROR(G18-W1Q3FY26!G18,"OOS")</f>
        <v>0</v>
      </c>
      <c r="V18" s="146" t="str">
        <f t="shared" si="4"/>
        <v/>
      </c>
      <c r="W18" t="s">
        <v>2</v>
      </c>
      <c r="X18" t="s">
        <v>34</v>
      </c>
      <c r="Y18" t="b">
        <v>0</v>
      </c>
    </row>
    <row r="19" spans="1:25" ht="16" customHeight="1" x14ac:dyDescent="0.2">
      <c r="B19" s="3"/>
      <c r="C19" s="140"/>
      <c r="D19" s="135"/>
      <c r="E19" s="154"/>
      <c r="F19" s="133"/>
      <c r="G19" s="159"/>
      <c r="H19" s="153"/>
      <c r="M19" s="148"/>
      <c r="N19" s="146"/>
      <c r="O19" s="149"/>
      <c r="P19" s="146"/>
      <c r="Q19" s="149"/>
      <c r="R19" s="146"/>
      <c r="S19" s="149"/>
      <c r="T19" s="146"/>
      <c r="U19" s="149"/>
      <c r="V19" s="146"/>
      <c r="Y19" t="b">
        <v>0</v>
      </c>
    </row>
    <row r="20" spans="1:25" ht="16" customHeight="1" x14ac:dyDescent="0.2">
      <c r="A20" t="s">
        <v>37</v>
      </c>
      <c r="B20" s="25"/>
      <c r="C20" s="140">
        <v>20690000</v>
      </c>
      <c r="D20" s="135">
        <v>19990000</v>
      </c>
      <c r="E20" s="154">
        <v>19190000</v>
      </c>
      <c r="F20" s="132">
        <v>18990000</v>
      </c>
      <c r="G20" s="133">
        <v>18990000</v>
      </c>
      <c r="H20" s="153"/>
      <c r="M20" s="148">
        <f>IFERROR(C20-W1Q3FY26!C19,"OOS")</f>
        <v>-300000</v>
      </c>
      <c r="N20" s="146" t="str">
        <f t="shared" ref="N20:N43" si="5">IF(M20=0,"",$A20 &amp; IF(M20&gt;0," tăng "," giảm ") &amp; TEXT(ABS(M20)/1000,"0") &amp; "K = " &amp; TEXT(C20/1000,"#.##0") &amp; "K")</f>
        <v>iPad Air M3  13" 128 GB Wifi giảm 300K = 20690.0K</v>
      </c>
      <c r="O20" s="149">
        <f>IFERROR(D20-W1Q3FY26!D19,"OOS")</f>
        <v>0</v>
      </c>
      <c r="P20" s="146" t="str">
        <f t="shared" ref="P20:P43" si="6">IF(O20=0,"",$A20 &amp; IF(O20&gt;0," tăng "," giảm ") &amp; TEXT(ABS(O20)/1000,"0") &amp; "K = " &amp; TEXT(D20/1000,"#.##0") &amp; "K")</f>
        <v/>
      </c>
      <c r="Q20" s="149">
        <f>IFERROR(E20-W1Q3FY26!E19,"OOS")</f>
        <v>0</v>
      </c>
      <c r="R20" s="146" t="str">
        <f t="shared" ref="R20:R43" si="7">IF(Q20=0,"",$A20 &amp; IF(Q20&gt;0," tăng "," giảm ") &amp; TEXT(ABS(Q20)/1000,"0") &amp; "K = " &amp; TEXT(E20/1000,"#.##0") &amp; "K")</f>
        <v/>
      </c>
      <c r="S20" s="149">
        <f>IFERROR(F20-W1Q3FY26!F19,"OOS")</f>
        <v>0</v>
      </c>
      <c r="T20" s="146" t="str">
        <f t="shared" ref="T20:T43" si="8">IF(S20=0,"",$A20 &amp; IF(S20&gt;0," tăng "," giảm ") &amp; TEXT(ABS(S20)/1000,"0") &amp; "K = " &amp; TEXT(F20/1000,"#.##0") &amp; "K")</f>
        <v/>
      </c>
      <c r="U20" s="149">
        <f>IFERROR(G20-W1Q3FY26!G19,"OOS")</f>
        <v>-3009000</v>
      </c>
      <c r="V20" s="146" t="str">
        <f t="shared" ref="V20:V43" si="9">IF(U20=0,"",$A20 &amp; IF(U20&gt;0," tăng "," giảm ") &amp; TEXT(ABS(U20)/1000,"0") &amp; "K = " &amp; TEXT(G20/1000,"#.##0") &amp; "K")</f>
        <v>iPad Air M3  13" 128 GB Wifi giảm 3009K = 18990.0K</v>
      </c>
      <c r="W20" t="s">
        <v>3</v>
      </c>
      <c r="X20" t="s">
        <v>36</v>
      </c>
      <c r="Y20" t="b">
        <v>0</v>
      </c>
    </row>
    <row r="21" spans="1:25" ht="16" customHeight="1" x14ac:dyDescent="0.2">
      <c r="A21" t="s">
        <v>40</v>
      </c>
      <c r="B21" s="3"/>
      <c r="C21" s="140">
        <v>28990000</v>
      </c>
      <c r="D21" s="140">
        <v>28490000</v>
      </c>
      <c r="E21" s="123">
        <v>28490000</v>
      </c>
      <c r="F21" s="133">
        <v>28490000</v>
      </c>
      <c r="G21" s="110">
        <v>28990000</v>
      </c>
      <c r="H21" s="153"/>
      <c r="M21" s="148">
        <f>IFERROR(C21-W1Q3FY26!C20,"OOS")</f>
        <v>0</v>
      </c>
      <c r="N21" s="146" t="str">
        <f t="shared" si="5"/>
        <v/>
      </c>
      <c r="O21" s="149">
        <f>IFERROR(D21-W1Q3FY26!D20,"OOS")</f>
        <v>-500000</v>
      </c>
      <c r="P21" s="146" t="str">
        <f t="shared" si="6"/>
        <v>iPad Pro M5 11” 256GB Wifi giảm 500K = 28490.0K</v>
      </c>
      <c r="Q21" s="149">
        <f>IFERROR(E21-W1Q3FY26!E20,"OOS")</f>
        <v>0</v>
      </c>
      <c r="R21" s="146" t="str">
        <f t="shared" si="7"/>
        <v/>
      </c>
      <c r="S21" s="149">
        <f>IFERROR(F21-W1Q3FY26!F20,"OOS")</f>
        <v>-500000</v>
      </c>
      <c r="T21" s="146" t="str">
        <f t="shared" si="8"/>
        <v>iPad Pro M5 11” 256GB Wifi giảm 500K = 28490.0K</v>
      </c>
      <c r="U21" s="149">
        <f>IFERROR(G21-W1Q3FY26!G20,"OOS")</f>
        <v>0</v>
      </c>
      <c r="V21" s="146" t="str">
        <f t="shared" si="9"/>
        <v/>
      </c>
      <c r="W21" t="s">
        <v>4</v>
      </c>
      <c r="X21" t="s">
        <v>38</v>
      </c>
      <c r="Y21" t="b">
        <v>1</v>
      </c>
    </row>
    <row r="22" spans="1:25" ht="16" customHeight="1" x14ac:dyDescent="0.2">
      <c r="A22" t="s">
        <v>43</v>
      </c>
      <c r="B22" s="3"/>
      <c r="C22" s="140">
        <v>38990000</v>
      </c>
      <c r="D22" s="141">
        <v>38990000</v>
      </c>
      <c r="E22" s="112">
        <v>37990000</v>
      </c>
      <c r="F22" s="132">
        <v>38990000</v>
      </c>
      <c r="G22" s="110">
        <v>38990000</v>
      </c>
      <c r="H22" s="153"/>
      <c r="M22" s="148">
        <f>IFERROR(C22-W1Q3FY26!C21,"OOS")</f>
        <v>-300000</v>
      </c>
      <c r="N22" s="146" t="str">
        <f t="shared" si="5"/>
        <v>iPad Pro M5 13” 256GB Wifi giảm 300K = 38990.0K</v>
      </c>
      <c r="O22" s="149">
        <f>IFERROR(D22-W1Q3FY26!D21,"OOS")</f>
        <v>0</v>
      </c>
      <c r="P22" s="146" t="str">
        <f t="shared" si="6"/>
        <v/>
      </c>
      <c r="Q22" s="149">
        <f>IFERROR(E22-W1Q3FY26!E21,"OOS")</f>
        <v>0</v>
      </c>
      <c r="R22" s="146" t="str">
        <f t="shared" si="7"/>
        <v/>
      </c>
      <c r="S22" s="149">
        <f>IFERROR(F22-W1Q3FY26!F21,"OOS")</f>
        <v>0</v>
      </c>
      <c r="T22" s="146" t="str">
        <f t="shared" si="8"/>
        <v/>
      </c>
      <c r="U22" s="149">
        <f>IFERROR(G22-W1Q3FY26!G21,"OOS")</f>
        <v>0</v>
      </c>
      <c r="V22" s="146" t="str">
        <f t="shared" si="9"/>
        <v/>
      </c>
      <c r="W22" t="s">
        <v>41</v>
      </c>
      <c r="X22" t="s">
        <v>42</v>
      </c>
      <c r="Y22" t="b">
        <v>1</v>
      </c>
    </row>
    <row r="23" spans="1:25" ht="16" customHeight="1" x14ac:dyDescent="0.2">
      <c r="A23" t="s">
        <v>44</v>
      </c>
      <c r="B23" s="25"/>
      <c r="C23" s="140">
        <v>6590000</v>
      </c>
      <c r="D23" s="140">
        <v>6590000</v>
      </c>
      <c r="E23" s="139">
        <v>5990000</v>
      </c>
      <c r="F23" s="133">
        <v>6590000</v>
      </c>
      <c r="G23" s="110">
        <v>6490000</v>
      </c>
      <c r="H23" s="153"/>
      <c r="M23" s="148">
        <f>IFERROR(C23-W1Q3FY26!C22,"OOS")</f>
        <v>-200000</v>
      </c>
      <c r="N23" s="146" t="str">
        <f t="shared" si="5"/>
        <v>AW SE 3 (40mm GPS) giảm 200K = 6590.0K</v>
      </c>
      <c r="O23" s="149">
        <f>IFERROR(D23-W1Q3FY26!D22,"OOS")</f>
        <v>-200000</v>
      </c>
      <c r="P23" s="146" t="str">
        <f t="shared" si="6"/>
        <v>AW SE 3 (40mm GPS) giảm 200K = 6590.0K</v>
      </c>
      <c r="Q23" s="149">
        <f>IFERROR(E23-W1Q3FY26!E22,"OOS")</f>
        <v>-500000</v>
      </c>
      <c r="R23" s="146" t="str">
        <f t="shared" si="7"/>
        <v>AW SE 3 (40mm GPS) giảm 500K = 5990.0K</v>
      </c>
      <c r="S23" s="149">
        <f>IFERROR(F23-W1Q3FY26!F22,"OOS")</f>
        <v>-200000</v>
      </c>
      <c r="T23" s="146" t="str">
        <f t="shared" si="8"/>
        <v>AW SE 3 (40mm GPS) giảm 200K = 6590.0K</v>
      </c>
      <c r="U23" s="149">
        <f>IFERROR(G23-W1Q3FY26!G22,"OOS")</f>
        <v>0</v>
      </c>
      <c r="V23" s="146" t="str">
        <f t="shared" si="9"/>
        <v/>
      </c>
    </row>
    <row r="24" spans="1:25" ht="16" customHeight="1" x14ac:dyDescent="0.2">
      <c r="A24" t="s">
        <v>45</v>
      </c>
      <c r="B24" s="25"/>
      <c r="C24" s="140">
        <v>7690000</v>
      </c>
      <c r="D24" s="135">
        <v>8290000</v>
      </c>
      <c r="E24" s="154">
        <v>7490000</v>
      </c>
      <c r="F24" s="132">
        <v>8390000</v>
      </c>
      <c r="G24" s="110">
        <v>8190000</v>
      </c>
      <c r="H24" s="153"/>
      <c r="M24" s="148">
        <f>IFERROR(C24-W1Q3FY26!C23,"OOS")</f>
        <v>-700000</v>
      </c>
      <c r="N24" s="146" t="str">
        <f t="shared" si="5"/>
        <v>AW SE 3 (40mm LTE) giảm 700K = 7690.0K</v>
      </c>
      <c r="O24" s="149">
        <f>IFERROR(D24-W1Q3FY26!D23,"OOS")</f>
        <v>0</v>
      </c>
      <c r="P24" s="146" t="str">
        <f t="shared" si="6"/>
        <v/>
      </c>
      <c r="Q24" s="149">
        <f>IFERROR(E24-W1Q3FY26!E23,"OOS")</f>
        <v>-500000</v>
      </c>
      <c r="R24" s="146" t="str">
        <f t="shared" si="7"/>
        <v>AW SE 3 (40mm LTE) giảm 500K = 7490.0K</v>
      </c>
      <c r="S24" s="149">
        <f>IFERROR(F24-W1Q3FY26!F23,"OOS")</f>
        <v>0</v>
      </c>
      <c r="T24" s="146" t="str">
        <f t="shared" si="8"/>
        <v/>
      </c>
      <c r="U24" s="149">
        <f>IFERROR(G24-W1Q3FY26!G23,"OOS")</f>
        <v>0</v>
      </c>
      <c r="V24" s="146" t="str">
        <f t="shared" si="9"/>
        <v/>
      </c>
    </row>
    <row r="25" spans="1:25" ht="16" customHeight="1" x14ac:dyDescent="0.2">
      <c r="A25" t="s">
        <v>46</v>
      </c>
      <c r="B25" s="25"/>
      <c r="C25" s="135">
        <v>7690000</v>
      </c>
      <c r="D25" s="135">
        <v>7690000</v>
      </c>
      <c r="E25" s="139">
        <v>6890000</v>
      </c>
      <c r="F25" s="132">
        <v>7690000</v>
      </c>
      <c r="G25" s="111">
        <v>7190000</v>
      </c>
      <c r="H25" s="153"/>
      <c r="M25" s="148">
        <f>IFERROR(C25-W1Q3FY26!C24,"OOS")</f>
        <v>0</v>
      </c>
      <c r="N25" s="146" t="str">
        <f t="shared" si="5"/>
        <v/>
      </c>
      <c r="O25" s="149">
        <f>IFERROR(D25-W1Q3FY26!D24,"OOS")</f>
        <v>0</v>
      </c>
      <c r="P25" s="146" t="str">
        <f t="shared" si="6"/>
        <v/>
      </c>
      <c r="Q25" s="149">
        <f>IFERROR(E25-W1Q3FY26!E24,"OOS")</f>
        <v>-500000</v>
      </c>
      <c r="R25" s="146" t="str">
        <f t="shared" si="7"/>
        <v>AW SE 3 (44mm GPS) giảm 500K = 6890.0K</v>
      </c>
      <c r="S25" s="149">
        <f>IFERROR(F25-W1Q3FY26!F24,"OOS")</f>
        <v>0</v>
      </c>
      <c r="T25" s="146" t="str">
        <f t="shared" si="8"/>
        <v/>
      </c>
      <c r="U25" s="149">
        <f>IFERROR(G25-W1Q3FY26!G24,"OOS")</f>
        <v>-300000</v>
      </c>
      <c r="V25" s="146" t="str">
        <f t="shared" si="9"/>
        <v>AW SE 3 (44mm GPS) giảm 300K = 7190.0K</v>
      </c>
    </row>
    <row r="26" spans="1:25" ht="16" customHeight="1" x14ac:dyDescent="0.2">
      <c r="A26" t="s">
        <v>47</v>
      </c>
      <c r="B26" s="25"/>
      <c r="C26" s="135">
        <v>9190000</v>
      </c>
      <c r="D26" s="135">
        <v>9190000</v>
      </c>
      <c r="E26" s="139">
        <v>8490000</v>
      </c>
      <c r="F26" s="132">
        <v>9190000</v>
      </c>
      <c r="G26" s="110">
        <v>8790000</v>
      </c>
      <c r="H26" s="153"/>
      <c r="M26" s="148">
        <f>IFERROR(C26-W1Q3FY26!C25,"OOS")</f>
        <v>0</v>
      </c>
      <c r="N26" s="146" t="str">
        <f t="shared" si="5"/>
        <v/>
      </c>
      <c r="O26" s="149">
        <f>IFERROR(D26-W1Q3FY26!D25,"OOS")</f>
        <v>0</v>
      </c>
      <c r="P26" s="146" t="str">
        <f t="shared" si="6"/>
        <v/>
      </c>
      <c r="Q26" s="149">
        <f>IFERROR(E26-W1Q3FY26!E25,"OOS")</f>
        <v>-500000</v>
      </c>
      <c r="R26" s="146" t="str">
        <f t="shared" si="7"/>
        <v>AW SE 3 (44mm LTE) giảm 500K = 8490.0K</v>
      </c>
      <c r="S26" s="149">
        <f>IFERROR(F26-W1Q3FY26!F25,"OOS")</f>
        <v>0</v>
      </c>
      <c r="T26" s="146" t="str">
        <f t="shared" si="8"/>
        <v/>
      </c>
      <c r="U26" s="149">
        <f>IFERROR(G26-W1Q3FY26!G25,"OOS")</f>
        <v>0</v>
      </c>
      <c r="V26" s="146" t="str">
        <f t="shared" si="9"/>
        <v/>
      </c>
    </row>
    <row r="27" spans="1:25" ht="16" customHeight="1" x14ac:dyDescent="0.2">
      <c r="A27" t="s">
        <v>48</v>
      </c>
      <c r="B27" s="3"/>
      <c r="C27" s="140">
        <v>10990000</v>
      </c>
      <c r="D27" s="140">
        <v>10990000</v>
      </c>
      <c r="E27" s="139">
        <v>10190000</v>
      </c>
      <c r="F27" s="133">
        <v>10990000</v>
      </c>
      <c r="G27" s="110">
        <v>10990000</v>
      </c>
      <c r="H27" s="153"/>
      <c r="M27" s="148">
        <f>IFERROR(C27-W1Q3FY26!C26,"OOS")</f>
        <v>-200000</v>
      </c>
      <c r="N27" s="146" t="str">
        <f t="shared" si="5"/>
        <v>AW S11 (42mm GPS) giảm 200K = 10990.0K</v>
      </c>
      <c r="O27" s="149">
        <f>IFERROR(D27-W1Q3FY26!D26,"OOS")</f>
        <v>-200000</v>
      </c>
      <c r="P27" s="146" t="str">
        <f t="shared" si="6"/>
        <v>AW S11 (42mm GPS) giảm 200K = 10990.0K</v>
      </c>
      <c r="Q27" s="149">
        <f>IFERROR(E27-W1Q3FY26!E26,"OOS")</f>
        <v>-500000</v>
      </c>
      <c r="R27" s="146" t="str">
        <f t="shared" si="7"/>
        <v>AW S11 (42mm GPS) giảm 500K = 10190.0K</v>
      </c>
      <c r="S27" s="149">
        <f>IFERROR(F27-W1Q3FY26!F26,"OOS")</f>
        <v>-200000</v>
      </c>
      <c r="T27" s="146" t="str">
        <f t="shared" si="8"/>
        <v>AW S11 (42mm GPS) giảm 200K = 10990.0K</v>
      </c>
      <c r="U27" s="149">
        <f>IFERROR(G27-W1Q3FY26!G26,"OOS")</f>
        <v>0</v>
      </c>
      <c r="V27" s="146" t="str">
        <f t="shared" si="9"/>
        <v/>
      </c>
    </row>
    <row r="28" spans="1:25" ht="16" customHeight="1" x14ac:dyDescent="0.2">
      <c r="A28" t="s">
        <v>49</v>
      </c>
      <c r="B28" s="3"/>
      <c r="C28" s="140">
        <v>14090000</v>
      </c>
      <c r="D28" s="135">
        <v>14090000</v>
      </c>
      <c r="E28" s="139">
        <v>13490000</v>
      </c>
      <c r="F28" s="133">
        <v>13990000</v>
      </c>
      <c r="G28" s="110">
        <v>13990000</v>
      </c>
      <c r="H28" s="153"/>
      <c r="M28" s="148" t="str">
        <f>IFERROR(C28-W1Q3FY26!C27,"OOS")</f>
        <v>OOS</v>
      </c>
      <c r="N28" s="146" t="e">
        <f t="shared" si="5"/>
        <v>#VALUE!</v>
      </c>
      <c r="O28" s="149">
        <f>IFERROR(D28-W1Q3FY26!D27,"OOS")</f>
        <v>0</v>
      </c>
      <c r="P28" s="146" t="str">
        <f t="shared" si="6"/>
        <v/>
      </c>
      <c r="Q28" s="149">
        <f>IFERROR(E28-W1Q3FY26!E27,"OOS")</f>
        <v>-500000</v>
      </c>
      <c r="R28" s="146" t="str">
        <f t="shared" si="7"/>
        <v>AW S11 (42mm CEL) giảm 500K = 13490.0K</v>
      </c>
      <c r="S28" s="149">
        <f>IFERROR(F28-W1Q3FY26!F27,"OOS")</f>
        <v>-100000</v>
      </c>
      <c r="T28" s="146" t="str">
        <f t="shared" si="8"/>
        <v>AW S11 (42mm CEL) giảm 100K = 13990.0K</v>
      </c>
      <c r="U28" s="149">
        <f>IFERROR(G28-W1Q3FY26!G27,"OOS")</f>
        <v>0</v>
      </c>
      <c r="V28" s="146" t="str">
        <f t="shared" si="9"/>
        <v/>
      </c>
    </row>
    <row r="29" spans="1:25" ht="16" customHeight="1" x14ac:dyDescent="0.2">
      <c r="A29" t="s">
        <v>50</v>
      </c>
      <c r="B29" s="3"/>
      <c r="C29" s="135">
        <v>11990000</v>
      </c>
      <c r="D29" s="135">
        <v>11990000</v>
      </c>
      <c r="E29" s="139">
        <v>10990000</v>
      </c>
      <c r="F29" s="132">
        <v>11990000</v>
      </c>
      <c r="G29" s="110">
        <v>11890000</v>
      </c>
      <c r="H29" s="153"/>
      <c r="M29" s="148">
        <f>IFERROR(C29-W1Q3FY26!C28,"OOS")</f>
        <v>0</v>
      </c>
      <c r="N29" s="146" t="str">
        <f t="shared" si="5"/>
        <v/>
      </c>
      <c r="O29" s="149">
        <f>IFERROR(D29-W1Q3FY26!D28,"OOS")</f>
        <v>0</v>
      </c>
      <c r="P29" s="146" t="str">
        <f t="shared" si="6"/>
        <v/>
      </c>
      <c r="Q29" s="149">
        <f>IFERROR(E29-W1Q3FY26!E28,"OOS")</f>
        <v>-500000</v>
      </c>
      <c r="R29" s="146" t="str">
        <f t="shared" si="7"/>
        <v>AW S11 (46mm GPS) giảm 500K = 10990.0K</v>
      </c>
      <c r="S29" s="149">
        <f>IFERROR(F29-W1Q3FY26!F28,"OOS")</f>
        <v>0</v>
      </c>
      <c r="T29" s="146" t="str">
        <f t="shared" si="8"/>
        <v/>
      </c>
      <c r="U29" s="149">
        <f>IFERROR(G29-W1Q3FY26!G28,"OOS")</f>
        <v>0</v>
      </c>
      <c r="V29" s="146" t="str">
        <f t="shared" si="9"/>
        <v/>
      </c>
    </row>
    <row r="30" spans="1:25" ht="16" customHeight="1" x14ac:dyDescent="0.2">
      <c r="A30" t="s">
        <v>51</v>
      </c>
      <c r="B30" s="3"/>
      <c r="C30" s="140">
        <v>14990000</v>
      </c>
      <c r="D30" s="135">
        <v>14990000</v>
      </c>
      <c r="E30" s="139">
        <v>13990000</v>
      </c>
      <c r="F30" s="132">
        <v>14990000</v>
      </c>
      <c r="G30" s="110">
        <v>14890000</v>
      </c>
      <c r="H30" s="153"/>
      <c r="M30" s="148" t="str">
        <f>IFERROR(C30-W1Q3FY26!C29,"OOS")</f>
        <v>OOS</v>
      </c>
      <c r="N30" s="146" t="e">
        <f t="shared" si="5"/>
        <v>#VALUE!</v>
      </c>
      <c r="O30" s="149">
        <f>IFERROR(D30-W1Q3FY26!D29,"OOS")</f>
        <v>0</v>
      </c>
      <c r="P30" s="146" t="str">
        <f t="shared" si="6"/>
        <v/>
      </c>
      <c r="Q30" s="149">
        <f>IFERROR(E30-W1Q3FY26!E29,"OOS")</f>
        <v>-500000</v>
      </c>
      <c r="R30" s="146" t="str">
        <f t="shared" si="7"/>
        <v>AW S11 (46mm CEL) giảm 500K = 13990.0K</v>
      </c>
      <c r="S30" s="149">
        <f>IFERROR(F30-W1Q3FY26!F29,"OOS")</f>
        <v>0</v>
      </c>
      <c r="T30" s="146" t="str">
        <f t="shared" si="8"/>
        <v/>
      </c>
      <c r="U30" s="149">
        <f>IFERROR(G30-W1Q3FY26!G29,"OOS")</f>
        <v>0</v>
      </c>
      <c r="V30" s="146" t="str">
        <f t="shared" si="9"/>
        <v/>
      </c>
    </row>
    <row r="31" spans="1:25" ht="16" customHeight="1" x14ac:dyDescent="0.2">
      <c r="A31" t="s">
        <v>52</v>
      </c>
      <c r="B31" s="25"/>
      <c r="C31" s="135">
        <v>23490000</v>
      </c>
      <c r="D31" s="135">
        <v>22990000</v>
      </c>
      <c r="E31" s="112">
        <v>21990000</v>
      </c>
      <c r="F31" s="133">
        <v>22990000</v>
      </c>
      <c r="G31" s="110">
        <v>22990000</v>
      </c>
      <c r="H31" s="153"/>
      <c r="M31" s="148">
        <f>IFERROR(C31-W1Q3FY26!C30,"OOS")</f>
        <v>0</v>
      </c>
      <c r="N31" s="146" t="str">
        <f t="shared" si="5"/>
        <v/>
      </c>
      <c r="O31" s="149">
        <f>IFERROR(D31-W1Q3FY26!D30,"OOS")</f>
        <v>0</v>
      </c>
      <c r="P31" s="146" t="str">
        <f t="shared" si="6"/>
        <v/>
      </c>
      <c r="Q31" s="149">
        <f>IFERROR(E31-W1Q3FY26!E30,"OOS")</f>
        <v>-500000</v>
      </c>
      <c r="R31" s="146" t="str">
        <f t="shared" si="7"/>
        <v>AW Ultra 3 (49mm) giảm 500K = 21990.0K</v>
      </c>
      <c r="S31" s="149">
        <f>IFERROR(F31-W1Q3FY26!F30,"OOS")</f>
        <v>-200000</v>
      </c>
      <c r="T31" s="146" t="str">
        <f t="shared" si="8"/>
        <v>AW Ultra 3 (49mm) giảm 200K = 22990.0K</v>
      </c>
      <c r="U31" s="149">
        <f>IFERROR(G31-W1Q3FY26!G30,"OOS")</f>
        <v>0</v>
      </c>
      <c r="V31" s="146" t="str">
        <f t="shared" si="9"/>
        <v/>
      </c>
    </row>
    <row r="32" spans="1:25" ht="16" customHeight="1" x14ac:dyDescent="0.2">
      <c r="A32" t="s">
        <v>53</v>
      </c>
      <c r="B32" s="3"/>
      <c r="C32" s="135">
        <v>5190000</v>
      </c>
      <c r="D32" s="135" t="s">
        <v>22</v>
      </c>
      <c r="E32" s="130" t="s">
        <v>22</v>
      </c>
      <c r="F32" s="133">
        <v>5090000</v>
      </c>
      <c r="G32" s="110">
        <v>5590000</v>
      </c>
      <c r="H32" s="153"/>
      <c r="M32" s="148">
        <f>IFERROR(C32-W1Q3FY26!C31,"OOS")</f>
        <v>0</v>
      </c>
      <c r="N32" s="146" t="str">
        <f t="shared" si="5"/>
        <v/>
      </c>
      <c r="O32" s="149" t="str">
        <f>IFERROR(D32-W1Q3FY26!D31,"OOS")</f>
        <v>OOS</v>
      </c>
      <c r="P32" s="146" t="e">
        <f t="shared" si="6"/>
        <v>#VALUE!</v>
      </c>
      <c r="Q32" s="149" t="str">
        <f>IFERROR(E32-W1Q3FY26!E31,"OOS")</f>
        <v>OOS</v>
      </c>
      <c r="R32" s="146" t="e">
        <f t="shared" si="7"/>
        <v>#VALUE!</v>
      </c>
      <c r="S32" s="149">
        <f>IFERROR(F32-W1Q3FY26!F31,"OOS")</f>
        <v>-100000</v>
      </c>
      <c r="T32" s="146" t="str">
        <f t="shared" si="8"/>
        <v>AirPods Pro 2 - 2023 (C-Type) giảm 100K = 5090.0K</v>
      </c>
      <c r="U32" s="149">
        <f>IFERROR(G32-W1Q3FY26!G31,"OOS")</f>
        <v>0</v>
      </c>
      <c r="V32" s="146" t="str">
        <f t="shared" si="9"/>
        <v/>
      </c>
    </row>
    <row r="33" spans="1:22" ht="16" customHeight="1" x14ac:dyDescent="0.2">
      <c r="A33" t="s">
        <v>54</v>
      </c>
      <c r="B33" s="3"/>
      <c r="C33" s="140">
        <v>4590000</v>
      </c>
      <c r="D33" s="135">
        <v>4590000</v>
      </c>
      <c r="E33" s="154">
        <v>4290000</v>
      </c>
      <c r="F33" s="133">
        <v>4650000</v>
      </c>
      <c r="G33" s="110">
        <v>4490000</v>
      </c>
      <c r="H33" s="153"/>
      <c r="M33" s="148">
        <f>IFERROR(C33-W1Q3FY26!C32,"OOS")</f>
        <v>-100000</v>
      </c>
      <c r="N33" s="146" t="str">
        <f t="shared" si="5"/>
        <v>AirPods 4 ANC giảm 100K = 4590.0K</v>
      </c>
      <c r="O33" s="149">
        <f>IFERROR(D33-W1Q3FY26!D32,"OOS")</f>
        <v>0</v>
      </c>
      <c r="P33" s="146" t="str">
        <f t="shared" si="6"/>
        <v/>
      </c>
      <c r="Q33" s="149">
        <f>IFERROR(E33-W1Q3FY26!E32,"OOS")</f>
        <v>0</v>
      </c>
      <c r="R33" s="146" t="str">
        <f t="shared" si="7"/>
        <v/>
      </c>
      <c r="S33" s="149">
        <f>IFERROR(F33-W1Q3FY26!F32,"OOS")</f>
        <v>-40000</v>
      </c>
      <c r="T33" s="146" t="str">
        <f t="shared" si="8"/>
        <v>AirPods 4 ANC giảm 40K = 4650.0K</v>
      </c>
      <c r="U33" s="149">
        <f>IFERROR(G33-W1Q3FY26!G32,"OOS")</f>
        <v>0</v>
      </c>
      <c r="V33" s="146" t="str">
        <f t="shared" si="9"/>
        <v/>
      </c>
    </row>
    <row r="34" spans="1:22" ht="16" customHeight="1" x14ac:dyDescent="0.2">
      <c r="A34" t="s">
        <v>55</v>
      </c>
      <c r="B34" s="3"/>
      <c r="C34" s="135">
        <v>3490000</v>
      </c>
      <c r="D34" s="135">
        <v>3490000</v>
      </c>
      <c r="E34" s="154">
        <v>3290000</v>
      </c>
      <c r="F34" s="132">
        <v>3490000</v>
      </c>
      <c r="G34" s="111">
        <v>3350000</v>
      </c>
      <c r="H34" s="153"/>
      <c r="M34" s="148">
        <f>IFERROR(C34-W1Q3FY26!C33,"OOS")</f>
        <v>0</v>
      </c>
      <c r="N34" s="146" t="str">
        <f t="shared" si="5"/>
        <v/>
      </c>
      <c r="O34" s="149">
        <f>IFERROR(D34-W1Q3FY26!D33,"OOS")</f>
        <v>0</v>
      </c>
      <c r="P34" s="146" t="str">
        <f t="shared" si="6"/>
        <v/>
      </c>
      <c r="Q34" s="149">
        <f>IFERROR(E34-W1Q3FY26!E33,"OOS")</f>
        <v>0</v>
      </c>
      <c r="R34" s="146" t="str">
        <f t="shared" si="7"/>
        <v/>
      </c>
      <c r="S34" s="149">
        <f>IFERROR(F34-W1Q3FY26!F33,"OOS")</f>
        <v>0</v>
      </c>
      <c r="T34" s="146" t="str">
        <f t="shared" si="8"/>
        <v/>
      </c>
      <c r="U34" s="149">
        <f>IFERROR(G34-W1Q3FY26!G33,"OOS")</f>
        <v>-240000</v>
      </c>
      <c r="V34" s="146" t="str">
        <f t="shared" si="9"/>
        <v>AirPods 4 with charging case giảm 240K = 3350.0K</v>
      </c>
    </row>
    <row r="35" spans="1:22" ht="16" customHeight="1" x14ac:dyDescent="0.2">
      <c r="A35" t="s">
        <v>56</v>
      </c>
      <c r="B35" s="3"/>
      <c r="C35" s="135">
        <v>6590000</v>
      </c>
      <c r="D35" s="135">
        <v>6590000</v>
      </c>
      <c r="E35" s="134">
        <v>6290000</v>
      </c>
      <c r="F35" s="132">
        <v>6590000</v>
      </c>
      <c r="G35" s="110">
        <v>6390000</v>
      </c>
      <c r="H35" s="153"/>
      <c r="M35" s="148">
        <f>IFERROR(C35-W1Q3FY26!C34,"OOS")</f>
        <v>0</v>
      </c>
      <c r="N35" s="146" t="str">
        <f t="shared" si="5"/>
        <v/>
      </c>
      <c r="O35" s="149">
        <f>IFERROR(D35-W1Q3FY26!D34,"OOS")</f>
        <v>0</v>
      </c>
      <c r="P35" s="146" t="str">
        <f t="shared" si="6"/>
        <v/>
      </c>
      <c r="Q35" s="149">
        <f>IFERROR(E35-W1Q3FY26!E34,"OOS")</f>
        <v>0</v>
      </c>
      <c r="R35" s="146" t="str">
        <f t="shared" si="7"/>
        <v/>
      </c>
      <c r="S35" s="149">
        <f>IFERROR(F35-W1Q3FY26!F34,"OOS")</f>
        <v>0</v>
      </c>
      <c r="T35" s="146" t="str">
        <f t="shared" si="8"/>
        <v/>
      </c>
      <c r="U35" s="149">
        <f>IFERROR(G35-W1Q3FY26!G34,"OOS")</f>
        <v>0</v>
      </c>
      <c r="V35" s="146" t="str">
        <f t="shared" si="9"/>
        <v/>
      </c>
    </row>
    <row r="36" spans="1:22" ht="16" customHeight="1" x14ac:dyDescent="0.2">
      <c r="A36" t="s">
        <v>186</v>
      </c>
      <c r="B36" s="25"/>
      <c r="C36" s="140" t="s">
        <v>22</v>
      </c>
      <c r="D36" s="135">
        <v>19990000</v>
      </c>
      <c r="E36" s="142"/>
      <c r="F36" s="110" t="s">
        <v>22</v>
      </c>
      <c r="G36" s="110" t="s">
        <v>22</v>
      </c>
      <c r="H36" s="153"/>
      <c r="M36" s="148" t="str">
        <f>IFERROR(C36-W1Q3FY26!C35,"OOS")</f>
        <v>OOS</v>
      </c>
      <c r="N36" s="146" t="e">
        <f t="shared" si="5"/>
        <v>#VALUE!</v>
      </c>
      <c r="O36" s="149">
        <f>IFERROR(D36-W1Q3FY26!D35,"OOS")</f>
        <v>0</v>
      </c>
      <c r="P36" s="146" t="str">
        <f t="shared" si="6"/>
        <v/>
      </c>
      <c r="Q36" s="149">
        <f>IFERROR(E36-W1Q3FY26!E35,"OOS")</f>
        <v>0</v>
      </c>
      <c r="R36" s="146" t="str">
        <f t="shared" si="7"/>
        <v/>
      </c>
      <c r="S36" s="149" t="str">
        <f>IFERROR(F36-W1Q3FY26!F35,"OOS")</f>
        <v>OOS</v>
      </c>
      <c r="T36" s="146" t="e">
        <f t="shared" si="8"/>
        <v>#VALUE!</v>
      </c>
      <c r="U36" s="149" t="str">
        <f>IFERROR(G36-W1Q3FY26!G35,"OOS")</f>
        <v>OOS</v>
      </c>
      <c r="V36" s="146" t="e">
        <f t="shared" si="9"/>
        <v>#VALUE!</v>
      </c>
    </row>
    <row r="37" spans="1:22" ht="16" customHeight="1" x14ac:dyDescent="0.2">
      <c r="A37" t="s">
        <v>57</v>
      </c>
      <c r="B37" s="25"/>
      <c r="C37" s="135">
        <v>29990000</v>
      </c>
      <c r="D37" s="135">
        <v>29990000</v>
      </c>
      <c r="E37" s="142"/>
      <c r="F37" s="110">
        <v>29990000</v>
      </c>
      <c r="G37" s="110">
        <v>29990000</v>
      </c>
      <c r="H37" s="153"/>
      <c r="M37" s="148">
        <f>IFERROR(C37-W1Q3FY26!C36,"OOS")</f>
        <v>0</v>
      </c>
      <c r="N37" s="146" t="str">
        <f t="shared" si="5"/>
        <v/>
      </c>
      <c r="O37" s="149">
        <f>IFERROR(D37-W1Q3FY26!D36,"OOS")</f>
        <v>0</v>
      </c>
      <c r="P37" s="146" t="str">
        <f t="shared" si="6"/>
        <v/>
      </c>
      <c r="Q37" s="149">
        <f>IFERROR(E37-W1Q3FY26!E36,"OOS")</f>
        <v>0</v>
      </c>
      <c r="R37" s="146" t="str">
        <f t="shared" si="7"/>
        <v/>
      </c>
      <c r="S37" s="149">
        <f>IFERROR(F37-W1Q3FY26!F36,"OOS")</f>
        <v>0</v>
      </c>
      <c r="T37" s="146" t="str">
        <f t="shared" si="8"/>
        <v/>
      </c>
      <c r="U37" s="149">
        <f>IFERROR(G37-W1Q3FY26!G36,"OOS")</f>
        <v>0</v>
      </c>
      <c r="V37" s="146" t="str">
        <f t="shared" si="9"/>
        <v/>
      </c>
    </row>
    <row r="38" spans="1:22" ht="16" customHeight="1" x14ac:dyDescent="0.2">
      <c r="A38" t="s">
        <v>58</v>
      </c>
      <c r="B38" s="25"/>
      <c r="C38" s="135">
        <v>16490000</v>
      </c>
      <c r="D38" s="135">
        <v>16490000</v>
      </c>
      <c r="E38" s="142"/>
      <c r="F38" s="110">
        <v>16490000</v>
      </c>
      <c r="G38" s="110">
        <v>16499000</v>
      </c>
      <c r="H38" s="153"/>
      <c r="M38" s="148">
        <f>IFERROR(C38-W1Q3FY26!C37,"OOS")</f>
        <v>0</v>
      </c>
      <c r="N38" s="146" t="str">
        <f t="shared" si="5"/>
        <v/>
      </c>
      <c r="O38" s="149">
        <f>IFERROR(D38-W1Q3FY26!D37,"OOS")</f>
        <v>0</v>
      </c>
      <c r="P38" s="146" t="str">
        <f t="shared" si="6"/>
        <v/>
      </c>
      <c r="Q38" s="149">
        <f>IFERROR(E38-W1Q3FY26!E37,"OOS")</f>
        <v>0</v>
      </c>
      <c r="R38" s="146" t="str">
        <f t="shared" si="7"/>
        <v/>
      </c>
      <c r="S38" s="149">
        <f>IFERROR(F38-W1Q3FY26!F37,"OOS")</f>
        <v>0</v>
      </c>
      <c r="T38" s="146" t="str">
        <f t="shared" si="8"/>
        <v/>
      </c>
      <c r="U38" s="149">
        <f>IFERROR(G38-W1Q3FY26!G37,"OOS")</f>
        <v>0</v>
      </c>
      <c r="V38" s="146" t="str">
        <f t="shared" si="9"/>
        <v/>
      </c>
    </row>
    <row r="39" spans="1:22" ht="16" customHeight="1" x14ac:dyDescent="0.2">
      <c r="A39" t="s">
        <v>59</v>
      </c>
      <c r="B39" s="3"/>
      <c r="C39" s="140">
        <v>25590000</v>
      </c>
      <c r="D39" s="135" t="s">
        <v>22</v>
      </c>
      <c r="E39" s="142"/>
      <c r="F39" s="133">
        <v>25590000</v>
      </c>
      <c r="G39" s="110">
        <v>24590000</v>
      </c>
      <c r="H39" s="153"/>
      <c r="J39" t="s">
        <v>60</v>
      </c>
      <c r="M39" s="148">
        <f>IFERROR(C39-W1Q3FY26!C38,"OOS")</f>
        <v>300000</v>
      </c>
      <c r="N39" s="146" t="str">
        <f t="shared" si="5"/>
        <v>MacBook Air 13" M4 16/256GB tăng 300K = 25590.0K</v>
      </c>
      <c r="O39" s="149" t="str">
        <f>IFERROR(D39-W1Q3FY26!D38,"OOS")</f>
        <v>OOS</v>
      </c>
      <c r="P39" s="146" t="e">
        <f t="shared" si="6"/>
        <v>#VALUE!</v>
      </c>
      <c r="Q39" s="149">
        <f>IFERROR(E39-W1Q3FY26!E38,"OOS")</f>
        <v>0</v>
      </c>
      <c r="R39" s="146" t="str">
        <f t="shared" si="7"/>
        <v/>
      </c>
      <c r="S39" s="149">
        <f>IFERROR(F39-W1Q3FY26!F38,"OOS")</f>
        <v>600000</v>
      </c>
      <c r="T39" s="146" t="str">
        <f t="shared" si="8"/>
        <v>MacBook Air 13" M4 16/256GB tăng 600K = 25590.0K</v>
      </c>
      <c r="U39" s="149">
        <f>IFERROR(G39-W1Q3FY26!G38,"OOS")</f>
        <v>0</v>
      </c>
      <c r="V39" s="146" t="str">
        <f t="shared" si="9"/>
        <v/>
      </c>
    </row>
    <row r="40" spans="1:22" ht="16" customHeight="1" x14ac:dyDescent="0.2">
      <c r="A40" t="s">
        <v>61</v>
      </c>
      <c r="B40" s="25"/>
      <c r="C40" s="135">
        <v>29990000</v>
      </c>
      <c r="D40" s="140">
        <v>29490000</v>
      </c>
      <c r="E40" s="142"/>
      <c r="F40" s="132">
        <v>29990000</v>
      </c>
      <c r="G40" s="110">
        <v>28990000</v>
      </c>
      <c r="H40" s="153"/>
      <c r="M40" s="148">
        <f>IFERROR(C40-W1Q3FY26!C39,"OOS")</f>
        <v>0</v>
      </c>
      <c r="N40" s="146" t="str">
        <f t="shared" si="5"/>
        <v/>
      </c>
      <c r="O40" s="149">
        <f>IFERROR(D40-W1Q3FY26!D39,"OOS")</f>
        <v>-500000</v>
      </c>
      <c r="P40" s="146" t="str">
        <f t="shared" si="6"/>
        <v>MacBook Air 15" M4 16/256GB giảm 500K = 29490.0K</v>
      </c>
      <c r="Q40" s="149">
        <f>IFERROR(E40-W1Q3FY26!E39,"OOS")</f>
        <v>0</v>
      </c>
      <c r="R40" s="146" t="str">
        <f t="shared" si="7"/>
        <v/>
      </c>
      <c r="S40" s="149">
        <f>IFERROR(F40-W1Q3FY26!F39,"OOS")</f>
        <v>0</v>
      </c>
      <c r="T40" s="146" t="str">
        <f t="shared" si="8"/>
        <v/>
      </c>
      <c r="U40" s="149">
        <f>IFERROR(G40-W1Q3FY26!G39,"OOS")</f>
        <v>0</v>
      </c>
      <c r="V40" s="146" t="str">
        <f t="shared" si="9"/>
        <v/>
      </c>
    </row>
    <row r="41" spans="1:22" ht="16" customHeight="1" x14ac:dyDescent="0.2">
      <c r="A41" t="s">
        <v>187</v>
      </c>
      <c r="B41" s="25"/>
      <c r="C41" s="135" t="s">
        <v>22</v>
      </c>
      <c r="D41" s="135" t="s">
        <v>22</v>
      </c>
      <c r="E41" s="142"/>
      <c r="F41" s="110" t="s">
        <v>22</v>
      </c>
      <c r="G41" s="110">
        <v>38390000</v>
      </c>
      <c r="H41" s="153"/>
      <c r="M41" s="148" t="str">
        <f>IFERROR(C41-W1Q3FY26!C40,"OOS")</f>
        <v>OOS</v>
      </c>
      <c r="N41" s="146" t="e">
        <f t="shared" si="5"/>
        <v>#VALUE!</v>
      </c>
      <c r="O41" s="149" t="str">
        <f>IFERROR(D41-W1Q3FY26!D40,"OOS")</f>
        <v>OOS</v>
      </c>
      <c r="P41" s="146" t="e">
        <f t="shared" si="6"/>
        <v>#VALUE!</v>
      </c>
      <c r="Q41" s="149">
        <f>IFERROR(E41-W1Q3FY26!E40,"OOS")</f>
        <v>0</v>
      </c>
      <c r="R41" s="146" t="str">
        <f t="shared" si="7"/>
        <v/>
      </c>
      <c r="S41" s="149" t="str">
        <f>IFERROR(F41-W1Q3FY26!F40,"OOS")</f>
        <v>OOS</v>
      </c>
      <c r="T41" s="146" t="e">
        <f t="shared" si="8"/>
        <v>#VALUE!</v>
      </c>
      <c r="U41" s="149">
        <f>IFERROR(G41-W1Q3FY26!G40,"OOS")</f>
        <v>0</v>
      </c>
      <c r="V41" s="146" t="str">
        <f t="shared" si="9"/>
        <v/>
      </c>
    </row>
    <row r="42" spans="1:22" ht="16" customHeight="1" x14ac:dyDescent="0.2">
      <c r="A42" t="s">
        <v>62</v>
      </c>
      <c r="B42" s="25"/>
      <c r="C42" s="135">
        <v>41490000</v>
      </c>
      <c r="D42" s="135">
        <v>41490000</v>
      </c>
      <c r="E42" s="142"/>
      <c r="F42" s="132">
        <v>41490000</v>
      </c>
      <c r="G42" s="133">
        <v>41490000</v>
      </c>
      <c r="H42" s="153"/>
      <c r="M42" s="148">
        <f>IFERROR(C42-W1Q3FY26!C41,"OOS")</f>
        <v>0</v>
      </c>
      <c r="N42" s="146" t="str">
        <f t="shared" si="5"/>
        <v/>
      </c>
      <c r="O42" s="149">
        <f>IFERROR(D42-W1Q3FY26!D41,"OOS")</f>
        <v>0</v>
      </c>
      <c r="P42" s="146" t="str">
        <f t="shared" si="6"/>
        <v/>
      </c>
      <c r="Q42" s="149">
        <f>IFERROR(E42-W1Q3FY26!E41,"OOS")</f>
        <v>0</v>
      </c>
      <c r="R42" s="146" t="str">
        <f t="shared" si="7"/>
        <v/>
      </c>
      <c r="S42" s="149">
        <f>IFERROR(F42-W1Q3FY26!F41,"OOS")</f>
        <v>0</v>
      </c>
      <c r="T42" s="146" t="str">
        <f t="shared" si="8"/>
        <v/>
      </c>
      <c r="U42" s="149">
        <f>IFERROR(G42-W1Q3FY26!G41,"OOS")</f>
        <v>800000</v>
      </c>
      <c r="V42" s="146" t="str">
        <f t="shared" si="9"/>
        <v>MacBook Pro 14" M5 16/512GB tăng 800K = 41490.0K</v>
      </c>
    </row>
    <row r="43" spans="1:22" ht="16" customHeight="1" x14ac:dyDescent="0.2">
      <c r="A43" t="s">
        <v>188</v>
      </c>
      <c r="B43" s="25"/>
      <c r="C43" s="135" t="s">
        <v>22</v>
      </c>
      <c r="D43" s="140">
        <v>63990000</v>
      </c>
      <c r="E43" s="142"/>
      <c r="F43" s="132">
        <v>62990000</v>
      </c>
      <c r="G43" s="110">
        <v>63990000</v>
      </c>
      <c r="H43" s="153"/>
      <c r="M43" s="148" t="str">
        <f>IFERROR(C43-W1Q3FY26!C42,"OOS")</f>
        <v>OOS</v>
      </c>
      <c r="N43" s="146" t="e">
        <f t="shared" si="5"/>
        <v>#VALUE!</v>
      </c>
      <c r="O43" s="149">
        <f>IFERROR(D43-W1Q3FY26!D42,"OOS")</f>
        <v>0</v>
      </c>
      <c r="P43" s="146" t="str">
        <f t="shared" si="6"/>
        <v/>
      </c>
      <c r="Q43" s="149">
        <f>IFERROR(E43-W1Q3FY26!E42,"OOS")</f>
        <v>0</v>
      </c>
      <c r="R43" s="146" t="str">
        <f t="shared" si="7"/>
        <v/>
      </c>
      <c r="S43" s="149">
        <f>IFERROR(F43-W1Q3FY26!F42,"OOS")</f>
        <v>0</v>
      </c>
      <c r="T43" s="146" t="str">
        <f t="shared" si="8"/>
        <v/>
      </c>
      <c r="U43" s="149">
        <f>IFERROR(G43-W1Q3FY26!G42,"OOS")</f>
        <v>0</v>
      </c>
      <c r="V43" s="146" t="str">
        <f t="shared" si="9"/>
        <v/>
      </c>
    </row>
    <row r="44" spans="1:22" ht="16" customHeight="1" x14ac:dyDescent="0.2">
      <c r="C44" s="124"/>
      <c r="D44" s="124"/>
    </row>
    <row r="45" spans="1:22" ht="16" customHeight="1" x14ac:dyDescent="0.2">
      <c r="C45" s="124"/>
      <c r="D45" s="124"/>
    </row>
    <row r="46" spans="1:22" ht="16" customHeight="1" x14ac:dyDescent="0.2">
      <c r="C46" s="124"/>
      <c r="D46" s="124"/>
    </row>
    <row r="47" spans="1:22" ht="16" customHeight="1" x14ac:dyDescent="0.2">
      <c r="C47" s="124"/>
      <c r="D47" s="124"/>
    </row>
    <row r="48" spans="1:22" ht="16" customHeight="1" x14ac:dyDescent="0.2">
      <c r="C48" s="124"/>
      <c r="D48" s="124"/>
    </row>
    <row r="49" spans="3:4" ht="16" customHeight="1" x14ac:dyDescent="0.2">
      <c r="C49" s="124"/>
      <c r="D49" s="124"/>
    </row>
    <row r="50" spans="3:4" ht="16" customHeight="1" x14ac:dyDescent="0.2">
      <c r="C50" s="124"/>
      <c r="D50" s="124"/>
    </row>
    <row r="51" spans="3:4" ht="16" customHeight="1" x14ac:dyDescent="0.2">
      <c r="C51" s="124"/>
      <c r="D51" s="124"/>
    </row>
    <row r="52" spans="3:4" ht="16" customHeight="1" x14ac:dyDescent="0.2">
      <c r="C52" s="124"/>
      <c r="D52" s="124"/>
    </row>
    <row r="53" spans="3:4" ht="16" customHeight="1" x14ac:dyDescent="0.2">
      <c r="C53" s="124"/>
      <c r="D53" s="124"/>
    </row>
    <row r="54" spans="3:4" ht="16" customHeight="1" x14ac:dyDescent="0.2">
      <c r="C54" s="124"/>
      <c r="D54" s="124"/>
    </row>
    <row r="55" spans="3:4" ht="16" customHeight="1" x14ac:dyDescent="0.2">
      <c r="C55" s="124"/>
      <c r="D55" s="124"/>
    </row>
    <row r="56" spans="3:4" ht="16" customHeight="1" x14ac:dyDescent="0.2">
      <c r="C56" s="124"/>
      <c r="D56" s="124"/>
    </row>
    <row r="57" spans="3:4" ht="16" customHeight="1" x14ac:dyDescent="0.2">
      <c r="C57" s="124"/>
      <c r="D57" s="124"/>
    </row>
    <row r="58" spans="3:4" ht="16" customHeight="1" x14ac:dyDescent="0.2">
      <c r="C58" s="124"/>
      <c r="D58" s="124"/>
    </row>
    <row r="59" spans="3:4" ht="16" customHeight="1" x14ac:dyDescent="0.2">
      <c r="C59" s="124"/>
      <c r="D59" s="124"/>
    </row>
    <row r="60" spans="3:4" ht="16" customHeight="1" x14ac:dyDescent="0.2">
      <c r="C60" s="124"/>
      <c r="D60" s="124"/>
    </row>
    <row r="61" spans="3:4" ht="16" customHeight="1" x14ac:dyDescent="0.2">
      <c r="C61" s="124"/>
      <c r="D61" s="124"/>
    </row>
    <row r="62" spans="3:4" ht="16" customHeight="1" x14ac:dyDescent="0.2">
      <c r="C62" s="124"/>
      <c r="D62" s="124"/>
    </row>
    <row r="63" spans="3:4" ht="16" customHeight="1" x14ac:dyDescent="0.2">
      <c r="C63" s="124"/>
      <c r="D63" s="124"/>
    </row>
    <row r="64" spans="3:4" ht="16" customHeight="1" x14ac:dyDescent="0.2">
      <c r="C64" s="124"/>
      <c r="D64" s="124"/>
    </row>
    <row r="65" spans="3:4" ht="16" customHeight="1" x14ac:dyDescent="0.2">
      <c r="C65" s="124"/>
      <c r="D65" s="124"/>
    </row>
    <row r="66" spans="3:4" ht="16" customHeight="1" x14ac:dyDescent="0.2">
      <c r="C66" s="124"/>
      <c r="D66" s="124"/>
    </row>
    <row r="67" spans="3:4" ht="16" customHeight="1" x14ac:dyDescent="0.2">
      <c r="C67" s="124"/>
      <c r="D67" s="124"/>
    </row>
    <row r="68" spans="3:4" ht="16" customHeight="1" x14ac:dyDescent="0.2">
      <c r="C68" s="124"/>
      <c r="D68" s="124"/>
    </row>
    <row r="69" spans="3:4" ht="16" customHeight="1" x14ac:dyDescent="0.2">
      <c r="C69" s="124"/>
      <c r="D69" s="124"/>
    </row>
    <row r="70" spans="3:4" ht="16" customHeight="1" x14ac:dyDescent="0.2">
      <c r="C70" s="124"/>
      <c r="D70" s="124"/>
    </row>
    <row r="71" spans="3:4" ht="16" customHeight="1" x14ac:dyDescent="0.2">
      <c r="C71" s="124"/>
      <c r="D71" s="124"/>
    </row>
    <row r="72" spans="3:4" ht="16" customHeight="1" x14ac:dyDescent="0.2">
      <c r="C72" s="124"/>
      <c r="D72" s="124"/>
    </row>
    <row r="73" spans="3:4" ht="16" customHeight="1" x14ac:dyDescent="0.2">
      <c r="C73" s="124"/>
      <c r="D73" s="124"/>
    </row>
    <row r="74" spans="3:4" ht="16" customHeight="1" x14ac:dyDescent="0.2">
      <c r="C74" s="124"/>
      <c r="D74" s="124"/>
    </row>
    <row r="75" spans="3:4" ht="16" customHeight="1" x14ac:dyDescent="0.2">
      <c r="C75" s="124"/>
      <c r="D75" s="124"/>
    </row>
    <row r="76" spans="3:4" ht="16" customHeight="1" x14ac:dyDescent="0.2">
      <c r="C76" s="124"/>
      <c r="D76" s="124"/>
    </row>
    <row r="77" spans="3:4" ht="16" customHeight="1" x14ac:dyDescent="0.2">
      <c r="C77" s="124"/>
      <c r="D77" s="124"/>
    </row>
    <row r="78" spans="3:4" ht="16" customHeight="1" x14ac:dyDescent="0.2">
      <c r="C78" s="124"/>
      <c r="D78" s="124"/>
    </row>
    <row r="79" spans="3:4" ht="16" customHeight="1" x14ac:dyDescent="0.2">
      <c r="C79" s="124"/>
      <c r="D79" s="124"/>
    </row>
    <row r="80" spans="3:4" ht="16" customHeight="1" x14ac:dyDescent="0.2">
      <c r="C80" s="124"/>
      <c r="D80" s="124"/>
    </row>
    <row r="81" spans="3:4" ht="16" customHeight="1" x14ac:dyDescent="0.2">
      <c r="C81" s="124"/>
      <c r="D81" s="124"/>
    </row>
    <row r="82" spans="3:4" ht="16" customHeight="1" x14ac:dyDescent="0.2">
      <c r="C82" s="124"/>
      <c r="D82" s="124"/>
    </row>
    <row r="83" spans="3:4" ht="16" customHeight="1" x14ac:dyDescent="0.2">
      <c r="C83" s="124"/>
      <c r="D83" s="124"/>
    </row>
    <row r="84" spans="3:4" ht="16" customHeight="1" x14ac:dyDescent="0.2">
      <c r="C84" s="124"/>
      <c r="D84" s="124"/>
    </row>
    <row r="85" spans="3:4" ht="16" customHeight="1" x14ac:dyDescent="0.2">
      <c r="C85" s="124"/>
      <c r="D85" s="124"/>
    </row>
    <row r="86" spans="3:4" ht="16" customHeight="1" x14ac:dyDescent="0.2">
      <c r="C86" s="124"/>
      <c r="D86" s="124"/>
    </row>
    <row r="87" spans="3:4" ht="16" customHeight="1" x14ac:dyDescent="0.2">
      <c r="C87" s="124"/>
      <c r="D87" s="124"/>
    </row>
    <row r="88" spans="3:4" ht="16" customHeight="1" x14ac:dyDescent="0.2">
      <c r="C88" s="124"/>
      <c r="D88" s="124"/>
    </row>
    <row r="89" spans="3:4" ht="16" customHeight="1" x14ac:dyDescent="0.2">
      <c r="C89" s="124"/>
      <c r="D89" s="124"/>
    </row>
    <row r="90" spans="3:4" ht="16" customHeight="1" x14ac:dyDescent="0.2">
      <c r="C90" s="124"/>
      <c r="D90" s="124"/>
    </row>
    <row r="91" spans="3:4" ht="16" customHeight="1" x14ac:dyDescent="0.2">
      <c r="C91" s="124"/>
      <c r="D91" s="124"/>
    </row>
    <row r="92" spans="3:4" ht="16" customHeight="1" x14ac:dyDescent="0.2">
      <c r="C92" s="124"/>
      <c r="D92" s="124"/>
    </row>
    <row r="93" spans="3:4" ht="16" customHeight="1" x14ac:dyDescent="0.2">
      <c r="C93" s="124"/>
      <c r="D93" s="124"/>
    </row>
    <row r="94" spans="3:4" ht="16" customHeight="1" x14ac:dyDescent="0.2">
      <c r="C94" s="124"/>
      <c r="D94" s="124"/>
    </row>
    <row r="95" spans="3:4" ht="16" customHeight="1" x14ac:dyDescent="0.2">
      <c r="C95" s="124"/>
      <c r="D95" s="124"/>
    </row>
    <row r="96" spans="3:4" ht="16" customHeight="1" x14ac:dyDescent="0.2">
      <c r="C96" s="124"/>
      <c r="D96" s="124"/>
    </row>
    <row r="97" spans="3:4" ht="16" customHeight="1" x14ac:dyDescent="0.2">
      <c r="C97" s="124"/>
      <c r="D97" s="124"/>
    </row>
    <row r="98" spans="3:4" ht="16" customHeight="1" x14ac:dyDescent="0.2">
      <c r="C98" s="124"/>
      <c r="D98" s="124"/>
    </row>
    <row r="99" spans="3:4" ht="16" customHeight="1" x14ac:dyDescent="0.2">
      <c r="C99" s="124"/>
      <c r="D99" s="124"/>
    </row>
    <row r="100" spans="3:4" ht="16" customHeight="1" x14ac:dyDescent="0.2">
      <c r="C100" s="124"/>
      <c r="D100" s="124"/>
    </row>
    <row r="101" spans="3:4" ht="16" customHeight="1" x14ac:dyDescent="0.2">
      <c r="C101" s="124"/>
      <c r="D101" s="124"/>
    </row>
    <row r="102" spans="3:4" ht="16" customHeight="1" x14ac:dyDescent="0.2">
      <c r="C102" s="124"/>
      <c r="D102" s="124"/>
    </row>
    <row r="103" spans="3:4" ht="16" customHeight="1" x14ac:dyDescent="0.2">
      <c r="C103" s="124"/>
      <c r="D103" s="124"/>
    </row>
    <row r="104" spans="3:4" ht="16" customHeight="1" x14ac:dyDescent="0.2">
      <c r="C104" s="124"/>
      <c r="D104" s="124"/>
    </row>
    <row r="105" spans="3:4" ht="16" customHeight="1" x14ac:dyDescent="0.2">
      <c r="C105" s="124"/>
      <c r="D105" s="124"/>
    </row>
    <row r="106" spans="3:4" ht="16" customHeight="1" x14ac:dyDescent="0.2">
      <c r="C106" s="124"/>
      <c r="D106" s="124"/>
    </row>
    <row r="107" spans="3:4" ht="16" customHeight="1" x14ac:dyDescent="0.2">
      <c r="C107" s="124"/>
      <c r="D107" s="124"/>
    </row>
    <row r="108" spans="3:4" ht="16" customHeight="1" x14ac:dyDescent="0.2">
      <c r="C108" s="124"/>
      <c r="D108" s="124"/>
    </row>
    <row r="109" spans="3:4" ht="16" customHeight="1" x14ac:dyDescent="0.2">
      <c r="C109" s="124"/>
      <c r="D109" s="124"/>
    </row>
    <row r="110" spans="3:4" ht="16" customHeight="1" x14ac:dyDescent="0.2">
      <c r="C110" s="124"/>
      <c r="D110" s="124"/>
    </row>
    <row r="111" spans="3:4" ht="16" customHeight="1" x14ac:dyDescent="0.2">
      <c r="C111" s="124"/>
      <c r="D111" s="124"/>
    </row>
    <row r="112" spans="3:4" ht="16" customHeight="1" x14ac:dyDescent="0.2">
      <c r="C112" s="124"/>
      <c r="D112" s="124"/>
    </row>
    <row r="113" spans="3:4" ht="16" customHeight="1" x14ac:dyDescent="0.2">
      <c r="C113" s="124"/>
      <c r="D113" s="124"/>
    </row>
    <row r="114" spans="3:4" ht="16" customHeight="1" x14ac:dyDescent="0.2">
      <c r="C114" s="124"/>
      <c r="D114" s="124"/>
    </row>
    <row r="115" spans="3:4" ht="16" customHeight="1" x14ac:dyDescent="0.2">
      <c r="C115" s="124"/>
      <c r="D115" s="124"/>
    </row>
    <row r="116" spans="3:4" ht="16" customHeight="1" x14ac:dyDescent="0.2">
      <c r="C116" s="124"/>
      <c r="D116" s="124"/>
    </row>
    <row r="117" spans="3:4" ht="16" customHeight="1" x14ac:dyDescent="0.2">
      <c r="C117" s="124"/>
      <c r="D117" s="124"/>
    </row>
    <row r="118" spans="3:4" ht="16" customHeight="1" x14ac:dyDescent="0.2">
      <c r="C118" s="124"/>
      <c r="D118" s="124"/>
    </row>
    <row r="119" spans="3:4" ht="16" customHeight="1" x14ac:dyDescent="0.2">
      <c r="C119" s="124"/>
      <c r="D119" s="124"/>
    </row>
    <row r="120" spans="3:4" ht="16" customHeight="1" x14ac:dyDescent="0.2">
      <c r="C120" s="124"/>
      <c r="D120" s="124"/>
    </row>
    <row r="121" spans="3:4" ht="16" customHeight="1" x14ac:dyDescent="0.2">
      <c r="C121" s="124"/>
      <c r="D121" s="124"/>
    </row>
    <row r="122" spans="3:4" ht="16" customHeight="1" x14ac:dyDescent="0.2">
      <c r="C122" s="124"/>
      <c r="D122" s="124"/>
    </row>
    <row r="123" spans="3:4" ht="16" customHeight="1" x14ac:dyDescent="0.2">
      <c r="C123" s="124"/>
      <c r="D123" s="124"/>
    </row>
    <row r="124" spans="3:4" ht="16" customHeight="1" x14ac:dyDescent="0.2">
      <c r="C124" s="124"/>
      <c r="D124" s="124"/>
    </row>
    <row r="125" spans="3:4" ht="16" customHeight="1" x14ac:dyDescent="0.2">
      <c r="C125" s="124"/>
      <c r="D125" s="124"/>
    </row>
    <row r="126" spans="3:4" ht="16" customHeight="1" x14ac:dyDescent="0.2">
      <c r="C126" s="124"/>
      <c r="D126" s="124"/>
    </row>
    <row r="127" spans="3:4" ht="16" customHeight="1" x14ac:dyDescent="0.2">
      <c r="C127" s="124"/>
      <c r="D127" s="124"/>
    </row>
    <row r="128" spans="3:4" ht="16" customHeight="1" x14ac:dyDescent="0.2">
      <c r="C128" s="124"/>
      <c r="D128" s="124"/>
    </row>
    <row r="129" spans="3:4" ht="16" customHeight="1" x14ac:dyDescent="0.2">
      <c r="C129" s="124"/>
      <c r="D129" s="124"/>
    </row>
    <row r="130" spans="3:4" ht="16" customHeight="1" x14ac:dyDescent="0.2">
      <c r="C130" s="124"/>
      <c r="D130" s="124"/>
    </row>
    <row r="131" spans="3:4" ht="16" customHeight="1" x14ac:dyDescent="0.2">
      <c r="C131" s="124"/>
      <c r="D131" s="124"/>
    </row>
    <row r="132" spans="3:4" ht="16" customHeight="1" x14ac:dyDescent="0.2">
      <c r="C132" s="124"/>
      <c r="D132" s="124"/>
    </row>
    <row r="133" spans="3:4" ht="16" customHeight="1" x14ac:dyDescent="0.2">
      <c r="C133" s="124"/>
      <c r="D133" s="124"/>
    </row>
    <row r="134" spans="3:4" ht="16" customHeight="1" x14ac:dyDescent="0.2">
      <c r="C134" s="124"/>
      <c r="D134" s="124"/>
    </row>
    <row r="135" spans="3:4" ht="16" customHeight="1" x14ac:dyDescent="0.2">
      <c r="C135" s="124"/>
      <c r="D135" s="124"/>
    </row>
    <row r="136" spans="3:4" ht="16" customHeight="1" x14ac:dyDescent="0.2">
      <c r="C136" s="124"/>
      <c r="D136" s="124"/>
    </row>
    <row r="137" spans="3:4" ht="16" customHeight="1" x14ac:dyDescent="0.2">
      <c r="C137" s="124"/>
      <c r="D137" s="124"/>
    </row>
    <row r="138" spans="3:4" ht="16" customHeight="1" x14ac:dyDescent="0.2">
      <c r="C138" s="124"/>
      <c r="D138" s="124"/>
    </row>
    <row r="139" spans="3:4" ht="16" customHeight="1" x14ac:dyDescent="0.2">
      <c r="C139" s="124"/>
      <c r="D139" s="124"/>
    </row>
    <row r="140" spans="3:4" ht="16" customHeight="1" x14ac:dyDescent="0.2">
      <c r="C140" s="124"/>
      <c r="D140" s="124"/>
    </row>
    <row r="141" spans="3:4" ht="16" customHeight="1" x14ac:dyDescent="0.2">
      <c r="C141" s="124"/>
      <c r="D141" s="124"/>
    </row>
    <row r="142" spans="3:4" ht="16" customHeight="1" x14ac:dyDescent="0.2">
      <c r="C142" s="124"/>
      <c r="D142" s="124"/>
    </row>
    <row r="143" spans="3:4" ht="16" customHeight="1" x14ac:dyDescent="0.2">
      <c r="C143" s="124"/>
      <c r="D143" s="124"/>
    </row>
    <row r="144" spans="3:4" ht="16" customHeight="1" x14ac:dyDescent="0.2">
      <c r="C144" s="124"/>
      <c r="D144" s="124"/>
    </row>
    <row r="145" spans="3:4" ht="16" customHeight="1" x14ac:dyDescent="0.2">
      <c r="C145" s="124"/>
      <c r="D145" s="124"/>
    </row>
    <row r="146" spans="3:4" ht="16" customHeight="1" x14ac:dyDescent="0.2">
      <c r="C146" s="124"/>
      <c r="D146" s="124"/>
    </row>
    <row r="147" spans="3:4" ht="16" customHeight="1" x14ac:dyDescent="0.2">
      <c r="C147" s="124"/>
      <c r="D147" s="124"/>
    </row>
    <row r="148" spans="3:4" ht="16" customHeight="1" x14ac:dyDescent="0.2">
      <c r="C148" s="124"/>
      <c r="D148" s="124"/>
    </row>
    <row r="149" spans="3:4" ht="16" customHeight="1" x14ac:dyDescent="0.2">
      <c r="C149" s="124"/>
      <c r="D149" s="124"/>
    </row>
    <row r="150" spans="3:4" ht="16" customHeight="1" x14ac:dyDescent="0.2">
      <c r="C150" s="124"/>
      <c r="D150" s="124"/>
    </row>
    <row r="151" spans="3:4" ht="16" customHeight="1" x14ac:dyDescent="0.2">
      <c r="C151" s="124"/>
      <c r="D151" s="124"/>
    </row>
    <row r="152" spans="3:4" ht="16" customHeight="1" x14ac:dyDescent="0.2">
      <c r="C152" s="124"/>
      <c r="D152" s="124"/>
    </row>
    <row r="153" spans="3:4" ht="16" customHeight="1" x14ac:dyDescent="0.2">
      <c r="C153" s="124"/>
      <c r="D153" s="124"/>
    </row>
    <row r="154" spans="3:4" ht="16" customHeight="1" x14ac:dyDescent="0.2">
      <c r="C154" s="124"/>
      <c r="D154" s="124"/>
    </row>
    <row r="155" spans="3:4" ht="16" customHeight="1" x14ac:dyDescent="0.2">
      <c r="C155" s="124"/>
      <c r="D155" s="124"/>
    </row>
  </sheetData>
  <conditionalFormatting sqref="E2:E43">
    <cfRule type="expression" dxfId="31" priority="5" stopIfTrue="1">
      <formula>$Q2=0</formula>
    </cfRule>
    <cfRule type="expression" dxfId="30" priority="6" stopIfTrue="1">
      <formula>AND($Q2&lt;&gt;0,$Q2&lt;&gt;"")</formula>
    </cfRule>
  </conditionalFormatting>
  <conditionalFormatting sqref="G9:G11">
    <cfRule type="expression" dxfId="29" priority="1" stopIfTrue="1">
      <formula>$Q9=0</formula>
    </cfRule>
    <cfRule type="expression" dxfId="28" priority="2" stopIfTrue="1">
      <formula>AND($Q9&lt;&gt;0,$Q9&lt;&gt;"")</formula>
    </cfRule>
  </conditionalFormatting>
  <conditionalFormatting sqref="N2:N43 P2:P43 R2:R43 T2:T43 V2:V43">
    <cfRule type="containsText" dxfId="27" priority="3" operator="containsText" text="Tăng">
      <formula>NOT(ISERROR(SEARCH("Tăng",N2)))</formula>
    </cfRule>
    <cfRule type="containsText" dxfId="26" priority="4" operator="containsText" text="giảm">
      <formula>NOT(ISERROR(SEARCH("giảm",N2)))</formula>
    </cfRule>
  </conditionalFormatting>
  <pageMargins left="0.7" right="0.7" top="0.75" bottom="0.75" header="0.3" footer="0.3"/>
  <pageSetup paperSize="9" orientation="portrait" horizontalDpi="0" verticalDpi="0"/>
  <legacyDrawing r:id="rId1"/>
</worksheet>
</file>

<file path=xl/worksheets/sheet10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600-000000000000}">
  <dimension ref="A1:Y154"/>
  <sheetViews>
    <sheetView showGridLines="0" zoomScale="80" zoomScaleNormal="80" workbookViewId="0">
      <pane xSplit="2" ySplit="1" topLeftCell="K36" activePane="bottomRight" state="frozen"/>
      <selection pane="topRight" activeCell="C1" sqref="C1"/>
      <selection pane="bottomLeft" activeCell="A2" sqref="A2"/>
      <selection pane="bottomRight" activeCell="C1" sqref="C1"/>
    </sheetView>
  </sheetViews>
  <sheetFormatPr baseColWidth="10" defaultColWidth="11" defaultRowHeight="15.75" customHeight="1" x14ac:dyDescent="0.2"/>
  <cols>
    <col min="1" max="1" width="24.5" customWidth="1"/>
    <col min="2" max="2" width="15.83203125" hidden="1" customWidth="1"/>
    <col min="3" max="3" width="14.83203125" customWidth="1"/>
    <col min="4" max="4" width="16" customWidth="1"/>
    <col min="5" max="5" width="15.5" style="6" customWidth="1"/>
    <col min="6" max="6" width="14.33203125" customWidth="1"/>
    <col min="7" max="12" width="11" customWidth="1"/>
    <col min="13" max="13" width="14.33203125" customWidth="1"/>
    <col min="14" max="14" width="42" customWidth="1"/>
    <col min="15" max="15" width="14.83203125" customWidth="1"/>
    <col min="16" max="16" width="51.5" customWidth="1"/>
    <col min="17" max="17" width="13.5" customWidth="1"/>
    <col min="18" max="18" width="46" customWidth="1"/>
    <col min="19" max="19" width="15.5" customWidth="1"/>
    <col min="20" max="20" width="42.33203125" customWidth="1"/>
    <col min="21" max="21" width="14.1640625" customWidth="1"/>
    <col min="22" max="22" width="48.33203125" customWidth="1"/>
  </cols>
  <sheetData>
    <row r="1" spans="1:22" ht="29" customHeight="1" x14ac:dyDescent="0.2">
      <c r="B1" s="46" t="s">
        <v>0</v>
      </c>
      <c r="C1" s="80" t="s">
        <v>1</v>
      </c>
      <c r="D1" s="80" t="s">
        <v>2</v>
      </c>
      <c r="E1" s="115" t="s">
        <v>3</v>
      </c>
      <c r="F1" s="81" t="s">
        <v>4</v>
      </c>
      <c r="G1" s="81" t="s">
        <v>5</v>
      </c>
      <c r="M1" s="143" t="s">
        <v>6</v>
      </c>
      <c r="N1" s="143" t="s">
        <v>7</v>
      </c>
      <c r="O1" s="144" t="s">
        <v>8</v>
      </c>
      <c r="P1" s="144" t="s">
        <v>9</v>
      </c>
      <c r="Q1" s="144" t="s">
        <v>10</v>
      </c>
      <c r="R1" s="144" t="s">
        <v>11</v>
      </c>
      <c r="S1" s="144" t="s">
        <v>12</v>
      </c>
      <c r="T1" s="144" t="s">
        <v>13</v>
      </c>
      <c r="U1" s="144" t="s">
        <v>14</v>
      </c>
      <c r="V1" s="145" t="s">
        <v>15</v>
      </c>
    </row>
    <row r="2" spans="1:22" ht="16" customHeight="1" x14ac:dyDescent="0.2">
      <c r="A2" t="s">
        <v>16</v>
      </c>
      <c r="B2" s="82"/>
      <c r="C2" s="126">
        <v>17990000</v>
      </c>
      <c r="D2" s="127">
        <v>17790000</v>
      </c>
      <c r="E2" s="134">
        <v>17290000</v>
      </c>
      <c r="F2" s="157">
        <v>17490000</v>
      </c>
      <c r="G2" s="111">
        <v>17490000</v>
      </c>
      <c r="H2" s="153"/>
      <c r="M2" s="148">
        <f>IFERROR(C2-W2Q3FY26!C2,"OOS")</f>
        <v>0</v>
      </c>
      <c r="N2" s="146" t="str">
        <f t="shared" ref="N2:N18" si="0">IF(M2=0,"",$A2 &amp; IF(M2&gt;0," tăng "," giảm ") &amp; TEXT(ABS(M2)/1000,"0") &amp; "K = " &amp; TEXT(C2/1000,"#.##0") &amp; "K")</f>
        <v/>
      </c>
      <c r="O2" s="149">
        <f>IFERROR(D2-W2Q3FY26!D2,"OOS")</f>
        <v>0</v>
      </c>
      <c r="P2" s="146" t="str">
        <f t="shared" ref="P2:P18" si="1">IF(O2=0,"",$A2 &amp; IF(O2&gt;0," tăng "," giảm ") &amp; TEXT(ABS(O2)/1000,"0") &amp; "K = " &amp; TEXT(D2/1000,"#.##0") &amp; "K")</f>
        <v/>
      </c>
      <c r="Q2" s="149">
        <f>IFERROR(E2-W2Q3FY26!E2,"OOS")</f>
        <v>0</v>
      </c>
      <c r="R2" s="146" t="str">
        <f t="shared" ref="R2:R42" si="2">IF(Q2=0,"",$A2 &amp; IF(Q2&gt;0," tăng "," giảm ") &amp; TEXT(ABS(Q2)/1000,"0") &amp; "K = " &amp; TEXT(E2/1000,"#.##0") &amp; "K")</f>
        <v/>
      </c>
      <c r="S2" s="149">
        <f>IFERROR(F2-W2Q3FY26!F2,"OOS")</f>
        <v>-200000</v>
      </c>
      <c r="T2" s="146" t="str">
        <f t="shared" ref="T2:T18" si="3">IF(S2=0,"",$A2 &amp; IF(S2&gt;0," tăng "," giảm ") &amp; TEXT(ABS(S2)/1000,"0") &amp; "K = " &amp; TEXT(F2/1000,"#.##0") &amp; "K")</f>
        <v>iPhone 17e 256GB giảm 200K = 17490.0K</v>
      </c>
      <c r="U2" s="149">
        <f>IFERROR(G2-W2Q3FY26!G2,"OOS")</f>
        <v>-100000</v>
      </c>
      <c r="V2" s="146" t="str">
        <f t="shared" ref="V2:V44" si="4">IF(U2=0,"",$A2 &amp; IF(U2&gt;0," tăng "," giảm ") &amp; TEXT(ABS(U2)/1000,"0") &amp; "K = " &amp; TEXT(G2/1000,"#.##0") &amp; "K")</f>
        <v>iPhone 17e 256GB giảm 100K = 17490.0K</v>
      </c>
    </row>
    <row r="3" spans="1:22" ht="16" customHeight="1" x14ac:dyDescent="0.2">
      <c r="A3" t="s">
        <v>17</v>
      </c>
      <c r="B3" s="82"/>
      <c r="C3" s="127">
        <v>24490000</v>
      </c>
      <c r="D3" s="127">
        <v>24490000</v>
      </c>
      <c r="E3" s="130">
        <v>24190000</v>
      </c>
      <c r="F3" s="160">
        <v>24390000</v>
      </c>
      <c r="G3" s="110">
        <v>24190000</v>
      </c>
      <c r="H3" s="153"/>
      <c r="M3" s="148">
        <f>IFERROR(C3-W2Q3FY26!C3,"OOS")</f>
        <v>0</v>
      </c>
      <c r="N3" s="146" t="str">
        <f t="shared" si="0"/>
        <v/>
      </c>
      <c r="O3" s="149">
        <f>IFERROR(D3-W2Q3FY26!D3,"OOS")</f>
        <v>0</v>
      </c>
      <c r="P3" s="146" t="str">
        <f t="shared" si="1"/>
        <v/>
      </c>
      <c r="Q3" s="149">
        <f>IFERROR(E3-W2Q3FY26!E3,"OOS")</f>
        <v>0</v>
      </c>
      <c r="R3" s="146" t="str">
        <f t="shared" si="2"/>
        <v/>
      </c>
      <c r="S3" s="149">
        <f>IFERROR(F3-W2Q3FY26!F3,"OOS")</f>
        <v>0</v>
      </c>
      <c r="T3" s="146" t="str">
        <f t="shared" si="3"/>
        <v/>
      </c>
      <c r="U3" s="149">
        <f>IFERROR(G3-W2Q3FY26!G3,"OOS")</f>
        <v>0</v>
      </c>
      <c r="V3" s="146" t="str">
        <f t="shared" si="4"/>
        <v/>
      </c>
    </row>
    <row r="4" spans="1:22" ht="16" customHeight="1" x14ac:dyDescent="0.2">
      <c r="A4" t="s">
        <v>18</v>
      </c>
      <c r="B4" s="82"/>
      <c r="C4" s="127">
        <v>22990000</v>
      </c>
      <c r="D4" s="129">
        <v>22990000</v>
      </c>
      <c r="E4" s="130">
        <v>23490000</v>
      </c>
      <c r="F4" s="132">
        <v>22990000</v>
      </c>
      <c r="G4" s="111">
        <v>23490000</v>
      </c>
      <c r="H4" s="153"/>
      <c r="M4" s="148">
        <f>IFERROR(C4-W2Q3FY26!C4,"OOS")</f>
        <v>0</v>
      </c>
      <c r="N4" s="146" t="str">
        <f t="shared" si="0"/>
        <v/>
      </c>
      <c r="O4" s="149">
        <f>IFERROR(D4-W2Q3FY26!D4,"OOS")</f>
        <v>500000</v>
      </c>
      <c r="P4" s="146" t="str">
        <f t="shared" si="1"/>
        <v>iPhone Air 256G tăng 500K = 22990.0K</v>
      </c>
      <c r="Q4" s="149">
        <f>IFERROR(E4-W2Q3FY26!E4,"OOS")</f>
        <v>0</v>
      </c>
      <c r="R4" s="146" t="str">
        <f t="shared" si="2"/>
        <v/>
      </c>
      <c r="S4" s="149">
        <f>IFERROR(F4-W2Q3FY26!F4,"OOS")</f>
        <v>0</v>
      </c>
      <c r="T4" s="146" t="str">
        <f t="shared" si="3"/>
        <v/>
      </c>
      <c r="U4" s="149">
        <f>IFERROR(G4-W2Q3FY26!G4,"OOS")</f>
        <v>-500000</v>
      </c>
      <c r="V4" s="146" t="str">
        <f t="shared" si="4"/>
        <v>iPhone Air 256G giảm 500K = 23490.0K</v>
      </c>
    </row>
    <row r="5" spans="1:22" ht="16" customHeight="1" x14ac:dyDescent="0.2">
      <c r="A5" t="s">
        <v>19</v>
      </c>
      <c r="B5" s="82"/>
      <c r="C5" s="127">
        <v>34890000</v>
      </c>
      <c r="D5" s="129">
        <v>34790000</v>
      </c>
      <c r="E5" s="130">
        <v>33190000</v>
      </c>
      <c r="F5" s="132">
        <v>34790000</v>
      </c>
      <c r="G5" s="111">
        <v>33990000</v>
      </c>
      <c r="H5" s="153"/>
      <c r="M5" s="148">
        <f>IFERROR(C5-W2Q3FY26!C5,"OOS")</f>
        <v>100000</v>
      </c>
      <c r="N5" s="146" t="str">
        <f t="shared" si="0"/>
        <v>iPhone 17 Pro 256GB tăng 100K = 34890.0K</v>
      </c>
      <c r="O5" s="149">
        <f>IFERROR(D5-W2Q3FY26!D5,"OOS")</f>
        <v>100000</v>
      </c>
      <c r="P5" s="146" t="str">
        <f t="shared" si="1"/>
        <v>iPhone 17 Pro 256GB tăng 100K = 34790.0K</v>
      </c>
      <c r="Q5" s="149">
        <f>IFERROR(E5-W2Q3FY26!E5,"OOS")</f>
        <v>0</v>
      </c>
      <c r="R5" s="146" t="str">
        <f t="shared" si="2"/>
        <v/>
      </c>
      <c r="S5" s="149">
        <f>IFERROR(F5-W2Q3FY26!F5,"OOS")</f>
        <v>0</v>
      </c>
      <c r="T5" s="146" t="str">
        <f t="shared" si="3"/>
        <v/>
      </c>
      <c r="U5" s="149">
        <f>IFERROR(G5-W2Q3FY26!G5,"OOS")</f>
        <v>300000</v>
      </c>
      <c r="V5" s="146" t="str">
        <f t="shared" si="4"/>
        <v>iPhone 17 Pro 256GB tăng 300K = 33990.0K</v>
      </c>
    </row>
    <row r="6" spans="1:22" ht="16" customHeight="1" x14ac:dyDescent="0.2">
      <c r="A6" t="s">
        <v>20</v>
      </c>
      <c r="B6" s="82"/>
      <c r="C6" s="129">
        <v>36990000</v>
      </c>
      <c r="D6" s="127">
        <v>36990000</v>
      </c>
      <c r="E6" s="134">
        <v>36290000</v>
      </c>
      <c r="F6" s="133">
        <v>36990000</v>
      </c>
      <c r="G6" s="111">
        <v>36990000</v>
      </c>
      <c r="H6" s="153"/>
      <c r="M6" s="148">
        <f>IFERROR(C6-W2Q3FY26!C6,"OOS")</f>
        <v>-900000</v>
      </c>
      <c r="N6" s="146" t="str">
        <f t="shared" si="0"/>
        <v>iPhone 17 Pro Max 256GB giảm 900K = 36990.0K</v>
      </c>
      <c r="O6" s="149">
        <f>IFERROR(D6-W2Q3FY26!D6,"OOS")</f>
        <v>-800000</v>
      </c>
      <c r="P6" s="146" t="str">
        <f t="shared" si="1"/>
        <v>iPhone 17 Pro Max 256GB giảm 800K = 36990.0K</v>
      </c>
      <c r="Q6" s="149">
        <f>IFERROR(E6-W2Q3FY26!E6,"OOS")</f>
        <v>0</v>
      </c>
      <c r="R6" s="146" t="str">
        <f t="shared" si="2"/>
        <v/>
      </c>
      <c r="S6" s="149">
        <f>IFERROR(F6-W2Q3FY26!F6,"OOS")</f>
        <v>-900000</v>
      </c>
      <c r="T6" s="146" t="str">
        <f t="shared" si="3"/>
        <v>iPhone 17 Pro Max 256GB giảm 900K = 36990.0K</v>
      </c>
      <c r="U6" s="149">
        <f>IFERROR(G6-W2Q3FY26!G6,"OOS")</f>
        <v>200000</v>
      </c>
      <c r="V6" s="146" t="str">
        <f t="shared" si="4"/>
        <v>iPhone 17 Pro Max 256GB tăng 200K = 36990.0K</v>
      </c>
    </row>
    <row r="7" spans="1:22" ht="16" customHeight="1" x14ac:dyDescent="0.2">
      <c r="A7" t="s">
        <v>21</v>
      </c>
      <c r="B7" s="82"/>
      <c r="C7" s="127">
        <v>15990000</v>
      </c>
      <c r="D7" s="135">
        <v>16690000</v>
      </c>
      <c r="E7" s="134">
        <v>11990000</v>
      </c>
      <c r="F7" s="136">
        <v>11990000</v>
      </c>
      <c r="G7" s="110">
        <v>15190000</v>
      </c>
      <c r="H7" s="153"/>
      <c r="M7" s="148">
        <f>IFERROR(C7-W2Q3FY26!C7,"OOS")</f>
        <v>0</v>
      </c>
      <c r="N7" s="146" t="str">
        <f t="shared" si="0"/>
        <v/>
      </c>
      <c r="O7" s="149">
        <f>IFERROR(D7-W2Q3FY26!D7,"OOS")</f>
        <v>0</v>
      </c>
      <c r="P7" s="146" t="str">
        <f t="shared" si="1"/>
        <v/>
      </c>
      <c r="Q7" s="149">
        <f>IFERROR(E7-W2Q3FY26!E7,"OOS")</f>
        <v>0</v>
      </c>
      <c r="R7" s="146" t="str">
        <f t="shared" si="2"/>
        <v/>
      </c>
      <c r="S7" s="149">
        <f>IFERROR(F7-W2Q3FY26!F7,"OOS")</f>
        <v>0</v>
      </c>
      <c r="T7" s="146" t="str">
        <f t="shared" si="3"/>
        <v/>
      </c>
      <c r="U7" s="149">
        <f>IFERROR(G7-W2Q3FY26!G7,"OOS")</f>
        <v>0</v>
      </c>
      <c r="V7" s="146" t="str">
        <f t="shared" si="4"/>
        <v/>
      </c>
    </row>
    <row r="8" spans="1:22" ht="16" customHeight="1" x14ac:dyDescent="0.2">
      <c r="A8" t="s">
        <v>23</v>
      </c>
      <c r="B8" s="70"/>
      <c r="C8" s="137">
        <v>19990000</v>
      </c>
      <c r="D8" s="137">
        <v>19990000</v>
      </c>
      <c r="E8" s="139">
        <v>20490000</v>
      </c>
      <c r="F8" s="133">
        <v>19990000</v>
      </c>
      <c r="G8" s="110">
        <v>20790000</v>
      </c>
      <c r="H8" s="153"/>
      <c r="M8" s="148">
        <f>IFERROR(C8-W2Q3FY26!C8,"OOS")</f>
        <v>-600000</v>
      </c>
      <c r="N8" s="146" t="str">
        <f t="shared" si="0"/>
        <v>iPhone 16 128GB giảm 600K = 19990.0K</v>
      </c>
      <c r="O8" s="149">
        <f>IFERROR(D8-W2Q3FY26!D8,"OOS")</f>
        <v>-600000</v>
      </c>
      <c r="P8" s="146" t="str">
        <f t="shared" si="1"/>
        <v>iPhone 16 128GB giảm 600K = 19990.0K</v>
      </c>
      <c r="Q8" s="149">
        <f>IFERROR(E8-W2Q3FY26!E8,"OOS")</f>
        <v>0</v>
      </c>
      <c r="R8" s="146" t="str">
        <f t="shared" si="2"/>
        <v/>
      </c>
      <c r="S8" s="149">
        <f>IFERROR(F8-W2Q3FY26!F8,"OOS")</f>
        <v>-500000</v>
      </c>
      <c r="T8" s="146" t="str">
        <f t="shared" si="3"/>
        <v>iPhone 16 128GB giảm 500K = 19990.0K</v>
      </c>
      <c r="U8" s="149">
        <f>IFERROR(G8-W2Q3FY26!G8,"OOS")</f>
        <v>0</v>
      </c>
      <c r="V8" s="146" t="str">
        <f t="shared" si="4"/>
        <v/>
      </c>
    </row>
    <row r="9" spans="1:22" ht="16" customHeight="1" x14ac:dyDescent="0.2">
      <c r="A9" t="s">
        <v>24</v>
      </c>
      <c r="B9" s="3"/>
      <c r="C9" s="140">
        <v>23990000</v>
      </c>
      <c r="D9" s="140">
        <v>23990000</v>
      </c>
      <c r="E9" s="139">
        <v>23990000</v>
      </c>
      <c r="F9" s="133">
        <v>23990000</v>
      </c>
      <c r="G9" s="110">
        <v>23990000</v>
      </c>
      <c r="H9" s="153"/>
      <c r="M9" s="148">
        <f>IFERROR(C9-W2Q3FY26!C9,"OOS")</f>
        <v>-300000</v>
      </c>
      <c r="N9" s="146" t="str">
        <f t="shared" si="0"/>
        <v>iPhone 16  Plus 128GB giảm 300K = 23990.0K</v>
      </c>
      <c r="O9" s="149">
        <f>IFERROR(D9-W2Q3FY26!D9,"OOS")</f>
        <v>-600000</v>
      </c>
      <c r="P9" s="146" t="str">
        <f t="shared" si="1"/>
        <v>iPhone 16  Plus 128GB giảm 600K = 23990.0K</v>
      </c>
      <c r="Q9" s="149">
        <f>IFERROR(E9-W2Q3FY26!E9,"OOS")</f>
        <v>0</v>
      </c>
      <c r="R9" s="146" t="str">
        <f t="shared" si="2"/>
        <v/>
      </c>
      <c r="S9" s="149">
        <f>IFERROR(F9-W2Q3FY26!F9,"OOS")</f>
        <v>-500000</v>
      </c>
      <c r="T9" s="146" t="str">
        <f t="shared" si="3"/>
        <v>iPhone 16  Plus 128GB giảm 500K = 23990.0K</v>
      </c>
      <c r="U9" s="149">
        <f>IFERROR(G9-W2Q3FY26!G9,"OOS")</f>
        <v>0</v>
      </c>
      <c r="V9" s="146" t="str">
        <f t="shared" si="4"/>
        <v/>
      </c>
    </row>
    <row r="10" spans="1:22" ht="16" customHeight="1" x14ac:dyDescent="0.2">
      <c r="A10" t="s">
        <v>264</v>
      </c>
      <c r="B10" s="25"/>
      <c r="C10" s="135" t="s">
        <v>22</v>
      </c>
      <c r="D10" s="110">
        <v>25590000</v>
      </c>
      <c r="E10" s="112" t="s">
        <v>22</v>
      </c>
      <c r="F10" s="132">
        <v>24990000</v>
      </c>
      <c r="G10" s="110" t="s">
        <v>22</v>
      </c>
      <c r="H10" s="153"/>
      <c r="M10" s="148" t="str">
        <f>IFERROR(C10-W2Q3FY26!C10,"OOS")</f>
        <v>OOS</v>
      </c>
      <c r="N10" s="146" t="e">
        <f t="shared" si="0"/>
        <v>#VALUE!</v>
      </c>
      <c r="O10" s="149">
        <f>IFERROR(D10-W2Q3FY26!D10,"OOS")</f>
        <v>0</v>
      </c>
      <c r="P10" s="146" t="str">
        <f t="shared" si="1"/>
        <v/>
      </c>
      <c r="Q10" s="149" t="str">
        <f>IFERROR(E10-W2Q3FY26!E10,"OOS")</f>
        <v>OOS</v>
      </c>
      <c r="R10" s="146" t="e">
        <f t="shared" si="2"/>
        <v>#VALUE!</v>
      </c>
      <c r="S10" s="149">
        <f>IFERROR(F10-W2Q3FY26!F10,"OOS")</f>
        <v>0</v>
      </c>
      <c r="T10" s="146" t="str">
        <f t="shared" si="3"/>
        <v/>
      </c>
      <c r="U10" s="149" t="str">
        <f>IFERROR(G10-W2Q3FY26!G10,"OOS")</f>
        <v>OOS</v>
      </c>
      <c r="V10" s="146" t="e">
        <f t="shared" si="4"/>
        <v>#VALUE!</v>
      </c>
    </row>
    <row r="11" spans="1:22" ht="16" customHeight="1" x14ac:dyDescent="0.2">
      <c r="A11" t="s">
        <v>183</v>
      </c>
      <c r="B11" s="3"/>
      <c r="C11" s="140" t="s">
        <v>22</v>
      </c>
      <c r="D11" s="112" t="s">
        <v>22</v>
      </c>
      <c r="E11" s="112" t="s">
        <v>22</v>
      </c>
      <c r="F11" s="133">
        <v>30990000</v>
      </c>
      <c r="G11" s="110" t="s">
        <v>22</v>
      </c>
      <c r="H11" s="153"/>
      <c r="M11" s="148" t="str">
        <f>IFERROR(C11-W2Q3FY26!C11,"OOS")</f>
        <v>OOS</v>
      </c>
      <c r="N11" s="146" t="e">
        <f t="shared" si="0"/>
        <v>#VALUE!</v>
      </c>
      <c r="O11" s="149" t="str">
        <f>IFERROR(D11-W2Q3FY26!D11,"OOS")</f>
        <v>OOS</v>
      </c>
      <c r="P11" s="146" t="e">
        <f t="shared" si="1"/>
        <v>#VALUE!</v>
      </c>
      <c r="Q11" s="149" t="str">
        <f>IFERROR(E11-W2Q3FY26!E11,"OOS")</f>
        <v>OOS</v>
      </c>
      <c r="R11" s="146" t="e">
        <f t="shared" si="2"/>
        <v>#VALUE!</v>
      </c>
      <c r="S11" s="149">
        <f>IFERROR(F11-W2Q3FY26!F11,"OOS")</f>
        <v>-600000</v>
      </c>
      <c r="T11" s="146" t="str">
        <f t="shared" si="3"/>
        <v>iPhone 16 Pro Max 256GB giảm 600K = 30990.0K</v>
      </c>
      <c r="U11" s="149" t="str">
        <f>IFERROR(G11-W2Q3FY26!G11,"OOS")</f>
        <v>OOS</v>
      </c>
      <c r="V11" s="146" t="e">
        <f t="shared" si="4"/>
        <v>#VALUE!</v>
      </c>
    </row>
    <row r="12" spans="1:22" ht="16" customHeight="1" x14ac:dyDescent="0.2">
      <c r="A12" t="s">
        <v>25</v>
      </c>
      <c r="B12" s="25"/>
      <c r="C12" s="140">
        <v>17590000</v>
      </c>
      <c r="D12" s="140">
        <v>17590000</v>
      </c>
      <c r="E12" s="154">
        <v>17690000</v>
      </c>
      <c r="F12" s="132">
        <v>17590000</v>
      </c>
      <c r="G12" s="110">
        <v>17690000</v>
      </c>
      <c r="H12" s="153"/>
      <c r="M12" s="148">
        <f>IFERROR(C12-W2Q3FY26!C12,"OOS")</f>
        <v>-300000</v>
      </c>
      <c r="N12" s="146" t="str">
        <f t="shared" si="0"/>
        <v>iPhone 15  128GB giảm 300K = 17590.0K</v>
      </c>
      <c r="O12" s="149">
        <f>IFERROR(D12-W2Q3FY26!D12,"OOS")</f>
        <v>-300000</v>
      </c>
      <c r="P12" s="146" t="str">
        <f t="shared" si="1"/>
        <v>iPhone 15  128GB giảm 300K = 17590.0K</v>
      </c>
      <c r="Q12" s="149">
        <f>IFERROR(E12-W2Q3FY26!E12,"OOS")</f>
        <v>0</v>
      </c>
      <c r="R12" s="146" t="str">
        <f t="shared" si="2"/>
        <v/>
      </c>
      <c r="S12" s="149">
        <f>IFERROR(F12-W2Q3FY26!F12,"OOS")</f>
        <v>0</v>
      </c>
      <c r="T12" s="146" t="str">
        <f t="shared" si="3"/>
        <v/>
      </c>
      <c r="U12" s="149">
        <f>IFERROR(G12-W2Q3FY26!G12,"OOS")</f>
        <v>0</v>
      </c>
      <c r="V12" s="146" t="str">
        <f t="shared" si="4"/>
        <v/>
      </c>
    </row>
    <row r="13" spans="1:22" ht="16" customHeight="1" x14ac:dyDescent="0.2">
      <c r="A13" t="s">
        <v>26</v>
      </c>
      <c r="B13" s="25"/>
      <c r="C13" s="140">
        <v>17990000</v>
      </c>
      <c r="D13" s="135" t="s">
        <v>22</v>
      </c>
      <c r="E13" s="130" t="s">
        <v>22</v>
      </c>
      <c r="F13" s="132">
        <v>17690000</v>
      </c>
      <c r="G13" s="110" t="s">
        <v>22</v>
      </c>
      <c r="H13" s="153"/>
      <c r="M13" s="148">
        <f>IFERROR(C13-W2Q3FY26!C13,"OOS")</f>
        <v>0</v>
      </c>
      <c r="N13" s="146" t="str">
        <f t="shared" si="0"/>
        <v/>
      </c>
      <c r="O13" s="149" t="str">
        <f>IFERROR(D13-W2Q3FY26!D13,"OOS")</f>
        <v>OOS</v>
      </c>
      <c r="P13" s="146" t="e">
        <f t="shared" si="1"/>
        <v>#VALUE!</v>
      </c>
      <c r="Q13" s="149" t="str">
        <f>IFERROR(E13-W2Q3FY26!E13,"OOS")</f>
        <v>OOS</v>
      </c>
      <c r="R13" s="146" t="e">
        <f t="shared" si="2"/>
        <v>#VALUE!</v>
      </c>
      <c r="S13" s="149">
        <f>IFERROR(F13-W2Q3FY26!F13,"OOS")</f>
        <v>0</v>
      </c>
      <c r="T13" s="146" t="str">
        <f t="shared" si="3"/>
        <v/>
      </c>
      <c r="U13" s="149" t="str">
        <f>IFERROR(G13-W2Q3FY26!G13,"OOS")</f>
        <v>OOS</v>
      </c>
      <c r="V13" s="146" t="e">
        <f t="shared" si="4"/>
        <v>#VALUE!</v>
      </c>
    </row>
    <row r="14" spans="1:22" ht="16" customHeight="1" x14ac:dyDescent="0.2">
      <c r="A14" t="s">
        <v>27</v>
      </c>
      <c r="B14" s="25"/>
      <c r="C14" s="135">
        <v>13990000</v>
      </c>
      <c r="D14" s="135">
        <v>13990000</v>
      </c>
      <c r="E14" s="130">
        <v>13790000</v>
      </c>
      <c r="F14" s="132">
        <v>13990000</v>
      </c>
      <c r="G14" s="110">
        <v>12990000</v>
      </c>
      <c r="H14" s="153"/>
      <c r="M14" s="148">
        <f>IFERROR(C14-W2Q3FY26!C14,"OOS")</f>
        <v>0</v>
      </c>
      <c r="N14" s="146" t="str">
        <f t="shared" si="0"/>
        <v/>
      </c>
      <c r="O14" s="149">
        <f>IFERROR(D14-W2Q3FY26!D14,"OOS")</f>
        <v>0</v>
      </c>
      <c r="P14" s="146" t="str">
        <f t="shared" si="1"/>
        <v/>
      </c>
      <c r="Q14" s="149">
        <f>IFERROR(E14-W2Q3FY26!E14,"OOS")</f>
        <v>0</v>
      </c>
      <c r="R14" s="146" t="str">
        <f t="shared" si="2"/>
        <v/>
      </c>
      <c r="S14" s="149">
        <f>IFERROR(F14-W2Q3FY26!F14,"OOS")</f>
        <v>0</v>
      </c>
      <c r="T14" s="146" t="str">
        <f t="shared" si="3"/>
        <v/>
      </c>
      <c r="U14" s="149">
        <f>IFERROR(G14-W2Q3FY26!G14,"OOS")</f>
        <v>0</v>
      </c>
      <c r="V14" s="146" t="str">
        <f t="shared" si="4"/>
        <v/>
      </c>
    </row>
    <row r="15" spans="1:22" ht="16" customHeight="1" x14ac:dyDescent="0.2">
      <c r="A15" t="s">
        <v>28</v>
      </c>
      <c r="B15" s="3"/>
      <c r="C15" s="135">
        <v>11990000</v>
      </c>
      <c r="D15" s="135">
        <v>11990000</v>
      </c>
      <c r="E15" s="139">
        <v>12090000</v>
      </c>
      <c r="F15" s="132">
        <v>11990000</v>
      </c>
      <c r="G15" s="110">
        <v>11890000</v>
      </c>
      <c r="H15" s="153"/>
      <c r="M15" s="148">
        <f>IFERROR(C15-W2Q3FY26!C15,"OOS")</f>
        <v>0</v>
      </c>
      <c r="N15" s="146" t="str">
        <f t="shared" si="0"/>
        <v/>
      </c>
      <c r="O15" s="149">
        <f>IFERROR(D15-W2Q3FY26!D15,"OOS")</f>
        <v>0</v>
      </c>
      <c r="P15" s="146" t="str">
        <f t="shared" si="1"/>
        <v/>
      </c>
      <c r="Q15" s="149">
        <f>IFERROR(E15-W2Q3FY26!E15,"OOS")</f>
        <v>0</v>
      </c>
      <c r="R15" s="146" t="str">
        <f t="shared" si="2"/>
        <v/>
      </c>
      <c r="S15" s="149">
        <f>IFERROR(F15-W2Q3FY26!F15,"OOS")</f>
        <v>0</v>
      </c>
      <c r="T15" s="146" t="str">
        <f t="shared" si="3"/>
        <v/>
      </c>
      <c r="U15" s="149">
        <f>IFERROR(G15-W2Q3FY26!G15,"OOS")</f>
        <v>0</v>
      </c>
      <c r="V15" s="146" t="str">
        <f t="shared" si="4"/>
        <v/>
      </c>
    </row>
    <row r="16" spans="1:22" ht="16" customHeight="1" x14ac:dyDescent="0.2">
      <c r="A16" t="s">
        <v>29</v>
      </c>
      <c r="B16" s="25"/>
      <c r="C16" s="140">
        <v>13090000</v>
      </c>
      <c r="D16" s="140">
        <v>13490000</v>
      </c>
      <c r="E16" s="139">
        <v>13290000</v>
      </c>
      <c r="F16" s="133">
        <v>13090000</v>
      </c>
      <c r="G16" s="111">
        <v>13090000</v>
      </c>
      <c r="H16" s="153"/>
      <c r="M16" s="148">
        <f>IFERROR(C16-W2Q3FY26!C16,"OOS")</f>
        <v>-100000</v>
      </c>
      <c r="N16" s="146" t="str">
        <f t="shared" si="0"/>
        <v>iPad Mini 7 128GB Wifi giảm 100K = 13090.0K</v>
      </c>
      <c r="O16" s="149">
        <f>IFERROR(D16-W2Q3FY26!D16,"OOS")</f>
        <v>300000</v>
      </c>
      <c r="P16" s="146" t="str">
        <f t="shared" si="1"/>
        <v>iPad Mini 7 128GB Wifi tăng 300K = 13490.0K</v>
      </c>
      <c r="Q16" s="149">
        <f>IFERROR(E16-W2Q3FY26!E16,"OOS")</f>
        <v>0</v>
      </c>
      <c r="R16" s="146" t="str">
        <f t="shared" si="2"/>
        <v/>
      </c>
      <c r="S16" s="149">
        <f>IFERROR(F16-W2Q3FY26!F16,"OOS")</f>
        <v>-100000</v>
      </c>
      <c r="T16" s="146" t="str">
        <f t="shared" si="3"/>
        <v>iPad Mini 7 128GB Wifi giảm 100K = 13090.0K</v>
      </c>
      <c r="U16" s="149">
        <f>IFERROR(G16-W2Q3FY26!G16,"OOS")</f>
        <v>-300000</v>
      </c>
      <c r="V16" s="146" t="str">
        <f t="shared" si="4"/>
        <v>iPad Mini 7 128GB Wifi giảm 300K = 13090.0K</v>
      </c>
    </row>
    <row r="17" spans="1:25" ht="16" customHeight="1" x14ac:dyDescent="0.2">
      <c r="A17" t="s">
        <v>30</v>
      </c>
      <c r="B17" s="3"/>
      <c r="C17" s="140">
        <v>9290000</v>
      </c>
      <c r="D17" s="140">
        <v>9290000</v>
      </c>
      <c r="E17" s="154">
        <v>9190000</v>
      </c>
      <c r="F17" s="133">
        <v>9390000</v>
      </c>
      <c r="G17" s="110">
        <v>9390000</v>
      </c>
      <c r="H17" s="153"/>
      <c r="M17" s="148">
        <f>IFERROR(C17-W2Q3FY26!C17,"OOS")</f>
        <v>-200000</v>
      </c>
      <c r="N17" s="146" t="str">
        <f t="shared" si="0"/>
        <v>iPad Gen 11th  128GB Wifi giảm 200K = 9290.0K</v>
      </c>
      <c r="O17" s="149">
        <f>IFERROR(D17-W2Q3FY26!D17,"OOS")</f>
        <v>-200000</v>
      </c>
      <c r="P17" s="146" t="str">
        <f t="shared" si="1"/>
        <v>iPad Gen 11th  128GB Wifi giảm 200K = 9290.0K</v>
      </c>
      <c r="Q17" s="149">
        <f>IFERROR(E17-W2Q3FY26!E17,"OOS")</f>
        <v>0</v>
      </c>
      <c r="R17" s="146" t="str">
        <f t="shared" si="2"/>
        <v/>
      </c>
      <c r="S17" s="149">
        <f>IFERROR(F17-W2Q3FY26!F17,"OOS")</f>
        <v>-100000</v>
      </c>
      <c r="T17" s="146" t="str">
        <f t="shared" si="3"/>
        <v>iPad Gen 11th  128GB Wifi giảm 100K = 9390.0K</v>
      </c>
      <c r="U17" s="149">
        <f>IFERROR(G17-W2Q3FY26!G17,"OOS")</f>
        <v>0</v>
      </c>
      <c r="V17" s="146" t="str">
        <f t="shared" si="4"/>
        <v/>
      </c>
      <c r="W17" t="s">
        <v>31</v>
      </c>
      <c r="X17" t="s">
        <v>32</v>
      </c>
      <c r="Y17" t="b">
        <v>1</v>
      </c>
    </row>
    <row r="18" spans="1:25" ht="16" customHeight="1" x14ac:dyDescent="0.2">
      <c r="A18" t="s">
        <v>33</v>
      </c>
      <c r="B18" s="3"/>
      <c r="C18" s="140">
        <v>15190000</v>
      </c>
      <c r="D18" s="140">
        <v>15190000</v>
      </c>
      <c r="E18" s="154">
        <v>14290000</v>
      </c>
      <c r="F18" s="133">
        <v>15190000</v>
      </c>
      <c r="G18" s="110" t="s">
        <v>22</v>
      </c>
      <c r="H18" s="153"/>
      <c r="M18" s="148">
        <f>IFERROR(C18-W2Q3FY26!C18,"OOS")</f>
        <v>-300000</v>
      </c>
      <c r="N18" s="146" t="str">
        <f t="shared" si="0"/>
        <v>iPad Air M3  11" 128 GB Wifi giảm 300K = 15190.0K</v>
      </c>
      <c r="O18" s="149">
        <f>IFERROR(D18-W2Q3FY26!D18,"OOS")</f>
        <v>-300000</v>
      </c>
      <c r="P18" s="146" t="str">
        <f t="shared" si="1"/>
        <v>iPad Air M3  11" 128 GB Wifi giảm 300K = 15190.0K</v>
      </c>
      <c r="Q18" s="149">
        <f>IFERROR(E18-W2Q3FY26!E18,"OOS")</f>
        <v>0</v>
      </c>
      <c r="R18" s="146" t="str">
        <f t="shared" si="2"/>
        <v/>
      </c>
      <c r="S18" s="149">
        <f>IFERROR(F18-W2Q3FY26!F18,"OOS")</f>
        <v>-300000</v>
      </c>
      <c r="T18" s="146" t="str">
        <f t="shared" si="3"/>
        <v>iPad Air M3  11" 128 GB Wifi giảm 300K = 15190.0K</v>
      </c>
      <c r="U18" s="149" t="str">
        <f>IFERROR(G18-W2Q3FY26!G18,"OOS")</f>
        <v>OOS</v>
      </c>
      <c r="V18" s="146" t="e">
        <f t="shared" si="4"/>
        <v>#VALUE!</v>
      </c>
      <c r="W18" t="s">
        <v>2</v>
      </c>
      <c r="X18" t="s">
        <v>34</v>
      </c>
      <c r="Y18" t="b">
        <v>1</v>
      </c>
    </row>
    <row r="19" spans="1:25" ht="16" customHeight="1" x14ac:dyDescent="0.2">
      <c r="A19" t="s">
        <v>35</v>
      </c>
      <c r="B19" s="3"/>
      <c r="C19" s="135">
        <v>16690000</v>
      </c>
      <c r="D19" s="135">
        <v>16690000</v>
      </c>
      <c r="E19" s="154">
        <v>15790000</v>
      </c>
      <c r="F19" s="111">
        <v>16690000</v>
      </c>
      <c r="G19" s="111">
        <v>16490000</v>
      </c>
      <c r="H19" s="153"/>
      <c r="M19" s="148">
        <f>IFERROR(C19-W2Q3FY26!C19,"OOS")</f>
        <v>16690000</v>
      </c>
      <c r="N19" s="146"/>
      <c r="O19" s="149">
        <f>IFERROR(D19-W2Q3FY26!D19,"OOS")</f>
        <v>16690000</v>
      </c>
      <c r="P19" s="146"/>
      <c r="Q19" s="149">
        <f>IFERROR(E19-W2Q3FY26!E19,"OOS")</f>
        <v>15790000</v>
      </c>
      <c r="R19" s="146" t="str">
        <f t="shared" si="2"/>
        <v>iPad Air M4  11" 128 GB Wifi tăng 15790K = 15790.0K</v>
      </c>
      <c r="S19" s="149">
        <f>IFERROR(F19-W2Q3FY26!F19,"OOS")</f>
        <v>16690000</v>
      </c>
      <c r="T19" s="146"/>
      <c r="U19" s="149">
        <f>IFERROR(G19-W2Q3FY26!G19,"OOS")</f>
        <v>16490000</v>
      </c>
      <c r="V19" s="146" t="str">
        <f t="shared" si="4"/>
        <v>iPad Air M4  11" 128 GB Wifi tăng 16490K = 16490.0K</v>
      </c>
      <c r="W19" t="s">
        <v>3</v>
      </c>
      <c r="X19" t="s">
        <v>36</v>
      </c>
      <c r="Y19" t="b">
        <v>1</v>
      </c>
    </row>
    <row r="20" spans="1:25" ht="16" customHeight="1" x14ac:dyDescent="0.2">
      <c r="A20" t="s">
        <v>37</v>
      </c>
      <c r="B20" s="25"/>
      <c r="C20" s="140">
        <v>19890000</v>
      </c>
      <c r="D20" s="135">
        <v>19990000</v>
      </c>
      <c r="E20" s="154">
        <v>19190000</v>
      </c>
      <c r="F20" s="132">
        <v>18990000</v>
      </c>
      <c r="G20" s="110" t="s">
        <v>22</v>
      </c>
      <c r="H20" s="153"/>
      <c r="M20" s="148">
        <f>IFERROR(C20-W2Q3FY26!C20,"OOS")</f>
        <v>-800000</v>
      </c>
      <c r="N20" s="146" t="str">
        <f t="shared" ref="N20:N42" si="5">IF(M20=0,"",$A20 &amp; IF(M20&gt;0," tăng "," giảm ") &amp; TEXT(ABS(M20)/1000,"0") &amp; "K = " &amp; TEXT(C20/1000,"#.##0") &amp; "K")</f>
        <v>iPad Air M3  13" 128 GB Wifi giảm 800K = 19890.0K</v>
      </c>
      <c r="O20" s="149">
        <f>IFERROR(D20-W2Q3FY26!D20,"OOS")</f>
        <v>0</v>
      </c>
      <c r="P20" s="146" t="str">
        <f t="shared" ref="P20:P42" si="6">IF(O20=0,"",$A20 &amp; IF(O20&gt;0," tăng "," giảm ") &amp; TEXT(ABS(O20)/1000,"0") &amp; "K = " &amp; TEXT(D20/1000,"#.##0") &amp; "K")</f>
        <v/>
      </c>
      <c r="Q20" s="149">
        <f>IFERROR(E20-W2Q3FY26!E20,"OOS")</f>
        <v>0</v>
      </c>
      <c r="R20" s="146" t="str">
        <f t="shared" si="2"/>
        <v/>
      </c>
      <c r="S20" s="149">
        <f>IFERROR(F20-W2Q3FY26!F20,"OOS")</f>
        <v>0</v>
      </c>
      <c r="T20" s="146" t="str">
        <f t="shared" ref="T20:T42" si="7">IF(S20=0,"",$A20 &amp; IF(S20&gt;0," tăng "," giảm ") &amp; TEXT(ABS(S20)/1000,"0") &amp; "K = " &amp; TEXT(F20/1000,"#.##0") &amp; "K")</f>
        <v/>
      </c>
      <c r="U20" s="149" t="str">
        <f>IFERROR(G20-W2Q3FY26!G20,"OOS")</f>
        <v>OOS</v>
      </c>
      <c r="V20" s="146" t="e">
        <f t="shared" si="4"/>
        <v>#VALUE!</v>
      </c>
      <c r="W20" t="s">
        <v>4</v>
      </c>
      <c r="X20" t="s">
        <v>38</v>
      </c>
      <c r="Y20" t="b">
        <v>1</v>
      </c>
    </row>
    <row r="21" spans="1:25" ht="16" customHeight="1" x14ac:dyDescent="0.2">
      <c r="A21" t="s">
        <v>40</v>
      </c>
      <c r="B21" s="3"/>
      <c r="C21" s="140">
        <v>28190000</v>
      </c>
      <c r="D21" s="140">
        <v>28190000</v>
      </c>
      <c r="E21" s="123">
        <v>28490000</v>
      </c>
      <c r="F21" s="133">
        <v>28190000</v>
      </c>
      <c r="G21" s="111">
        <v>28490000</v>
      </c>
      <c r="H21" s="153"/>
      <c r="M21" s="148">
        <f>IFERROR(C21-W2Q3FY26!C21,"OOS")</f>
        <v>-800000</v>
      </c>
      <c r="N21" s="146" t="str">
        <f t="shared" si="5"/>
        <v>iPad Pro M5 11” 256GB Wifi giảm 800K = 28190.0K</v>
      </c>
      <c r="O21" s="149">
        <f>IFERROR(D21-W2Q3FY26!D21,"OOS")</f>
        <v>-300000</v>
      </c>
      <c r="P21" s="146" t="str">
        <f t="shared" si="6"/>
        <v>iPad Pro M5 11” 256GB Wifi giảm 300K = 28190.0K</v>
      </c>
      <c r="Q21" s="149">
        <f>IFERROR(E21-W2Q3FY26!E21,"OOS")</f>
        <v>0</v>
      </c>
      <c r="R21" s="146" t="str">
        <f t="shared" si="2"/>
        <v/>
      </c>
      <c r="S21" s="149">
        <f>IFERROR(F21-W2Q3FY26!F21,"OOS")</f>
        <v>-300000</v>
      </c>
      <c r="T21" s="146" t="str">
        <f t="shared" si="7"/>
        <v>iPad Pro M5 11” 256GB Wifi giảm 300K = 28190.0K</v>
      </c>
      <c r="U21" s="149">
        <f>IFERROR(G21-W2Q3FY26!G21,"OOS")</f>
        <v>-500000</v>
      </c>
      <c r="V21" s="146" t="str">
        <f t="shared" si="4"/>
        <v>iPad Pro M5 11” 256GB Wifi giảm 500K = 28490.0K</v>
      </c>
      <c r="W21" t="s">
        <v>41</v>
      </c>
      <c r="X21" t="s">
        <v>42</v>
      </c>
      <c r="Y21" t="b">
        <v>1</v>
      </c>
    </row>
    <row r="22" spans="1:25" ht="16" customHeight="1" x14ac:dyDescent="0.2">
      <c r="A22" t="s">
        <v>43</v>
      </c>
      <c r="B22" s="3"/>
      <c r="C22" s="140">
        <v>38690000</v>
      </c>
      <c r="D22" s="141">
        <v>38990000</v>
      </c>
      <c r="E22" s="112">
        <v>37990000</v>
      </c>
      <c r="F22" s="133">
        <v>38890000</v>
      </c>
      <c r="G22" s="110">
        <v>38990000</v>
      </c>
      <c r="H22" s="153"/>
      <c r="M22" s="148">
        <f>IFERROR(C22-W2Q3FY26!C22,"OOS")</f>
        <v>-300000</v>
      </c>
      <c r="N22" s="146" t="str">
        <f t="shared" si="5"/>
        <v>iPad Pro M5 13” 256GB Wifi giảm 300K = 38690.0K</v>
      </c>
      <c r="O22" s="149">
        <f>IFERROR(D22-W2Q3FY26!D22,"OOS")</f>
        <v>0</v>
      </c>
      <c r="P22" s="146" t="str">
        <f t="shared" si="6"/>
        <v/>
      </c>
      <c r="Q22" s="149">
        <f>IFERROR(E22-W2Q3FY26!E22,"OOS")</f>
        <v>0</v>
      </c>
      <c r="R22" s="146" t="str">
        <f t="shared" si="2"/>
        <v/>
      </c>
      <c r="S22" s="149">
        <f>IFERROR(F22-W2Q3FY26!F22,"OOS")</f>
        <v>-100000</v>
      </c>
      <c r="T22" s="146" t="str">
        <f t="shared" si="7"/>
        <v>iPad Pro M5 13” 256GB Wifi giảm 100K = 38890.0K</v>
      </c>
      <c r="U22" s="149">
        <f>IFERROR(G22-W2Q3FY26!G22,"OOS")</f>
        <v>0</v>
      </c>
      <c r="V22" s="146" t="str">
        <f t="shared" si="4"/>
        <v/>
      </c>
    </row>
    <row r="23" spans="1:25" ht="16" customHeight="1" x14ac:dyDescent="0.2">
      <c r="A23" t="s">
        <v>44</v>
      </c>
      <c r="B23" s="25"/>
      <c r="C23" s="140">
        <v>6790000</v>
      </c>
      <c r="D23" s="140">
        <v>6790000</v>
      </c>
      <c r="E23" s="139">
        <v>5990000</v>
      </c>
      <c r="F23" s="133">
        <v>6790000</v>
      </c>
      <c r="G23" s="110">
        <v>6490000</v>
      </c>
      <c r="H23" s="153"/>
      <c r="M23" s="148">
        <f>IFERROR(C23-W2Q3FY26!C23,"OOS")</f>
        <v>200000</v>
      </c>
      <c r="N23" s="146" t="str">
        <f t="shared" si="5"/>
        <v>AW SE 3 (40mm GPS) tăng 200K = 6790.0K</v>
      </c>
      <c r="O23" s="149">
        <f>IFERROR(D23-W2Q3FY26!D23,"OOS")</f>
        <v>200000</v>
      </c>
      <c r="P23" s="146" t="str">
        <f t="shared" si="6"/>
        <v>AW SE 3 (40mm GPS) tăng 200K = 6790.0K</v>
      </c>
      <c r="Q23" s="149">
        <f>IFERROR(E23-W2Q3FY26!E23,"OOS")</f>
        <v>0</v>
      </c>
      <c r="R23" s="146" t="str">
        <f t="shared" si="2"/>
        <v/>
      </c>
      <c r="S23" s="149">
        <f>IFERROR(F23-W2Q3FY26!F23,"OOS")</f>
        <v>200000</v>
      </c>
      <c r="T23" s="146" t="str">
        <f t="shared" si="7"/>
        <v>AW SE 3 (40mm GPS) tăng 200K = 6790.0K</v>
      </c>
      <c r="U23" s="149">
        <f>IFERROR(G23-W2Q3FY26!G23,"OOS")</f>
        <v>0</v>
      </c>
      <c r="V23" s="146" t="str">
        <f t="shared" si="4"/>
        <v/>
      </c>
    </row>
    <row r="24" spans="1:25" ht="16" customHeight="1" x14ac:dyDescent="0.2">
      <c r="A24" t="s">
        <v>45</v>
      </c>
      <c r="B24" s="25"/>
      <c r="C24" s="140">
        <v>8390000</v>
      </c>
      <c r="D24" s="135">
        <v>8290000</v>
      </c>
      <c r="E24" s="154">
        <v>7490000</v>
      </c>
      <c r="F24" s="132">
        <v>8390000</v>
      </c>
      <c r="G24" s="110">
        <v>8190000</v>
      </c>
      <c r="H24" s="153"/>
      <c r="M24" s="148">
        <f>IFERROR(C24-W2Q3FY26!C24,"OOS")</f>
        <v>700000</v>
      </c>
      <c r="N24" s="146" t="str">
        <f t="shared" si="5"/>
        <v>AW SE 3 (40mm LTE) tăng 700K = 8390.0K</v>
      </c>
      <c r="O24" s="149">
        <f>IFERROR(D24-W2Q3FY26!D24,"OOS")</f>
        <v>0</v>
      </c>
      <c r="P24" s="146" t="str">
        <f t="shared" si="6"/>
        <v/>
      </c>
      <c r="Q24" s="149">
        <f>IFERROR(E24-W2Q3FY26!E24,"OOS")</f>
        <v>0</v>
      </c>
      <c r="R24" s="146" t="str">
        <f t="shared" si="2"/>
        <v/>
      </c>
      <c r="S24" s="149">
        <f>IFERROR(F24-W2Q3FY26!F24,"OOS")</f>
        <v>0</v>
      </c>
      <c r="T24" s="146" t="str">
        <f t="shared" si="7"/>
        <v/>
      </c>
      <c r="U24" s="149">
        <f>IFERROR(G24-W2Q3FY26!G24,"OOS")</f>
        <v>0</v>
      </c>
      <c r="V24" s="146" t="str">
        <f t="shared" si="4"/>
        <v/>
      </c>
    </row>
    <row r="25" spans="1:25" ht="16" customHeight="1" x14ac:dyDescent="0.2">
      <c r="A25" t="s">
        <v>46</v>
      </c>
      <c r="B25" s="25"/>
      <c r="C25" s="135">
        <v>7690000</v>
      </c>
      <c r="D25" s="135">
        <v>7690000</v>
      </c>
      <c r="E25" s="139">
        <v>6890000</v>
      </c>
      <c r="F25" s="132">
        <v>7690000</v>
      </c>
      <c r="G25" s="110">
        <v>7190000</v>
      </c>
      <c r="H25" s="153"/>
      <c r="M25" s="148">
        <f>IFERROR(C25-W2Q3FY26!C25,"OOS")</f>
        <v>0</v>
      </c>
      <c r="N25" s="146" t="str">
        <f t="shared" si="5"/>
        <v/>
      </c>
      <c r="O25" s="149">
        <f>IFERROR(D25-W2Q3FY26!D25,"OOS")</f>
        <v>0</v>
      </c>
      <c r="P25" s="146" t="str">
        <f t="shared" si="6"/>
        <v/>
      </c>
      <c r="Q25" s="149">
        <f>IFERROR(E25-W2Q3FY26!E25,"OOS")</f>
        <v>0</v>
      </c>
      <c r="R25" s="146" t="str">
        <f t="shared" si="2"/>
        <v/>
      </c>
      <c r="S25" s="149">
        <f>IFERROR(F25-W2Q3FY26!F25,"OOS")</f>
        <v>0</v>
      </c>
      <c r="T25" s="146" t="str">
        <f t="shared" si="7"/>
        <v/>
      </c>
      <c r="U25" s="149">
        <f>IFERROR(G25-W2Q3FY26!G25,"OOS")</f>
        <v>0</v>
      </c>
      <c r="V25" s="146" t="str">
        <f t="shared" si="4"/>
        <v/>
      </c>
    </row>
    <row r="26" spans="1:25" ht="16" customHeight="1" x14ac:dyDescent="0.2">
      <c r="A26" t="s">
        <v>47</v>
      </c>
      <c r="B26" s="25"/>
      <c r="C26" s="135">
        <v>9190000</v>
      </c>
      <c r="D26" s="135">
        <v>9190000</v>
      </c>
      <c r="E26" s="139">
        <v>8490000</v>
      </c>
      <c r="F26" s="132">
        <v>9190000</v>
      </c>
      <c r="G26" s="110">
        <v>8790000</v>
      </c>
      <c r="H26" s="153"/>
      <c r="M26" s="148">
        <f>IFERROR(C26-W2Q3FY26!C26,"OOS")</f>
        <v>0</v>
      </c>
      <c r="N26" s="146" t="str">
        <f t="shared" si="5"/>
        <v/>
      </c>
      <c r="O26" s="149">
        <f>IFERROR(D26-W2Q3FY26!D26,"OOS")</f>
        <v>0</v>
      </c>
      <c r="P26" s="146" t="str">
        <f t="shared" si="6"/>
        <v/>
      </c>
      <c r="Q26" s="149">
        <f>IFERROR(E26-W2Q3FY26!E26,"OOS")</f>
        <v>0</v>
      </c>
      <c r="R26" s="146" t="str">
        <f t="shared" si="2"/>
        <v/>
      </c>
      <c r="S26" s="149">
        <f>IFERROR(F26-W2Q3FY26!F26,"OOS")</f>
        <v>0</v>
      </c>
      <c r="T26" s="146" t="str">
        <f t="shared" si="7"/>
        <v/>
      </c>
      <c r="U26" s="149">
        <f>IFERROR(G26-W2Q3FY26!G26,"OOS")</f>
        <v>0</v>
      </c>
      <c r="V26" s="146" t="str">
        <f t="shared" si="4"/>
        <v/>
      </c>
    </row>
    <row r="27" spans="1:25" ht="16" customHeight="1" x14ac:dyDescent="0.2">
      <c r="A27" t="s">
        <v>48</v>
      </c>
      <c r="B27" s="3"/>
      <c r="C27" s="140">
        <v>11190000</v>
      </c>
      <c r="D27" s="140">
        <v>11190000</v>
      </c>
      <c r="E27" s="139">
        <v>10190000</v>
      </c>
      <c r="F27" s="133">
        <v>11190000</v>
      </c>
      <c r="G27" s="110">
        <v>10990000</v>
      </c>
      <c r="H27" s="153"/>
      <c r="M27" s="148">
        <f>IFERROR(C27-W2Q3FY26!C27,"OOS")</f>
        <v>200000</v>
      </c>
      <c r="N27" s="146" t="str">
        <f t="shared" si="5"/>
        <v>AW S11 (42mm GPS) tăng 200K = 11190.0K</v>
      </c>
      <c r="O27" s="149">
        <f>IFERROR(D27-W2Q3FY26!D27,"OOS")</f>
        <v>200000</v>
      </c>
      <c r="P27" s="146" t="str">
        <f t="shared" si="6"/>
        <v>AW S11 (42mm GPS) tăng 200K = 11190.0K</v>
      </c>
      <c r="Q27" s="149">
        <f>IFERROR(E27-W2Q3FY26!E27,"OOS")</f>
        <v>0</v>
      </c>
      <c r="R27" s="146" t="str">
        <f t="shared" si="2"/>
        <v/>
      </c>
      <c r="S27" s="149">
        <f>IFERROR(F27-W2Q3FY26!F27,"OOS")</f>
        <v>200000</v>
      </c>
      <c r="T27" s="146" t="str">
        <f t="shared" si="7"/>
        <v>AW S11 (42mm GPS) tăng 200K = 11190.0K</v>
      </c>
      <c r="U27" s="149">
        <f>IFERROR(G27-W2Q3FY26!G27,"OOS")</f>
        <v>0</v>
      </c>
      <c r="V27" s="146" t="str">
        <f t="shared" si="4"/>
        <v/>
      </c>
    </row>
    <row r="28" spans="1:25" ht="16" customHeight="1" x14ac:dyDescent="0.2">
      <c r="A28" t="s">
        <v>49</v>
      </c>
      <c r="B28" s="3"/>
      <c r="C28" s="135">
        <v>14090000</v>
      </c>
      <c r="D28" s="135">
        <v>14090000</v>
      </c>
      <c r="E28" s="139">
        <v>13490000</v>
      </c>
      <c r="F28" s="133">
        <v>13990000</v>
      </c>
      <c r="G28" s="110">
        <v>13990000</v>
      </c>
      <c r="H28" s="153"/>
      <c r="M28" s="148">
        <f>IFERROR(C28-W2Q3FY26!C28,"OOS")</f>
        <v>0</v>
      </c>
      <c r="N28" s="146" t="str">
        <f t="shared" si="5"/>
        <v/>
      </c>
      <c r="O28" s="149">
        <f>IFERROR(D28-W2Q3FY26!D28,"OOS")</f>
        <v>0</v>
      </c>
      <c r="P28" s="146" t="str">
        <f t="shared" si="6"/>
        <v/>
      </c>
      <c r="Q28" s="149">
        <f>IFERROR(E28-W2Q3FY26!E28,"OOS")</f>
        <v>0</v>
      </c>
      <c r="R28" s="146" t="str">
        <f t="shared" si="2"/>
        <v/>
      </c>
      <c r="S28" s="149">
        <f>IFERROR(F28-W2Q3FY26!F28,"OOS")</f>
        <v>0</v>
      </c>
      <c r="T28" s="146" t="str">
        <f t="shared" si="7"/>
        <v/>
      </c>
      <c r="U28" s="149">
        <f>IFERROR(G28-W2Q3FY26!G28,"OOS")</f>
        <v>0</v>
      </c>
      <c r="V28" s="146" t="str">
        <f t="shared" si="4"/>
        <v/>
      </c>
    </row>
    <row r="29" spans="1:25" ht="16" customHeight="1" x14ac:dyDescent="0.2">
      <c r="A29" t="s">
        <v>50</v>
      </c>
      <c r="B29" s="3"/>
      <c r="C29" s="135">
        <v>11990000</v>
      </c>
      <c r="D29" s="135">
        <v>11990000</v>
      </c>
      <c r="E29" s="139">
        <v>10990000</v>
      </c>
      <c r="F29" s="132">
        <v>11990000</v>
      </c>
      <c r="G29" s="110">
        <v>11890000</v>
      </c>
      <c r="H29" s="153"/>
      <c r="M29" s="148">
        <f>IFERROR(C29-W2Q3FY26!C29,"OOS")</f>
        <v>0</v>
      </c>
      <c r="N29" s="146" t="str">
        <f t="shared" si="5"/>
        <v/>
      </c>
      <c r="O29" s="149">
        <f>IFERROR(D29-W2Q3FY26!D29,"OOS")</f>
        <v>0</v>
      </c>
      <c r="P29" s="146" t="str">
        <f t="shared" si="6"/>
        <v/>
      </c>
      <c r="Q29" s="149">
        <f>IFERROR(E29-W2Q3FY26!E29,"OOS")</f>
        <v>0</v>
      </c>
      <c r="R29" s="146" t="str">
        <f t="shared" si="2"/>
        <v/>
      </c>
      <c r="S29" s="149">
        <f>IFERROR(F29-W2Q3FY26!F29,"OOS")</f>
        <v>0</v>
      </c>
      <c r="T29" s="146" t="str">
        <f t="shared" si="7"/>
        <v/>
      </c>
      <c r="U29" s="149">
        <f>IFERROR(G29-W2Q3FY26!G29,"OOS")</f>
        <v>0</v>
      </c>
      <c r="V29" s="146" t="str">
        <f t="shared" si="4"/>
        <v/>
      </c>
    </row>
    <row r="30" spans="1:25" ht="16" customHeight="1" x14ac:dyDescent="0.2">
      <c r="A30" t="s">
        <v>51</v>
      </c>
      <c r="B30" s="3"/>
      <c r="C30" s="135">
        <v>14990000</v>
      </c>
      <c r="D30" s="135">
        <v>14990000</v>
      </c>
      <c r="E30" s="139">
        <v>13990000</v>
      </c>
      <c r="F30" s="132">
        <v>14990000</v>
      </c>
      <c r="G30" s="110">
        <v>14890000</v>
      </c>
      <c r="H30" s="153"/>
      <c r="M30" s="148">
        <f>IFERROR(C30-W2Q3FY26!C30,"OOS")</f>
        <v>0</v>
      </c>
      <c r="N30" s="146" t="str">
        <f t="shared" si="5"/>
        <v/>
      </c>
      <c r="O30" s="149">
        <f>IFERROR(D30-W2Q3FY26!D30,"OOS")</f>
        <v>0</v>
      </c>
      <c r="P30" s="146" t="str">
        <f t="shared" si="6"/>
        <v/>
      </c>
      <c r="Q30" s="149">
        <f>IFERROR(E30-W2Q3FY26!E30,"OOS")</f>
        <v>0</v>
      </c>
      <c r="R30" s="146" t="str">
        <f t="shared" si="2"/>
        <v/>
      </c>
      <c r="S30" s="149">
        <f>IFERROR(F30-W2Q3FY26!F30,"OOS")</f>
        <v>0</v>
      </c>
      <c r="T30" s="146" t="str">
        <f t="shared" si="7"/>
        <v/>
      </c>
      <c r="U30" s="149">
        <f>IFERROR(G30-W2Q3FY26!G30,"OOS")</f>
        <v>0</v>
      </c>
      <c r="V30" s="146" t="str">
        <f t="shared" si="4"/>
        <v/>
      </c>
    </row>
    <row r="31" spans="1:25" ht="16" customHeight="1" x14ac:dyDescent="0.2">
      <c r="A31" t="s">
        <v>52</v>
      </c>
      <c r="B31" s="25"/>
      <c r="C31" s="135">
        <v>23490000</v>
      </c>
      <c r="D31" s="135">
        <v>22990000</v>
      </c>
      <c r="E31" s="112">
        <v>21990000</v>
      </c>
      <c r="F31" s="132">
        <v>22990000</v>
      </c>
      <c r="G31" s="110">
        <v>22990000</v>
      </c>
      <c r="H31" s="153"/>
      <c r="M31" s="148">
        <f>IFERROR(C31-W2Q3FY26!C31,"OOS")</f>
        <v>0</v>
      </c>
      <c r="N31" s="146" t="str">
        <f t="shared" si="5"/>
        <v/>
      </c>
      <c r="O31" s="149">
        <f>IFERROR(D31-W2Q3FY26!D31,"OOS")</f>
        <v>0</v>
      </c>
      <c r="P31" s="146" t="str">
        <f t="shared" si="6"/>
        <v/>
      </c>
      <c r="Q31" s="149">
        <f>IFERROR(E31-W2Q3FY26!E31,"OOS")</f>
        <v>0</v>
      </c>
      <c r="R31" s="146" t="str">
        <f t="shared" si="2"/>
        <v/>
      </c>
      <c r="S31" s="149">
        <f>IFERROR(F31-W2Q3FY26!F31,"OOS")</f>
        <v>0</v>
      </c>
      <c r="T31" s="146" t="str">
        <f t="shared" si="7"/>
        <v/>
      </c>
      <c r="U31" s="149">
        <f>IFERROR(G31-W2Q3FY26!G31,"OOS")</f>
        <v>0</v>
      </c>
      <c r="V31" s="146" t="str">
        <f t="shared" si="4"/>
        <v/>
      </c>
    </row>
    <row r="32" spans="1:25" ht="16" customHeight="1" x14ac:dyDescent="0.2">
      <c r="A32" t="s">
        <v>53</v>
      </c>
      <c r="B32" s="3"/>
      <c r="C32" s="135">
        <v>5190000</v>
      </c>
      <c r="D32" s="135" t="s">
        <v>22</v>
      </c>
      <c r="E32" s="130" t="s">
        <v>22</v>
      </c>
      <c r="F32" s="132">
        <v>5090000</v>
      </c>
      <c r="G32" s="110">
        <v>5590000</v>
      </c>
      <c r="H32" s="153"/>
      <c r="M32" s="148">
        <f>IFERROR(C32-W2Q3FY26!C32,"OOS")</f>
        <v>0</v>
      </c>
      <c r="N32" s="146" t="str">
        <f t="shared" si="5"/>
        <v/>
      </c>
      <c r="O32" s="149" t="str">
        <f>IFERROR(D32-W2Q3FY26!D32,"OOS")</f>
        <v>OOS</v>
      </c>
      <c r="P32" s="146" t="e">
        <f t="shared" si="6"/>
        <v>#VALUE!</v>
      </c>
      <c r="Q32" s="149" t="str">
        <f>IFERROR(E32-W2Q3FY26!E32,"OOS")</f>
        <v>OOS</v>
      </c>
      <c r="R32" s="146" t="e">
        <f t="shared" si="2"/>
        <v>#VALUE!</v>
      </c>
      <c r="S32" s="149">
        <f>IFERROR(F32-W2Q3FY26!F32,"OOS")</f>
        <v>0</v>
      </c>
      <c r="T32" s="146" t="str">
        <f t="shared" si="7"/>
        <v/>
      </c>
      <c r="U32" s="149">
        <f>IFERROR(G32-W2Q3FY26!G32,"OOS")</f>
        <v>0</v>
      </c>
      <c r="V32" s="146" t="str">
        <f t="shared" si="4"/>
        <v/>
      </c>
    </row>
    <row r="33" spans="1:22" ht="16" customHeight="1" x14ac:dyDescent="0.2">
      <c r="A33" t="s">
        <v>54</v>
      </c>
      <c r="B33" s="3"/>
      <c r="C33" s="140">
        <v>4690000</v>
      </c>
      <c r="D33" s="135">
        <v>4590000</v>
      </c>
      <c r="E33" s="154">
        <v>4290000</v>
      </c>
      <c r="F33" s="132">
        <v>4650000</v>
      </c>
      <c r="G33" s="111">
        <v>4390000</v>
      </c>
      <c r="H33" s="153"/>
      <c r="M33" s="148">
        <f>IFERROR(C33-W2Q3FY26!C33,"OOS")</f>
        <v>100000</v>
      </c>
      <c r="N33" s="146" t="str">
        <f t="shared" si="5"/>
        <v>AirPods 4 ANC tăng 100K = 4690.0K</v>
      </c>
      <c r="O33" s="149">
        <f>IFERROR(D33-W2Q3FY26!D33,"OOS")</f>
        <v>0</v>
      </c>
      <c r="P33" s="146" t="str">
        <f t="shared" si="6"/>
        <v/>
      </c>
      <c r="Q33" s="149">
        <f>IFERROR(E33-W2Q3FY26!E33,"OOS")</f>
        <v>0</v>
      </c>
      <c r="R33" s="146" t="str">
        <f t="shared" si="2"/>
        <v/>
      </c>
      <c r="S33" s="149">
        <f>IFERROR(F33-W2Q3FY26!F33,"OOS")</f>
        <v>0</v>
      </c>
      <c r="T33" s="146" t="str">
        <f t="shared" si="7"/>
        <v/>
      </c>
      <c r="U33" s="149">
        <f>IFERROR(G33-W2Q3FY26!G33,"OOS")</f>
        <v>-100000</v>
      </c>
      <c r="V33" s="146" t="str">
        <f t="shared" si="4"/>
        <v>AirPods 4 ANC giảm 100K = 4390.0K</v>
      </c>
    </row>
    <row r="34" spans="1:22" ht="16" customHeight="1" x14ac:dyDescent="0.2">
      <c r="A34" t="s">
        <v>55</v>
      </c>
      <c r="B34" s="3"/>
      <c r="C34" s="135">
        <v>3490000</v>
      </c>
      <c r="D34" s="135">
        <v>3490000</v>
      </c>
      <c r="E34" s="154">
        <v>3290000</v>
      </c>
      <c r="F34" s="132">
        <v>3490000</v>
      </c>
      <c r="G34" s="111">
        <v>3290000</v>
      </c>
      <c r="H34" s="153"/>
      <c r="M34" s="148">
        <f>IFERROR(C34-W2Q3FY26!C34,"OOS")</f>
        <v>0</v>
      </c>
      <c r="N34" s="146" t="str">
        <f t="shared" si="5"/>
        <v/>
      </c>
      <c r="O34" s="149">
        <f>IFERROR(D34-W2Q3FY26!D34,"OOS")</f>
        <v>0</v>
      </c>
      <c r="P34" s="146" t="str">
        <f t="shared" si="6"/>
        <v/>
      </c>
      <c r="Q34" s="149">
        <f>IFERROR(E34-W2Q3FY26!E34,"OOS")</f>
        <v>0</v>
      </c>
      <c r="R34" s="146" t="str">
        <f t="shared" si="2"/>
        <v/>
      </c>
      <c r="S34" s="149">
        <f>IFERROR(F34-W2Q3FY26!F34,"OOS")</f>
        <v>0</v>
      </c>
      <c r="T34" s="146" t="str">
        <f t="shared" si="7"/>
        <v/>
      </c>
      <c r="U34" s="149">
        <f>IFERROR(G34-W2Q3FY26!G34,"OOS")</f>
        <v>-60000</v>
      </c>
      <c r="V34" s="146" t="str">
        <f t="shared" si="4"/>
        <v>AirPods 4 with charging case giảm 60K = 3290.0K</v>
      </c>
    </row>
    <row r="35" spans="1:22" ht="16" customHeight="1" x14ac:dyDescent="0.2">
      <c r="A35" t="s">
        <v>56</v>
      </c>
      <c r="B35" s="3"/>
      <c r="C35" s="135">
        <v>6590000</v>
      </c>
      <c r="D35" s="135">
        <v>6590000</v>
      </c>
      <c r="E35" s="134">
        <v>6290000</v>
      </c>
      <c r="F35" s="132">
        <v>6590000</v>
      </c>
      <c r="G35" s="111">
        <v>6290000</v>
      </c>
      <c r="H35" s="153"/>
      <c r="M35" s="148">
        <f>IFERROR(C35-W2Q3FY26!C35,"OOS")</f>
        <v>0</v>
      </c>
      <c r="N35" s="146" t="str">
        <f t="shared" si="5"/>
        <v/>
      </c>
      <c r="O35" s="149">
        <f>IFERROR(D35-W2Q3FY26!D35,"OOS")</f>
        <v>0</v>
      </c>
      <c r="P35" s="146" t="str">
        <f t="shared" si="6"/>
        <v/>
      </c>
      <c r="Q35" s="149">
        <f>IFERROR(E35-W2Q3FY26!E35,"OOS")</f>
        <v>0</v>
      </c>
      <c r="R35" s="146" t="str">
        <f t="shared" si="2"/>
        <v/>
      </c>
      <c r="S35" s="149">
        <f>IFERROR(F35-W2Q3FY26!F35,"OOS")</f>
        <v>0</v>
      </c>
      <c r="T35" s="146" t="str">
        <f t="shared" si="7"/>
        <v/>
      </c>
      <c r="U35" s="149">
        <f>IFERROR(G35-W2Q3FY26!G35,"OOS")</f>
        <v>-100000</v>
      </c>
      <c r="V35" s="146" t="str">
        <f t="shared" si="4"/>
        <v>AirPods Pro 3 giảm 100K = 6290.0K</v>
      </c>
    </row>
    <row r="36" spans="1:22" ht="16" customHeight="1" x14ac:dyDescent="0.2">
      <c r="A36" t="s">
        <v>57</v>
      </c>
      <c r="B36" s="25"/>
      <c r="C36" s="140">
        <v>29490000</v>
      </c>
      <c r="D36" s="135">
        <v>29990000</v>
      </c>
      <c r="E36" s="142"/>
      <c r="F36" s="111">
        <v>29490000</v>
      </c>
      <c r="G36" s="110">
        <v>29990000</v>
      </c>
      <c r="H36" s="153"/>
      <c r="M36" s="148" t="str">
        <f>IFERROR(C36-W2Q3FY26!C36,"OOS")</f>
        <v>OOS</v>
      </c>
      <c r="N36" s="146" t="e">
        <f t="shared" si="5"/>
        <v>#VALUE!</v>
      </c>
      <c r="O36" s="149">
        <f>IFERROR(D36-W2Q3FY26!D36,"OOS")</f>
        <v>10000000</v>
      </c>
      <c r="P36" s="146" t="str">
        <f t="shared" si="6"/>
        <v>MacBook Air 13" M5 16/512GB tăng 10000K = 29990.0K</v>
      </c>
      <c r="Q36" s="149">
        <f>IFERROR(E36-W2Q3FY26!E36,"OOS")</f>
        <v>0</v>
      </c>
      <c r="R36" s="146" t="str">
        <f t="shared" si="2"/>
        <v/>
      </c>
      <c r="S36" s="149" t="str">
        <f>IFERROR(F36-W2Q3FY26!F36,"OOS")</f>
        <v>OOS</v>
      </c>
      <c r="T36" s="146" t="e">
        <f t="shared" si="7"/>
        <v>#VALUE!</v>
      </c>
      <c r="U36" s="149">
        <f>IFERROR(G36-W2Q3FY26!G37,"OOS")</f>
        <v>0</v>
      </c>
      <c r="V36" s="146" t="str">
        <f t="shared" si="4"/>
        <v/>
      </c>
    </row>
    <row r="37" spans="1:22" ht="16" customHeight="1" x14ac:dyDescent="0.2">
      <c r="A37" t="s">
        <v>58</v>
      </c>
      <c r="B37" s="25"/>
      <c r="C37" s="140">
        <v>15990000</v>
      </c>
      <c r="D37" s="135">
        <v>16490000</v>
      </c>
      <c r="E37" s="142"/>
      <c r="F37" s="110">
        <v>16490000</v>
      </c>
      <c r="G37" s="111">
        <v>15999000</v>
      </c>
      <c r="H37" s="153"/>
      <c r="M37" s="148">
        <f>IFERROR(C37-W2Q3FY26!C37,"OOS")</f>
        <v>-14000000</v>
      </c>
      <c r="N37" s="146" t="str">
        <f t="shared" si="5"/>
        <v>MacBook NEO A18 Pro ( 8/256GB) giảm 14000K = 15990.0K</v>
      </c>
      <c r="O37" s="149">
        <f>IFERROR(D37-W2Q3FY26!D37,"OOS")</f>
        <v>-13500000</v>
      </c>
      <c r="P37" s="146" t="str">
        <f t="shared" si="6"/>
        <v>MacBook NEO A18 Pro ( 8/256GB) giảm 13500K = 16490.0K</v>
      </c>
      <c r="Q37" s="149">
        <f>IFERROR(E37-W2Q3FY26!E37,"OOS")</f>
        <v>0</v>
      </c>
      <c r="R37" s="146" t="str">
        <f t="shared" si="2"/>
        <v/>
      </c>
      <c r="S37" s="149">
        <f>IFERROR(F37-W2Q3FY26!F37,"OOS")</f>
        <v>-13500000</v>
      </c>
      <c r="T37" s="146" t="str">
        <f t="shared" si="7"/>
        <v>MacBook NEO A18 Pro ( 8/256GB) giảm 13500K = 16490.0K</v>
      </c>
      <c r="U37" s="149">
        <f>IFERROR(G37-W2Q3FY26!G38,"OOS")</f>
        <v>-500000</v>
      </c>
      <c r="V37" s="146" t="str">
        <f t="shared" si="4"/>
        <v>MacBook NEO A18 Pro ( 8/256GB) giảm 500K = 15999.0K</v>
      </c>
    </row>
    <row r="38" spans="1:22" ht="16" customHeight="1" x14ac:dyDescent="0.2">
      <c r="A38" t="s">
        <v>59</v>
      </c>
      <c r="B38" s="3"/>
      <c r="C38" s="140">
        <v>25590000</v>
      </c>
      <c r="D38" s="135" t="s">
        <v>22</v>
      </c>
      <c r="E38" s="142"/>
      <c r="F38" s="132">
        <v>25590000</v>
      </c>
      <c r="G38" s="110">
        <v>24590000</v>
      </c>
      <c r="H38" s="153"/>
      <c r="J38" t="s">
        <v>60</v>
      </c>
      <c r="M38" s="148">
        <f>IFERROR(C38-W2Q3FY26!C38,"OOS")</f>
        <v>9100000</v>
      </c>
      <c r="N38" s="146" t="str">
        <f t="shared" si="5"/>
        <v>MacBook Air 13" M4 16/256GB tăng 9100K = 25590.0K</v>
      </c>
      <c r="O38" s="149" t="str">
        <f>IFERROR(D38-W2Q3FY26!D38,"OOS")</f>
        <v>OOS</v>
      </c>
      <c r="P38" s="146" t="e">
        <f t="shared" si="6"/>
        <v>#VALUE!</v>
      </c>
      <c r="Q38" s="149">
        <f>IFERROR(E38-W2Q3FY26!E38,"OOS")</f>
        <v>0</v>
      </c>
      <c r="R38" s="146" t="str">
        <f t="shared" si="2"/>
        <v/>
      </c>
      <c r="S38" s="149">
        <f>IFERROR(F38-W2Q3FY26!F38,"OOS")</f>
        <v>9100000</v>
      </c>
      <c r="T38" s="146" t="str">
        <f t="shared" si="7"/>
        <v>MacBook Air 13" M4 16/256GB tăng 9100K = 25590.0K</v>
      </c>
      <c r="U38" s="149">
        <f>IFERROR(G38-W2Q3FY26!G39,"OOS")</f>
        <v>0</v>
      </c>
      <c r="V38" s="146" t="str">
        <f t="shared" si="4"/>
        <v/>
      </c>
    </row>
    <row r="39" spans="1:22" ht="16" customHeight="1" x14ac:dyDescent="0.2">
      <c r="A39" t="s">
        <v>61</v>
      </c>
      <c r="B39" s="25"/>
      <c r="C39" s="135">
        <v>29990000</v>
      </c>
      <c r="D39" s="135">
        <v>29490000</v>
      </c>
      <c r="E39" s="142"/>
      <c r="F39" s="132">
        <v>29990000</v>
      </c>
      <c r="G39" s="110">
        <v>28990000</v>
      </c>
      <c r="H39" s="153"/>
      <c r="M39" s="148">
        <f>IFERROR(C39-W2Q3FY26!C39,"OOS")</f>
        <v>4400000</v>
      </c>
      <c r="N39" s="146" t="str">
        <f t="shared" si="5"/>
        <v>MacBook Air 15" M4 16/256GB tăng 4400K = 29990.0K</v>
      </c>
      <c r="O39" s="149" t="str">
        <f>IFERROR(D39-W2Q3FY26!D39,"OOS")</f>
        <v>OOS</v>
      </c>
      <c r="P39" s="146" t="e">
        <f t="shared" si="6"/>
        <v>#VALUE!</v>
      </c>
      <c r="Q39" s="149">
        <f>IFERROR(E39-W2Q3FY26!E39,"OOS")</f>
        <v>0</v>
      </c>
      <c r="R39" s="146" t="str">
        <f t="shared" si="2"/>
        <v/>
      </c>
      <c r="S39" s="149">
        <f>IFERROR(F39-W2Q3FY26!F39,"OOS")</f>
        <v>4400000</v>
      </c>
      <c r="T39" s="146" t="str">
        <f t="shared" si="7"/>
        <v>MacBook Air 15" M4 16/256GB tăng 4400K = 29990.0K</v>
      </c>
      <c r="U39" s="149">
        <f>IFERROR(G39-W2Q3FY26!G40,"OOS")</f>
        <v>0</v>
      </c>
      <c r="V39" s="146" t="str">
        <f t="shared" si="4"/>
        <v/>
      </c>
    </row>
    <row r="40" spans="1:22" ht="16" customHeight="1" x14ac:dyDescent="0.2">
      <c r="A40" t="s">
        <v>187</v>
      </c>
      <c r="B40" s="25"/>
      <c r="C40" s="135" t="s">
        <v>22</v>
      </c>
      <c r="D40" s="135" t="s">
        <v>22</v>
      </c>
      <c r="E40" s="142"/>
      <c r="F40" s="110" t="s">
        <v>22</v>
      </c>
      <c r="G40" s="110">
        <v>38390000</v>
      </c>
      <c r="H40" s="153"/>
      <c r="M40" s="148" t="str">
        <f>IFERROR(C40-W2Q3FY26!C40,"OOS")</f>
        <v>OOS</v>
      </c>
      <c r="N40" s="146" t="e">
        <f t="shared" si="5"/>
        <v>#VALUE!</v>
      </c>
      <c r="O40" s="149" t="str">
        <f>IFERROR(D40-W2Q3FY26!D40,"OOS")</f>
        <v>OOS</v>
      </c>
      <c r="P40" s="146" t="e">
        <f t="shared" si="6"/>
        <v>#VALUE!</v>
      </c>
      <c r="Q40" s="149">
        <f>IFERROR(E40-W2Q3FY26!E40,"OOS")</f>
        <v>0</v>
      </c>
      <c r="R40" s="146" t="str">
        <f t="shared" si="2"/>
        <v/>
      </c>
      <c r="S40" s="149" t="str">
        <f>IFERROR(F40-W2Q3FY26!F40,"OOS")</f>
        <v>OOS</v>
      </c>
      <c r="T40" s="146" t="e">
        <f t="shared" si="7"/>
        <v>#VALUE!</v>
      </c>
      <c r="U40" s="149">
        <f>IFERROR(G40-W2Q3FY26!G41,"OOS")</f>
        <v>0</v>
      </c>
      <c r="V40" s="146" t="str">
        <f t="shared" si="4"/>
        <v/>
      </c>
    </row>
    <row r="41" spans="1:22" ht="16" customHeight="1" x14ac:dyDescent="0.2">
      <c r="A41" t="s">
        <v>62</v>
      </c>
      <c r="B41" s="25"/>
      <c r="C41" s="135">
        <v>41490000</v>
      </c>
      <c r="D41" s="135">
        <v>41490000</v>
      </c>
      <c r="E41" s="142"/>
      <c r="F41" s="132">
        <v>41490000</v>
      </c>
      <c r="G41" s="110">
        <v>41490000</v>
      </c>
      <c r="H41" s="153"/>
      <c r="M41" s="148" t="str">
        <f>IFERROR(C41-W2Q3FY26!C41,"OOS")</f>
        <v>OOS</v>
      </c>
      <c r="N41" s="146" t="e">
        <f t="shared" si="5"/>
        <v>#VALUE!</v>
      </c>
      <c r="O41" s="149" t="str">
        <f>IFERROR(D41-W2Q3FY26!D41,"OOS")</f>
        <v>OOS</v>
      </c>
      <c r="P41" s="146" t="e">
        <f t="shared" si="6"/>
        <v>#VALUE!</v>
      </c>
      <c r="Q41" s="149">
        <f>IFERROR(E41-W2Q3FY26!E41,"OOS")</f>
        <v>0</v>
      </c>
      <c r="R41" s="146" t="str">
        <f t="shared" si="2"/>
        <v/>
      </c>
      <c r="S41" s="149" t="str">
        <f>IFERROR(F41-W2Q3FY26!F41,"OOS")</f>
        <v>OOS</v>
      </c>
      <c r="T41" s="146" t="e">
        <f t="shared" si="7"/>
        <v>#VALUE!</v>
      </c>
      <c r="U41" s="149">
        <f>IFERROR(G41-W2Q3FY26!G42,"OOS")</f>
        <v>0</v>
      </c>
      <c r="V41" s="146" t="str">
        <f t="shared" si="4"/>
        <v/>
      </c>
    </row>
    <row r="42" spans="1:22" ht="16" customHeight="1" x14ac:dyDescent="0.2">
      <c r="A42" t="s">
        <v>188</v>
      </c>
      <c r="B42" s="25"/>
      <c r="C42" s="135" t="s">
        <v>22</v>
      </c>
      <c r="D42" s="140">
        <v>63990000</v>
      </c>
      <c r="E42" s="142"/>
      <c r="F42" s="132">
        <v>62990000</v>
      </c>
      <c r="G42" s="110">
        <v>63990000</v>
      </c>
      <c r="H42" s="153"/>
      <c r="M42" s="148" t="str">
        <f>IFERROR(C42-W2Q3FY26!C42,"OOS")</f>
        <v>OOS</v>
      </c>
      <c r="N42" s="146" t="e">
        <f t="shared" si="5"/>
        <v>#VALUE!</v>
      </c>
      <c r="O42" s="149">
        <f>IFERROR(D42-W2Q3FY26!D42,"OOS")</f>
        <v>22500000</v>
      </c>
      <c r="P42" s="146" t="str">
        <f t="shared" si="6"/>
        <v>MacBook Pro 16" M4 24/512GB tăng 22500K = 63990.0K</v>
      </c>
      <c r="Q42" s="149">
        <f>IFERROR(E42-W2Q3FY26!E42,"OOS")</f>
        <v>0</v>
      </c>
      <c r="R42" s="146" t="str">
        <f t="shared" si="2"/>
        <v/>
      </c>
      <c r="S42" s="149">
        <f>IFERROR(F42-W2Q3FY26!F42,"OOS")</f>
        <v>21500000</v>
      </c>
      <c r="T42" s="146" t="str">
        <f t="shared" si="7"/>
        <v>MacBook Pro 16" M4 24/512GB tăng 21500K = 62990.0K</v>
      </c>
      <c r="U42" s="149">
        <f>IFERROR(G42-W2Q3FY26!G43,"OOS")</f>
        <v>0</v>
      </c>
      <c r="V42" s="146" t="str">
        <f t="shared" si="4"/>
        <v/>
      </c>
    </row>
    <row r="43" spans="1:22" ht="16" customHeight="1" x14ac:dyDescent="0.2">
      <c r="C43" s="124"/>
      <c r="D43" s="124"/>
      <c r="V43" s="146" t="str">
        <f t="shared" si="4"/>
        <v/>
      </c>
    </row>
    <row r="44" spans="1:22" ht="16" customHeight="1" x14ac:dyDescent="0.2">
      <c r="C44" s="124"/>
      <c r="D44" s="124"/>
      <c r="V44" s="146" t="str">
        <f t="shared" si="4"/>
        <v/>
      </c>
    </row>
    <row r="45" spans="1:22" ht="16" customHeight="1" x14ac:dyDescent="0.2">
      <c r="C45" s="124"/>
      <c r="D45" s="124"/>
    </row>
    <row r="46" spans="1:22" ht="16" customHeight="1" x14ac:dyDescent="0.2">
      <c r="C46" s="124"/>
      <c r="D46" s="124"/>
    </row>
    <row r="47" spans="1:22" ht="16" customHeight="1" x14ac:dyDescent="0.2">
      <c r="C47" s="124"/>
      <c r="D47" s="124"/>
    </row>
    <row r="48" spans="1:22" ht="16" customHeight="1" x14ac:dyDescent="0.2">
      <c r="C48" s="124"/>
      <c r="D48" s="124"/>
    </row>
    <row r="49" spans="3:4" ht="16" customHeight="1" x14ac:dyDescent="0.2">
      <c r="C49" s="124"/>
      <c r="D49" s="124"/>
    </row>
    <row r="50" spans="3:4" ht="16" customHeight="1" x14ac:dyDescent="0.2">
      <c r="C50" s="124"/>
      <c r="D50" s="124"/>
    </row>
    <row r="51" spans="3:4" ht="16" customHeight="1" x14ac:dyDescent="0.2">
      <c r="C51" s="124"/>
      <c r="D51" s="124"/>
    </row>
    <row r="52" spans="3:4" ht="16" customHeight="1" x14ac:dyDescent="0.2">
      <c r="C52" s="124"/>
      <c r="D52" s="124"/>
    </row>
    <row r="53" spans="3:4" ht="16" customHeight="1" x14ac:dyDescent="0.2">
      <c r="C53" s="124"/>
      <c r="D53" s="124"/>
    </row>
    <row r="54" spans="3:4" ht="16" customHeight="1" x14ac:dyDescent="0.2">
      <c r="C54" s="124"/>
      <c r="D54" s="124"/>
    </row>
    <row r="55" spans="3:4" ht="16" customHeight="1" x14ac:dyDescent="0.2">
      <c r="C55" s="124"/>
      <c r="D55" s="124"/>
    </row>
    <row r="56" spans="3:4" ht="16" customHeight="1" x14ac:dyDescent="0.2">
      <c r="C56" s="124"/>
      <c r="D56" s="124"/>
    </row>
    <row r="57" spans="3:4" ht="16" customHeight="1" x14ac:dyDescent="0.2">
      <c r="C57" s="124"/>
      <c r="D57" s="124"/>
    </row>
    <row r="58" spans="3:4" ht="16" customHeight="1" x14ac:dyDescent="0.2">
      <c r="C58" s="124"/>
      <c r="D58" s="124"/>
    </row>
    <row r="59" spans="3:4" ht="16" customHeight="1" x14ac:dyDescent="0.2">
      <c r="C59" s="124"/>
      <c r="D59" s="124"/>
    </row>
    <row r="60" spans="3:4" ht="16" customHeight="1" x14ac:dyDescent="0.2">
      <c r="C60" s="124"/>
      <c r="D60" s="124"/>
    </row>
    <row r="61" spans="3:4" ht="16" customHeight="1" x14ac:dyDescent="0.2">
      <c r="C61" s="124"/>
      <c r="D61" s="124"/>
    </row>
    <row r="62" spans="3:4" ht="16" customHeight="1" x14ac:dyDescent="0.2">
      <c r="C62" s="124"/>
      <c r="D62" s="124"/>
    </row>
    <row r="63" spans="3:4" ht="16" customHeight="1" x14ac:dyDescent="0.2">
      <c r="C63" s="124"/>
      <c r="D63" s="124"/>
    </row>
    <row r="64" spans="3:4" ht="16" customHeight="1" x14ac:dyDescent="0.2">
      <c r="C64" s="124"/>
      <c r="D64" s="124"/>
    </row>
    <row r="65" spans="3:4" ht="16" customHeight="1" x14ac:dyDescent="0.2">
      <c r="C65" s="124"/>
      <c r="D65" s="124"/>
    </row>
    <row r="66" spans="3:4" ht="16" customHeight="1" x14ac:dyDescent="0.2">
      <c r="C66" s="124"/>
      <c r="D66" s="124"/>
    </row>
    <row r="67" spans="3:4" ht="16" customHeight="1" x14ac:dyDescent="0.2">
      <c r="C67" s="124"/>
      <c r="D67" s="124"/>
    </row>
    <row r="68" spans="3:4" ht="16" customHeight="1" x14ac:dyDescent="0.2">
      <c r="C68" s="124"/>
      <c r="D68" s="124"/>
    </row>
    <row r="69" spans="3:4" ht="16" customHeight="1" x14ac:dyDescent="0.2">
      <c r="C69" s="124"/>
      <c r="D69" s="124"/>
    </row>
    <row r="70" spans="3:4" ht="16" customHeight="1" x14ac:dyDescent="0.2">
      <c r="C70" s="124"/>
      <c r="D70" s="124"/>
    </row>
    <row r="71" spans="3:4" ht="16" customHeight="1" x14ac:dyDescent="0.2">
      <c r="C71" s="124"/>
      <c r="D71" s="124"/>
    </row>
    <row r="72" spans="3:4" ht="16" customHeight="1" x14ac:dyDescent="0.2">
      <c r="C72" s="124"/>
      <c r="D72" s="124"/>
    </row>
    <row r="73" spans="3:4" ht="16" customHeight="1" x14ac:dyDescent="0.2">
      <c r="C73" s="124"/>
      <c r="D73" s="124"/>
    </row>
    <row r="74" spans="3:4" ht="16" customHeight="1" x14ac:dyDescent="0.2">
      <c r="C74" s="124"/>
      <c r="D74" s="124"/>
    </row>
    <row r="75" spans="3:4" ht="16" customHeight="1" x14ac:dyDescent="0.2">
      <c r="C75" s="124"/>
      <c r="D75" s="124"/>
    </row>
    <row r="76" spans="3:4" ht="16" customHeight="1" x14ac:dyDescent="0.2">
      <c r="C76" s="124"/>
      <c r="D76" s="124"/>
    </row>
    <row r="77" spans="3:4" ht="16" customHeight="1" x14ac:dyDescent="0.2">
      <c r="C77" s="124"/>
      <c r="D77" s="124"/>
    </row>
    <row r="78" spans="3:4" ht="16" customHeight="1" x14ac:dyDescent="0.2">
      <c r="C78" s="124"/>
      <c r="D78" s="124"/>
    </row>
    <row r="79" spans="3:4" ht="16" customHeight="1" x14ac:dyDescent="0.2">
      <c r="C79" s="124"/>
      <c r="D79" s="124"/>
    </row>
    <row r="80" spans="3:4" ht="16" customHeight="1" x14ac:dyDescent="0.2">
      <c r="C80" s="124"/>
      <c r="D80" s="124"/>
    </row>
    <row r="81" spans="3:4" ht="16" customHeight="1" x14ac:dyDescent="0.2">
      <c r="C81" s="124"/>
      <c r="D81" s="124"/>
    </row>
    <row r="82" spans="3:4" ht="16" customHeight="1" x14ac:dyDescent="0.2">
      <c r="C82" s="124"/>
      <c r="D82" s="124"/>
    </row>
    <row r="83" spans="3:4" ht="16" customHeight="1" x14ac:dyDescent="0.2">
      <c r="C83" s="124"/>
      <c r="D83" s="124"/>
    </row>
    <row r="84" spans="3:4" ht="16" customHeight="1" x14ac:dyDescent="0.2">
      <c r="C84" s="124"/>
      <c r="D84" s="124"/>
    </row>
    <row r="85" spans="3:4" ht="16" customHeight="1" x14ac:dyDescent="0.2">
      <c r="C85" s="124"/>
      <c r="D85" s="124"/>
    </row>
    <row r="86" spans="3:4" ht="16" customHeight="1" x14ac:dyDescent="0.2">
      <c r="C86" s="124"/>
      <c r="D86" s="124"/>
    </row>
    <row r="87" spans="3:4" ht="16" customHeight="1" x14ac:dyDescent="0.2">
      <c r="C87" s="124"/>
      <c r="D87" s="124"/>
    </row>
    <row r="88" spans="3:4" ht="16" customHeight="1" x14ac:dyDescent="0.2">
      <c r="C88" s="124"/>
      <c r="D88" s="124"/>
    </row>
    <row r="89" spans="3:4" ht="16" customHeight="1" x14ac:dyDescent="0.2">
      <c r="C89" s="124"/>
      <c r="D89" s="124"/>
    </row>
    <row r="90" spans="3:4" ht="16" customHeight="1" x14ac:dyDescent="0.2">
      <c r="C90" s="124"/>
      <c r="D90" s="124"/>
    </row>
    <row r="91" spans="3:4" ht="16" customHeight="1" x14ac:dyDescent="0.2">
      <c r="C91" s="124"/>
      <c r="D91" s="124"/>
    </row>
    <row r="92" spans="3:4" ht="16" customHeight="1" x14ac:dyDescent="0.2">
      <c r="C92" s="124"/>
      <c r="D92" s="124"/>
    </row>
    <row r="93" spans="3:4" ht="16" customHeight="1" x14ac:dyDescent="0.2">
      <c r="C93" s="124"/>
      <c r="D93" s="124"/>
    </row>
    <row r="94" spans="3:4" ht="16" customHeight="1" x14ac:dyDescent="0.2">
      <c r="C94" s="124"/>
      <c r="D94" s="124"/>
    </row>
    <row r="95" spans="3:4" ht="16" customHeight="1" x14ac:dyDescent="0.2">
      <c r="C95" s="124"/>
      <c r="D95" s="124"/>
    </row>
    <row r="96" spans="3:4" ht="16" customHeight="1" x14ac:dyDescent="0.2">
      <c r="C96" s="124"/>
      <c r="D96" s="124"/>
    </row>
    <row r="97" spans="3:4" ht="16" customHeight="1" x14ac:dyDescent="0.2">
      <c r="C97" s="124"/>
      <c r="D97" s="124"/>
    </row>
    <row r="98" spans="3:4" ht="16" customHeight="1" x14ac:dyDescent="0.2">
      <c r="C98" s="124"/>
      <c r="D98" s="124"/>
    </row>
    <row r="99" spans="3:4" ht="16" customHeight="1" x14ac:dyDescent="0.2">
      <c r="C99" s="124"/>
      <c r="D99" s="124"/>
    </row>
    <row r="100" spans="3:4" ht="16" customHeight="1" x14ac:dyDescent="0.2">
      <c r="C100" s="124"/>
      <c r="D100" s="124"/>
    </row>
    <row r="101" spans="3:4" ht="16" customHeight="1" x14ac:dyDescent="0.2">
      <c r="C101" s="124"/>
      <c r="D101" s="124"/>
    </row>
    <row r="102" spans="3:4" ht="16" customHeight="1" x14ac:dyDescent="0.2">
      <c r="C102" s="124"/>
      <c r="D102" s="124"/>
    </row>
    <row r="103" spans="3:4" ht="16" customHeight="1" x14ac:dyDescent="0.2">
      <c r="C103" s="124"/>
      <c r="D103" s="124"/>
    </row>
    <row r="104" spans="3:4" ht="16" customHeight="1" x14ac:dyDescent="0.2">
      <c r="C104" s="124"/>
      <c r="D104" s="124"/>
    </row>
    <row r="105" spans="3:4" ht="16" customHeight="1" x14ac:dyDescent="0.2">
      <c r="C105" s="124"/>
      <c r="D105" s="124"/>
    </row>
    <row r="106" spans="3:4" ht="16" customHeight="1" x14ac:dyDescent="0.2">
      <c r="C106" s="124"/>
      <c r="D106" s="124"/>
    </row>
    <row r="107" spans="3:4" ht="16" customHeight="1" x14ac:dyDescent="0.2">
      <c r="C107" s="124"/>
      <c r="D107" s="124"/>
    </row>
    <row r="108" spans="3:4" ht="16" customHeight="1" x14ac:dyDescent="0.2">
      <c r="C108" s="124"/>
      <c r="D108" s="124"/>
    </row>
    <row r="109" spans="3:4" ht="16" customHeight="1" x14ac:dyDescent="0.2">
      <c r="C109" s="124"/>
      <c r="D109" s="124"/>
    </row>
    <row r="110" spans="3:4" ht="16" customHeight="1" x14ac:dyDescent="0.2">
      <c r="C110" s="124"/>
      <c r="D110" s="124"/>
    </row>
    <row r="111" spans="3:4" ht="16" customHeight="1" x14ac:dyDescent="0.2">
      <c r="C111" s="124"/>
      <c r="D111" s="124"/>
    </row>
    <row r="112" spans="3:4" ht="16" customHeight="1" x14ac:dyDescent="0.2">
      <c r="C112" s="124"/>
      <c r="D112" s="124"/>
    </row>
    <row r="113" spans="3:4" ht="16" customHeight="1" x14ac:dyDescent="0.2">
      <c r="C113" s="124"/>
      <c r="D113" s="124"/>
    </row>
    <row r="114" spans="3:4" ht="16" customHeight="1" x14ac:dyDescent="0.2">
      <c r="C114" s="124"/>
      <c r="D114" s="124"/>
    </row>
    <row r="115" spans="3:4" ht="16" customHeight="1" x14ac:dyDescent="0.2">
      <c r="C115" s="124"/>
      <c r="D115" s="124"/>
    </row>
    <row r="116" spans="3:4" ht="16" customHeight="1" x14ac:dyDescent="0.2">
      <c r="C116" s="124"/>
      <c r="D116" s="124"/>
    </row>
    <row r="117" spans="3:4" ht="16" customHeight="1" x14ac:dyDescent="0.2">
      <c r="C117" s="124"/>
      <c r="D117" s="124"/>
    </row>
    <row r="118" spans="3:4" ht="16" customHeight="1" x14ac:dyDescent="0.2">
      <c r="C118" s="124"/>
      <c r="D118" s="124"/>
    </row>
    <row r="119" spans="3:4" ht="16" customHeight="1" x14ac:dyDescent="0.2">
      <c r="C119" s="124"/>
      <c r="D119" s="124"/>
    </row>
    <row r="120" spans="3:4" ht="16" customHeight="1" x14ac:dyDescent="0.2">
      <c r="C120" s="124"/>
      <c r="D120" s="124"/>
    </row>
    <row r="121" spans="3:4" ht="16" customHeight="1" x14ac:dyDescent="0.2">
      <c r="C121" s="124"/>
      <c r="D121" s="124"/>
    </row>
    <row r="122" spans="3:4" ht="16" customHeight="1" x14ac:dyDescent="0.2">
      <c r="C122" s="124"/>
      <c r="D122" s="124"/>
    </row>
    <row r="123" spans="3:4" ht="16" customHeight="1" x14ac:dyDescent="0.2">
      <c r="C123" s="124"/>
      <c r="D123" s="124"/>
    </row>
    <row r="124" spans="3:4" ht="16" customHeight="1" x14ac:dyDescent="0.2">
      <c r="C124" s="124"/>
      <c r="D124" s="124"/>
    </row>
    <row r="125" spans="3:4" ht="16" customHeight="1" x14ac:dyDescent="0.2">
      <c r="C125" s="124"/>
      <c r="D125" s="124"/>
    </row>
    <row r="126" spans="3:4" ht="16" customHeight="1" x14ac:dyDescent="0.2">
      <c r="C126" s="124"/>
      <c r="D126" s="124"/>
    </row>
    <row r="127" spans="3:4" ht="16" customHeight="1" x14ac:dyDescent="0.2">
      <c r="C127" s="124"/>
      <c r="D127" s="124"/>
    </row>
    <row r="128" spans="3:4" ht="16" customHeight="1" x14ac:dyDescent="0.2">
      <c r="C128" s="124"/>
      <c r="D128" s="124"/>
    </row>
    <row r="129" spans="3:4" ht="16" customHeight="1" x14ac:dyDescent="0.2">
      <c r="C129" s="124"/>
      <c r="D129" s="124"/>
    </row>
    <row r="130" spans="3:4" ht="16" customHeight="1" x14ac:dyDescent="0.2">
      <c r="C130" s="124"/>
      <c r="D130" s="124"/>
    </row>
    <row r="131" spans="3:4" ht="16" customHeight="1" x14ac:dyDescent="0.2">
      <c r="C131" s="124"/>
      <c r="D131" s="124"/>
    </row>
    <row r="132" spans="3:4" ht="16" customHeight="1" x14ac:dyDescent="0.2">
      <c r="C132" s="124"/>
      <c r="D132" s="124"/>
    </row>
    <row r="133" spans="3:4" ht="16" customHeight="1" x14ac:dyDescent="0.2">
      <c r="C133" s="124"/>
      <c r="D133" s="124"/>
    </row>
    <row r="134" spans="3:4" ht="16" customHeight="1" x14ac:dyDescent="0.2">
      <c r="C134" s="124"/>
      <c r="D134" s="124"/>
    </row>
    <row r="135" spans="3:4" ht="16" customHeight="1" x14ac:dyDescent="0.2">
      <c r="C135" s="124"/>
      <c r="D135" s="124"/>
    </row>
    <row r="136" spans="3:4" ht="16" customHeight="1" x14ac:dyDescent="0.2">
      <c r="C136" s="124"/>
      <c r="D136" s="124"/>
    </row>
    <row r="137" spans="3:4" ht="16" customHeight="1" x14ac:dyDescent="0.2">
      <c r="C137" s="124"/>
      <c r="D137" s="124"/>
    </row>
    <row r="138" spans="3:4" ht="16" customHeight="1" x14ac:dyDescent="0.2">
      <c r="C138" s="124"/>
      <c r="D138" s="124"/>
    </row>
    <row r="139" spans="3:4" ht="16" customHeight="1" x14ac:dyDescent="0.2">
      <c r="C139" s="124"/>
      <c r="D139" s="124"/>
    </row>
    <row r="140" spans="3:4" ht="16" customHeight="1" x14ac:dyDescent="0.2">
      <c r="C140" s="124"/>
      <c r="D140" s="124"/>
    </row>
    <row r="141" spans="3:4" ht="16" customHeight="1" x14ac:dyDescent="0.2">
      <c r="C141" s="124"/>
      <c r="D141" s="124"/>
    </row>
    <row r="142" spans="3:4" ht="16" customHeight="1" x14ac:dyDescent="0.2">
      <c r="C142" s="124"/>
      <c r="D142" s="124"/>
    </row>
    <row r="143" spans="3:4" ht="16" customHeight="1" x14ac:dyDescent="0.2">
      <c r="C143" s="124"/>
      <c r="D143" s="124"/>
    </row>
    <row r="144" spans="3:4" ht="16" customHeight="1" x14ac:dyDescent="0.2">
      <c r="C144" s="124"/>
      <c r="D144" s="124"/>
    </row>
    <row r="145" spans="3:4" ht="16" customHeight="1" x14ac:dyDescent="0.2">
      <c r="C145" s="124"/>
      <c r="D145" s="124"/>
    </row>
    <row r="146" spans="3:4" ht="16" customHeight="1" x14ac:dyDescent="0.2">
      <c r="C146" s="124"/>
      <c r="D146" s="124"/>
    </row>
    <row r="147" spans="3:4" ht="16" customHeight="1" x14ac:dyDescent="0.2">
      <c r="C147" s="124"/>
      <c r="D147" s="124"/>
    </row>
    <row r="148" spans="3:4" ht="16" customHeight="1" x14ac:dyDescent="0.2">
      <c r="C148" s="124"/>
      <c r="D148" s="124"/>
    </row>
    <row r="149" spans="3:4" ht="16" customHeight="1" x14ac:dyDescent="0.2">
      <c r="C149" s="124"/>
      <c r="D149" s="124"/>
    </row>
    <row r="150" spans="3:4" ht="16" customHeight="1" x14ac:dyDescent="0.2">
      <c r="C150" s="124"/>
      <c r="D150" s="124"/>
    </row>
    <row r="151" spans="3:4" ht="16" customHeight="1" x14ac:dyDescent="0.2">
      <c r="C151" s="124"/>
      <c r="D151" s="124"/>
    </row>
    <row r="152" spans="3:4" ht="16" customHeight="1" x14ac:dyDescent="0.2">
      <c r="C152" s="124"/>
      <c r="D152" s="124"/>
    </row>
    <row r="153" spans="3:4" ht="16" customHeight="1" x14ac:dyDescent="0.2">
      <c r="C153" s="124"/>
      <c r="D153" s="124"/>
    </row>
    <row r="154" spans="3:4" ht="16" customHeight="1" x14ac:dyDescent="0.2">
      <c r="C154" s="124"/>
      <c r="D154" s="124"/>
    </row>
  </sheetData>
  <conditionalFormatting sqref="E2:E42">
    <cfRule type="expression" dxfId="25" priority="5" stopIfTrue="1">
      <formula>$Q2=0</formula>
    </cfRule>
    <cfRule type="expression" dxfId="24" priority="6" stopIfTrue="1">
      <formula>AND($Q2&lt;&gt;0,$Q2&lt;&gt;"")</formula>
    </cfRule>
  </conditionalFormatting>
  <conditionalFormatting sqref="G9:G11">
    <cfRule type="expression" dxfId="23" priority="1" stopIfTrue="1">
      <formula>$Q9=0</formula>
    </cfRule>
    <cfRule type="expression" dxfId="22" priority="2" stopIfTrue="1">
      <formula>AND($Q9&lt;&gt;0,$Q9&lt;&gt;"")</formula>
    </cfRule>
  </conditionalFormatting>
  <conditionalFormatting sqref="N2:N42 P2:P42 R2:R42 T2:T42 V2:V44">
    <cfRule type="containsText" dxfId="21" priority="3" operator="containsText" text="Tăng">
      <formula>NOT(ISERROR(SEARCH("Tăng",N2)))</formula>
    </cfRule>
    <cfRule type="containsText" dxfId="20" priority="4" operator="containsText" text="giảm">
      <formula>NOT(ISERROR(SEARCH("giảm",N2)))</formula>
    </cfRule>
  </conditionalFormatting>
  <pageMargins left="0.7" right="0.7" top="0.75" bottom="0.75" header="0.3" footer="0.3"/>
  <pageSetup paperSize="9" orientation="portrait" horizontalDpi="0" verticalDpi="0"/>
  <legacyDrawing r:id="rId1"/>
</worksheet>
</file>

<file path=xl/worksheets/sheet10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700-000000000000}">
  <dimension ref="A1:Y154"/>
  <sheetViews>
    <sheetView showGridLines="0" zoomScale="80" zoomScaleNormal="80" workbookViewId="0">
      <pane xSplit="2" ySplit="1" topLeftCell="C3" activePane="bottomRight" state="frozen"/>
      <selection pane="topRight" activeCell="C1" sqref="C1"/>
      <selection pane="bottomLeft" activeCell="A2" sqref="A2"/>
      <selection pane="bottomRight" activeCell="N2" sqref="N2"/>
    </sheetView>
  </sheetViews>
  <sheetFormatPr baseColWidth="10" defaultColWidth="11" defaultRowHeight="15.75" customHeight="1" x14ac:dyDescent="0.2"/>
  <cols>
    <col min="1" max="1" width="24.5" customWidth="1"/>
    <col min="2" max="2" width="15.83203125" hidden="1" customWidth="1"/>
    <col min="3" max="3" width="14.83203125" customWidth="1"/>
    <col min="4" max="4" width="16" customWidth="1"/>
    <col min="5" max="5" width="15.5" style="6" customWidth="1"/>
    <col min="6" max="6" width="14.33203125" customWidth="1"/>
    <col min="7" max="12" width="11" customWidth="1"/>
    <col min="13" max="13" width="14.33203125" customWidth="1"/>
    <col min="14" max="14" width="42" customWidth="1"/>
    <col min="15" max="15" width="14.83203125" customWidth="1"/>
    <col min="16" max="16" width="51.5" customWidth="1"/>
    <col min="17" max="17" width="13.5" customWidth="1"/>
    <col min="18" max="18" width="46" customWidth="1"/>
    <col min="19" max="19" width="15.5" customWidth="1"/>
    <col min="20" max="20" width="42.33203125" customWidth="1"/>
    <col min="21" max="21" width="14.1640625" customWidth="1"/>
    <col min="22" max="22" width="48.33203125" customWidth="1"/>
  </cols>
  <sheetData>
    <row r="1" spans="1:22" ht="29" customHeight="1" x14ac:dyDescent="0.2">
      <c r="B1" s="46" t="s">
        <v>0</v>
      </c>
      <c r="C1" s="80" t="s">
        <v>1</v>
      </c>
      <c r="D1" s="80" t="s">
        <v>2</v>
      </c>
      <c r="E1" s="115" t="s">
        <v>3</v>
      </c>
      <c r="F1" s="81" t="s">
        <v>4</v>
      </c>
      <c r="G1" s="81" t="s">
        <v>5</v>
      </c>
      <c r="M1" s="143" t="s">
        <v>6</v>
      </c>
      <c r="N1" s="143" t="s">
        <v>7</v>
      </c>
      <c r="O1" s="144" t="s">
        <v>8</v>
      </c>
      <c r="P1" s="144" t="s">
        <v>9</v>
      </c>
      <c r="Q1" s="144" t="s">
        <v>10</v>
      </c>
      <c r="R1" s="144" t="s">
        <v>11</v>
      </c>
      <c r="S1" s="144" t="s">
        <v>12</v>
      </c>
      <c r="T1" s="144" t="s">
        <v>13</v>
      </c>
      <c r="U1" s="144" t="s">
        <v>14</v>
      </c>
      <c r="V1" s="145" t="s">
        <v>15</v>
      </c>
    </row>
    <row r="2" spans="1:22" ht="16" customHeight="1" x14ac:dyDescent="0.2">
      <c r="A2" t="s">
        <v>16</v>
      </c>
      <c r="B2" s="82"/>
      <c r="C2" s="129">
        <v>17490000</v>
      </c>
      <c r="D2" s="129">
        <v>17490000</v>
      </c>
      <c r="E2" s="134">
        <v>17290000</v>
      </c>
      <c r="F2" s="156">
        <v>17490000</v>
      </c>
      <c r="G2" s="111">
        <v>17290000</v>
      </c>
      <c r="H2" s="153"/>
      <c r="M2" s="148">
        <f>IFERROR(C2-W3Q3FY26!C2,"OOS")</f>
        <v>-500000</v>
      </c>
      <c r="N2" s="146" t="str">
        <f t="shared" ref="N2:N18" si="0">IF(M2=0,"",$A2 &amp; IF(M2&gt;0," tăng "," giảm ") &amp; TEXT(ABS(M2)/1000,"0") &amp; "K = " &amp; TEXT(C2/1000,"#.##0") &amp; "K")</f>
        <v>iPhone 17e 256GB giảm 500K = 17490.0K</v>
      </c>
      <c r="O2" s="149">
        <f>IFERROR(D2-W3Q3FY26!D2,"OOS")</f>
        <v>-300000</v>
      </c>
      <c r="P2" s="146" t="str">
        <f t="shared" ref="P2:P42" si="1">IF(O2=0,"",$A2 &amp; IF(O2&gt;0," tăng "," giảm ") &amp; TEXT(ABS(O2)/1000,"0") &amp; "K = " &amp; TEXT(D2/1000,"#.##0") &amp; "K")</f>
        <v>iPhone 17e 256GB giảm 300K = 17490.0K</v>
      </c>
      <c r="Q2" s="149">
        <f>IFERROR(E2-W3Q3FY26!E2,"OOS")</f>
        <v>0</v>
      </c>
      <c r="R2" s="146" t="str">
        <f t="shared" ref="R2:R42" si="2">IF(Q2=0,"",$A2 &amp; IF(Q2&gt;0," tăng "," giảm ") &amp; TEXT(ABS(Q2)/1000,"0") &amp; "K = " &amp; TEXT(E2/1000,"#.##0") &amp; "K")</f>
        <v/>
      </c>
      <c r="S2" s="149">
        <f>IFERROR(F2-W3Q3FY26!F2,"OOS")</f>
        <v>0</v>
      </c>
      <c r="T2" s="146" t="str">
        <f t="shared" ref="T2:T18" si="3">IF(S2=0,"",$A2 &amp; IF(S2&gt;0," tăng "," giảm ") &amp; TEXT(ABS(S2)/1000,"0") &amp; "K = " &amp; TEXT(F2/1000,"#.##0") &amp; "K")</f>
        <v/>
      </c>
      <c r="U2" s="149">
        <f>IFERROR(G2-W3Q3FY26!G2,"OOS")</f>
        <v>-200000</v>
      </c>
      <c r="V2" s="146" t="str">
        <f t="shared" ref="V2:V20" si="4">IF(U2=0,"",$A2 &amp; IF(U2&gt;0," tăng "," giảm ") &amp; TEXT(ABS(U2)/1000,"0") &amp; "K = " &amp; TEXT(G2/1000,"#.##0") &amp; "K")</f>
        <v>iPhone 17e 256GB giảm 200K = 17290.0K</v>
      </c>
    </row>
    <row r="3" spans="1:22" ht="16" customHeight="1" x14ac:dyDescent="0.2">
      <c r="A3" t="s">
        <v>17</v>
      </c>
      <c r="B3" s="82"/>
      <c r="C3" s="127">
        <v>24490000</v>
      </c>
      <c r="D3" s="129">
        <v>24390000</v>
      </c>
      <c r="E3" s="130">
        <v>23590000</v>
      </c>
      <c r="F3" s="160">
        <v>24390000</v>
      </c>
      <c r="G3" s="110">
        <v>24190000</v>
      </c>
      <c r="H3" s="153"/>
      <c r="M3" s="148">
        <f>IFERROR(C3-W3Q3FY26!C3,"OOS")</f>
        <v>0</v>
      </c>
      <c r="N3" s="146" t="str">
        <f t="shared" si="0"/>
        <v/>
      </c>
      <c r="O3" s="149">
        <f>IFERROR(D3-W3Q3FY26!D3,"OOS")</f>
        <v>-100000</v>
      </c>
      <c r="P3" s="146" t="str">
        <f t="shared" si="1"/>
        <v>iPhone 17  256GB giảm 100K = 24390.0K</v>
      </c>
      <c r="Q3" s="149">
        <f>IFERROR(E3-W3Q3FY26!E3,"OOS")</f>
        <v>-600000</v>
      </c>
      <c r="R3" s="146" t="str">
        <f t="shared" si="2"/>
        <v>iPhone 17  256GB giảm 600K = 23590.0K</v>
      </c>
      <c r="S3" s="149">
        <f>IFERROR(F3-W3Q3FY26!F3,"OOS")</f>
        <v>0</v>
      </c>
      <c r="T3" s="146" t="str">
        <f t="shared" si="3"/>
        <v/>
      </c>
      <c r="U3" s="149">
        <f>IFERROR(G3-W3Q3FY26!G3,"OOS")</f>
        <v>0</v>
      </c>
      <c r="V3" s="146" t="str">
        <f t="shared" si="4"/>
        <v/>
      </c>
    </row>
    <row r="4" spans="1:22" ht="16" customHeight="1" x14ac:dyDescent="0.2">
      <c r="A4" t="s">
        <v>18</v>
      </c>
      <c r="B4" s="82"/>
      <c r="C4" s="127">
        <v>22990000</v>
      </c>
      <c r="D4" s="127">
        <v>22990000</v>
      </c>
      <c r="E4" s="130">
        <v>22990000</v>
      </c>
      <c r="F4" s="132">
        <v>22990000</v>
      </c>
      <c r="G4" s="110">
        <v>23490000</v>
      </c>
      <c r="H4" s="153"/>
      <c r="M4" s="148">
        <f>IFERROR(C4-W3Q3FY26!C4,"OOS")</f>
        <v>0</v>
      </c>
      <c r="N4" s="146" t="str">
        <f t="shared" si="0"/>
        <v/>
      </c>
      <c r="O4" s="149">
        <f>IFERROR(D4-W3Q3FY26!D4,"OOS")</f>
        <v>0</v>
      </c>
      <c r="P4" s="146" t="str">
        <f t="shared" si="1"/>
        <v/>
      </c>
      <c r="Q4" s="149">
        <f>IFERROR(E4-W3Q3FY26!E4,"OOS")</f>
        <v>-500000</v>
      </c>
      <c r="R4" s="146" t="str">
        <f t="shared" si="2"/>
        <v>iPhone Air 256G giảm 500K = 22990.0K</v>
      </c>
      <c r="S4" s="149">
        <f>IFERROR(F4-W3Q3FY26!F4,"OOS")</f>
        <v>0</v>
      </c>
      <c r="T4" s="146" t="str">
        <f t="shared" si="3"/>
        <v/>
      </c>
      <c r="U4" s="149">
        <f>IFERROR(G4-W3Q3FY26!G4,"OOS")</f>
        <v>0</v>
      </c>
      <c r="V4" s="146" t="str">
        <f t="shared" si="4"/>
        <v/>
      </c>
    </row>
    <row r="5" spans="1:22" ht="16" customHeight="1" x14ac:dyDescent="0.2">
      <c r="A5" t="s">
        <v>19</v>
      </c>
      <c r="B5" s="82"/>
      <c r="C5" s="129">
        <v>34790000</v>
      </c>
      <c r="D5" s="129">
        <v>34690000</v>
      </c>
      <c r="E5" s="130">
        <v>33190000</v>
      </c>
      <c r="F5" s="133">
        <v>34690000</v>
      </c>
      <c r="G5" s="110">
        <v>33990000</v>
      </c>
      <c r="H5" s="153"/>
      <c r="M5" s="148">
        <f>IFERROR(C5-W3Q3FY26!C5,"OOS")</f>
        <v>-100000</v>
      </c>
      <c r="N5" s="146" t="str">
        <f t="shared" si="0"/>
        <v>iPhone 17 Pro 256GB giảm 100K = 34790.0K</v>
      </c>
      <c r="O5" s="149">
        <f>IFERROR(D5-W3Q3FY26!D5,"OOS")</f>
        <v>-100000</v>
      </c>
      <c r="P5" s="146" t="str">
        <f t="shared" si="1"/>
        <v>iPhone 17 Pro 256GB giảm 100K = 34690.0K</v>
      </c>
      <c r="Q5" s="149">
        <f>IFERROR(E5-W3Q3FY26!E5,"OOS")</f>
        <v>0</v>
      </c>
      <c r="R5" s="146" t="str">
        <f t="shared" si="2"/>
        <v/>
      </c>
      <c r="S5" s="149">
        <f>IFERROR(F5-W3Q3FY26!F5,"OOS")</f>
        <v>-100000</v>
      </c>
      <c r="T5" s="146" t="str">
        <f t="shared" si="3"/>
        <v>iPhone 17 Pro 256GB giảm 100K = 34690.0K</v>
      </c>
      <c r="U5" s="149">
        <f>IFERROR(G5-W3Q3FY26!G5,"OOS")</f>
        <v>0</v>
      </c>
      <c r="V5" s="146" t="str">
        <f t="shared" si="4"/>
        <v/>
      </c>
    </row>
    <row r="6" spans="1:22" ht="16" customHeight="1" x14ac:dyDescent="0.2">
      <c r="A6" t="s">
        <v>20</v>
      </c>
      <c r="B6" s="82"/>
      <c r="C6" s="127">
        <v>36990000</v>
      </c>
      <c r="D6" s="127">
        <v>36990000</v>
      </c>
      <c r="E6" s="134">
        <v>36090000</v>
      </c>
      <c r="F6" s="132">
        <v>36990000</v>
      </c>
      <c r="G6" s="111">
        <v>36890000</v>
      </c>
      <c r="H6" s="153"/>
      <c r="M6" s="148">
        <f>IFERROR(C6-W3Q3FY26!C6,"OOS")</f>
        <v>0</v>
      </c>
      <c r="N6" s="146" t="str">
        <f t="shared" si="0"/>
        <v/>
      </c>
      <c r="O6" s="149">
        <f>IFERROR(D6-W3Q3FY26!D6,"OOS")</f>
        <v>0</v>
      </c>
      <c r="P6" s="146" t="str">
        <f t="shared" si="1"/>
        <v/>
      </c>
      <c r="Q6" s="149">
        <f>IFERROR(E6-W3Q3FY26!E6,"OOS")</f>
        <v>-200000</v>
      </c>
      <c r="R6" s="146" t="str">
        <f t="shared" si="2"/>
        <v>iPhone 17 Pro Max 256GB giảm 200K = 36090.0K</v>
      </c>
      <c r="S6" s="149">
        <f>IFERROR(F6-W3Q3FY26!F6,"OOS")</f>
        <v>0</v>
      </c>
      <c r="T6" s="146" t="str">
        <f t="shared" si="3"/>
        <v/>
      </c>
      <c r="U6" s="149">
        <f>IFERROR(G6-W3Q3FY26!G6,"OOS")</f>
        <v>-100000</v>
      </c>
      <c r="V6" s="146" t="str">
        <f t="shared" si="4"/>
        <v>iPhone 17 Pro Max 256GB giảm 100K = 36890.0K</v>
      </c>
    </row>
    <row r="7" spans="1:22" ht="16" customHeight="1" x14ac:dyDescent="0.2">
      <c r="A7" t="s">
        <v>21</v>
      </c>
      <c r="B7" s="82"/>
      <c r="C7" s="127">
        <v>15990000</v>
      </c>
      <c r="D7" s="140">
        <v>14990000</v>
      </c>
      <c r="E7" s="134">
        <v>11990000</v>
      </c>
      <c r="F7" s="136">
        <v>11990000</v>
      </c>
      <c r="G7" s="110">
        <v>15190000</v>
      </c>
      <c r="H7" s="153"/>
      <c r="M7" s="148">
        <f>IFERROR(C7-W3Q3FY26!C7,"OOS")</f>
        <v>0</v>
      </c>
      <c r="N7" s="146" t="str">
        <f t="shared" si="0"/>
        <v/>
      </c>
      <c r="O7" s="149">
        <f>IFERROR(D7-W3Q3FY26!D7,"OOS")</f>
        <v>-1700000</v>
      </c>
      <c r="P7" s="146" t="str">
        <f t="shared" si="1"/>
        <v>iPhone 16e  128GB giảm 1700K = 14990.0K</v>
      </c>
      <c r="Q7" s="149">
        <f>IFERROR(E7-W3Q3FY26!E7,"OOS")</f>
        <v>0</v>
      </c>
      <c r="R7" s="146" t="str">
        <f t="shared" si="2"/>
        <v/>
      </c>
      <c r="S7" s="149">
        <f>IFERROR(F7-W3Q3FY26!F7,"OOS")</f>
        <v>0</v>
      </c>
      <c r="T7" s="146" t="str">
        <f t="shared" si="3"/>
        <v/>
      </c>
      <c r="U7" s="149">
        <f>IFERROR(G7-W3Q3FY26!G7,"OOS")</f>
        <v>0</v>
      </c>
      <c r="V7" s="146" t="str">
        <f t="shared" si="4"/>
        <v/>
      </c>
    </row>
    <row r="8" spans="1:22" ht="16" customHeight="1" x14ac:dyDescent="0.2">
      <c r="A8" t="s">
        <v>23</v>
      </c>
      <c r="B8" s="70"/>
      <c r="C8" s="138">
        <v>19990000</v>
      </c>
      <c r="D8" s="138">
        <v>19990000</v>
      </c>
      <c r="E8" s="139">
        <v>20490000</v>
      </c>
      <c r="F8" s="132">
        <v>19990000</v>
      </c>
      <c r="G8" s="111">
        <v>20490000</v>
      </c>
      <c r="H8" s="153"/>
      <c r="M8" s="148">
        <f>IFERROR(C8-W3Q3FY26!C8,"OOS")</f>
        <v>0</v>
      </c>
      <c r="N8" s="146" t="str">
        <f t="shared" si="0"/>
        <v/>
      </c>
      <c r="O8" s="149">
        <f>IFERROR(D8-W3Q3FY26!D8,"OOS")</f>
        <v>0</v>
      </c>
      <c r="P8" s="146" t="str">
        <f t="shared" si="1"/>
        <v/>
      </c>
      <c r="Q8" s="149">
        <f>IFERROR(E8-W3Q3FY26!E8,"OOS")</f>
        <v>0</v>
      </c>
      <c r="R8" s="146" t="str">
        <f t="shared" si="2"/>
        <v/>
      </c>
      <c r="S8" s="149">
        <f>IFERROR(F8-W3Q3FY26!F8,"OOS")</f>
        <v>0</v>
      </c>
      <c r="T8" s="146" t="str">
        <f t="shared" si="3"/>
        <v/>
      </c>
      <c r="U8" s="149">
        <f>IFERROR(G8-W3Q3FY26!G8,"OOS")</f>
        <v>-300000</v>
      </c>
      <c r="V8" s="146" t="str">
        <f t="shared" si="4"/>
        <v>iPhone 16 128GB giảm 300K = 20490.0K</v>
      </c>
    </row>
    <row r="9" spans="1:22" ht="16" customHeight="1" x14ac:dyDescent="0.2">
      <c r="A9" t="s">
        <v>24</v>
      </c>
      <c r="B9" s="3"/>
      <c r="C9" s="135">
        <v>23990000</v>
      </c>
      <c r="D9" s="140">
        <v>23490000</v>
      </c>
      <c r="E9" s="139">
        <v>23990000</v>
      </c>
      <c r="F9" s="132">
        <v>23990000</v>
      </c>
      <c r="G9" s="111">
        <v>24390000</v>
      </c>
      <c r="H9" s="153"/>
      <c r="M9" s="148">
        <f>IFERROR(C9-W3Q3FY26!C9,"OOS")</f>
        <v>0</v>
      </c>
      <c r="N9" s="146" t="str">
        <f t="shared" si="0"/>
        <v/>
      </c>
      <c r="O9" s="149">
        <f>IFERROR(D9-W3Q3FY26!D9,"OOS")</f>
        <v>-500000</v>
      </c>
      <c r="P9" s="146" t="str">
        <f t="shared" si="1"/>
        <v>iPhone 16  Plus 128GB giảm 500K = 23490.0K</v>
      </c>
      <c r="Q9" s="149">
        <f>IFERROR(E9-W3Q3FY26!E9,"OOS")</f>
        <v>0</v>
      </c>
      <c r="R9" s="146" t="str">
        <f t="shared" si="2"/>
        <v/>
      </c>
      <c r="S9" s="149">
        <f>IFERROR(F9-W3Q3FY26!F9,"OOS")</f>
        <v>0</v>
      </c>
      <c r="T9" s="146" t="str">
        <f t="shared" si="3"/>
        <v/>
      </c>
      <c r="U9" s="149">
        <f>IFERROR(G9-W3Q3FY26!G9,"OOS")</f>
        <v>400000</v>
      </c>
      <c r="V9" s="146" t="str">
        <f t="shared" si="4"/>
        <v>iPhone 16  Plus 128GB tăng 400K = 24390.0K</v>
      </c>
    </row>
    <row r="10" spans="1:22" ht="16" customHeight="1" x14ac:dyDescent="0.2">
      <c r="A10" t="s">
        <v>264</v>
      </c>
      <c r="B10" s="25"/>
      <c r="C10" s="135" t="s">
        <v>22</v>
      </c>
      <c r="D10" s="110">
        <v>25590000</v>
      </c>
      <c r="E10" s="112" t="s">
        <v>22</v>
      </c>
      <c r="F10" s="133">
        <v>24490000</v>
      </c>
      <c r="G10" s="110" t="s">
        <v>22</v>
      </c>
      <c r="H10" s="153"/>
      <c r="M10" s="148" t="str">
        <f>IFERROR(C10-W3Q3FY26!C10,"OOS")</f>
        <v>OOS</v>
      </c>
      <c r="N10" s="146" t="e">
        <f t="shared" si="0"/>
        <v>#VALUE!</v>
      </c>
      <c r="O10" s="149">
        <f>IFERROR(D10-W3Q3FY26!D10,"OOS")</f>
        <v>0</v>
      </c>
      <c r="P10" s="146" t="str">
        <f t="shared" si="1"/>
        <v/>
      </c>
      <c r="Q10" s="149" t="str">
        <f>IFERROR(E10-W3Q3FY26!E10,"OOS")</f>
        <v>OOS</v>
      </c>
      <c r="R10" s="146" t="e">
        <f t="shared" si="2"/>
        <v>#VALUE!</v>
      </c>
      <c r="S10" s="149">
        <f>IFERROR(F10-W3Q3FY26!F10,"OOS")</f>
        <v>-500000</v>
      </c>
      <c r="T10" s="146" t="str">
        <f t="shared" si="3"/>
        <v>iPhone 16 Pro 128GB giảm 500K = 24490.0K</v>
      </c>
      <c r="U10" s="149" t="str">
        <f>IFERROR(G10-W3Q3FY26!G10,"OOS")</f>
        <v>OOS</v>
      </c>
      <c r="V10" s="146" t="e">
        <f t="shared" si="4"/>
        <v>#VALUE!</v>
      </c>
    </row>
    <row r="11" spans="1:22" ht="16" customHeight="1" x14ac:dyDescent="0.2">
      <c r="A11" t="s">
        <v>183</v>
      </c>
      <c r="B11" s="3"/>
      <c r="C11" s="135" t="s">
        <v>22</v>
      </c>
      <c r="D11" s="112" t="s">
        <v>22</v>
      </c>
      <c r="E11" s="112" t="s">
        <v>22</v>
      </c>
      <c r="F11" s="132">
        <v>30990000</v>
      </c>
      <c r="G11" s="110" t="s">
        <v>22</v>
      </c>
      <c r="H11" s="153"/>
      <c r="M11" s="148" t="str">
        <f>IFERROR(C11-W3Q3FY26!C11,"OOS")</f>
        <v>OOS</v>
      </c>
      <c r="N11" s="146" t="e">
        <f t="shared" si="0"/>
        <v>#VALUE!</v>
      </c>
      <c r="O11" s="149" t="str">
        <f>IFERROR(D11-W3Q3FY26!D11,"OOS")</f>
        <v>OOS</v>
      </c>
      <c r="P11" s="146" t="e">
        <f t="shared" si="1"/>
        <v>#VALUE!</v>
      </c>
      <c r="Q11" s="149" t="str">
        <f>IFERROR(E11-W3Q3FY26!E11,"OOS")</f>
        <v>OOS</v>
      </c>
      <c r="R11" s="146" t="e">
        <f t="shared" si="2"/>
        <v>#VALUE!</v>
      </c>
      <c r="S11" s="149">
        <f>IFERROR(F11-W3Q3FY26!F11,"OOS")</f>
        <v>0</v>
      </c>
      <c r="T11" s="146" t="str">
        <f t="shared" si="3"/>
        <v/>
      </c>
      <c r="U11" s="149" t="str">
        <f>IFERROR(G11-W3Q3FY26!G11,"OOS")</f>
        <v>OOS</v>
      </c>
      <c r="V11" s="146" t="e">
        <f t="shared" si="4"/>
        <v>#VALUE!</v>
      </c>
    </row>
    <row r="12" spans="1:22" ht="16" customHeight="1" x14ac:dyDescent="0.2">
      <c r="A12" t="s">
        <v>25</v>
      </c>
      <c r="B12" s="25"/>
      <c r="C12" s="135">
        <v>17590000</v>
      </c>
      <c r="D12" s="140">
        <v>17490000</v>
      </c>
      <c r="E12" s="154">
        <v>17190000</v>
      </c>
      <c r="F12" s="132">
        <v>17590000</v>
      </c>
      <c r="G12" s="111">
        <v>17490000</v>
      </c>
      <c r="H12" s="153"/>
      <c r="M12" s="148">
        <f>IFERROR(C12-W3Q3FY26!C12,"OOS")</f>
        <v>0</v>
      </c>
      <c r="N12" s="146" t="str">
        <f t="shared" si="0"/>
        <v/>
      </c>
      <c r="O12" s="149">
        <f>IFERROR(D12-W3Q3FY26!D12,"OOS")</f>
        <v>-100000</v>
      </c>
      <c r="P12" s="146" t="str">
        <f t="shared" si="1"/>
        <v>iPhone 15  128GB giảm 100K = 17490.0K</v>
      </c>
      <c r="Q12" s="149">
        <f>IFERROR(E12-W3Q3FY26!E12,"OOS")</f>
        <v>-500000</v>
      </c>
      <c r="R12" s="146" t="str">
        <f t="shared" si="2"/>
        <v>iPhone 15  128GB giảm 500K = 17190.0K</v>
      </c>
      <c r="S12" s="149">
        <f>IFERROR(F12-W3Q3FY26!F12,"OOS")</f>
        <v>0</v>
      </c>
      <c r="T12" s="146" t="str">
        <f t="shared" si="3"/>
        <v/>
      </c>
      <c r="U12" s="149">
        <f>IFERROR(G12-W3Q3FY26!G12,"OOS")</f>
        <v>-200000</v>
      </c>
      <c r="V12" s="146" t="str">
        <f t="shared" si="4"/>
        <v>iPhone 15  128GB giảm 200K = 17490.0K</v>
      </c>
    </row>
    <row r="13" spans="1:22" ht="16" customHeight="1" x14ac:dyDescent="0.2">
      <c r="A13" t="s">
        <v>26</v>
      </c>
      <c r="B13" s="25"/>
      <c r="C13" s="135">
        <v>17990000</v>
      </c>
      <c r="D13" s="135" t="s">
        <v>22</v>
      </c>
      <c r="E13" s="130" t="s">
        <v>22</v>
      </c>
      <c r="F13" s="132">
        <v>17690000</v>
      </c>
      <c r="G13" s="110" t="s">
        <v>22</v>
      </c>
      <c r="H13" s="153"/>
      <c r="M13" s="148">
        <f>IFERROR(C13-W3Q3FY26!C13,"OOS")</f>
        <v>0</v>
      </c>
      <c r="N13" s="146" t="str">
        <f t="shared" si="0"/>
        <v/>
      </c>
      <c r="O13" s="149" t="str">
        <f>IFERROR(D13-W3Q3FY26!D13,"OOS")</f>
        <v>OOS</v>
      </c>
      <c r="P13" s="146" t="e">
        <f t="shared" si="1"/>
        <v>#VALUE!</v>
      </c>
      <c r="Q13" s="149" t="str">
        <f>IFERROR(E13-W3Q3FY26!E13,"OOS")</f>
        <v>OOS</v>
      </c>
      <c r="R13" s="146" t="e">
        <f t="shared" si="2"/>
        <v>#VALUE!</v>
      </c>
      <c r="S13" s="149">
        <f>IFERROR(F13-W3Q3FY26!F13,"OOS")</f>
        <v>0</v>
      </c>
      <c r="T13" s="146" t="str">
        <f t="shared" si="3"/>
        <v/>
      </c>
      <c r="U13" s="149" t="str">
        <f>IFERROR(G13-W3Q3FY26!G13,"OOS")</f>
        <v>OOS</v>
      </c>
      <c r="V13" s="146" t="e">
        <f t="shared" si="4"/>
        <v>#VALUE!</v>
      </c>
    </row>
    <row r="14" spans="1:22" ht="16" customHeight="1" x14ac:dyDescent="0.2">
      <c r="A14" t="s">
        <v>27</v>
      </c>
      <c r="B14" s="25"/>
      <c r="C14" s="135">
        <v>13990000</v>
      </c>
      <c r="D14" s="140">
        <v>13490000</v>
      </c>
      <c r="E14" s="130">
        <v>13790000</v>
      </c>
      <c r="F14" s="132">
        <v>13990000</v>
      </c>
      <c r="G14" s="110">
        <v>12990000</v>
      </c>
      <c r="H14" s="153"/>
      <c r="M14" s="148">
        <f>IFERROR(C14-W3Q3FY26!C14,"OOS")</f>
        <v>0</v>
      </c>
      <c r="N14" s="146" t="str">
        <f t="shared" si="0"/>
        <v/>
      </c>
      <c r="O14" s="149">
        <f>IFERROR(D14-W3Q3FY26!D14,"OOS")</f>
        <v>-500000</v>
      </c>
      <c r="P14" s="146" t="str">
        <f t="shared" si="1"/>
        <v>iPhone 14 128GB giảm 500K = 13490.0K</v>
      </c>
      <c r="Q14" s="149">
        <f>IFERROR(E14-W3Q3FY26!E14,"OOS")</f>
        <v>0</v>
      </c>
      <c r="R14" s="146" t="str">
        <f t="shared" si="2"/>
        <v/>
      </c>
      <c r="S14" s="149">
        <f>IFERROR(F14-W3Q3FY26!F14,"OOS")</f>
        <v>0</v>
      </c>
      <c r="T14" s="146" t="str">
        <f t="shared" si="3"/>
        <v/>
      </c>
      <c r="U14" s="149">
        <f>IFERROR(G14-W3Q3FY26!G14,"OOS")</f>
        <v>0</v>
      </c>
      <c r="V14" s="146" t="str">
        <f t="shared" si="4"/>
        <v/>
      </c>
    </row>
    <row r="15" spans="1:22" ht="16" customHeight="1" x14ac:dyDescent="0.2">
      <c r="A15" t="s">
        <v>28</v>
      </c>
      <c r="B15" s="3"/>
      <c r="C15" s="135">
        <v>11990000</v>
      </c>
      <c r="D15" s="135">
        <v>11990000</v>
      </c>
      <c r="E15" s="139">
        <v>12090000</v>
      </c>
      <c r="F15" s="132">
        <v>11990000</v>
      </c>
      <c r="G15" s="110">
        <v>11890000</v>
      </c>
      <c r="H15" s="153"/>
      <c r="M15" s="148">
        <f>IFERROR(C15-W3Q3FY26!C15,"OOS")</f>
        <v>0</v>
      </c>
      <c r="N15" s="146" t="str">
        <f t="shared" si="0"/>
        <v/>
      </c>
      <c r="O15" s="149">
        <f>IFERROR(D15-W3Q3FY26!D15,"OOS")</f>
        <v>0</v>
      </c>
      <c r="P15" s="146" t="str">
        <f t="shared" si="1"/>
        <v/>
      </c>
      <c r="Q15" s="149">
        <f>IFERROR(E15-W3Q3FY26!E15,"OOS")</f>
        <v>0</v>
      </c>
      <c r="R15" s="146" t="str">
        <f t="shared" si="2"/>
        <v/>
      </c>
      <c r="S15" s="149">
        <f>IFERROR(F15-W3Q3FY26!F15,"OOS")</f>
        <v>0</v>
      </c>
      <c r="T15" s="146" t="str">
        <f t="shared" si="3"/>
        <v/>
      </c>
      <c r="U15" s="149">
        <f>IFERROR(G15-W3Q3FY26!G15,"OOS")</f>
        <v>0</v>
      </c>
      <c r="V15" s="146" t="str">
        <f t="shared" si="4"/>
        <v/>
      </c>
    </row>
    <row r="16" spans="1:22" ht="16" customHeight="1" x14ac:dyDescent="0.2">
      <c r="A16" t="s">
        <v>29</v>
      </c>
      <c r="B16" s="25"/>
      <c r="C16" s="140">
        <v>12890000</v>
      </c>
      <c r="D16" s="140">
        <v>13490000</v>
      </c>
      <c r="E16" s="139">
        <v>13090000</v>
      </c>
      <c r="F16" s="133">
        <v>12890000</v>
      </c>
      <c r="G16" s="110">
        <v>13090000</v>
      </c>
      <c r="H16" s="153"/>
      <c r="M16" s="148">
        <f>IFERROR(C16-W3Q3FY26!C16,"OOS")</f>
        <v>-200000</v>
      </c>
      <c r="N16" s="146" t="str">
        <f t="shared" si="0"/>
        <v>iPad Mini 7 128GB Wifi giảm 200K = 12890.0K</v>
      </c>
      <c r="O16" s="149">
        <f>IFERROR(D16-W3Q3FY26!D16,"OOS")</f>
        <v>0</v>
      </c>
      <c r="P16" s="146" t="str">
        <f t="shared" si="1"/>
        <v/>
      </c>
      <c r="Q16" s="149">
        <f>IFERROR(E16-W3Q3FY26!E16,"OOS")</f>
        <v>-200000</v>
      </c>
      <c r="R16" s="146" t="str">
        <f t="shared" si="2"/>
        <v>iPad Mini 7 128GB Wifi giảm 200K = 13090.0K</v>
      </c>
      <c r="S16" s="149">
        <f>IFERROR(F16-W3Q3FY26!F16,"OOS")</f>
        <v>-200000</v>
      </c>
      <c r="T16" s="146" t="str">
        <f t="shared" si="3"/>
        <v>iPad Mini 7 128GB Wifi giảm 200K = 12890.0K</v>
      </c>
      <c r="U16" s="149">
        <f>IFERROR(G16-W3Q3FY26!G16,"OOS")</f>
        <v>0</v>
      </c>
      <c r="V16" s="146" t="str">
        <f t="shared" si="4"/>
        <v/>
      </c>
    </row>
    <row r="17" spans="1:25" ht="16" customHeight="1" x14ac:dyDescent="0.2">
      <c r="A17" t="s">
        <v>30</v>
      </c>
      <c r="B17" s="3"/>
      <c r="C17" s="140">
        <v>9290000</v>
      </c>
      <c r="D17" s="135">
        <v>9290000</v>
      </c>
      <c r="E17" s="154">
        <v>9190000</v>
      </c>
      <c r="F17" s="133">
        <v>9290000</v>
      </c>
      <c r="G17" s="111">
        <v>9290000</v>
      </c>
      <c r="H17" s="153"/>
      <c r="M17" s="148">
        <f>IFERROR(C17-W3Q3FY26!C17,"OOS")</f>
        <v>0</v>
      </c>
      <c r="N17" s="146" t="str">
        <f t="shared" si="0"/>
        <v/>
      </c>
      <c r="O17" s="149">
        <f>IFERROR(D17-W3Q3FY26!D17,"OOS")</f>
        <v>0</v>
      </c>
      <c r="P17" s="146" t="str">
        <f t="shared" si="1"/>
        <v/>
      </c>
      <c r="Q17" s="149">
        <f>IFERROR(E17-W3Q3FY26!E17,"OOS")</f>
        <v>0</v>
      </c>
      <c r="R17" s="146" t="str">
        <f t="shared" si="2"/>
        <v/>
      </c>
      <c r="S17" s="149">
        <f>IFERROR(F17-W3Q3FY26!F17,"OOS")</f>
        <v>-100000</v>
      </c>
      <c r="T17" s="146" t="str">
        <f t="shared" si="3"/>
        <v>iPad Gen 11th  128GB Wifi giảm 100K = 9290.0K</v>
      </c>
      <c r="U17" s="149">
        <f>IFERROR(G17-W3Q3FY26!G17,"OOS")</f>
        <v>-100000</v>
      </c>
      <c r="V17" s="146" t="str">
        <f t="shared" si="4"/>
        <v>iPad Gen 11th  128GB Wifi giảm 100K = 9290.0K</v>
      </c>
      <c r="W17" t="s">
        <v>31</v>
      </c>
      <c r="X17" t="s">
        <v>32</v>
      </c>
      <c r="Y17" t="b">
        <v>0</v>
      </c>
    </row>
    <row r="18" spans="1:25" ht="16" customHeight="1" x14ac:dyDescent="0.2">
      <c r="A18" t="s">
        <v>33</v>
      </c>
      <c r="B18" s="3"/>
      <c r="C18" s="140">
        <v>14990000</v>
      </c>
      <c r="D18" s="140">
        <v>14990000</v>
      </c>
      <c r="E18" s="154">
        <v>14290000</v>
      </c>
      <c r="F18" s="132">
        <v>15190000</v>
      </c>
      <c r="G18" s="110" t="s">
        <v>22</v>
      </c>
      <c r="H18" s="153"/>
      <c r="M18" s="148">
        <f>IFERROR(C18-W3Q3FY26!C18,"OOS")</f>
        <v>-200000</v>
      </c>
      <c r="N18" s="146" t="str">
        <f t="shared" si="0"/>
        <v>iPad Air M3  11" 128 GB Wifi giảm 200K = 14990.0K</v>
      </c>
      <c r="O18" s="149">
        <f>IFERROR(D18-W3Q3FY26!D18,"OOS")</f>
        <v>-200000</v>
      </c>
      <c r="P18" s="146" t="str">
        <f t="shared" si="1"/>
        <v>iPad Air M3  11" 128 GB Wifi giảm 200K = 14990.0K</v>
      </c>
      <c r="Q18" s="149">
        <f>IFERROR(E18-W3Q3FY26!E18,"OOS")</f>
        <v>0</v>
      </c>
      <c r="R18" s="146" t="str">
        <f t="shared" si="2"/>
        <v/>
      </c>
      <c r="S18" s="149">
        <f>IFERROR(F18-W3Q3FY26!F18,"OOS")</f>
        <v>0</v>
      </c>
      <c r="T18" s="146" t="str">
        <f t="shared" si="3"/>
        <v/>
      </c>
      <c r="U18" s="149" t="str">
        <f>IFERROR(G18-W3Q3FY26!G18,"OOS")</f>
        <v>OOS</v>
      </c>
      <c r="V18" s="146" t="e">
        <f t="shared" si="4"/>
        <v>#VALUE!</v>
      </c>
      <c r="W18" t="s">
        <v>2</v>
      </c>
      <c r="X18" t="s">
        <v>34</v>
      </c>
      <c r="Y18" t="b">
        <v>1</v>
      </c>
    </row>
    <row r="19" spans="1:25" ht="16" customHeight="1" x14ac:dyDescent="0.2">
      <c r="A19" t="s">
        <v>35</v>
      </c>
      <c r="B19" s="3"/>
      <c r="C19" s="135">
        <v>16690000</v>
      </c>
      <c r="D19" s="135">
        <v>16490000</v>
      </c>
      <c r="E19" s="154">
        <v>15790000</v>
      </c>
      <c r="F19" s="111">
        <v>16390000</v>
      </c>
      <c r="G19" s="111">
        <v>16390000</v>
      </c>
      <c r="H19" s="153"/>
      <c r="M19" s="148">
        <f>IFERROR(C19-W3Q3FY26!C19,"OOS")</f>
        <v>0</v>
      </c>
      <c r="N19" s="146"/>
      <c r="O19" s="149">
        <f>IFERROR(D19-W3Q3FY26!D19,"OOS")</f>
        <v>-200000</v>
      </c>
      <c r="P19" s="146" t="str">
        <f t="shared" si="1"/>
        <v>iPad Air M4  11" 128 GB Wifi giảm 200K = 16490.0K</v>
      </c>
      <c r="Q19" s="149">
        <f>IFERROR(E19-W3Q3FY26!E19,"OOS")</f>
        <v>0</v>
      </c>
      <c r="R19" s="146" t="str">
        <f t="shared" si="2"/>
        <v/>
      </c>
      <c r="S19" s="149">
        <f>IFERROR(F19-W3Q3FY26!F19,"OOS")</f>
        <v>-300000</v>
      </c>
      <c r="T19" s="146"/>
      <c r="U19" s="149">
        <f>IFERROR(G19-W3Q3FY26!G19,"OOS")</f>
        <v>-100000</v>
      </c>
      <c r="V19" s="146" t="str">
        <f t="shared" si="4"/>
        <v>iPad Air M4  11" 128 GB Wifi giảm 100K = 16390.0K</v>
      </c>
      <c r="W19" t="s">
        <v>3</v>
      </c>
      <c r="X19" t="s">
        <v>36</v>
      </c>
      <c r="Y19" t="b">
        <v>1</v>
      </c>
    </row>
    <row r="20" spans="1:25" ht="16" customHeight="1" x14ac:dyDescent="0.2">
      <c r="A20" t="s">
        <v>37</v>
      </c>
      <c r="B20" s="25"/>
      <c r="C20" s="135">
        <v>19890000</v>
      </c>
      <c r="D20" s="135">
        <v>19990000</v>
      </c>
      <c r="E20" s="154">
        <v>19190000</v>
      </c>
      <c r="F20" s="132">
        <v>18990000</v>
      </c>
      <c r="G20" s="110" t="s">
        <v>22</v>
      </c>
      <c r="H20" s="153"/>
      <c r="M20" s="148">
        <f>IFERROR(C20-W3Q3FY26!C20,"OOS")</f>
        <v>0</v>
      </c>
      <c r="N20" s="146" t="str">
        <f>IF(M20=0,"",$A20 &amp; IF(M20&gt;0," tăng "," giảm ") &amp; TEXT(ABS(M20)/1000,"0") &amp; "K = " &amp; TEXT(C20/1000,"#.##0") &amp; "K")</f>
        <v/>
      </c>
      <c r="O20" s="149">
        <f>IFERROR(D20-W3Q3FY26!D20,"OOS")</f>
        <v>0</v>
      </c>
      <c r="P20" s="146" t="str">
        <f t="shared" si="1"/>
        <v/>
      </c>
      <c r="Q20" s="149">
        <f>IFERROR(E20-W3Q3FY26!E20,"OOS")</f>
        <v>0</v>
      </c>
      <c r="R20" s="146" t="str">
        <f t="shared" si="2"/>
        <v/>
      </c>
      <c r="S20" s="149">
        <f>IFERROR(F20-W3Q3FY26!F20,"OOS")</f>
        <v>0</v>
      </c>
      <c r="T20" s="146" t="str">
        <f>IF(S20=0,"",$A20 &amp; IF(S20&gt;0," tăng "," giảm ") &amp; TEXT(ABS(S20)/1000,"0") &amp; "K = " &amp; TEXT(F20/1000,"#.##0") &amp; "K")</f>
        <v/>
      </c>
      <c r="U20" s="149" t="str">
        <f>IFERROR(G20-W3Q3FY26!G20,"OOS")</f>
        <v>OOS</v>
      </c>
      <c r="V20" s="146" t="e">
        <f t="shared" si="4"/>
        <v>#VALUE!</v>
      </c>
      <c r="W20" t="s">
        <v>4</v>
      </c>
      <c r="X20" t="s">
        <v>38</v>
      </c>
      <c r="Y20" t="b">
        <v>0</v>
      </c>
    </row>
    <row r="21" spans="1:25" ht="16" customHeight="1" x14ac:dyDescent="0.2">
      <c r="A21" t="s">
        <v>39</v>
      </c>
      <c r="B21" s="25"/>
      <c r="C21" s="135">
        <v>22090000</v>
      </c>
      <c r="D21" s="135">
        <v>21990000</v>
      </c>
      <c r="E21" s="161">
        <v>21290000</v>
      </c>
      <c r="F21" s="135">
        <v>22090000</v>
      </c>
      <c r="G21" s="110"/>
      <c r="H21" s="153"/>
      <c r="M21" s="148"/>
      <c r="N21" s="146"/>
      <c r="O21" s="149"/>
      <c r="P21" s="146" t="str">
        <f t="shared" si="1"/>
        <v/>
      </c>
      <c r="Q21" s="149"/>
      <c r="R21" s="146" t="str">
        <f t="shared" si="2"/>
        <v/>
      </c>
      <c r="S21" s="149"/>
      <c r="T21" s="146"/>
      <c r="U21" s="149"/>
      <c r="V21" s="146"/>
    </row>
    <row r="22" spans="1:25" ht="16" customHeight="1" x14ac:dyDescent="0.2">
      <c r="A22" t="s">
        <v>40</v>
      </c>
      <c r="B22" s="3"/>
      <c r="C22" s="135">
        <v>28190000</v>
      </c>
      <c r="D22" s="135">
        <v>28190000</v>
      </c>
      <c r="E22" s="123">
        <v>28490000</v>
      </c>
      <c r="F22" s="132">
        <v>28190000</v>
      </c>
      <c r="G22" s="111">
        <v>28190000</v>
      </c>
      <c r="H22" s="153"/>
      <c r="M22" s="148">
        <f>IFERROR(C22-W3Q3FY26!C21,"OOS")</f>
        <v>0</v>
      </c>
      <c r="N22" s="146" t="str">
        <f t="shared" ref="N22:N42" si="5">IF(M22=0,"",$A22 &amp; IF(M22&gt;0," tăng "," giảm ") &amp; TEXT(ABS(M22)/1000,"0") &amp; "K = " &amp; TEXT(C22/1000,"#.##0") &amp; "K")</f>
        <v/>
      </c>
      <c r="O22" s="149">
        <f>IFERROR(D22-W3Q3FY26!D21,"OOS")</f>
        <v>0</v>
      </c>
      <c r="P22" s="146" t="str">
        <f t="shared" si="1"/>
        <v/>
      </c>
      <c r="Q22" s="149">
        <f>IFERROR(E22-W3Q3FY26!E21,"OOS")</f>
        <v>0</v>
      </c>
      <c r="R22" s="146" t="str">
        <f t="shared" si="2"/>
        <v/>
      </c>
      <c r="S22" s="149">
        <f>IFERROR(F22-W3Q3FY26!F21,"OOS")</f>
        <v>0</v>
      </c>
      <c r="T22" s="146" t="str">
        <f t="shared" ref="T22:T42" si="6">IF(S22=0,"",$A22 &amp; IF(S22&gt;0," tăng "," giảm ") &amp; TEXT(ABS(S22)/1000,"0") &amp; "K = " &amp; TEXT(F22/1000,"#.##0") &amp; "K")</f>
        <v/>
      </c>
      <c r="U22" s="149">
        <f>IFERROR(G22-W3Q3FY26!G21,"OOS")</f>
        <v>-300000</v>
      </c>
      <c r="V22" s="146" t="str">
        <f t="shared" ref="V22:V44" si="7">IF(U22=0,"",$A22 &amp; IF(U22&gt;0," tăng "," giảm ") &amp; TEXT(ABS(U22)/1000,"0") &amp; "K = " &amp; TEXT(G22/1000,"#.##0") &amp; "K")</f>
        <v>iPad Pro M5 11” 256GB Wifi giảm 300K = 28190.0K</v>
      </c>
      <c r="W22" t="s">
        <v>41</v>
      </c>
      <c r="X22" t="s">
        <v>42</v>
      </c>
      <c r="Y22" t="b">
        <v>1</v>
      </c>
    </row>
    <row r="23" spans="1:25" ht="16" customHeight="1" x14ac:dyDescent="0.2">
      <c r="A23" t="s">
        <v>43</v>
      </c>
      <c r="B23" s="3"/>
      <c r="C23" s="140">
        <v>38890000</v>
      </c>
      <c r="D23" s="141">
        <v>38990000</v>
      </c>
      <c r="E23" s="112">
        <v>37990000</v>
      </c>
      <c r="F23" s="132">
        <v>38890000</v>
      </c>
      <c r="G23" s="110">
        <v>38990000</v>
      </c>
      <c r="H23" s="153"/>
      <c r="M23" s="148">
        <f>IFERROR(C23-W3Q3FY26!C22,"OOS")</f>
        <v>200000</v>
      </c>
      <c r="N23" s="146" t="str">
        <f t="shared" si="5"/>
        <v>iPad Pro M5 13” 256GB Wifi tăng 200K = 38890.0K</v>
      </c>
      <c r="O23" s="149">
        <f>IFERROR(D23-W3Q3FY26!D22,"OOS")</f>
        <v>0</v>
      </c>
      <c r="P23" s="146" t="str">
        <f t="shared" si="1"/>
        <v/>
      </c>
      <c r="Q23" s="149">
        <f>IFERROR(E23-W3Q3FY26!E22,"OOS")</f>
        <v>0</v>
      </c>
      <c r="R23" s="146" t="str">
        <f t="shared" si="2"/>
        <v/>
      </c>
      <c r="S23" s="149">
        <f>IFERROR(F23-W3Q3FY26!F22,"OOS")</f>
        <v>0</v>
      </c>
      <c r="T23" s="146" t="str">
        <f t="shared" si="6"/>
        <v/>
      </c>
      <c r="U23" s="149">
        <f>IFERROR(G23-W3Q3FY26!G22,"OOS")</f>
        <v>0</v>
      </c>
      <c r="V23" s="146" t="str">
        <f t="shared" si="7"/>
        <v/>
      </c>
    </row>
    <row r="24" spans="1:25" ht="16" customHeight="1" x14ac:dyDescent="0.2">
      <c r="A24" t="s">
        <v>44</v>
      </c>
      <c r="B24" s="25"/>
      <c r="C24" s="140">
        <v>6390000</v>
      </c>
      <c r="D24" s="140">
        <v>6290000</v>
      </c>
      <c r="E24" s="139">
        <v>6190000</v>
      </c>
      <c r="F24" s="133">
        <v>6390000</v>
      </c>
      <c r="G24" s="111">
        <v>6290000</v>
      </c>
      <c r="H24" s="153"/>
      <c r="M24" s="148">
        <f>IFERROR(C24-W3Q3FY26!C23,"OOS")</f>
        <v>-400000</v>
      </c>
      <c r="N24" s="146" t="str">
        <f t="shared" si="5"/>
        <v>AW SE 3 (40mm GPS) giảm 400K = 6390.0K</v>
      </c>
      <c r="O24" s="149">
        <f>IFERROR(D24-W3Q3FY26!D23,"OOS")</f>
        <v>-500000</v>
      </c>
      <c r="P24" s="146" t="str">
        <f t="shared" si="1"/>
        <v>AW SE 3 (40mm GPS) giảm 500K = 6290.0K</v>
      </c>
      <c r="Q24" s="149">
        <f>IFERROR(E24-W3Q3FY26!E23,"OOS")</f>
        <v>200000</v>
      </c>
      <c r="R24" s="146" t="str">
        <f t="shared" si="2"/>
        <v>AW SE 3 (40mm GPS) tăng 200K = 6190.0K</v>
      </c>
      <c r="S24" s="149">
        <f>IFERROR(F24-W3Q3FY26!F23,"OOS")</f>
        <v>-400000</v>
      </c>
      <c r="T24" s="146" t="str">
        <f t="shared" si="6"/>
        <v>AW SE 3 (40mm GPS) giảm 400K = 6390.0K</v>
      </c>
      <c r="U24" s="149">
        <f>IFERROR(G24-W3Q3FY26!G23,"OOS")</f>
        <v>-200000</v>
      </c>
      <c r="V24" s="146" t="str">
        <f t="shared" si="7"/>
        <v>AW SE 3 (40mm GPS) giảm 200K = 6290.0K</v>
      </c>
    </row>
    <row r="25" spans="1:25" ht="16" customHeight="1" x14ac:dyDescent="0.2">
      <c r="A25" t="s">
        <v>45</v>
      </c>
      <c r="B25" s="25"/>
      <c r="C25" s="140">
        <v>7990000</v>
      </c>
      <c r="D25" s="140">
        <v>7690000</v>
      </c>
      <c r="E25" s="154">
        <v>7790000</v>
      </c>
      <c r="F25" s="133">
        <v>7990000</v>
      </c>
      <c r="G25" s="111">
        <v>7790000</v>
      </c>
      <c r="H25" s="153"/>
      <c r="M25" s="148">
        <f>IFERROR(C25-W3Q3FY26!C24,"OOS")</f>
        <v>-400000</v>
      </c>
      <c r="N25" s="146" t="str">
        <f t="shared" si="5"/>
        <v>AW SE 3 (40mm LTE) giảm 400K = 7990.0K</v>
      </c>
      <c r="O25" s="149">
        <f>IFERROR(D25-W3Q3FY26!D24,"OOS")</f>
        <v>-600000</v>
      </c>
      <c r="P25" s="146" t="str">
        <f t="shared" si="1"/>
        <v>AW SE 3 (40mm LTE) giảm 600K = 7690.0K</v>
      </c>
      <c r="Q25" s="149">
        <f>IFERROR(E25-W3Q3FY26!E24,"OOS")</f>
        <v>300000</v>
      </c>
      <c r="R25" s="146" t="str">
        <f t="shared" si="2"/>
        <v>AW SE 3 (40mm LTE) tăng 300K = 7790.0K</v>
      </c>
      <c r="S25" s="149">
        <f>IFERROR(F25-W3Q3FY26!F24,"OOS")</f>
        <v>-400000</v>
      </c>
      <c r="T25" s="146" t="str">
        <f t="shared" si="6"/>
        <v>AW SE 3 (40mm LTE) giảm 400K = 7990.0K</v>
      </c>
      <c r="U25" s="149">
        <f>IFERROR(G25-W3Q3FY26!G24,"OOS")</f>
        <v>-400000</v>
      </c>
      <c r="V25" s="146" t="str">
        <f t="shared" si="7"/>
        <v>AW SE 3 (40mm LTE) giảm 400K = 7790.0K</v>
      </c>
    </row>
    <row r="26" spans="1:25" ht="16" customHeight="1" x14ac:dyDescent="0.2">
      <c r="A26" t="s">
        <v>46</v>
      </c>
      <c r="B26" s="25"/>
      <c r="C26" s="140">
        <v>7290000</v>
      </c>
      <c r="D26" s="140">
        <v>6990000</v>
      </c>
      <c r="E26" s="139">
        <v>6990000</v>
      </c>
      <c r="F26" s="133">
        <v>7290000</v>
      </c>
      <c r="G26" s="111">
        <v>6990000</v>
      </c>
      <c r="H26" s="153"/>
      <c r="M26" s="148">
        <f>IFERROR(C26-W3Q3FY26!C25,"OOS")</f>
        <v>-400000</v>
      </c>
      <c r="N26" s="146" t="str">
        <f t="shared" si="5"/>
        <v>AW SE 3 (44mm GPS) giảm 400K = 7290.0K</v>
      </c>
      <c r="O26" s="149">
        <f>IFERROR(D26-W3Q3FY26!D25,"OOS")</f>
        <v>-700000</v>
      </c>
      <c r="P26" s="146" t="str">
        <f t="shared" si="1"/>
        <v>AW SE 3 (44mm GPS) giảm 700K = 6990.0K</v>
      </c>
      <c r="Q26" s="149">
        <f>IFERROR(E26-W3Q3FY26!E25,"OOS")</f>
        <v>100000</v>
      </c>
      <c r="R26" s="146" t="str">
        <f t="shared" si="2"/>
        <v>AW SE 3 (44mm GPS) tăng 100K = 6990.0K</v>
      </c>
      <c r="S26" s="149">
        <f>IFERROR(F26-W3Q3FY26!F25,"OOS")</f>
        <v>-400000</v>
      </c>
      <c r="T26" s="146" t="str">
        <f t="shared" si="6"/>
        <v>AW SE 3 (44mm GPS) giảm 400K = 7290.0K</v>
      </c>
      <c r="U26" s="149">
        <f>IFERROR(G26-W3Q3FY26!G25,"OOS")</f>
        <v>-200000</v>
      </c>
      <c r="V26" s="146" t="str">
        <f t="shared" si="7"/>
        <v>AW SE 3 (44mm GPS) giảm 200K = 6990.0K</v>
      </c>
    </row>
    <row r="27" spans="1:25" ht="16" customHeight="1" x14ac:dyDescent="0.2">
      <c r="A27" t="s">
        <v>47</v>
      </c>
      <c r="B27" s="25"/>
      <c r="C27" s="140">
        <v>8790000</v>
      </c>
      <c r="D27" s="140">
        <v>8490000</v>
      </c>
      <c r="E27" s="139">
        <v>8590000</v>
      </c>
      <c r="F27" s="133">
        <v>8790000</v>
      </c>
      <c r="G27" s="111">
        <v>8590000</v>
      </c>
      <c r="H27" s="153"/>
      <c r="M27" s="148">
        <f>IFERROR(C27-W3Q3FY26!C26,"OOS")</f>
        <v>-400000</v>
      </c>
      <c r="N27" s="146" t="str">
        <f t="shared" si="5"/>
        <v>AW SE 3 (44mm LTE) giảm 400K = 8790.0K</v>
      </c>
      <c r="O27" s="149">
        <f>IFERROR(D27-W3Q3FY26!D26,"OOS")</f>
        <v>-700000</v>
      </c>
      <c r="P27" s="146" t="str">
        <f t="shared" si="1"/>
        <v>AW SE 3 (44mm LTE) giảm 700K = 8490.0K</v>
      </c>
      <c r="Q27" s="149">
        <f>IFERROR(E27-W3Q3FY26!E26,"OOS")</f>
        <v>100000</v>
      </c>
      <c r="R27" s="146" t="str">
        <f t="shared" si="2"/>
        <v>AW SE 3 (44mm LTE) tăng 100K = 8590.0K</v>
      </c>
      <c r="S27" s="149">
        <f>IFERROR(F27-W3Q3FY26!F26,"OOS")</f>
        <v>-400000</v>
      </c>
      <c r="T27" s="146" t="str">
        <f t="shared" si="6"/>
        <v>AW SE 3 (44mm LTE) giảm 400K = 8790.0K</v>
      </c>
      <c r="U27" s="149">
        <f>IFERROR(G27-W3Q3FY26!G26,"OOS")</f>
        <v>-200000</v>
      </c>
      <c r="V27" s="146" t="str">
        <f t="shared" si="7"/>
        <v>AW SE 3 (44mm LTE) giảm 200K = 8590.0K</v>
      </c>
    </row>
    <row r="28" spans="1:25" ht="16" customHeight="1" x14ac:dyDescent="0.2">
      <c r="A28" t="s">
        <v>48</v>
      </c>
      <c r="B28" s="3"/>
      <c r="C28" s="140">
        <v>9190000</v>
      </c>
      <c r="D28" s="140">
        <v>11190000</v>
      </c>
      <c r="E28" s="139">
        <v>8990000</v>
      </c>
      <c r="F28" s="133">
        <v>9190000</v>
      </c>
      <c r="G28" s="111">
        <v>8990000</v>
      </c>
      <c r="H28" s="153"/>
      <c r="M28" s="148">
        <f>IFERROR(C28-W3Q3FY26!C27,"OOS")</f>
        <v>-2000000</v>
      </c>
      <c r="N28" s="146" t="str">
        <f t="shared" si="5"/>
        <v>AW S11 (42mm GPS) giảm 2000K = 9190.0K</v>
      </c>
      <c r="O28" s="149">
        <f>IFERROR(D28-W3Q3FY26!D27,"OOS")</f>
        <v>0</v>
      </c>
      <c r="P28" s="146" t="str">
        <f t="shared" si="1"/>
        <v/>
      </c>
      <c r="Q28" s="149">
        <f>IFERROR(E28-W3Q3FY26!E27,"OOS")</f>
        <v>-1200000</v>
      </c>
      <c r="R28" s="146" t="str">
        <f t="shared" si="2"/>
        <v>AW S11 (42mm GPS) giảm 1200K = 8990.0K</v>
      </c>
      <c r="S28" s="149">
        <f>IFERROR(F28-W3Q3FY26!F27,"OOS")</f>
        <v>-2000000</v>
      </c>
      <c r="T28" s="146" t="str">
        <f t="shared" si="6"/>
        <v>AW S11 (42mm GPS) giảm 2000K = 9190.0K</v>
      </c>
      <c r="U28" s="149">
        <f>IFERROR(G28-W3Q3FY26!G27,"OOS")</f>
        <v>-2000000</v>
      </c>
      <c r="V28" s="146" t="str">
        <f t="shared" si="7"/>
        <v>AW S11 (42mm GPS) giảm 2000K = 8990.0K</v>
      </c>
    </row>
    <row r="29" spans="1:25" ht="16" customHeight="1" x14ac:dyDescent="0.2">
      <c r="A29" t="s">
        <v>49</v>
      </c>
      <c r="B29" s="3"/>
      <c r="C29" s="140" t="s">
        <v>22</v>
      </c>
      <c r="D29" s="140">
        <v>11990000</v>
      </c>
      <c r="E29" s="139">
        <v>11990000</v>
      </c>
      <c r="F29" s="133">
        <v>12090000</v>
      </c>
      <c r="G29" s="111">
        <v>11990000</v>
      </c>
      <c r="H29" s="153"/>
      <c r="M29" s="148" t="str">
        <f>IFERROR(C29-W3Q3FY26!C28,"OOS")</f>
        <v>OOS</v>
      </c>
      <c r="N29" s="146" t="e">
        <f t="shared" si="5"/>
        <v>#VALUE!</v>
      </c>
      <c r="O29" s="149">
        <f>IFERROR(D29-W3Q3FY26!D28,"OOS")</f>
        <v>-2100000</v>
      </c>
      <c r="P29" s="146" t="str">
        <f t="shared" si="1"/>
        <v>AW S11 (42mm CEL) giảm 2100K = 11990.0K</v>
      </c>
      <c r="Q29" s="149">
        <f>IFERROR(E29-W3Q3FY26!E28,"OOS")</f>
        <v>-1500000</v>
      </c>
      <c r="R29" s="146" t="str">
        <f t="shared" si="2"/>
        <v>AW S11 (42mm CEL) giảm 1500K = 11990.0K</v>
      </c>
      <c r="S29" s="149">
        <f>IFERROR(F29-W3Q3FY26!F28,"OOS")</f>
        <v>-1900000</v>
      </c>
      <c r="T29" s="146" t="str">
        <f t="shared" si="6"/>
        <v>AW S11 (42mm CEL) giảm 1900K = 12090.0K</v>
      </c>
      <c r="U29" s="149">
        <f>IFERROR(G29-W3Q3FY26!G28,"OOS")</f>
        <v>-2000000</v>
      </c>
      <c r="V29" s="146" t="str">
        <f t="shared" si="7"/>
        <v>AW S11 (42mm CEL) giảm 2000K = 11990.0K</v>
      </c>
    </row>
    <row r="30" spans="1:25" ht="16" customHeight="1" x14ac:dyDescent="0.2">
      <c r="A30" t="s">
        <v>50</v>
      </c>
      <c r="B30" s="3"/>
      <c r="C30" s="140">
        <v>9990000</v>
      </c>
      <c r="D30" s="140">
        <v>9990000</v>
      </c>
      <c r="E30" s="139">
        <v>9690000</v>
      </c>
      <c r="F30" s="133">
        <v>9990000</v>
      </c>
      <c r="G30" s="111">
        <v>9990000</v>
      </c>
      <c r="H30" s="153"/>
      <c r="M30" s="148">
        <f>IFERROR(C30-W3Q3FY26!C29,"OOS")</f>
        <v>-2000000</v>
      </c>
      <c r="N30" s="146" t="str">
        <f t="shared" si="5"/>
        <v>AW S11 (46mm GPS) giảm 2000K = 9990.0K</v>
      </c>
      <c r="O30" s="149">
        <f>IFERROR(D30-W3Q3FY26!D29,"OOS")</f>
        <v>-2000000</v>
      </c>
      <c r="P30" s="146" t="str">
        <f t="shared" si="1"/>
        <v>AW S11 (46mm GPS) giảm 2000K = 9990.0K</v>
      </c>
      <c r="Q30" s="149">
        <f>IFERROR(E30-W3Q3FY26!E29,"OOS")</f>
        <v>-1300000</v>
      </c>
      <c r="R30" s="146" t="str">
        <f t="shared" si="2"/>
        <v>AW S11 (46mm GPS) giảm 1300K = 9690.0K</v>
      </c>
      <c r="S30" s="149">
        <f>IFERROR(F30-W3Q3FY26!F29,"OOS")</f>
        <v>-2000000</v>
      </c>
      <c r="T30" s="146" t="str">
        <f t="shared" si="6"/>
        <v>AW S11 (46mm GPS) giảm 2000K = 9990.0K</v>
      </c>
      <c r="U30" s="149">
        <f>IFERROR(G30-W3Q3FY26!G29,"OOS")</f>
        <v>-1900000</v>
      </c>
      <c r="V30" s="146" t="str">
        <f t="shared" si="7"/>
        <v>AW S11 (46mm GPS) giảm 1900K = 9990.0K</v>
      </c>
    </row>
    <row r="31" spans="1:25" ht="16" customHeight="1" x14ac:dyDescent="0.2">
      <c r="A31" t="s">
        <v>51</v>
      </c>
      <c r="B31" s="3"/>
      <c r="C31" s="140">
        <v>12990000</v>
      </c>
      <c r="D31" s="140">
        <v>12490000</v>
      </c>
      <c r="E31" s="139">
        <v>12490000</v>
      </c>
      <c r="F31" s="133">
        <v>12990000</v>
      </c>
      <c r="G31" s="111">
        <v>12990000</v>
      </c>
      <c r="H31" s="153"/>
      <c r="M31" s="148">
        <f>IFERROR(C31-W3Q3FY26!C30,"OOS")</f>
        <v>-2000000</v>
      </c>
      <c r="N31" s="146" t="str">
        <f t="shared" si="5"/>
        <v>AW S11 (46mm CEL) giảm 2000K = 12990.0K</v>
      </c>
      <c r="O31" s="149">
        <f>IFERROR(D31-W3Q3FY26!D30,"OOS")</f>
        <v>-2500000</v>
      </c>
      <c r="P31" s="146" t="str">
        <f t="shared" si="1"/>
        <v>AW S11 (46mm CEL) giảm 2500K = 12490.0K</v>
      </c>
      <c r="Q31" s="149">
        <f>IFERROR(E31-W3Q3FY26!E30,"OOS")</f>
        <v>-1500000</v>
      </c>
      <c r="R31" s="146" t="str">
        <f t="shared" si="2"/>
        <v>AW S11 (46mm CEL) giảm 1500K = 12490.0K</v>
      </c>
      <c r="S31" s="149">
        <f>IFERROR(F31-W3Q3FY26!F30,"OOS")</f>
        <v>-2000000</v>
      </c>
      <c r="T31" s="146" t="str">
        <f t="shared" si="6"/>
        <v>AW S11 (46mm CEL) giảm 2000K = 12990.0K</v>
      </c>
      <c r="U31" s="149">
        <f>IFERROR(G31-W3Q3FY26!G30,"OOS")</f>
        <v>-1900000</v>
      </c>
      <c r="V31" s="146" t="str">
        <f t="shared" si="7"/>
        <v>AW S11 (46mm CEL) giảm 1900K = 12990.0K</v>
      </c>
    </row>
    <row r="32" spans="1:25" ht="16" customHeight="1" x14ac:dyDescent="0.2">
      <c r="A32" t="s">
        <v>52</v>
      </c>
      <c r="B32" s="25"/>
      <c r="C32" s="135">
        <v>23490000</v>
      </c>
      <c r="D32" s="135">
        <v>22990000</v>
      </c>
      <c r="E32" s="112">
        <v>22490000</v>
      </c>
      <c r="F32" s="132">
        <v>22990000</v>
      </c>
      <c r="G32" s="110">
        <v>22990000</v>
      </c>
      <c r="H32" s="153"/>
      <c r="M32" s="148">
        <f>IFERROR(C32-W3Q3FY26!C31,"OOS")</f>
        <v>0</v>
      </c>
      <c r="N32" s="146" t="str">
        <f t="shared" si="5"/>
        <v/>
      </c>
      <c r="O32" s="149">
        <f>IFERROR(D32-W3Q3FY26!D31,"OOS")</f>
        <v>0</v>
      </c>
      <c r="P32" s="146" t="str">
        <f t="shared" si="1"/>
        <v/>
      </c>
      <c r="Q32" s="149">
        <f>IFERROR(E32-W3Q3FY26!E31,"OOS")</f>
        <v>500000</v>
      </c>
      <c r="R32" s="146" t="str">
        <f t="shared" si="2"/>
        <v>AW Ultra 3 (49mm) tăng 500K = 22490.0K</v>
      </c>
      <c r="S32" s="149">
        <f>IFERROR(F32-W3Q3FY26!F31,"OOS")</f>
        <v>0</v>
      </c>
      <c r="T32" s="146" t="str">
        <f t="shared" si="6"/>
        <v/>
      </c>
      <c r="U32" s="149">
        <f>IFERROR(G32-W3Q3FY26!G31,"OOS")</f>
        <v>0</v>
      </c>
      <c r="V32" s="146" t="str">
        <f t="shared" si="7"/>
        <v/>
      </c>
    </row>
    <row r="33" spans="1:22" ht="16" customHeight="1" x14ac:dyDescent="0.2">
      <c r="A33" t="s">
        <v>53</v>
      </c>
      <c r="B33" s="3"/>
      <c r="C33" s="135">
        <v>5190000</v>
      </c>
      <c r="D33" s="135" t="s">
        <v>22</v>
      </c>
      <c r="E33" s="130" t="s">
        <v>22</v>
      </c>
      <c r="F33" s="133">
        <v>4990000</v>
      </c>
      <c r="G33" s="110">
        <v>5590000</v>
      </c>
      <c r="H33" s="153"/>
      <c r="M33" s="148">
        <f>IFERROR(C33-W3Q3FY26!C32,"OOS")</f>
        <v>0</v>
      </c>
      <c r="N33" s="146" t="str">
        <f t="shared" si="5"/>
        <v/>
      </c>
      <c r="O33" s="149" t="str">
        <f>IFERROR(D33-W3Q3FY26!D32,"OOS")</f>
        <v>OOS</v>
      </c>
      <c r="P33" s="146" t="e">
        <f t="shared" si="1"/>
        <v>#VALUE!</v>
      </c>
      <c r="Q33" s="149" t="str">
        <f>IFERROR(E33-W3Q3FY26!E32,"OOS")</f>
        <v>OOS</v>
      </c>
      <c r="R33" s="146" t="e">
        <f t="shared" si="2"/>
        <v>#VALUE!</v>
      </c>
      <c r="S33" s="149">
        <f>IFERROR(F33-W3Q3FY26!F32,"OOS")</f>
        <v>-100000</v>
      </c>
      <c r="T33" s="146" t="str">
        <f t="shared" si="6"/>
        <v>AirPods Pro 2 - 2023 (C-Type) giảm 100K = 4990.0K</v>
      </c>
      <c r="U33" s="149">
        <f>IFERROR(G33-W3Q3FY26!G32,"OOS")</f>
        <v>0</v>
      </c>
      <c r="V33" s="146" t="str">
        <f t="shared" si="7"/>
        <v/>
      </c>
    </row>
    <row r="34" spans="1:22" ht="16" customHeight="1" x14ac:dyDescent="0.2">
      <c r="A34" t="s">
        <v>54</v>
      </c>
      <c r="B34" s="3"/>
      <c r="C34" s="140">
        <v>4390000</v>
      </c>
      <c r="D34" s="140">
        <v>4390000</v>
      </c>
      <c r="E34" s="154">
        <v>4290000</v>
      </c>
      <c r="F34" s="133">
        <v>4390000</v>
      </c>
      <c r="G34" s="110">
        <v>4390000</v>
      </c>
      <c r="H34" s="153"/>
      <c r="M34" s="148">
        <f>IFERROR(C34-W3Q3FY26!C33,"OOS")</f>
        <v>-300000</v>
      </c>
      <c r="N34" s="146" t="str">
        <f t="shared" si="5"/>
        <v>AirPods 4 ANC giảm 300K = 4390.0K</v>
      </c>
      <c r="O34" s="149">
        <f>IFERROR(D34-W3Q3FY26!D33,"OOS")</f>
        <v>-200000</v>
      </c>
      <c r="P34" s="146" t="str">
        <f t="shared" si="1"/>
        <v>AirPods 4 ANC giảm 200K = 4390.0K</v>
      </c>
      <c r="Q34" s="149">
        <f>IFERROR(E34-W3Q3FY26!E33,"OOS")</f>
        <v>0</v>
      </c>
      <c r="R34" s="146" t="str">
        <f t="shared" si="2"/>
        <v/>
      </c>
      <c r="S34" s="149">
        <f>IFERROR(F34-W3Q3FY26!F33,"OOS")</f>
        <v>-260000</v>
      </c>
      <c r="T34" s="146" t="str">
        <f t="shared" si="6"/>
        <v>AirPods 4 ANC giảm 260K = 4390.0K</v>
      </c>
      <c r="U34" s="149">
        <f>IFERROR(G34-W3Q3FY26!G33,"OOS")</f>
        <v>0</v>
      </c>
      <c r="V34" s="146" t="str">
        <f t="shared" si="7"/>
        <v/>
      </c>
    </row>
    <row r="35" spans="1:22" ht="16" customHeight="1" x14ac:dyDescent="0.2">
      <c r="A35" t="s">
        <v>55</v>
      </c>
      <c r="B35" s="3"/>
      <c r="C35" s="140">
        <v>3090000</v>
      </c>
      <c r="D35" s="140">
        <v>3090000</v>
      </c>
      <c r="E35" s="154">
        <v>2990000</v>
      </c>
      <c r="F35" s="133">
        <v>3090000</v>
      </c>
      <c r="G35" s="111">
        <v>2990000</v>
      </c>
      <c r="H35" s="153"/>
      <c r="M35" s="148">
        <f>IFERROR(C35-W3Q3FY26!C34,"OOS")</f>
        <v>-400000</v>
      </c>
      <c r="N35" s="146" t="str">
        <f t="shared" si="5"/>
        <v>AirPods 4 with charging case giảm 400K = 3090.0K</v>
      </c>
      <c r="O35" s="149">
        <f>IFERROR(D35-W3Q3FY26!D34,"OOS")</f>
        <v>-400000</v>
      </c>
      <c r="P35" s="146" t="str">
        <f t="shared" si="1"/>
        <v>AirPods 4 with charging case giảm 400K = 3090.0K</v>
      </c>
      <c r="Q35" s="149">
        <f>IFERROR(E35-W3Q3FY26!E34,"OOS")</f>
        <v>-300000</v>
      </c>
      <c r="R35" s="146" t="str">
        <f t="shared" si="2"/>
        <v>AirPods 4 with charging case giảm 300K = 2990.0K</v>
      </c>
      <c r="S35" s="149">
        <f>IFERROR(F35-W3Q3FY26!F34,"OOS")</f>
        <v>-400000</v>
      </c>
      <c r="T35" s="146" t="str">
        <f t="shared" si="6"/>
        <v>AirPods 4 with charging case giảm 400K = 3090.0K</v>
      </c>
      <c r="U35" s="149">
        <f>IFERROR(G35-W3Q3FY26!G34,"OOS")</f>
        <v>-300000</v>
      </c>
      <c r="V35" s="146" t="str">
        <f t="shared" si="7"/>
        <v>AirPods 4 with charging case giảm 300K = 2990.0K</v>
      </c>
    </row>
    <row r="36" spans="1:22" ht="16" customHeight="1" x14ac:dyDescent="0.2">
      <c r="A36" t="s">
        <v>56</v>
      </c>
      <c r="B36" s="3"/>
      <c r="C36" s="140">
        <v>6190000</v>
      </c>
      <c r="D36" s="140">
        <v>6190000</v>
      </c>
      <c r="E36" s="134">
        <v>5990000</v>
      </c>
      <c r="F36" s="133">
        <v>6190000</v>
      </c>
      <c r="G36" s="111">
        <v>6090000</v>
      </c>
      <c r="H36" s="153"/>
      <c r="M36" s="148">
        <f>IFERROR(C36-W3Q3FY26!C35,"OOS")</f>
        <v>-400000</v>
      </c>
      <c r="N36" s="146" t="str">
        <f t="shared" si="5"/>
        <v>AirPods Pro 3 giảm 400K = 6190.0K</v>
      </c>
      <c r="O36" s="149">
        <f>IFERROR(D36-W3Q3FY26!D35,"OOS")</f>
        <v>-400000</v>
      </c>
      <c r="P36" s="146" t="str">
        <f t="shared" si="1"/>
        <v>AirPods Pro 3 giảm 400K = 6190.0K</v>
      </c>
      <c r="Q36" s="149">
        <f>IFERROR(E36-W3Q3FY26!E35,"OOS")</f>
        <v>-300000</v>
      </c>
      <c r="R36" s="146" t="str">
        <f t="shared" si="2"/>
        <v>AirPods Pro 3 giảm 300K = 5990.0K</v>
      </c>
      <c r="S36" s="149">
        <f>IFERROR(F36-W3Q3FY26!F35,"OOS")</f>
        <v>-400000</v>
      </c>
      <c r="T36" s="146" t="str">
        <f t="shared" si="6"/>
        <v>AirPods Pro 3 giảm 400K = 6190.0K</v>
      </c>
      <c r="U36" s="149">
        <f>IFERROR(G36-W3Q3FY26!G35,"OOS")</f>
        <v>-200000</v>
      </c>
      <c r="V36" s="146" t="str">
        <f t="shared" si="7"/>
        <v>AirPods Pro 3 giảm 200K = 6090.0K</v>
      </c>
    </row>
    <row r="37" spans="1:22" ht="16" customHeight="1" x14ac:dyDescent="0.2">
      <c r="A37" t="s">
        <v>57</v>
      </c>
      <c r="B37" s="25"/>
      <c r="C37" s="135">
        <v>29490000</v>
      </c>
      <c r="D37" s="135">
        <v>29990000</v>
      </c>
      <c r="E37" s="142"/>
      <c r="F37" s="111">
        <v>29390000</v>
      </c>
      <c r="G37" s="110">
        <v>29990000</v>
      </c>
      <c r="H37" s="153"/>
      <c r="M37" s="148">
        <f>IFERROR(C37-W3Q3FY26!C36,"OOS")</f>
        <v>0</v>
      </c>
      <c r="N37" s="146" t="str">
        <f t="shared" si="5"/>
        <v/>
      </c>
      <c r="O37" s="149">
        <f>IFERROR(D37-W3Q3FY26!D36,"OOS")</f>
        <v>0</v>
      </c>
      <c r="P37" s="146" t="str">
        <f t="shared" si="1"/>
        <v/>
      </c>
      <c r="Q37" s="149">
        <f>IFERROR(E37-W3Q3FY26!E36,"OOS")</f>
        <v>0</v>
      </c>
      <c r="R37" s="146" t="str">
        <f t="shared" si="2"/>
        <v/>
      </c>
      <c r="S37" s="149">
        <f>IFERROR(F37-W3Q3FY26!F36,"OOS")</f>
        <v>-100000</v>
      </c>
      <c r="T37" s="146" t="str">
        <f t="shared" si="6"/>
        <v>MacBook Air 13" M5 16/512GB giảm 100K = 29390.0K</v>
      </c>
      <c r="U37" s="149">
        <f>IFERROR(G37-W3Q3FY26!G36,"OOS")</f>
        <v>0</v>
      </c>
      <c r="V37" s="146" t="str">
        <f t="shared" si="7"/>
        <v/>
      </c>
    </row>
    <row r="38" spans="1:22" ht="16" customHeight="1" x14ac:dyDescent="0.2">
      <c r="A38" t="s">
        <v>58</v>
      </c>
      <c r="B38" s="25"/>
      <c r="C38" s="135">
        <v>15990000</v>
      </c>
      <c r="D38" s="140">
        <v>15990000</v>
      </c>
      <c r="E38" s="142"/>
      <c r="F38" s="111">
        <v>15990000</v>
      </c>
      <c r="G38" s="111">
        <v>15899000</v>
      </c>
      <c r="H38" s="153"/>
      <c r="M38" s="148">
        <f>IFERROR(C38-W3Q3FY26!C37,"OOS")</f>
        <v>0</v>
      </c>
      <c r="N38" s="146" t="str">
        <f t="shared" si="5"/>
        <v/>
      </c>
      <c r="O38" s="149">
        <f>IFERROR(D38-W3Q3FY26!D37,"OOS")</f>
        <v>-500000</v>
      </c>
      <c r="P38" s="146" t="str">
        <f t="shared" si="1"/>
        <v>MacBook NEO A18 Pro ( 8/256GB) giảm 500K = 15990.0K</v>
      </c>
      <c r="Q38" s="149">
        <f>IFERROR(E38-W3Q3FY26!E37,"OOS")</f>
        <v>0</v>
      </c>
      <c r="R38" s="146" t="str">
        <f t="shared" si="2"/>
        <v/>
      </c>
      <c r="S38" s="149">
        <f>IFERROR(F38-W3Q3FY26!F37,"OOS")</f>
        <v>-500000</v>
      </c>
      <c r="T38" s="146" t="str">
        <f t="shared" si="6"/>
        <v>MacBook NEO A18 Pro ( 8/256GB) giảm 500K = 15990.0K</v>
      </c>
      <c r="U38" s="149">
        <f>IFERROR(G38-W3Q3FY26!G37,"OOS")</f>
        <v>-100000</v>
      </c>
      <c r="V38" s="146" t="str">
        <f t="shared" si="7"/>
        <v>MacBook NEO A18 Pro ( 8/256GB) giảm 100K = 15899.0K</v>
      </c>
    </row>
    <row r="39" spans="1:22" ht="16" customHeight="1" x14ac:dyDescent="0.2">
      <c r="A39" t="s">
        <v>59</v>
      </c>
      <c r="B39" s="3"/>
      <c r="C39" s="135">
        <v>25590000</v>
      </c>
      <c r="D39" s="135" t="s">
        <v>22</v>
      </c>
      <c r="E39" s="142"/>
      <c r="F39" s="132">
        <v>25590000</v>
      </c>
      <c r="G39" s="110">
        <v>24590000</v>
      </c>
      <c r="H39" s="153"/>
      <c r="J39" t="s">
        <v>60</v>
      </c>
      <c r="M39" s="148">
        <f>IFERROR(C39-W3Q3FY26!C38,"OOS")</f>
        <v>0</v>
      </c>
      <c r="N39" s="146" t="str">
        <f t="shared" si="5"/>
        <v/>
      </c>
      <c r="O39" s="149" t="str">
        <f>IFERROR(D39-W3Q3FY26!D38,"OOS")</f>
        <v>OOS</v>
      </c>
      <c r="P39" s="146" t="e">
        <f t="shared" si="1"/>
        <v>#VALUE!</v>
      </c>
      <c r="Q39" s="149">
        <f>IFERROR(E39-W3Q3FY26!E38,"OOS")</f>
        <v>0</v>
      </c>
      <c r="R39" s="146" t="str">
        <f t="shared" si="2"/>
        <v/>
      </c>
      <c r="S39" s="149">
        <f>IFERROR(F39-W3Q3FY26!F38,"OOS")</f>
        <v>0</v>
      </c>
      <c r="T39" s="146" t="str">
        <f t="shared" si="6"/>
        <v/>
      </c>
      <c r="U39" s="149">
        <f>IFERROR(G39-W3Q3FY26!G38,"OOS")</f>
        <v>0</v>
      </c>
      <c r="V39" s="146" t="str">
        <f t="shared" si="7"/>
        <v/>
      </c>
    </row>
    <row r="40" spans="1:22" ht="16" customHeight="1" x14ac:dyDescent="0.2">
      <c r="A40" t="s">
        <v>61</v>
      </c>
      <c r="B40" s="25"/>
      <c r="C40" s="140">
        <v>29490000</v>
      </c>
      <c r="D40" s="135">
        <v>29490000</v>
      </c>
      <c r="E40" s="142"/>
      <c r="F40" s="132">
        <v>29990000</v>
      </c>
      <c r="G40" s="110">
        <v>28990000</v>
      </c>
      <c r="H40" s="153"/>
      <c r="M40" s="148">
        <f>IFERROR(C40-W3Q3FY26!C39,"OOS")</f>
        <v>-500000</v>
      </c>
      <c r="N40" s="146" t="str">
        <f t="shared" si="5"/>
        <v>MacBook Air 15" M4 16/256GB giảm 500K = 29490.0K</v>
      </c>
      <c r="O40" s="149">
        <f>IFERROR(D40-W3Q3FY26!D39,"OOS")</f>
        <v>0</v>
      </c>
      <c r="P40" s="146" t="str">
        <f t="shared" si="1"/>
        <v/>
      </c>
      <c r="Q40" s="149">
        <f>IFERROR(E40-W3Q3FY26!E39,"OOS")</f>
        <v>0</v>
      </c>
      <c r="R40" s="146" t="str">
        <f t="shared" si="2"/>
        <v/>
      </c>
      <c r="S40" s="149">
        <f>IFERROR(F40-W3Q3FY26!F39,"OOS")</f>
        <v>0</v>
      </c>
      <c r="T40" s="146" t="str">
        <f t="shared" si="6"/>
        <v/>
      </c>
      <c r="U40" s="149">
        <f>IFERROR(G40-W3Q3FY26!G39,"OOS")</f>
        <v>0</v>
      </c>
      <c r="V40" s="146" t="str">
        <f t="shared" si="7"/>
        <v/>
      </c>
    </row>
    <row r="41" spans="1:22" ht="16" customHeight="1" x14ac:dyDescent="0.2">
      <c r="A41" t="s">
        <v>62</v>
      </c>
      <c r="B41" s="25"/>
      <c r="C41" s="135">
        <v>41490000</v>
      </c>
      <c r="D41" s="135">
        <v>41490000</v>
      </c>
      <c r="E41" s="142"/>
      <c r="F41" s="132">
        <v>41490000</v>
      </c>
      <c r="G41" s="110">
        <v>41490000</v>
      </c>
      <c r="H41" s="153"/>
      <c r="M41" s="148">
        <f>IFERROR(C41-W3Q3FY26!C41,"OOS")</f>
        <v>0</v>
      </c>
      <c r="N41" s="146" t="str">
        <f t="shared" si="5"/>
        <v/>
      </c>
      <c r="O41" s="149">
        <f>IFERROR(D41-W3Q3FY26!D41,"OOS")</f>
        <v>0</v>
      </c>
      <c r="P41" s="146" t="str">
        <f t="shared" si="1"/>
        <v/>
      </c>
      <c r="Q41" s="149">
        <f>IFERROR(E41-W3Q3FY26!E41,"OOS")</f>
        <v>0</v>
      </c>
      <c r="R41" s="146" t="str">
        <f t="shared" si="2"/>
        <v/>
      </c>
      <c r="S41" s="149">
        <f>IFERROR(F41-W3Q3FY26!F41,"OOS")</f>
        <v>0</v>
      </c>
      <c r="T41" s="146" t="str">
        <f t="shared" si="6"/>
        <v/>
      </c>
      <c r="U41" s="149">
        <f>IFERROR(G41-W3Q3FY26!G41,"OOS")</f>
        <v>0</v>
      </c>
      <c r="V41" s="146" t="str">
        <f t="shared" si="7"/>
        <v/>
      </c>
    </row>
    <row r="42" spans="1:22" ht="16" customHeight="1" x14ac:dyDescent="0.2">
      <c r="A42" t="s">
        <v>188</v>
      </c>
      <c r="B42" s="25"/>
      <c r="C42" s="135" t="s">
        <v>22</v>
      </c>
      <c r="D42" s="135">
        <v>63990000</v>
      </c>
      <c r="E42" s="142"/>
      <c r="F42" s="132">
        <v>62990000</v>
      </c>
      <c r="G42" s="110">
        <v>63990000</v>
      </c>
      <c r="H42" s="153"/>
      <c r="M42" s="148" t="str">
        <f>IFERROR(C42-W3Q3FY26!C42,"OOS")</f>
        <v>OOS</v>
      </c>
      <c r="N42" s="146" t="e">
        <f t="shared" si="5"/>
        <v>#VALUE!</v>
      </c>
      <c r="O42" s="149">
        <f>IFERROR(D42-W3Q3FY26!D42,"OOS")</f>
        <v>0</v>
      </c>
      <c r="P42" s="146" t="str">
        <f t="shared" si="1"/>
        <v/>
      </c>
      <c r="Q42" s="149">
        <f>IFERROR(E42-W3Q3FY26!E42,"OOS")</f>
        <v>0</v>
      </c>
      <c r="R42" s="146" t="str">
        <f t="shared" si="2"/>
        <v/>
      </c>
      <c r="S42" s="149">
        <f>IFERROR(F42-W3Q3FY26!F42,"OOS")</f>
        <v>0</v>
      </c>
      <c r="T42" s="146" t="str">
        <f t="shared" si="6"/>
        <v/>
      </c>
      <c r="U42" s="149">
        <f>IFERROR(G42-W3Q3FY26!G42,"OOS")</f>
        <v>0</v>
      </c>
      <c r="V42" s="146" t="str">
        <f t="shared" si="7"/>
        <v/>
      </c>
    </row>
    <row r="43" spans="1:22" ht="16" customHeight="1" x14ac:dyDescent="0.2">
      <c r="C43" s="124"/>
      <c r="D43" s="124"/>
      <c r="V43" s="146" t="str">
        <f t="shared" si="7"/>
        <v/>
      </c>
    </row>
    <row r="44" spans="1:22" ht="16" customHeight="1" x14ac:dyDescent="0.2">
      <c r="C44" s="124"/>
      <c r="D44" s="124"/>
      <c r="V44" s="146" t="str">
        <f t="shared" si="7"/>
        <v/>
      </c>
    </row>
    <row r="45" spans="1:22" ht="16" customHeight="1" x14ac:dyDescent="0.2">
      <c r="C45" s="124"/>
      <c r="D45" s="124"/>
    </row>
    <row r="46" spans="1:22" ht="16" customHeight="1" x14ac:dyDescent="0.2">
      <c r="C46" s="124"/>
      <c r="D46" s="124"/>
    </row>
    <row r="47" spans="1:22" ht="16" customHeight="1" x14ac:dyDescent="0.2">
      <c r="C47" s="124"/>
      <c r="D47" s="124"/>
    </row>
    <row r="48" spans="1:22" ht="16" customHeight="1" x14ac:dyDescent="0.2">
      <c r="C48" s="124"/>
      <c r="D48" s="124"/>
    </row>
    <row r="49" spans="3:4" ht="16" customHeight="1" x14ac:dyDescent="0.2">
      <c r="C49" s="124"/>
      <c r="D49" s="124"/>
    </row>
    <row r="50" spans="3:4" ht="16" customHeight="1" x14ac:dyDescent="0.2">
      <c r="C50" s="124"/>
      <c r="D50" s="124"/>
    </row>
    <row r="51" spans="3:4" ht="16" customHeight="1" x14ac:dyDescent="0.2">
      <c r="C51" s="124"/>
      <c r="D51" s="124"/>
    </row>
    <row r="52" spans="3:4" ht="16" customHeight="1" x14ac:dyDescent="0.2">
      <c r="C52" s="124"/>
      <c r="D52" s="124"/>
    </row>
    <row r="53" spans="3:4" ht="16" customHeight="1" x14ac:dyDescent="0.2">
      <c r="C53" s="124"/>
      <c r="D53" s="124"/>
    </row>
    <row r="54" spans="3:4" ht="16" customHeight="1" x14ac:dyDescent="0.2">
      <c r="C54" s="124"/>
      <c r="D54" s="124"/>
    </row>
    <row r="55" spans="3:4" ht="16" customHeight="1" x14ac:dyDescent="0.2">
      <c r="C55" s="124"/>
      <c r="D55" s="124"/>
    </row>
    <row r="56" spans="3:4" ht="16" customHeight="1" x14ac:dyDescent="0.2">
      <c r="C56" s="124"/>
      <c r="D56" s="124"/>
    </row>
    <row r="57" spans="3:4" ht="16" customHeight="1" x14ac:dyDescent="0.2">
      <c r="C57" s="124"/>
      <c r="D57" s="124"/>
    </row>
    <row r="58" spans="3:4" ht="16" customHeight="1" x14ac:dyDescent="0.2">
      <c r="C58" s="124"/>
      <c r="D58" s="124"/>
    </row>
    <row r="59" spans="3:4" ht="16" customHeight="1" x14ac:dyDescent="0.2">
      <c r="C59" s="124"/>
      <c r="D59" s="124"/>
    </row>
    <row r="60" spans="3:4" ht="16" customHeight="1" x14ac:dyDescent="0.2">
      <c r="C60" s="124"/>
      <c r="D60" s="124"/>
    </row>
    <row r="61" spans="3:4" ht="16" customHeight="1" x14ac:dyDescent="0.2">
      <c r="C61" s="124"/>
      <c r="D61" s="124"/>
    </row>
    <row r="62" spans="3:4" ht="16" customHeight="1" x14ac:dyDescent="0.2">
      <c r="C62" s="124"/>
      <c r="D62" s="124"/>
    </row>
    <row r="63" spans="3:4" ht="16" customHeight="1" x14ac:dyDescent="0.2">
      <c r="C63" s="124"/>
      <c r="D63" s="124"/>
    </row>
    <row r="64" spans="3:4" ht="16" customHeight="1" x14ac:dyDescent="0.2">
      <c r="C64" s="124"/>
      <c r="D64" s="124"/>
    </row>
    <row r="65" spans="3:4" ht="16" customHeight="1" x14ac:dyDescent="0.2">
      <c r="C65" s="124"/>
      <c r="D65" s="124"/>
    </row>
    <row r="66" spans="3:4" ht="16" customHeight="1" x14ac:dyDescent="0.2">
      <c r="C66" s="124"/>
      <c r="D66" s="124"/>
    </row>
    <row r="67" spans="3:4" ht="16" customHeight="1" x14ac:dyDescent="0.2">
      <c r="C67" s="124"/>
      <c r="D67" s="124"/>
    </row>
    <row r="68" spans="3:4" ht="16" customHeight="1" x14ac:dyDescent="0.2">
      <c r="C68" s="124"/>
      <c r="D68" s="124"/>
    </row>
    <row r="69" spans="3:4" ht="16" customHeight="1" x14ac:dyDescent="0.2">
      <c r="C69" s="124"/>
      <c r="D69" s="124"/>
    </row>
    <row r="70" spans="3:4" ht="16" customHeight="1" x14ac:dyDescent="0.2">
      <c r="C70" s="124"/>
      <c r="D70" s="124"/>
    </row>
    <row r="71" spans="3:4" ht="16" customHeight="1" x14ac:dyDescent="0.2">
      <c r="C71" s="124"/>
      <c r="D71" s="124"/>
    </row>
    <row r="72" spans="3:4" ht="16" customHeight="1" x14ac:dyDescent="0.2">
      <c r="C72" s="124"/>
      <c r="D72" s="124"/>
    </row>
    <row r="73" spans="3:4" ht="16" customHeight="1" x14ac:dyDescent="0.2">
      <c r="C73" s="124"/>
      <c r="D73" s="124"/>
    </row>
    <row r="74" spans="3:4" ht="16" customHeight="1" x14ac:dyDescent="0.2">
      <c r="C74" s="124"/>
      <c r="D74" s="124"/>
    </row>
    <row r="75" spans="3:4" ht="16" customHeight="1" x14ac:dyDescent="0.2">
      <c r="C75" s="124"/>
      <c r="D75" s="124"/>
    </row>
    <row r="76" spans="3:4" ht="16" customHeight="1" x14ac:dyDescent="0.2">
      <c r="C76" s="124"/>
      <c r="D76" s="124"/>
    </row>
    <row r="77" spans="3:4" ht="16" customHeight="1" x14ac:dyDescent="0.2">
      <c r="C77" s="124"/>
      <c r="D77" s="124"/>
    </row>
    <row r="78" spans="3:4" ht="16" customHeight="1" x14ac:dyDescent="0.2">
      <c r="C78" s="124"/>
      <c r="D78" s="124"/>
    </row>
    <row r="79" spans="3:4" ht="16" customHeight="1" x14ac:dyDescent="0.2">
      <c r="C79" s="124"/>
      <c r="D79" s="124"/>
    </row>
    <row r="80" spans="3:4" ht="16" customHeight="1" x14ac:dyDescent="0.2">
      <c r="C80" s="124"/>
      <c r="D80" s="124"/>
    </row>
    <row r="81" spans="3:4" ht="16" customHeight="1" x14ac:dyDescent="0.2">
      <c r="C81" s="124"/>
      <c r="D81" s="124"/>
    </row>
    <row r="82" spans="3:4" ht="16" customHeight="1" x14ac:dyDescent="0.2">
      <c r="C82" s="124"/>
      <c r="D82" s="124"/>
    </row>
    <row r="83" spans="3:4" ht="16" customHeight="1" x14ac:dyDescent="0.2">
      <c r="C83" s="124"/>
      <c r="D83" s="124"/>
    </row>
    <row r="84" spans="3:4" ht="16" customHeight="1" x14ac:dyDescent="0.2">
      <c r="C84" s="124"/>
      <c r="D84" s="124"/>
    </row>
    <row r="85" spans="3:4" ht="16" customHeight="1" x14ac:dyDescent="0.2">
      <c r="C85" s="124"/>
      <c r="D85" s="124"/>
    </row>
    <row r="86" spans="3:4" ht="16" customHeight="1" x14ac:dyDescent="0.2">
      <c r="C86" s="124"/>
      <c r="D86" s="124"/>
    </row>
    <row r="87" spans="3:4" ht="16" customHeight="1" x14ac:dyDescent="0.2">
      <c r="C87" s="124"/>
      <c r="D87" s="124"/>
    </row>
    <row r="88" spans="3:4" ht="16" customHeight="1" x14ac:dyDescent="0.2">
      <c r="C88" s="124"/>
      <c r="D88" s="124"/>
    </row>
    <row r="89" spans="3:4" ht="16" customHeight="1" x14ac:dyDescent="0.2">
      <c r="C89" s="124"/>
      <c r="D89" s="124"/>
    </row>
    <row r="90" spans="3:4" ht="16" customHeight="1" x14ac:dyDescent="0.2">
      <c r="C90" s="124"/>
      <c r="D90" s="124"/>
    </row>
    <row r="91" spans="3:4" ht="16" customHeight="1" x14ac:dyDescent="0.2">
      <c r="C91" s="124"/>
      <c r="D91" s="124"/>
    </row>
    <row r="92" spans="3:4" ht="16" customHeight="1" x14ac:dyDescent="0.2">
      <c r="C92" s="124"/>
      <c r="D92" s="124"/>
    </row>
    <row r="93" spans="3:4" ht="16" customHeight="1" x14ac:dyDescent="0.2">
      <c r="C93" s="124"/>
      <c r="D93" s="124"/>
    </row>
    <row r="94" spans="3:4" ht="16" customHeight="1" x14ac:dyDescent="0.2">
      <c r="C94" s="124"/>
      <c r="D94" s="124"/>
    </row>
    <row r="95" spans="3:4" ht="16" customHeight="1" x14ac:dyDescent="0.2">
      <c r="C95" s="124"/>
      <c r="D95" s="124"/>
    </row>
    <row r="96" spans="3:4" ht="16" customHeight="1" x14ac:dyDescent="0.2">
      <c r="C96" s="124"/>
      <c r="D96" s="124"/>
    </row>
    <row r="97" spans="3:4" ht="16" customHeight="1" x14ac:dyDescent="0.2">
      <c r="C97" s="124"/>
      <c r="D97" s="124"/>
    </row>
    <row r="98" spans="3:4" ht="16" customHeight="1" x14ac:dyDescent="0.2">
      <c r="C98" s="124"/>
      <c r="D98" s="124"/>
    </row>
    <row r="99" spans="3:4" ht="16" customHeight="1" x14ac:dyDescent="0.2">
      <c r="C99" s="124"/>
      <c r="D99" s="124"/>
    </row>
    <row r="100" spans="3:4" ht="16" customHeight="1" x14ac:dyDescent="0.2">
      <c r="C100" s="124"/>
      <c r="D100" s="124"/>
    </row>
    <row r="101" spans="3:4" ht="16" customHeight="1" x14ac:dyDescent="0.2">
      <c r="C101" s="124"/>
      <c r="D101" s="124"/>
    </row>
    <row r="102" spans="3:4" ht="16" customHeight="1" x14ac:dyDescent="0.2">
      <c r="C102" s="124"/>
      <c r="D102" s="124"/>
    </row>
    <row r="103" spans="3:4" ht="16" customHeight="1" x14ac:dyDescent="0.2">
      <c r="C103" s="124"/>
      <c r="D103" s="124"/>
    </row>
    <row r="104" spans="3:4" ht="16" customHeight="1" x14ac:dyDescent="0.2">
      <c r="C104" s="124"/>
      <c r="D104" s="124"/>
    </row>
    <row r="105" spans="3:4" ht="16" customHeight="1" x14ac:dyDescent="0.2">
      <c r="C105" s="124"/>
      <c r="D105" s="124"/>
    </row>
    <row r="106" spans="3:4" ht="16" customHeight="1" x14ac:dyDescent="0.2">
      <c r="C106" s="124"/>
      <c r="D106" s="124"/>
    </row>
    <row r="107" spans="3:4" ht="16" customHeight="1" x14ac:dyDescent="0.2">
      <c r="C107" s="124"/>
      <c r="D107" s="124"/>
    </row>
    <row r="108" spans="3:4" ht="16" customHeight="1" x14ac:dyDescent="0.2">
      <c r="C108" s="124"/>
      <c r="D108" s="124"/>
    </row>
    <row r="109" spans="3:4" ht="16" customHeight="1" x14ac:dyDescent="0.2">
      <c r="C109" s="124"/>
      <c r="D109" s="124"/>
    </row>
    <row r="110" spans="3:4" ht="16" customHeight="1" x14ac:dyDescent="0.2">
      <c r="C110" s="124"/>
      <c r="D110" s="124"/>
    </row>
    <row r="111" spans="3:4" ht="16" customHeight="1" x14ac:dyDescent="0.2">
      <c r="C111" s="124"/>
      <c r="D111" s="124"/>
    </row>
    <row r="112" spans="3:4" ht="16" customHeight="1" x14ac:dyDescent="0.2">
      <c r="C112" s="124"/>
      <c r="D112" s="124"/>
    </row>
    <row r="113" spans="3:4" ht="16" customHeight="1" x14ac:dyDescent="0.2">
      <c r="C113" s="124"/>
      <c r="D113" s="124"/>
    </row>
    <row r="114" spans="3:4" ht="16" customHeight="1" x14ac:dyDescent="0.2">
      <c r="C114" s="124"/>
      <c r="D114" s="124"/>
    </row>
    <row r="115" spans="3:4" ht="16" customHeight="1" x14ac:dyDescent="0.2">
      <c r="C115" s="124"/>
      <c r="D115" s="124"/>
    </row>
    <row r="116" spans="3:4" ht="16" customHeight="1" x14ac:dyDescent="0.2">
      <c r="C116" s="124"/>
      <c r="D116" s="124"/>
    </row>
    <row r="117" spans="3:4" ht="16" customHeight="1" x14ac:dyDescent="0.2">
      <c r="C117" s="124"/>
      <c r="D117" s="124"/>
    </row>
    <row r="118" spans="3:4" ht="16" customHeight="1" x14ac:dyDescent="0.2">
      <c r="C118" s="124"/>
      <c r="D118" s="124"/>
    </row>
    <row r="119" spans="3:4" ht="16" customHeight="1" x14ac:dyDescent="0.2">
      <c r="C119" s="124"/>
      <c r="D119" s="124"/>
    </row>
    <row r="120" spans="3:4" ht="16" customHeight="1" x14ac:dyDescent="0.2">
      <c r="C120" s="124"/>
      <c r="D120" s="124"/>
    </row>
    <row r="121" spans="3:4" ht="16" customHeight="1" x14ac:dyDescent="0.2">
      <c r="C121" s="124"/>
      <c r="D121" s="124"/>
    </row>
    <row r="122" spans="3:4" ht="16" customHeight="1" x14ac:dyDescent="0.2">
      <c r="C122" s="124"/>
      <c r="D122" s="124"/>
    </row>
    <row r="123" spans="3:4" ht="16" customHeight="1" x14ac:dyDescent="0.2">
      <c r="C123" s="124"/>
      <c r="D123" s="124"/>
    </row>
    <row r="124" spans="3:4" ht="16" customHeight="1" x14ac:dyDescent="0.2">
      <c r="C124" s="124"/>
      <c r="D124" s="124"/>
    </row>
    <row r="125" spans="3:4" ht="16" customHeight="1" x14ac:dyDescent="0.2">
      <c r="C125" s="124"/>
      <c r="D125" s="124"/>
    </row>
    <row r="126" spans="3:4" ht="16" customHeight="1" x14ac:dyDescent="0.2">
      <c r="C126" s="124"/>
      <c r="D126" s="124"/>
    </row>
    <row r="127" spans="3:4" ht="16" customHeight="1" x14ac:dyDescent="0.2">
      <c r="C127" s="124"/>
      <c r="D127" s="124"/>
    </row>
    <row r="128" spans="3:4" ht="16" customHeight="1" x14ac:dyDescent="0.2">
      <c r="C128" s="124"/>
      <c r="D128" s="124"/>
    </row>
    <row r="129" spans="3:4" ht="16" customHeight="1" x14ac:dyDescent="0.2">
      <c r="C129" s="124"/>
      <c r="D129" s="124"/>
    </row>
    <row r="130" spans="3:4" ht="16" customHeight="1" x14ac:dyDescent="0.2">
      <c r="C130" s="124"/>
      <c r="D130" s="124"/>
    </row>
    <row r="131" spans="3:4" ht="16" customHeight="1" x14ac:dyDescent="0.2">
      <c r="C131" s="124"/>
      <c r="D131" s="124"/>
    </row>
    <row r="132" spans="3:4" ht="16" customHeight="1" x14ac:dyDescent="0.2">
      <c r="C132" s="124"/>
      <c r="D132" s="124"/>
    </row>
    <row r="133" spans="3:4" ht="16" customHeight="1" x14ac:dyDescent="0.2">
      <c r="C133" s="124"/>
      <c r="D133" s="124"/>
    </row>
    <row r="134" spans="3:4" ht="16" customHeight="1" x14ac:dyDescent="0.2">
      <c r="C134" s="124"/>
      <c r="D134" s="124"/>
    </row>
    <row r="135" spans="3:4" ht="16" customHeight="1" x14ac:dyDescent="0.2">
      <c r="C135" s="124"/>
      <c r="D135" s="124"/>
    </row>
    <row r="136" spans="3:4" ht="16" customHeight="1" x14ac:dyDescent="0.2">
      <c r="C136" s="124"/>
      <c r="D136" s="124"/>
    </row>
    <row r="137" spans="3:4" ht="16" customHeight="1" x14ac:dyDescent="0.2">
      <c r="C137" s="124"/>
      <c r="D137" s="124"/>
    </row>
    <row r="138" spans="3:4" ht="16" customHeight="1" x14ac:dyDescent="0.2">
      <c r="C138" s="124"/>
      <c r="D138" s="124"/>
    </row>
    <row r="139" spans="3:4" ht="16" customHeight="1" x14ac:dyDescent="0.2">
      <c r="C139" s="124"/>
      <c r="D139" s="124"/>
    </row>
    <row r="140" spans="3:4" ht="16" customHeight="1" x14ac:dyDescent="0.2">
      <c r="C140" s="124"/>
      <c r="D140" s="124"/>
    </row>
    <row r="141" spans="3:4" ht="16" customHeight="1" x14ac:dyDescent="0.2">
      <c r="C141" s="124"/>
      <c r="D141" s="124"/>
    </row>
    <row r="142" spans="3:4" ht="16" customHeight="1" x14ac:dyDescent="0.2">
      <c r="C142" s="124"/>
      <c r="D142" s="124"/>
    </row>
    <row r="143" spans="3:4" ht="16" customHeight="1" x14ac:dyDescent="0.2">
      <c r="C143" s="124"/>
      <c r="D143" s="124"/>
    </row>
    <row r="144" spans="3:4" ht="16" customHeight="1" x14ac:dyDescent="0.2">
      <c r="C144" s="124"/>
      <c r="D144" s="124"/>
    </row>
    <row r="145" spans="3:4" ht="16" customHeight="1" x14ac:dyDescent="0.2">
      <c r="C145" s="124"/>
      <c r="D145" s="124"/>
    </row>
    <row r="146" spans="3:4" ht="16" customHeight="1" x14ac:dyDescent="0.2">
      <c r="C146" s="124"/>
      <c r="D146" s="124"/>
    </row>
    <row r="147" spans="3:4" ht="16" customHeight="1" x14ac:dyDescent="0.2">
      <c r="C147" s="124"/>
      <c r="D147" s="124"/>
    </row>
    <row r="148" spans="3:4" ht="16" customHeight="1" x14ac:dyDescent="0.2">
      <c r="C148" s="124"/>
      <c r="D148" s="124"/>
    </row>
    <row r="149" spans="3:4" ht="16" customHeight="1" x14ac:dyDescent="0.2">
      <c r="C149" s="124"/>
      <c r="D149" s="124"/>
    </row>
    <row r="150" spans="3:4" ht="16" customHeight="1" x14ac:dyDescent="0.2">
      <c r="C150" s="124"/>
      <c r="D150" s="124"/>
    </row>
    <row r="151" spans="3:4" ht="16" customHeight="1" x14ac:dyDescent="0.2">
      <c r="C151" s="124"/>
      <c r="D151" s="124"/>
    </row>
    <row r="152" spans="3:4" ht="16" customHeight="1" x14ac:dyDescent="0.2">
      <c r="C152" s="124"/>
      <c r="D152" s="124"/>
    </row>
    <row r="153" spans="3:4" ht="16" customHeight="1" x14ac:dyDescent="0.2">
      <c r="C153" s="124"/>
      <c r="D153" s="124"/>
    </row>
    <row r="154" spans="3:4" ht="16" customHeight="1" x14ac:dyDescent="0.2">
      <c r="C154" s="124"/>
      <c r="D154" s="124"/>
    </row>
  </sheetData>
  <conditionalFormatting sqref="E2:E42">
    <cfRule type="expression" dxfId="19" priority="5" stopIfTrue="1">
      <formula>$Q2=0</formula>
    </cfRule>
    <cfRule type="expression" dxfId="18" priority="6" stopIfTrue="1">
      <formula>AND($Q2&lt;&gt;0,$Q2&lt;&gt;"")</formula>
    </cfRule>
  </conditionalFormatting>
  <conditionalFormatting sqref="G9:G11">
    <cfRule type="expression" dxfId="17" priority="1" stopIfTrue="1">
      <formula>$Q9=0</formula>
    </cfRule>
    <cfRule type="expression" dxfId="16" priority="2" stopIfTrue="1">
      <formula>AND($Q9&lt;&gt;0,$Q9&lt;&gt;"")</formula>
    </cfRule>
  </conditionalFormatting>
  <conditionalFormatting sqref="N2:N42 P2:P42 R2:R42 T2:T42 V2:V44">
    <cfRule type="containsText" dxfId="15" priority="3" operator="containsText" text="Tăng">
      <formula>NOT(ISERROR(SEARCH("Tăng",N2)))</formula>
    </cfRule>
    <cfRule type="containsText" dxfId="14" priority="4" operator="containsText" text="giảm">
      <formula>NOT(ISERROR(SEARCH("giảm",N2)))</formula>
    </cfRule>
  </conditionalFormatting>
  <pageMargins left="0.7" right="0.7" top="0.75" bottom="0.75" header="0.3" footer="0.3"/>
  <pageSetup paperSize="9" orientation="portrait" horizontalDpi="0" verticalDpi="0"/>
  <legacyDrawing r:id="rId1"/>
</worksheet>
</file>

<file path=xl/worksheets/sheet10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800-000000000000}">
  <dimension ref="A1:Y153"/>
  <sheetViews>
    <sheetView showGridLines="0" zoomScale="92" zoomScaleNormal="80" workbookViewId="0">
      <pane xSplit="2" ySplit="1" topLeftCell="C2" activePane="bottomRight" state="frozen"/>
      <selection pane="topRight" activeCell="C1" sqref="C1"/>
      <selection pane="bottomLeft" activeCell="A2" sqref="A2"/>
      <selection pane="bottomRight" activeCell="L24" sqref="L24"/>
    </sheetView>
  </sheetViews>
  <sheetFormatPr baseColWidth="10" defaultColWidth="11" defaultRowHeight="15.75" customHeight="1" x14ac:dyDescent="0.2"/>
  <cols>
    <col min="1" max="1" width="24.5" customWidth="1"/>
    <col min="2" max="2" width="3.1640625" customWidth="1"/>
    <col min="3" max="3" width="14.83203125" customWidth="1"/>
    <col min="4" max="4" width="16" customWidth="1"/>
    <col min="5" max="5" width="15.5" style="6" customWidth="1"/>
    <col min="6" max="6" width="14.33203125" customWidth="1"/>
    <col min="7" max="12" width="11" customWidth="1"/>
    <col min="13" max="13" width="14.33203125" customWidth="1"/>
    <col min="14" max="14" width="42" customWidth="1"/>
    <col min="15" max="15" width="14.83203125" customWidth="1"/>
    <col min="16" max="16" width="51.5" customWidth="1"/>
    <col min="17" max="17" width="13.5" customWidth="1"/>
    <col min="18" max="18" width="46" customWidth="1"/>
    <col min="19" max="19" width="15.5" customWidth="1"/>
    <col min="20" max="20" width="42.33203125" customWidth="1"/>
    <col min="21" max="21" width="14.1640625" customWidth="1"/>
    <col min="22" max="22" width="48.33203125" customWidth="1"/>
  </cols>
  <sheetData>
    <row r="1" spans="1:22" ht="29" customHeight="1" x14ac:dyDescent="0.2">
      <c r="B1" s="46" t="s">
        <v>0</v>
      </c>
      <c r="C1" s="80" t="s">
        <v>1</v>
      </c>
      <c r="D1" s="80" t="s">
        <v>2</v>
      </c>
      <c r="E1" s="115" t="s">
        <v>3</v>
      </c>
      <c r="F1" s="81" t="s">
        <v>4</v>
      </c>
      <c r="G1" s="81" t="s">
        <v>5</v>
      </c>
      <c r="M1" s="143" t="s">
        <v>6</v>
      </c>
      <c r="N1" s="143" t="s">
        <v>7</v>
      </c>
      <c r="O1" s="144" t="s">
        <v>8</v>
      </c>
      <c r="P1" s="144" t="s">
        <v>9</v>
      </c>
      <c r="Q1" s="144" t="s">
        <v>10</v>
      </c>
      <c r="R1" s="144" t="s">
        <v>11</v>
      </c>
      <c r="S1" s="144" t="s">
        <v>12</v>
      </c>
      <c r="T1" s="144" t="s">
        <v>13</v>
      </c>
      <c r="U1" s="144" t="s">
        <v>14</v>
      </c>
      <c r="V1" s="145" t="s">
        <v>15</v>
      </c>
    </row>
    <row r="2" spans="1:22" ht="16" customHeight="1" x14ac:dyDescent="0.2">
      <c r="A2" t="s">
        <v>16</v>
      </c>
      <c r="B2" s="82"/>
      <c r="C2" s="163">
        <v>17490000</v>
      </c>
      <c r="D2" s="127">
        <v>17490000</v>
      </c>
      <c r="E2" s="134">
        <v>17290000</v>
      </c>
      <c r="F2" s="156">
        <v>17490000</v>
      </c>
      <c r="G2" s="110">
        <v>17290000</v>
      </c>
      <c r="H2" s="153"/>
      <c r="M2" s="148">
        <f>IFERROR(C2-W4Q3FY26!C2,"OOS")</f>
        <v>0</v>
      </c>
      <c r="N2" s="146" t="str">
        <f t="shared" ref="N2:N18" si="0">IF(M2=0,"",$A2 &amp; IF(M2&gt;0," tăng "," giảm ") &amp; TEXT(ABS(M2)/1000,"0") &amp; "K = " &amp; TEXT(C2/1000,"#.##0") &amp; "K")</f>
        <v/>
      </c>
      <c r="O2" s="149">
        <f>IFERROR(D2-W4Q3FY26!D2,"OOS")</f>
        <v>0</v>
      </c>
      <c r="P2" s="146" t="str">
        <f t="shared" ref="P2:P42" si="1">IF(O2=0,"",$A2 &amp; IF(O2&gt;0," tăng "," giảm ") &amp; TEXT(ABS(O2)/1000,"0") &amp; "K = " &amp; TEXT(D2/1000,"#.##0") &amp; "K")</f>
        <v/>
      </c>
      <c r="Q2" s="149">
        <f>IFERROR(E2-W4Q3FY26!E2,"OOS")</f>
        <v>0</v>
      </c>
      <c r="R2" s="146" t="str">
        <f t="shared" ref="R2:R42" si="2">IF(Q2=0,"",$A2 &amp; IF(Q2&gt;0," tăng "," giảm ") &amp; TEXT(ABS(Q2)/1000,"0") &amp; "K = " &amp; TEXT(E2/1000,"#.##0") &amp; "K")</f>
        <v/>
      </c>
      <c r="S2" s="149">
        <f>IFERROR(F2-W4Q3FY26!F2,"OOS")</f>
        <v>0</v>
      </c>
      <c r="T2" s="146" t="str">
        <f t="shared" ref="T2:T18" si="3">IF(S2=0,"",$A2 &amp; IF(S2&gt;0," tăng "," giảm ") &amp; TEXT(ABS(S2)/1000,"0") &amp; "K = " &amp; TEXT(F2/1000,"#.##0") &amp; "K")</f>
        <v/>
      </c>
      <c r="U2" s="149">
        <f>IFERROR(G2-W4Q3FY26!G2,"OOS")</f>
        <v>0</v>
      </c>
      <c r="V2" s="146" t="str">
        <f t="shared" ref="V2:V20" si="4">IF(U2=0,"",$A2 &amp; IF(U2&gt;0," tăng "," giảm ") &amp; TEXT(ABS(U2)/1000,"0") &amp; "K = " &amp; TEXT(G2/1000,"#.##0") &amp; "K")</f>
        <v/>
      </c>
    </row>
    <row r="3" spans="1:22" ht="16" customHeight="1" x14ac:dyDescent="0.2">
      <c r="A3" t="s">
        <v>17</v>
      </c>
      <c r="B3" s="82"/>
      <c r="C3" s="163">
        <v>24490000</v>
      </c>
      <c r="D3" s="129">
        <v>24490000</v>
      </c>
      <c r="E3" s="130">
        <v>23490000</v>
      </c>
      <c r="F3" s="160">
        <v>24390000</v>
      </c>
      <c r="G3" s="110">
        <v>24190000</v>
      </c>
      <c r="H3" s="153"/>
      <c r="M3" s="148">
        <f>IFERROR(C3-W4Q3FY26!C3,"OOS")</f>
        <v>0</v>
      </c>
      <c r="N3" s="146" t="str">
        <f t="shared" si="0"/>
        <v/>
      </c>
      <c r="O3" s="149">
        <f>IFERROR(D3-W4Q3FY26!D3,"OOS")</f>
        <v>100000</v>
      </c>
      <c r="P3" s="146" t="str">
        <f t="shared" si="1"/>
        <v>iPhone 17  256GB tăng 100K = 24490.0K</v>
      </c>
      <c r="Q3" s="149">
        <f>IFERROR(E3-W4Q3FY26!E3,"OOS")</f>
        <v>-100000</v>
      </c>
      <c r="R3" s="146" t="str">
        <f t="shared" si="2"/>
        <v>iPhone 17  256GB giảm 100K = 23490.0K</v>
      </c>
      <c r="S3" s="149">
        <f>IFERROR(F3-W4Q3FY26!F3,"OOS")</f>
        <v>0</v>
      </c>
      <c r="T3" s="146" t="str">
        <f t="shared" si="3"/>
        <v/>
      </c>
      <c r="U3" s="149">
        <f>IFERROR(G3-W4Q3FY26!G3,"OOS")</f>
        <v>0</v>
      </c>
      <c r="V3" s="146" t="str">
        <f t="shared" si="4"/>
        <v/>
      </c>
    </row>
    <row r="4" spans="1:22" ht="16" customHeight="1" x14ac:dyDescent="0.2">
      <c r="A4" t="s">
        <v>18</v>
      </c>
      <c r="B4" s="82"/>
      <c r="C4" s="163">
        <v>22990000</v>
      </c>
      <c r="D4" s="127">
        <v>22990000</v>
      </c>
      <c r="E4" s="130">
        <v>22990000</v>
      </c>
      <c r="F4" s="132">
        <v>22990000</v>
      </c>
      <c r="G4" s="110">
        <v>23490000</v>
      </c>
      <c r="H4" s="153"/>
      <c r="M4" s="148">
        <f>IFERROR(C4-W4Q3FY26!C4,"OOS")</f>
        <v>0</v>
      </c>
      <c r="N4" s="146" t="str">
        <f t="shared" si="0"/>
        <v/>
      </c>
      <c r="O4" s="149">
        <f>IFERROR(D4-W4Q3FY26!D4,"OOS")</f>
        <v>0</v>
      </c>
      <c r="P4" s="146" t="str">
        <f t="shared" si="1"/>
        <v/>
      </c>
      <c r="Q4" s="149">
        <f>IFERROR(E4-W4Q3FY26!E4,"OOS")</f>
        <v>0</v>
      </c>
      <c r="R4" s="146" t="str">
        <f t="shared" si="2"/>
        <v/>
      </c>
      <c r="S4" s="149">
        <f>IFERROR(F4-W4Q3FY26!F4,"OOS")</f>
        <v>0</v>
      </c>
      <c r="T4" s="146" t="str">
        <f t="shared" si="3"/>
        <v/>
      </c>
      <c r="U4" s="149">
        <f>IFERROR(G4-W4Q3FY26!G4,"OOS")</f>
        <v>0</v>
      </c>
      <c r="V4" s="146" t="str">
        <f t="shared" si="4"/>
        <v/>
      </c>
    </row>
    <row r="5" spans="1:22" ht="16" customHeight="1" x14ac:dyDescent="0.2">
      <c r="A5" t="s">
        <v>19</v>
      </c>
      <c r="B5" s="82"/>
      <c r="C5" s="163">
        <v>34790000</v>
      </c>
      <c r="D5" s="127">
        <v>34690000</v>
      </c>
      <c r="E5" s="130">
        <v>33190000</v>
      </c>
      <c r="F5" s="133">
        <v>34490000</v>
      </c>
      <c r="G5" s="110">
        <v>33990000</v>
      </c>
      <c r="H5" s="153"/>
      <c r="M5" s="148">
        <f>IFERROR(C5-W4Q3FY26!C5,"OOS")</f>
        <v>0</v>
      </c>
      <c r="N5" s="146" t="str">
        <f t="shared" si="0"/>
        <v/>
      </c>
      <c r="O5" s="149">
        <f>IFERROR(D5-W4Q3FY26!D5,"OOS")</f>
        <v>0</v>
      </c>
      <c r="P5" s="146" t="str">
        <f t="shared" si="1"/>
        <v/>
      </c>
      <c r="Q5" s="149">
        <f>IFERROR(E5-W4Q3FY26!E5,"OOS")</f>
        <v>0</v>
      </c>
      <c r="R5" s="146" t="str">
        <f t="shared" si="2"/>
        <v/>
      </c>
      <c r="S5" s="149">
        <f>IFERROR(F5-W4Q3FY26!F5,"OOS")</f>
        <v>-200000</v>
      </c>
      <c r="T5" s="146" t="str">
        <f t="shared" si="3"/>
        <v>iPhone 17 Pro 256GB giảm 200K = 34490.0K</v>
      </c>
      <c r="U5" s="149">
        <f>IFERROR(G5-W4Q3FY26!G5,"OOS")</f>
        <v>0</v>
      </c>
      <c r="V5" s="146" t="str">
        <f t="shared" si="4"/>
        <v/>
      </c>
    </row>
    <row r="6" spans="1:22" ht="16" customHeight="1" x14ac:dyDescent="0.2">
      <c r="A6" t="s">
        <v>20</v>
      </c>
      <c r="B6" s="82"/>
      <c r="C6" s="163">
        <v>36990000</v>
      </c>
      <c r="D6" s="127">
        <v>36990000</v>
      </c>
      <c r="E6" s="134">
        <v>36290000</v>
      </c>
      <c r="F6" s="132">
        <v>36990000</v>
      </c>
      <c r="G6" s="110">
        <v>36890000</v>
      </c>
      <c r="H6" s="153"/>
      <c r="M6" s="148">
        <f>IFERROR(C6-W4Q3FY26!C6,"OOS")</f>
        <v>0</v>
      </c>
      <c r="N6" s="146" t="str">
        <f t="shared" si="0"/>
        <v/>
      </c>
      <c r="O6" s="149">
        <f>IFERROR(D6-W4Q3FY26!D6,"OOS")</f>
        <v>0</v>
      </c>
      <c r="P6" s="146" t="str">
        <f t="shared" si="1"/>
        <v/>
      </c>
      <c r="Q6" s="149">
        <f>IFERROR(E6-W4Q3FY26!E6,"OOS")</f>
        <v>200000</v>
      </c>
      <c r="R6" s="146" t="str">
        <f t="shared" si="2"/>
        <v>iPhone 17 Pro Max 256GB tăng 200K = 36290.0K</v>
      </c>
      <c r="S6" s="149">
        <f>IFERROR(F6-W4Q3FY26!F6,"OOS")</f>
        <v>0</v>
      </c>
      <c r="T6" s="146" t="str">
        <f t="shared" si="3"/>
        <v/>
      </c>
      <c r="U6" s="149">
        <f>IFERROR(G6-W4Q3FY26!G6,"OOS")</f>
        <v>0</v>
      </c>
      <c r="V6" s="146" t="str">
        <f t="shared" si="4"/>
        <v/>
      </c>
    </row>
    <row r="7" spans="1:22" ht="16" customHeight="1" x14ac:dyDescent="0.2">
      <c r="A7" t="s">
        <v>21</v>
      </c>
      <c r="B7" s="82"/>
      <c r="C7" s="163">
        <v>15990000</v>
      </c>
      <c r="D7" s="135">
        <v>14990000</v>
      </c>
      <c r="E7" s="134">
        <v>11990000</v>
      </c>
      <c r="F7" s="136">
        <v>11990000</v>
      </c>
      <c r="G7" s="110">
        <v>15190000</v>
      </c>
      <c r="H7" s="153"/>
      <c r="M7" s="148">
        <f>IFERROR(C7-W4Q3FY26!C7,"OOS")</f>
        <v>0</v>
      </c>
      <c r="N7" s="146" t="str">
        <f t="shared" si="0"/>
        <v/>
      </c>
      <c r="O7" s="149">
        <f>IFERROR(D7-W4Q3FY26!D7,"OOS")</f>
        <v>0</v>
      </c>
      <c r="P7" s="146" t="str">
        <f t="shared" si="1"/>
        <v/>
      </c>
      <c r="Q7" s="149">
        <f>IFERROR(E7-W4Q3FY26!E7,"OOS")</f>
        <v>0</v>
      </c>
      <c r="R7" s="146" t="str">
        <f t="shared" si="2"/>
        <v/>
      </c>
      <c r="S7" s="149">
        <f>IFERROR(F7-W4Q3FY26!F7,"OOS")</f>
        <v>0</v>
      </c>
      <c r="T7" s="146" t="str">
        <f t="shared" si="3"/>
        <v/>
      </c>
      <c r="U7" s="149">
        <f>IFERROR(G7-W4Q3FY26!G7,"OOS")</f>
        <v>0</v>
      </c>
      <c r="V7" s="146" t="str">
        <f t="shared" si="4"/>
        <v/>
      </c>
    </row>
    <row r="8" spans="1:22" ht="16" customHeight="1" x14ac:dyDescent="0.2">
      <c r="A8" t="s">
        <v>23</v>
      </c>
      <c r="B8" s="70"/>
      <c r="C8" s="164">
        <v>19990000</v>
      </c>
      <c r="D8" s="138">
        <v>19990000</v>
      </c>
      <c r="E8" s="139">
        <v>20490000</v>
      </c>
      <c r="F8" s="132">
        <v>19990000</v>
      </c>
      <c r="G8" s="110">
        <v>20490000</v>
      </c>
      <c r="H8" s="153"/>
      <c r="M8" s="148">
        <f>IFERROR(C8-W4Q3FY26!C8,"OOS")</f>
        <v>0</v>
      </c>
      <c r="N8" s="146" t="str">
        <f t="shared" si="0"/>
        <v/>
      </c>
      <c r="O8" s="149">
        <f>IFERROR(D8-W4Q3FY26!D8,"OOS")</f>
        <v>0</v>
      </c>
      <c r="P8" s="146" t="str">
        <f t="shared" si="1"/>
        <v/>
      </c>
      <c r="Q8" s="149">
        <f>IFERROR(E8-W4Q3FY26!E8,"OOS")</f>
        <v>0</v>
      </c>
      <c r="R8" s="146" t="str">
        <f t="shared" si="2"/>
        <v/>
      </c>
      <c r="S8" s="149">
        <f>IFERROR(F8-W4Q3FY26!F8,"OOS")</f>
        <v>0</v>
      </c>
      <c r="T8" s="146" t="str">
        <f t="shared" si="3"/>
        <v/>
      </c>
      <c r="U8" s="149">
        <f>IFERROR(G8-W4Q3FY26!G8,"OOS")</f>
        <v>0</v>
      </c>
      <c r="V8" s="146" t="str">
        <f t="shared" si="4"/>
        <v/>
      </c>
    </row>
    <row r="9" spans="1:22" ht="16" customHeight="1" x14ac:dyDescent="0.2">
      <c r="A9" t="s">
        <v>24</v>
      </c>
      <c r="B9" s="3"/>
      <c r="C9" s="165">
        <v>23990000</v>
      </c>
      <c r="D9" s="135">
        <v>23490000</v>
      </c>
      <c r="E9" s="139">
        <v>24290000</v>
      </c>
      <c r="F9" s="132">
        <v>23990000</v>
      </c>
      <c r="G9" s="110">
        <v>24390000</v>
      </c>
      <c r="H9" s="153"/>
      <c r="M9" s="148">
        <f>IFERROR(C9-W4Q3FY26!C9,"OOS")</f>
        <v>0</v>
      </c>
      <c r="N9" s="146" t="str">
        <f t="shared" si="0"/>
        <v/>
      </c>
      <c r="O9" s="149">
        <f>IFERROR(D9-W4Q3FY26!D9,"OOS")</f>
        <v>0</v>
      </c>
      <c r="P9" s="146" t="str">
        <f t="shared" si="1"/>
        <v/>
      </c>
      <c r="Q9" s="149">
        <f>IFERROR(E9-W4Q3FY26!E9,"OOS")</f>
        <v>300000</v>
      </c>
      <c r="R9" s="146" t="str">
        <f t="shared" si="2"/>
        <v>iPhone 16  Plus 128GB tăng 300K = 24290.0K</v>
      </c>
      <c r="S9" s="149">
        <f>IFERROR(F9-W4Q3FY26!F9,"OOS")</f>
        <v>0</v>
      </c>
      <c r="T9" s="146" t="str">
        <f t="shared" si="3"/>
        <v/>
      </c>
      <c r="U9" s="149">
        <f>IFERROR(G9-W4Q3FY26!G9,"OOS")</f>
        <v>0</v>
      </c>
      <c r="V9" s="146" t="str">
        <f t="shared" si="4"/>
        <v/>
      </c>
    </row>
    <row r="10" spans="1:22" ht="16" customHeight="1" x14ac:dyDescent="0.2">
      <c r="A10" t="s">
        <v>264</v>
      </c>
      <c r="B10" s="25"/>
      <c r="C10" s="165" t="s">
        <v>22</v>
      </c>
      <c r="D10" s="112" t="s">
        <v>22</v>
      </c>
      <c r="E10" s="112" t="s">
        <v>22</v>
      </c>
      <c r="F10" s="132">
        <v>24490000</v>
      </c>
      <c r="G10" s="110" t="s">
        <v>22</v>
      </c>
      <c r="H10" s="153"/>
      <c r="M10" s="148" t="str">
        <f>IFERROR(C10-W4Q3FY26!C10,"OOS")</f>
        <v>OOS</v>
      </c>
      <c r="N10" s="146" t="e">
        <f t="shared" si="0"/>
        <v>#VALUE!</v>
      </c>
      <c r="O10" s="149" t="str">
        <f>IFERROR(D10-W4Q3FY26!D10,"OOS")</f>
        <v>OOS</v>
      </c>
      <c r="P10" s="146" t="e">
        <f t="shared" si="1"/>
        <v>#VALUE!</v>
      </c>
      <c r="Q10" s="149" t="str">
        <f>IFERROR(E10-W4Q3FY26!E10,"OOS")</f>
        <v>OOS</v>
      </c>
      <c r="R10" s="146" t="e">
        <f t="shared" si="2"/>
        <v>#VALUE!</v>
      </c>
      <c r="S10" s="149">
        <f>IFERROR(F10-W4Q3FY26!F10,"OOS")</f>
        <v>0</v>
      </c>
      <c r="T10" s="146" t="str">
        <f t="shared" si="3"/>
        <v/>
      </c>
      <c r="U10" s="149" t="str">
        <f>IFERROR(G10-W4Q3FY26!G10,"OOS")</f>
        <v>OOS</v>
      </c>
      <c r="V10" s="146" t="e">
        <f t="shared" si="4"/>
        <v>#VALUE!</v>
      </c>
    </row>
    <row r="11" spans="1:22" ht="16" customHeight="1" x14ac:dyDescent="0.2">
      <c r="A11" t="s">
        <v>183</v>
      </c>
      <c r="B11" s="3"/>
      <c r="C11" s="165" t="s">
        <v>22</v>
      </c>
      <c r="D11" s="112" t="s">
        <v>22</v>
      </c>
      <c r="E11" s="112" t="s">
        <v>22</v>
      </c>
      <c r="F11" s="132">
        <v>30990000</v>
      </c>
      <c r="G11" s="110" t="s">
        <v>22</v>
      </c>
      <c r="H11" s="153"/>
      <c r="M11" s="148" t="str">
        <f>IFERROR(C11-W4Q3FY26!C11,"OOS")</f>
        <v>OOS</v>
      </c>
      <c r="N11" s="146" t="e">
        <f t="shared" si="0"/>
        <v>#VALUE!</v>
      </c>
      <c r="O11" s="149" t="str">
        <f>IFERROR(D11-W4Q3FY26!D11,"OOS")</f>
        <v>OOS</v>
      </c>
      <c r="P11" s="146" t="e">
        <f t="shared" si="1"/>
        <v>#VALUE!</v>
      </c>
      <c r="Q11" s="149" t="str">
        <f>IFERROR(E11-W4Q3FY26!E11,"OOS")</f>
        <v>OOS</v>
      </c>
      <c r="R11" s="146" t="e">
        <f t="shared" si="2"/>
        <v>#VALUE!</v>
      </c>
      <c r="S11" s="149">
        <f>IFERROR(F11-W4Q3FY26!F11,"OOS")</f>
        <v>0</v>
      </c>
      <c r="T11" s="146" t="str">
        <f t="shared" si="3"/>
        <v/>
      </c>
      <c r="U11" s="149" t="str">
        <f>IFERROR(G11-W4Q3FY26!G11,"OOS")</f>
        <v>OOS</v>
      </c>
      <c r="V11" s="146" t="e">
        <f t="shared" si="4"/>
        <v>#VALUE!</v>
      </c>
    </row>
    <row r="12" spans="1:22" ht="16" customHeight="1" x14ac:dyDescent="0.2">
      <c r="A12" t="s">
        <v>25</v>
      </c>
      <c r="B12" s="25"/>
      <c r="C12" s="165">
        <v>17590000</v>
      </c>
      <c r="D12" s="135">
        <v>17490000</v>
      </c>
      <c r="E12" s="154">
        <v>17190000</v>
      </c>
      <c r="F12" s="132">
        <v>17590000</v>
      </c>
      <c r="G12" s="110">
        <v>17390000</v>
      </c>
      <c r="H12" s="153"/>
      <c r="M12" s="148">
        <f>IFERROR(C12-W4Q3FY26!C12,"OOS")</f>
        <v>0</v>
      </c>
      <c r="N12" s="146" t="str">
        <f t="shared" si="0"/>
        <v/>
      </c>
      <c r="O12" s="149">
        <f>IFERROR(D12-W4Q3FY26!D12,"OOS")</f>
        <v>0</v>
      </c>
      <c r="P12" s="146" t="str">
        <f t="shared" si="1"/>
        <v/>
      </c>
      <c r="Q12" s="149">
        <f>IFERROR(E12-W4Q3FY26!E12,"OOS")</f>
        <v>0</v>
      </c>
      <c r="R12" s="146" t="str">
        <f t="shared" si="2"/>
        <v/>
      </c>
      <c r="S12" s="149">
        <f>IFERROR(F12-W4Q3FY26!F12,"OOS")</f>
        <v>0</v>
      </c>
      <c r="T12" s="146" t="str">
        <f t="shared" si="3"/>
        <v/>
      </c>
      <c r="U12" s="149">
        <f>IFERROR(G12-W4Q3FY26!G12,"OOS")</f>
        <v>-100000</v>
      </c>
      <c r="V12" s="146" t="str">
        <f t="shared" si="4"/>
        <v>iPhone 15  128GB giảm 100K = 17390.0K</v>
      </c>
    </row>
    <row r="13" spans="1:22" ht="16" customHeight="1" x14ac:dyDescent="0.2">
      <c r="A13" t="s">
        <v>26</v>
      </c>
      <c r="B13" s="25"/>
      <c r="C13" s="165">
        <v>17990000</v>
      </c>
      <c r="D13" s="135" t="s">
        <v>22</v>
      </c>
      <c r="E13" s="130" t="s">
        <v>22</v>
      </c>
      <c r="F13" s="132">
        <v>17690000</v>
      </c>
      <c r="G13" s="110" t="s">
        <v>22</v>
      </c>
      <c r="H13" s="153"/>
      <c r="M13" s="148">
        <f>IFERROR(C13-W4Q3FY26!C13,"OOS")</f>
        <v>0</v>
      </c>
      <c r="N13" s="146" t="str">
        <f t="shared" si="0"/>
        <v/>
      </c>
      <c r="O13" s="149" t="str">
        <f>IFERROR(D13-W4Q3FY26!D13,"OOS")</f>
        <v>OOS</v>
      </c>
      <c r="P13" s="146" t="e">
        <f t="shared" si="1"/>
        <v>#VALUE!</v>
      </c>
      <c r="Q13" s="149" t="str">
        <f>IFERROR(E13-W4Q3FY26!E13,"OOS")</f>
        <v>OOS</v>
      </c>
      <c r="R13" s="146" t="e">
        <f t="shared" si="2"/>
        <v>#VALUE!</v>
      </c>
      <c r="S13" s="149">
        <f>IFERROR(F13-W4Q3FY26!F13,"OOS")</f>
        <v>0</v>
      </c>
      <c r="T13" s="146" t="str">
        <f t="shared" si="3"/>
        <v/>
      </c>
      <c r="U13" s="149" t="str">
        <f>IFERROR(G13-W4Q3FY26!G13,"OOS")</f>
        <v>OOS</v>
      </c>
      <c r="V13" s="146" t="e">
        <f t="shared" si="4"/>
        <v>#VALUE!</v>
      </c>
    </row>
    <row r="14" spans="1:22" ht="16" customHeight="1" x14ac:dyDescent="0.2">
      <c r="A14" t="s">
        <v>27</v>
      </c>
      <c r="B14" s="25"/>
      <c r="C14" s="165">
        <v>13990000</v>
      </c>
      <c r="D14" s="140">
        <v>13490000</v>
      </c>
      <c r="E14" s="130">
        <v>13290000</v>
      </c>
      <c r="F14" s="132">
        <v>13990000</v>
      </c>
      <c r="G14" s="110">
        <v>12990000</v>
      </c>
      <c r="H14" s="153"/>
      <c r="M14" s="148">
        <f>IFERROR(C14-W4Q3FY26!C14,"OOS")</f>
        <v>0</v>
      </c>
      <c r="N14" s="146" t="str">
        <f t="shared" si="0"/>
        <v/>
      </c>
      <c r="O14" s="149">
        <f>IFERROR(D14-W4Q3FY26!D14,"OOS")</f>
        <v>0</v>
      </c>
      <c r="P14" s="146" t="str">
        <f t="shared" si="1"/>
        <v/>
      </c>
      <c r="Q14" s="149">
        <f>IFERROR(E14-W4Q3FY26!E14,"OOS")</f>
        <v>-500000</v>
      </c>
      <c r="R14" s="146" t="str">
        <f t="shared" si="2"/>
        <v>iPhone 14 128GB giảm 500K = 13290.0K</v>
      </c>
      <c r="S14" s="149">
        <f>IFERROR(F14-W4Q3FY26!F14,"OOS")</f>
        <v>0</v>
      </c>
      <c r="T14" s="146" t="str">
        <f t="shared" si="3"/>
        <v/>
      </c>
      <c r="U14" s="149">
        <f>IFERROR(G14-W4Q3FY26!G14,"OOS")</f>
        <v>0</v>
      </c>
      <c r="V14" s="146" t="str">
        <f t="shared" si="4"/>
        <v/>
      </c>
    </row>
    <row r="15" spans="1:22" ht="16" customHeight="1" x14ac:dyDescent="0.2">
      <c r="A15" t="s">
        <v>28</v>
      </c>
      <c r="B15" s="3"/>
      <c r="C15" s="165">
        <v>11990000</v>
      </c>
      <c r="D15" s="135">
        <v>11990000</v>
      </c>
      <c r="E15" s="139">
        <v>11590000</v>
      </c>
      <c r="F15" s="132">
        <v>11990000</v>
      </c>
      <c r="G15" s="110">
        <v>11890000</v>
      </c>
      <c r="H15" s="153"/>
      <c r="M15" s="148">
        <f>IFERROR(C15-W4Q3FY26!C15,"OOS")</f>
        <v>0</v>
      </c>
      <c r="N15" s="146" t="str">
        <f t="shared" si="0"/>
        <v/>
      </c>
      <c r="O15" s="149">
        <f>IFERROR(D15-W4Q3FY26!D15,"OOS")</f>
        <v>0</v>
      </c>
      <c r="P15" s="146" t="str">
        <f t="shared" si="1"/>
        <v/>
      </c>
      <c r="Q15" s="149">
        <f>IFERROR(E15-W4Q3FY26!E15,"OOS")</f>
        <v>-500000</v>
      </c>
      <c r="R15" s="146" t="str">
        <f t="shared" si="2"/>
        <v>iPhone 13  128GB giảm 500K = 11590.0K</v>
      </c>
      <c r="S15" s="149">
        <f>IFERROR(F15-W4Q3FY26!F15,"OOS")</f>
        <v>0</v>
      </c>
      <c r="T15" s="146" t="str">
        <f t="shared" si="3"/>
        <v/>
      </c>
      <c r="U15" s="149">
        <f>IFERROR(G15-W4Q3FY26!G15,"OOS")</f>
        <v>0</v>
      </c>
      <c r="V15" s="146" t="str">
        <f t="shared" si="4"/>
        <v/>
      </c>
    </row>
    <row r="16" spans="1:22" ht="16" customHeight="1" x14ac:dyDescent="0.2">
      <c r="A16" t="s">
        <v>29</v>
      </c>
      <c r="B16" s="25"/>
      <c r="C16" s="165">
        <v>12890000</v>
      </c>
      <c r="D16" s="140">
        <v>13490000</v>
      </c>
      <c r="E16" s="139">
        <v>13290000</v>
      </c>
      <c r="F16" s="132">
        <v>12890000</v>
      </c>
      <c r="G16" s="110">
        <v>13090000</v>
      </c>
      <c r="H16" s="153"/>
      <c r="M16" s="148">
        <f>IFERROR(C16-W4Q3FY26!C16,"OOS")</f>
        <v>0</v>
      </c>
      <c r="N16" s="146" t="str">
        <f t="shared" si="0"/>
        <v/>
      </c>
      <c r="O16" s="149">
        <f>IFERROR(D16-W4Q3FY26!D16,"OOS")</f>
        <v>0</v>
      </c>
      <c r="P16" s="146" t="str">
        <f t="shared" si="1"/>
        <v/>
      </c>
      <c r="Q16" s="149">
        <f>IFERROR(E16-W4Q3FY26!E16,"OOS")</f>
        <v>200000</v>
      </c>
      <c r="R16" s="146" t="str">
        <f t="shared" si="2"/>
        <v>iPad Mini 7 128GB Wifi tăng 200K = 13290.0K</v>
      </c>
      <c r="S16" s="149">
        <f>IFERROR(F16-W4Q3FY26!F16,"OOS")</f>
        <v>0</v>
      </c>
      <c r="T16" s="146" t="str">
        <f t="shared" si="3"/>
        <v/>
      </c>
      <c r="U16" s="149">
        <f>IFERROR(G16-W4Q3FY26!G16,"OOS")</f>
        <v>0</v>
      </c>
      <c r="V16" s="146" t="str">
        <f t="shared" si="4"/>
        <v/>
      </c>
    </row>
    <row r="17" spans="1:25" ht="16" customHeight="1" x14ac:dyDescent="0.2">
      <c r="A17" t="s">
        <v>30</v>
      </c>
      <c r="B17" s="3"/>
      <c r="C17" s="165">
        <v>9290000</v>
      </c>
      <c r="D17" s="135">
        <v>9290000</v>
      </c>
      <c r="E17" s="154">
        <v>9190000</v>
      </c>
      <c r="F17" s="132">
        <v>9290000</v>
      </c>
      <c r="G17" s="110">
        <v>9290000</v>
      </c>
      <c r="H17" s="153"/>
      <c r="M17" s="148">
        <f>IFERROR(C17-W4Q3FY26!C17,"OOS")</f>
        <v>0</v>
      </c>
      <c r="N17" s="146" t="str">
        <f t="shared" si="0"/>
        <v/>
      </c>
      <c r="O17" s="149">
        <f>IFERROR(D17-W4Q3FY26!D17,"OOS")</f>
        <v>0</v>
      </c>
      <c r="P17" s="146" t="str">
        <f t="shared" si="1"/>
        <v/>
      </c>
      <c r="Q17" s="149">
        <f>IFERROR(E17-W4Q3FY26!E17,"OOS")</f>
        <v>0</v>
      </c>
      <c r="R17" s="146" t="str">
        <f t="shared" si="2"/>
        <v/>
      </c>
      <c r="S17" s="149">
        <f>IFERROR(F17-W4Q3FY26!F17,"OOS")</f>
        <v>0</v>
      </c>
      <c r="T17" s="146" t="str">
        <f t="shared" si="3"/>
        <v/>
      </c>
      <c r="U17" s="149">
        <f>IFERROR(G17-W4Q3FY26!G17,"OOS")</f>
        <v>0</v>
      </c>
      <c r="V17" s="146" t="str">
        <f t="shared" si="4"/>
        <v/>
      </c>
      <c r="W17" t="s">
        <v>31</v>
      </c>
      <c r="X17" t="s">
        <v>32</v>
      </c>
      <c r="Y17" t="b">
        <v>0</v>
      </c>
    </row>
    <row r="18" spans="1:25" ht="16" customHeight="1" x14ac:dyDescent="0.2">
      <c r="A18" t="s">
        <v>33</v>
      </c>
      <c r="B18" s="3"/>
      <c r="C18" s="165">
        <v>14990000</v>
      </c>
      <c r="D18" s="135">
        <v>14990000</v>
      </c>
      <c r="E18" s="154">
        <v>14290000</v>
      </c>
      <c r="F18" s="132">
        <v>15190000</v>
      </c>
      <c r="G18" s="110" t="s">
        <v>22</v>
      </c>
      <c r="H18" s="153"/>
      <c r="M18" s="148">
        <f>IFERROR(C18-W4Q3FY26!C18,"OOS")</f>
        <v>0</v>
      </c>
      <c r="N18" s="146" t="str">
        <f t="shared" si="0"/>
        <v/>
      </c>
      <c r="O18" s="149">
        <f>IFERROR(D18-W4Q3FY26!D18,"OOS")</f>
        <v>0</v>
      </c>
      <c r="P18" s="146" t="str">
        <f t="shared" si="1"/>
        <v/>
      </c>
      <c r="Q18" s="149">
        <f>IFERROR(E18-W4Q3FY26!E18,"OOS")</f>
        <v>0</v>
      </c>
      <c r="R18" s="146" t="str">
        <f t="shared" si="2"/>
        <v/>
      </c>
      <c r="S18" s="149">
        <f>IFERROR(F18-W4Q3FY26!F18,"OOS")</f>
        <v>0</v>
      </c>
      <c r="T18" s="146" t="str">
        <f t="shared" si="3"/>
        <v/>
      </c>
      <c r="U18" s="149" t="str">
        <f>IFERROR(G18-W4Q3FY26!G18,"OOS")</f>
        <v>OOS</v>
      </c>
      <c r="V18" s="146" t="e">
        <f t="shared" si="4"/>
        <v>#VALUE!</v>
      </c>
      <c r="W18" t="s">
        <v>2</v>
      </c>
      <c r="X18" t="s">
        <v>34</v>
      </c>
      <c r="Y18" t="b">
        <v>0</v>
      </c>
    </row>
    <row r="19" spans="1:25" ht="16" customHeight="1" x14ac:dyDescent="0.2">
      <c r="A19" t="s">
        <v>35</v>
      </c>
      <c r="B19" s="3"/>
      <c r="C19" s="165">
        <v>16490000</v>
      </c>
      <c r="D19" s="140">
        <v>16490000</v>
      </c>
      <c r="E19" s="154">
        <v>15790000</v>
      </c>
      <c r="F19" s="110">
        <v>16390000</v>
      </c>
      <c r="G19" s="110">
        <v>16390000</v>
      </c>
      <c r="H19" s="153"/>
      <c r="M19" s="148">
        <f>IFERROR(C19-W4Q3FY26!C19,"OOS")</f>
        <v>-200000</v>
      </c>
      <c r="N19" s="146"/>
      <c r="O19" s="149">
        <f>IFERROR(D19-W4Q3FY26!D19,"OOS")</f>
        <v>0</v>
      </c>
      <c r="P19" s="146" t="str">
        <f t="shared" si="1"/>
        <v/>
      </c>
      <c r="Q19" s="149">
        <f>IFERROR(E19-W4Q3FY26!E19,"OOS")</f>
        <v>0</v>
      </c>
      <c r="R19" s="146" t="str">
        <f t="shared" si="2"/>
        <v/>
      </c>
      <c r="S19" s="149">
        <f>IFERROR(F19-W4Q3FY26!F19,"OOS")</f>
        <v>0</v>
      </c>
      <c r="T19" s="146"/>
      <c r="U19" s="149">
        <f>IFERROR(G19-W4Q3FY26!G19,"OOS")</f>
        <v>0</v>
      </c>
      <c r="V19" s="146" t="str">
        <f t="shared" si="4"/>
        <v/>
      </c>
      <c r="W19" t="s">
        <v>3</v>
      </c>
      <c r="X19" t="s">
        <v>36</v>
      </c>
      <c r="Y19" t="b">
        <v>1</v>
      </c>
    </row>
    <row r="20" spans="1:25" ht="16" customHeight="1" x14ac:dyDescent="0.2">
      <c r="A20" t="s">
        <v>37</v>
      </c>
      <c r="B20" s="25"/>
      <c r="C20" s="165">
        <v>19890000</v>
      </c>
      <c r="D20" s="135">
        <v>19990000</v>
      </c>
      <c r="E20" s="154">
        <v>19190000</v>
      </c>
      <c r="F20" s="133">
        <v>18790000</v>
      </c>
      <c r="G20" s="110" t="s">
        <v>22</v>
      </c>
      <c r="H20" s="153"/>
      <c r="M20" s="148">
        <f>IFERROR(C20-W4Q3FY26!C20,"OOS")</f>
        <v>0</v>
      </c>
      <c r="N20" s="146" t="str">
        <f>IF(M20=0,"",$A20 &amp; IF(M20&gt;0," tăng "," giảm ") &amp; TEXT(ABS(M20)/1000,"0") &amp; "K = " &amp; TEXT(C20/1000,"#.##0") &amp; "K")</f>
        <v/>
      </c>
      <c r="O20" s="149">
        <f>IFERROR(D20-W4Q3FY26!D20,"OOS")</f>
        <v>0</v>
      </c>
      <c r="P20" s="146" t="str">
        <f t="shared" si="1"/>
        <v/>
      </c>
      <c r="Q20" s="149">
        <f>IFERROR(E20-W4Q3FY26!E20,"OOS")</f>
        <v>0</v>
      </c>
      <c r="R20" s="146" t="str">
        <f t="shared" si="2"/>
        <v/>
      </c>
      <c r="S20" s="149">
        <f>IFERROR(F20-W4Q3FY26!F20,"OOS")</f>
        <v>-200000</v>
      </c>
      <c r="T20" s="146" t="str">
        <f>IF(S20=0,"",$A20 &amp; IF(S20&gt;0," tăng "," giảm ") &amp; TEXT(ABS(S20)/1000,"0") &amp; "K = " &amp; TEXT(F20/1000,"#.##0") &amp; "K")</f>
        <v>iPad Air M3  13" 128 GB Wifi giảm 200K = 18790.0K</v>
      </c>
      <c r="U20" s="149" t="str">
        <f>IFERROR(G20-W4Q3FY26!G20,"OOS")</f>
        <v>OOS</v>
      </c>
      <c r="V20" s="146" t="e">
        <f t="shared" si="4"/>
        <v>#VALUE!</v>
      </c>
      <c r="W20" t="s">
        <v>4</v>
      </c>
      <c r="X20" t="s">
        <v>38</v>
      </c>
      <c r="Y20" t="b">
        <v>0</v>
      </c>
    </row>
    <row r="21" spans="1:25" ht="16" customHeight="1" x14ac:dyDescent="0.2">
      <c r="A21" t="s">
        <v>39</v>
      </c>
      <c r="B21" s="25"/>
      <c r="C21" s="165">
        <v>22090000</v>
      </c>
      <c r="D21" s="135">
        <v>21990000</v>
      </c>
      <c r="E21" s="161">
        <v>21290000</v>
      </c>
      <c r="F21" s="135">
        <v>22090000</v>
      </c>
      <c r="G21" s="110"/>
      <c r="H21" s="153"/>
      <c r="M21" s="148">
        <f>IFERROR(C21-W4Q3FY26!C21,"OOS")</f>
        <v>0</v>
      </c>
      <c r="N21" s="146"/>
      <c r="O21" s="149">
        <f>IFERROR(D21-W4Q3FY26!D21,"OOS")</f>
        <v>0</v>
      </c>
      <c r="P21" s="146" t="str">
        <f t="shared" si="1"/>
        <v/>
      </c>
      <c r="Q21" s="149">
        <f>IFERROR(E21-W4Q3FY26!E21,"OOS")</f>
        <v>0</v>
      </c>
      <c r="R21" s="146" t="str">
        <f t="shared" si="2"/>
        <v/>
      </c>
      <c r="S21" s="149">
        <f>IFERROR(F21-W4Q3FY26!F21,"OOS")</f>
        <v>0</v>
      </c>
      <c r="T21" s="146"/>
      <c r="U21" s="149">
        <f>IFERROR(G21-W4Q3FY26!G21,"OOS")</f>
        <v>0</v>
      </c>
      <c r="V21" s="146"/>
    </row>
    <row r="22" spans="1:25" ht="16" customHeight="1" x14ac:dyDescent="0.2">
      <c r="A22" t="s">
        <v>40</v>
      </c>
      <c r="B22" s="3"/>
      <c r="C22" s="165">
        <v>28190000</v>
      </c>
      <c r="D22" s="135">
        <v>28190000</v>
      </c>
      <c r="E22" s="123">
        <v>28490000</v>
      </c>
      <c r="F22" s="132">
        <v>28190000</v>
      </c>
      <c r="G22" s="110">
        <v>28190000</v>
      </c>
      <c r="H22" s="153"/>
      <c r="M22" s="148">
        <f>IFERROR(C22-W4Q3FY26!C22,"OOS")</f>
        <v>0</v>
      </c>
      <c r="N22" s="146" t="str">
        <f t="shared" ref="N22:N42" si="5">IF(M22=0,"",$A22 &amp; IF(M22&gt;0," tăng "," giảm ") &amp; TEXT(ABS(M22)/1000,"0") &amp; "K = " &amp; TEXT(C22/1000,"#.##0") &amp; "K")</f>
        <v/>
      </c>
      <c r="O22" s="149">
        <f>IFERROR(D22-W4Q3FY26!D22,"OOS")</f>
        <v>0</v>
      </c>
      <c r="P22" s="146" t="str">
        <f t="shared" si="1"/>
        <v/>
      </c>
      <c r="Q22" s="149">
        <f>IFERROR(E22-W4Q3FY26!E22,"OOS")</f>
        <v>0</v>
      </c>
      <c r="R22" s="146" t="str">
        <f t="shared" si="2"/>
        <v/>
      </c>
      <c r="S22" s="149">
        <f>IFERROR(F22-W4Q3FY26!F22,"OOS")</f>
        <v>0</v>
      </c>
      <c r="T22" s="146" t="str">
        <f t="shared" ref="T22:T42" si="6">IF(S22=0,"",$A22 &amp; IF(S22&gt;0," tăng "," giảm ") &amp; TEXT(ABS(S22)/1000,"0") &amp; "K = " &amp; TEXT(F22/1000,"#.##0") &amp; "K")</f>
        <v/>
      </c>
      <c r="U22" s="149">
        <f>IFERROR(G22-W4Q3FY26!G22,"OOS")</f>
        <v>0</v>
      </c>
      <c r="V22" s="146" t="str">
        <f t="shared" ref="V22:V43" si="7">IF(U22=0,"",$A22 &amp; IF(U22&gt;0," tăng "," giảm ") &amp; TEXT(ABS(U22)/1000,"0") &amp; "K = " &amp; TEXT(G22/1000,"#.##0") &amp; "K")</f>
        <v/>
      </c>
      <c r="W22" t="s">
        <v>41</v>
      </c>
      <c r="X22" t="s">
        <v>42</v>
      </c>
      <c r="Y22" t="b">
        <v>1</v>
      </c>
    </row>
    <row r="23" spans="1:25" ht="16" customHeight="1" x14ac:dyDescent="0.2">
      <c r="A23" t="s">
        <v>43</v>
      </c>
      <c r="B23" s="3"/>
      <c r="C23" s="165">
        <v>38890000</v>
      </c>
      <c r="D23" s="141">
        <v>38990000</v>
      </c>
      <c r="E23" s="112">
        <v>37990000</v>
      </c>
      <c r="F23" s="132">
        <v>38890000</v>
      </c>
      <c r="G23" s="110">
        <v>38990000</v>
      </c>
      <c r="H23" s="153"/>
      <c r="M23" s="148">
        <f>IFERROR(C23-W4Q3FY26!C23,"OOS")</f>
        <v>0</v>
      </c>
      <c r="N23" s="146" t="str">
        <f t="shared" si="5"/>
        <v/>
      </c>
      <c r="O23" s="149">
        <f>IFERROR(D23-W4Q3FY26!D23,"OOS")</f>
        <v>0</v>
      </c>
      <c r="P23" s="146" t="str">
        <f t="shared" si="1"/>
        <v/>
      </c>
      <c r="Q23" s="149">
        <f>IFERROR(E23-W4Q3FY26!E23,"OOS")</f>
        <v>0</v>
      </c>
      <c r="R23" s="146" t="str">
        <f t="shared" si="2"/>
        <v/>
      </c>
      <c r="S23" s="149">
        <f>IFERROR(F23-W4Q3FY26!F23,"OOS")</f>
        <v>0</v>
      </c>
      <c r="T23" s="146" t="str">
        <f t="shared" si="6"/>
        <v/>
      </c>
      <c r="U23" s="149">
        <f>IFERROR(G23-W4Q3FY26!G23,"OOS")</f>
        <v>0</v>
      </c>
      <c r="V23" s="146" t="str">
        <f t="shared" si="7"/>
        <v/>
      </c>
    </row>
    <row r="24" spans="1:25" ht="16" customHeight="1" x14ac:dyDescent="0.2">
      <c r="A24" t="s">
        <v>44</v>
      </c>
      <c r="B24" s="25"/>
      <c r="C24" s="165">
        <v>6390000</v>
      </c>
      <c r="D24" s="140">
        <v>6390000</v>
      </c>
      <c r="E24" s="139">
        <v>6190000</v>
      </c>
      <c r="F24" s="132">
        <v>6390000</v>
      </c>
      <c r="G24" s="110">
        <v>6290000</v>
      </c>
      <c r="H24" s="153"/>
      <c r="M24" s="148">
        <f>IFERROR(C24-W4Q3FY26!C24,"OOS")</f>
        <v>0</v>
      </c>
      <c r="N24" s="146" t="str">
        <f t="shared" si="5"/>
        <v/>
      </c>
      <c r="O24" s="149">
        <f>IFERROR(D24-W4Q3FY26!D24,"OOS")</f>
        <v>100000</v>
      </c>
      <c r="P24" s="146" t="str">
        <f t="shared" si="1"/>
        <v>AW SE 3 (40mm GPS) tăng 100K = 6390.0K</v>
      </c>
      <c r="Q24" s="149">
        <f>IFERROR(E24-W4Q3FY26!E24,"OOS")</f>
        <v>0</v>
      </c>
      <c r="R24" s="146" t="str">
        <f t="shared" si="2"/>
        <v/>
      </c>
      <c r="S24" s="149">
        <f>IFERROR(F24-W4Q3FY26!F24,"OOS")</f>
        <v>0</v>
      </c>
      <c r="T24" s="146" t="str">
        <f t="shared" si="6"/>
        <v/>
      </c>
      <c r="U24" s="149">
        <f>IFERROR(G24-W4Q3FY26!G24,"OOS")</f>
        <v>0</v>
      </c>
      <c r="V24" s="146" t="str">
        <f t="shared" si="7"/>
        <v/>
      </c>
    </row>
    <row r="25" spans="1:25" ht="16" customHeight="1" x14ac:dyDescent="0.2">
      <c r="A25" t="s">
        <v>45</v>
      </c>
      <c r="B25" s="25"/>
      <c r="C25" s="165">
        <v>7990000</v>
      </c>
      <c r="D25" s="135">
        <v>7690000</v>
      </c>
      <c r="E25" s="154">
        <v>7790000</v>
      </c>
      <c r="F25" s="132">
        <v>7990000</v>
      </c>
      <c r="G25" s="110">
        <v>7790000</v>
      </c>
      <c r="H25" s="153"/>
      <c r="M25" s="148">
        <f>IFERROR(C25-W4Q3FY26!C25,"OOS")</f>
        <v>0</v>
      </c>
      <c r="N25" s="146" t="str">
        <f t="shared" si="5"/>
        <v/>
      </c>
      <c r="O25" s="149">
        <f>IFERROR(D25-W4Q3FY26!D25,"OOS")</f>
        <v>0</v>
      </c>
      <c r="P25" s="146" t="str">
        <f t="shared" si="1"/>
        <v/>
      </c>
      <c r="Q25" s="149">
        <f>IFERROR(E25-W4Q3FY26!E25,"OOS")</f>
        <v>0</v>
      </c>
      <c r="R25" s="146" t="str">
        <f t="shared" si="2"/>
        <v/>
      </c>
      <c r="S25" s="149">
        <f>IFERROR(F25-W4Q3FY26!F25,"OOS")</f>
        <v>0</v>
      </c>
      <c r="T25" s="146" t="str">
        <f t="shared" si="6"/>
        <v/>
      </c>
      <c r="U25" s="149">
        <f>IFERROR(G25-W4Q3FY26!G25,"OOS")</f>
        <v>0</v>
      </c>
      <c r="V25" s="146" t="str">
        <f t="shared" si="7"/>
        <v/>
      </c>
    </row>
    <row r="26" spans="1:25" ht="16" customHeight="1" x14ac:dyDescent="0.2">
      <c r="A26" t="s">
        <v>46</v>
      </c>
      <c r="B26" s="25"/>
      <c r="C26" s="165">
        <v>7290000</v>
      </c>
      <c r="D26" s="135">
        <v>6990000</v>
      </c>
      <c r="E26" s="139">
        <v>6990000</v>
      </c>
      <c r="F26" s="132">
        <v>7290000</v>
      </c>
      <c r="G26" s="110">
        <v>6990000</v>
      </c>
      <c r="H26" s="153"/>
      <c r="M26" s="148">
        <f>IFERROR(C26-W4Q3FY26!C26,"OOS")</f>
        <v>0</v>
      </c>
      <c r="N26" s="146" t="str">
        <f t="shared" si="5"/>
        <v/>
      </c>
      <c r="O26" s="149">
        <f>IFERROR(D26-W4Q3FY26!D26,"OOS")</f>
        <v>0</v>
      </c>
      <c r="P26" s="146" t="str">
        <f t="shared" si="1"/>
        <v/>
      </c>
      <c r="Q26" s="149">
        <f>IFERROR(E26-W4Q3FY26!E26,"OOS")</f>
        <v>0</v>
      </c>
      <c r="R26" s="146" t="str">
        <f t="shared" si="2"/>
        <v/>
      </c>
      <c r="S26" s="149">
        <f>IFERROR(F26-W4Q3FY26!F26,"OOS")</f>
        <v>0</v>
      </c>
      <c r="T26" s="146" t="str">
        <f t="shared" si="6"/>
        <v/>
      </c>
      <c r="U26" s="149">
        <f>IFERROR(G26-W4Q3FY26!G26,"OOS")</f>
        <v>0</v>
      </c>
      <c r="V26" s="146" t="str">
        <f t="shared" si="7"/>
        <v/>
      </c>
    </row>
    <row r="27" spans="1:25" ht="16" customHeight="1" x14ac:dyDescent="0.2">
      <c r="A27" t="s">
        <v>47</v>
      </c>
      <c r="B27" s="25"/>
      <c r="C27" s="165">
        <v>8790000</v>
      </c>
      <c r="D27" s="135">
        <v>8490000</v>
      </c>
      <c r="E27" s="139">
        <v>8590000</v>
      </c>
      <c r="F27" s="132">
        <v>8790000</v>
      </c>
      <c r="G27" s="110">
        <v>8590000</v>
      </c>
      <c r="H27" s="153"/>
      <c r="M27" s="148">
        <f>IFERROR(C27-W4Q3FY26!C27,"OOS")</f>
        <v>0</v>
      </c>
      <c r="N27" s="146" t="str">
        <f t="shared" si="5"/>
        <v/>
      </c>
      <c r="O27" s="149">
        <f>IFERROR(D27-W4Q3FY26!D27,"OOS")</f>
        <v>0</v>
      </c>
      <c r="P27" s="146" t="str">
        <f t="shared" si="1"/>
        <v/>
      </c>
      <c r="Q27" s="149">
        <f>IFERROR(E27-W4Q3FY26!E27,"OOS")</f>
        <v>0</v>
      </c>
      <c r="R27" s="146" t="str">
        <f t="shared" si="2"/>
        <v/>
      </c>
      <c r="S27" s="149">
        <f>IFERROR(F27-W4Q3FY26!F27,"OOS")</f>
        <v>0</v>
      </c>
      <c r="T27" s="146" t="str">
        <f t="shared" si="6"/>
        <v/>
      </c>
      <c r="U27" s="149">
        <f>IFERROR(G27-W4Q3FY26!G27,"OOS")</f>
        <v>0</v>
      </c>
      <c r="V27" s="146" t="str">
        <f t="shared" si="7"/>
        <v/>
      </c>
    </row>
    <row r="28" spans="1:25" ht="16" customHeight="1" x14ac:dyDescent="0.2">
      <c r="A28" t="s">
        <v>48</v>
      </c>
      <c r="B28" s="3"/>
      <c r="C28" s="165">
        <v>9190000</v>
      </c>
      <c r="D28" s="140">
        <v>9190000</v>
      </c>
      <c r="E28" s="139">
        <v>8990000</v>
      </c>
      <c r="F28" s="132">
        <v>9190000</v>
      </c>
      <c r="G28" s="110">
        <v>8990000</v>
      </c>
      <c r="H28" s="153"/>
      <c r="M28" s="148">
        <f>IFERROR(C28-W4Q3FY26!C28,"OOS")</f>
        <v>0</v>
      </c>
      <c r="N28" s="146" t="str">
        <f t="shared" si="5"/>
        <v/>
      </c>
      <c r="O28" s="149">
        <f>IFERROR(D28-W4Q3FY26!D28,"OOS")</f>
        <v>-2000000</v>
      </c>
      <c r="P28" s="146" t="str">
        <f t="shared" si="1"/>
        <v>AW S11 (42mm GPS) giảm 2000K = 9190.0K</v>
      </c>
      <c r="Q28" s="149">
        <f>IFERROR(E28-W4Q3FY26!E28,"OOS")</f>
        <v>0</v>
      </c>
      <c r="R28" s="146" t="str">
        <f t="shared" si="2"/>
        <v/>
      </c>
      <c r="S28" s="149">
        <f>IFERROR(F28-W4Q3FY26!F28,"OOS")</f>
        <v>0</v>
      </c>
      <c r="T28" s="146" t="str">
        <f t="shared" si="6"/>
        <v/>
      </c>
      <c r="U28" s="149">
        <f>IFERROR(G28-W4Q3FY26!G28,"OOS")</f>
        <v>0</v>
      </c>
      <c r="V28" s="146" t="str">
        <f t="shared" si="7"/>
        <v/>
      </c>
    </row>
    <row r="29" spans="1:25" ht="16" customHeight="1" x14ac:dyDescent="0.2">
      <c r="A29" t="s">
        <v>49</v>
      </c>
      <c r="B29" s="3"/>
      <c r="C29" s="165">
        <v>12090000</v>
      </c>
      <c r="D29" s="135">
        <v>11990000</v>
      </c>
      <c r="E29" s="139">
        <v>11990000</v>
      </c>
      <c r="F29" s="132">
        <v>12090000</v>
      </c>
      <c r="G29" s="110">
        <v>11990000</v>
      </c>
      <c r="H29" s="153"/>
      <c r="M29" s="148" t="str">
        <f>IFERROR(C29-W4Q3FY26!C29,"OOS")</f>
        <v>OOS</v>
      </c>
      <c r="N29" s="146" t="e">
        <f t="shared" si="5"/>
        <v>#VALUE!</v>
      </c>
      <c r="O29" s="149">
        <f>IFERROR(D29-W4Q3FY26!D29,"OOS")</f>
        <v>0</v>
      </c>
      <c r="P29" s="146" t="str">
        <f t="shared" si="1"/>
        <v/>
      </c>
      <c r="Q29" s="149">
        <f>IFERROR(E29-W4Q3FY26!E29,"OOS")</f>
        <v>0</v>
      </c>
      <c r="R29" s="146" t="str">
        <f t="shared" si="2"/>
        <v/>
      </c>
      <c r="S29" s="149">
        <f>IFERROR(F29-W4Q3FY26!F29,"OOS")</f>
        <v>0</v>
      </c>
      <c r="T29" s="146" t="str">
        <f t="shared" si="6"/>
        <v/>
      </c>
      <c r="U29" s="149">
        <f>IFERROR(G29-W4Q3FY26!G29,"OOS")</f>
        <v>0</v>
      </c>
      <c r="V29" s="146" t="str">
        <f t="shared" si="7"/>
        <v/>
      </c>
    </row>
    <row r="30" spans="1:25" ht="16" customHeight="1" x14ac:dyDescent="0.2">
      <c r="A30" t="s">
        <v>50</v>
      </c>
      <c r="B30" s="3"/>
      <c r="C30" s="165">
        <v>9990000</v>
      </c>
      <c r="D30" s="135">
        <v>9990000</v>
      </c>
      <c r="E30" s="139">
        <v>9690000</v>
      </c>
      <c r="F30" s="132">
        <v>9990000</v>
      </c>
      <c r="G30" s="110">
        <v>9990000</v>
      </c>
      <c r="H30" s="153"/>
      <c r="M30" s="148">
        <f>IFERROR(C30-W4Q3FY26!C30,"OOS")</f>
        <v>0</v>
      </c>
      <c r="N30" s="146" t="str">
        <f t="shared" si="5"/>
        <v/>
      </c>
      <c r="O30" s="149">
        <f>IFERROR(D30-W4Q3FY26!D30,"OOS")</f>
        <v>0</v>
      </c>
      <c r="P30" s="146" t="str">
        <f t="shared" si="1"/>
        <v/>
      </c>
      <c r="Q30" s="149">
        <f>IFERROR(E30-W4Q3FY26!E30,"OOS")</f>
        <v>0</v>
      </c>
      <c r="R30" s="146" t="str">
        <f t="shared" si="2"/>
        <v/>
      </c>
      <c r="S30" s="149">
        <f>IFERROR(F30-W4Q3FY26!F30,"OOS")</f>
        <v>0</v>
      </c>
      <c r="T30" s="146" t="str">
        <f t="shared" si="6"/>
        <v/>
      </c>
      <c r="U30" s="149">
        <f>IFERROR(G30-W4Q3FY26!G30,"OOS")</f>
        <v>0</v>
      </c>
      <c r="V30" s="146" t="str">
        <f t="shared" si="7"/>
        <v/>
      </c>
    </row>
    <row r="31" spans="1:25" ht="16" customHeight="1" x14ac:dyDescent="0.2">
      <c r="A31" t="s">
        <v>51</v>
      </c>
      <c r="B31" s="3"/>
      <c r="C31" s="165">
        <v>12990000</v>
      </c>
      <c r="D31" s="135">
        <v>12490000</v>
      </c>
      <c r="E31" s="139">
        <v>12490000</v>
      </c>
      <c r="F31" s="132">
        <v>12990000</v>
      </c>
      <c r="G31" s="110">
        <v>12990000</v>
      </c>
      <c r="H31" s="153"/>
      <c r="M31" s="148">
        <f>IFERROR(C31-W4Q3FY26!C31,"OOS")</f>
        <v>0</v>
      </c>
      <c r="N31" s="146" t="str">
        <f t="shared" si="5"/>
        <v/>
      </c>
      <c r="O31" s="149">
        <f>IFERROR(D31-W4Q3FY26!D31,"OOS")</f>
        <v>0</v>
      </c>
      <c r="P31" s="146" t="str">
        <f t="shared" si="1"/>
        <v/>
      </c>
      <c r="Q31" s="149">
        <f>IFERROR(E31-W4Q3FY26!E31,"OOS")</f>
        <v>0</v>
      </c>
      <c r="R31" s="146" t="str">
        <f t="shared" si="2"/>
        <v/>
      </c>
      <c r="S31" s="149">
        <f>IFERROR(F31-W4Q3FY26!F31,"OOS")</f>
        <v>0</v>
      </c>
      <c r="T31" s="146" t="str">
        <f t="shared" si="6"/>
        <v/>
      </c>
      <c r="U31" s="149">
        <f>IFERROR(G31-W4Q3FY26!G31,"OOS")</f>
        <v>0</v>
      </c>
      <c r="V31" s="146" t="str">
        <f t="shared" si="7"/>
        <v/>
      </c>
    </row>
    <row r="32" spans="1:25" ht="16" customHeight="1" x14ac:dyDescent="0.2">
      <c r="A32" t="s">
        <v>52</v>
      </c>
      <c r="B32" s="25"/>
      <c r="C32" s="165">
        <v>23490000</v>
      </c>
      <c r="D32" s="135">
        <v>22990000</v>
      </c>
      <c r="E32" s="112">
        <v>22490000</v>
      </c>
      <c r="F32" s="132">
        <v>22990000</v>
      </c>
      <c r="G32" s="110">
        <v>22990000</v>
      </c>
      <c r="H32" s="153"/>
      <c r="M32" s="148">
        <f>IFERROR(C32-W4Q3FY26!C32,"OOS")</f>
        <v>0</v>
      </c>
      <c r="N32" s="146" t="str">
        <f t="shared" si="5"/>
        <v/>
      </c>
      <c r="O32" s="149">
        <f>IFERROR(D32-W4Q3FY26!D32,"OOS")</f>
        <v>0</v>
      </c>
      <c r="P32" s="146" t="str">
        <f t="shared" si="1"/>
        <v/>
      </c>
      <c r="Q32" s="149">
        <f>IFERROR(E32-W4Q3FY26!E32,"OOS")</f>
        <v>0</v>
      </c>
      <c r="R32" s="146" t="str">
        <f t="shared" si="2"/>
        <v/>
      </c>
      <c r="S32" s="149">
        <f>IFERROR(F32-W4Q3FY26!F32,"OOS")</f>
        <v>0</v>
      </c>
      <c r="T32" s="146" t="str">
        <f t="shared" si="6"/>
        <v/>
      </c>
      <c r="U32" s="149">
        <f>IFERROR(G32-W4Q3FY26!G32,"OOS")</f>
        <v>0</v>
      </c>
      <c r="V32" s="146" t="str">
        <f t="shared" si="7"/>
        <v/>
      </c>
    </row>
    <row r="33" spans="1:22" ht="16" customHeight="1" x14ac:dyDescent="0.2">
      <c r="A33" t="s">
        <v>53</v>
      </c>
      <c r="B33" s="3"/>
      <c r="C33" s="165">
        <v>5190000</v>
      </c>
      <c r="D33" s="135" t="s">
        <v>22</v>
      </c>
      <c r="E33" s="130" t="s">
        <v>22</v>
      </c>
      <c r="F33" s="132">
        <v>4990000</v>
      </c>
      <c r="G33" s="110">
        <v>5590000</v>
      </c>
      <c r="H33" s="153"/>
      <c r="M33" s="148">
        <f>IFERROR(C33-W4Q3FY26!C33,"OOS")</f>
        <v>0</v>
      </c>
      <c r="N33" s="146" t="str">
        <f t="shared" si="5"/>
        <v/>
      </c>
      <c r="O33" s="149" t="str">
        <f>IFERROR(D33-W4Q3FY26!D33,"OOS")</f>
        <v>OOS</v>
      </c>
      <c r="P33" s="146" t="e">
        <f t="shared" si="1"/>
        <v>#VALUE!</v>
      </c>
      <c r="Q33" s="149" t="str">
        <f>IFERROR(E33-W4Q3FY26!E33,"OOS")</f>
        <v>OOS</v>
      </c>
      <c r="R33" s="146" t="e">
        <f t="shared" si="2"/>
        <v>#VALUE!</v>
      </c>
      <c r="S33" s="149">
        <f>IFERROR(F33-W4Q3FY26!F33,"OOS")</f>
        <v>0</v>
      </c>
      <c r="T33" s="146" t="str">
        <f t="shared" si="6"/>
        <v/>
      </c>
      <c r="U33" s="149">
        <f>IFERROR(G33-W4Q3FY26!G33,"OOS")</f>
        <v>0</v>
      </c>
      <c r="V33" s="146" t="str">
        <f t="shared" si="7"/>
        <v/>
      </c>
    </row>
    <row r="34" spans="1:22" ht="16" customHeight="1" x14ac:dyDescent="0.2">
      <c r="A34" t="s">
        <v>54</v>
      </c>
      <c r="B34" s="3"/>
      <c r="C34" s="165">
        <v>4390000</v>
      </c>
      <c r="D34" s="135">
        <v>4390000</v>
      </c>
      <c r="E34" s="154">
        <v>4290000</v>
      </c>
      <c r="F34" s="132">
        <v>4390000</v>
      </c>
      <c r="G34" s="110">
        <v>4390000</v>
      </c>
      <c r="H34" s="153"/>
      <c r="M34" s="148">
        <f>IFERROR(C34-W4Q3FY26!C34,"OOS")</f>
        <v>0</v>
      </c>
      <c r="N34" s="146" t="str">
        <f t="shared" si="5"/>
        <v/>
      </c>
      <c r="O34" s="149">
        <f>IFERROR(D34-W4Q3FY26!D34,"OOS")</f>
        <v>0</v>
      </c>
      <c r="P34" s="146" t="str">
        <f t="shared" si="1"/>
        <v/>
      </c>
      <c r="Q34" s="149">
        <f>IFERROR(E34-W4Q3FY26!E34,"OOS")</f>
        <v>0</v>
      </c>
      <c r="R34" s="146" t="str">
        <f t="shared" si="2"/>
        <v/>
      </c>
      <c r="S34" s="149">
        <f>IFERROR(F34-W4Q3FY26!F34,"OOS")</f>
        <v>0</v>
      </c>
      <c r="T34" s="146" t="str">
        <f t="shared" si="6"/>
        <v/>
      </c>
      <c r="U34" s="149">
        <f>IFERROR(G34-W4Q3FY26!G34,"OOS")</f>
        <v>0</v>
      </c>
      <c r="V34" s="146" t="str">
        <f t="shared" si="7"/>
        <v/>
      </c>
    </row>
    <row r="35" spans="1:22" ht="16" customHeight="1" x14ac:dyDescent="0.2">
      <c r="A35" t="s">
        <v>55</v>
      </c>
      <c r="B35" s="3"/>
      <c r="C35" s="140">
        <v>2990000</v>
      </c>
      <c r="D35" s="140">
        <v>2990000</v>
      </c>
      <c r="E35" s="154">
        <v>2990000</v>
      </c>
      <c r="F35" s="133">
        <v>2990000</v>
      </c>
      <c r="G35" s="110">
        <v>2990000</v>
      </c>
      <c r="H35" s="153"/>
      <c r="M35" s="148">
        <f>IFERROR(C35-W4Q3FY26!C35,"OOS")</f>
        <v>-100000</v>
      </c>
      <c r="N35" s="146" t="str">
        <f t="shared" si="5"/>
        <v>AirPods 4 with charging case giảm 100K = 2990.0K</v>
      </c>
      <c r="O35" s="149">
        <f>IFERROR(D35-W4Q3FY26!D35,"OOS")</f>
        <v>-100000</v>
      </c>
      <c r="P35" s="146" t="str">
        <f t="shared" si="1"/>
        <v>AirPods 4 with charging case giảm 100K = 2990.0K</v>
      </c>
      <c r="Q35" s="149">
        <f>IFERROR(E35-W4Q3FY26!E35,"OOS")</f>
        <v>0</v>
      </c>
      <c r="R35" s="146" t="str">
        <f t="shared" si="2"/>
        <v/>
      </c>
      <c r="S35" s="149">
        <f>IFERROR(F35-W4Q3FY26!F35,"OOS")</f>
        <v>-100000</v>
      </c>
      <c r="T35" s="146" t="str">
        <f t="shared" si="6"/>
        <v>AirPods 4 with charging case giảm 100K = 2990.0K</v>
      </c>
      <c r="U35" s="149">
        <f>IFERROR(G35-W4Q3FY26!G35,"OOS")</f>
        <v>0</v>
      </c>
      <c r="V35" s="146" t="str">
        <f t="shared" si="7"/>
        <v/>
      </c>
    </row>
    <row r="36" spans="1:22" ht="16" customHeight="1" x14ac:dyDescent="0.2">
      <c r="A36" t="s">
        <v>56</v>
      </c>
      <c r="B36" s="3"/>
      <c r="C36" s="162">
        <v>6190000</v>
      </c>
      <c r="D36" s="135" t="s">
        <v>265</v>
      </c>
      <c r="E36" s="134">
        <v>5990000</v>
      </c>
      <c r="F36" s="132">
        <v>6190000</v>
      </c>
      <c r="G36" s="110">
        <v>6090000</v>
      </c>
      <c r="H36" s="153"/>
      <c r="M36" s="148">
        <f>IFERROR(C36-W4Q3FY26!C36,"OOS")</f>
        <v>0</v>
      </c>
      <c r="N36" s="146" t="str">
        <f t="shared" si="5"/>
        <v/>
      </c>
      <c r="O36" s="149" t="str">
        <f>IFERROR(D36-W4Q3FY26!D36,"OOS")</f>
        <v>OOS</v>
      </c>
      <c r="P36" s="146" t="e">
        <f t="shared" si="1"/>
        <v>#VALUE!</v>
      </c>
      <c r="Q36" s="149">
        <f>IFERROR(E36-W4Q3FY26!E36,"OOS")</f>
        <v>0</v>
      </c>
      <c r="R36" s="146" t="str">
        <f t="shared" si="2"/>
        <v/>
      </c>
      <c r="S36" s="149">
        <f>IFERROR(F36-W4Q3FY26!F36,"OOS")</f>
        <v>0</v>
      </c>
      <c r="T36" s="146" t="str">
        <f t="shared" si="6"/>
        <v/>
      </c>
      <c r="U36" s="149">
        <f>IFERROR(G36-W4Q3FY26!G36,"OOS")</f>
        <v>0</v>
      </c>
      <c r="V36" s="146" t="str">
        <f t="shared" si="7"/>
        <v/>
      </c>
    </row>
    <row r="37" spans="1:22" ht="16" customHeight="1" x14ac:dyDescent="0.2">
      <c r="A37" t="s">
        <v>57</v>
      </c>
      <c r="B37" s="25"/>
      <c r="C37" s="135">
        <v>29490000</v>
      </c>
      <c r="D37" s="140">
        <v>29490000</v>
      </c>
      <c r="E37" s="142"/>
      <c r="F37" s="110">
        <v>29390000</v>
      </c>
      <c r="G37" s="110">
        <v>29990000</v>
      </c>
      <c r="H37" s="153"/>
      <c r="M37" s="148">
        <f>IFERROR(C37-W4Q3FY26!C37,"OOS")</f>
        <v>0</v>
      </c>
      <c r="N37" s="146" t="str">
        <f t="shared" si="5"/>
        <v/>
      </c>
      <c r="O37" s="149">
        <f>IFERROR(D37-W4Q3FY26!D37,"OOS")</f>
        <v>-500000</v>
      </c>
      <c r="P37" s="146" t="str">
        <f t="shared" si="1"/>
        <v>MacBook Air 13" M5 16/512GB giảm 500K = 29490.0K</v>
      </c>
      <c r="Q37" s="149">
        <f>IFERROR(E37-W4Q3FY26!E37,"OOS")</f>
        <v>0</v>
      </c>
      <c r="R37" s="146" t="str">
        <f t="shared" si="2"/>
        <v/>
      </c>
      <c r="S37" s="149">
        <f>IFERROR(F37-W4Q3FY26!F37,"OOS")</f>
        <v>0</v>
      </c>
      <c r="T37" s="146" t="str">
        <f t="shared" si="6"/>
        <v/>
      </c>
      <c r="U37" s="149">
        <f>IFERROR(G37-W4Q3FY26!G37,"OOS")</f>
        <v>0</v>
      </c>
      <c r="V37" s="146" t="str">
        <f t="shared" si="7"/>
        <v/>
      </c>
    </row>
    <row r="38" spans="1:22" ht="16" customHeight="1" x14ac:dyDescent="0.2">
      <c r="A38" t="s">
        <v>58</v>
      </c>
      <c r="B38" s="25"/>
      <c r="C38" s="140">
        <v>15690000</v>
      </c>
      <c r="D38" s="135">
        <v>15990000</v>
      </c>
      <c r="E38" s="142"/>
      <c r="F38" s="111">
        <v>15690000</v>
      </c>
      <c r="G38" s="110">
        <v>15899000</v>
      </c>
      <c r="H38" s="153"/>
      <c r="M38" s="148">
        <f>IFERROR(C38-W4Q3FY26!C38,"OOS")</f>
        <v>-300000</v>
      </c>
      <c r="N38" s="146" t="str">
        <f t="shared" si="5"/>
        <v>MacBook NEO A18 Pro ( 8/256GB) giảm 300K = 15690.0K</v>
      </c>
      <c r="O38" s="149">
        <f>IFERROR(D38-W4Q3FY26!D38,"OOS")</f>
        <v>0</v>
      </c>
      <c r="P38" s="146" t="str">
        <f t="shared" si="1"/>
        <v/>
      </c>
      <c r="Q38" s="149">
        <f>IFERROR(E38-W4Q3FY26!E38,"OOS")</f>
        <v>0</v>
      </c>
      <c r="R38" s="146" t="str">
        <f t="shared" si="2"/>
        <v/>
      </c>
      <c r="S38" s="149">
        <f>IFERROR(F38-W4Q3FY26!F38,"OOS")</f>
        <v>-300000</v>
      </c>
      <c r="T38" s="146" t="str">
        <f t="shared" si="6"/>
        <v>MacBook NEO A18 Pro ( 8/256GB) giảm 300K = 15690.0K</v>
      </c>
      <c r="U38" s="149">
        <f>IFERROR(G38-W4Q3FY26!G38,"OOS")</f>
        <v>0</v>
      </c>
      <c r="V38" s="146" t="str">
        <f t="shared" si="7"/>
        <v/>
      </c>
    </row>
    <row r="39" spans="1:22" ht="16" customHeight="1" x14ac:dyDescent="0.2">
      <c r="A39" t="s">
        <v>59</v>
      </c>
      <c r="B39" s="3"/>
      <c r="C39" s="135">
        <v>25590000</v>
      </c>
      <c r="D39" s="135" t="s">
        <v>22</v>
      </c>
      <c r="E39" s="142"/>
      <c r="F39" s="133">
        <v>24990000</v>
      </c>
      <c r="G39" s="110">
        <v>24590000</v>
      </c>
      <c r="H39" s="153"/>
      <c r="J39" t="s">
        <v>60</v>
      </c>
      <c r="M39" s="148">
        <f>IFERROR(C39-W4Q3FY26!C39,"OOS")</f>
        <v>0</v>
      </c>
      <c r="N39" s="146" t="str">
        <f t="shared" si="5"/>
        <v/>
      </c>
      <c r="O39" s="149" t="str">
        <f>IFERROR(D39-W4Q3FY26!D39,"OOS")</f>
        <v>OOS</v>
      </c>
      <c r="P39" s="146" t="e">
        <f t="shared" si="1"/>
        <v>#VALUE!</v>
      </c>
      <c r="Q39" s="149">
        <f>IFERROR(E39-W4Q3FY26!E39,"OOS")</f>
        <v>0</v>
      </c>
      <c r="R39" s="146" t="str">
        <f t="shared" si="2"/>
        <v/>
      </c>
      <c r="S39" s="149">
        <f>IFERROR(F39-W4Q3FY26!F39,"OOS")</f>
        <v>-600000</v>
      </c>
      <c r="T39" s="146" t="str">
        <f t="shared" si="6"/>
        <v>MacBook Air 13" M4 16/256GB giảm 600K = 24990.0K</v>
      </c>
      <c r="U39" s="149">
        <f>IFERROR(G39-W4Q3FY26!G39,"OOS")</f>
        <v>0</v>
      </c>
      <c r="V39" s="146" t="str">
        <f t="shared" si="7"/>
        <v/>
      </c>
    </row>
    <row r="40" spans="1:22" ht="16" customHeight="1" x14ac:dyDescent="0.2">
      <c r="A40" t="s">
        <v>61</v>
      </c>
      <c r="B40" s="25"/>
      <c r="C40" s="162">
        <v>29490000</v>
      </c>
      <c r="D40" s="135">
        <v>29490000</v>
      </c>
      <c r="E40" s="142"/>
      <c r="F40" s="132">
        <v>29990000</v>
      </c>
      <c r="G40" s="111">
        <v>29390000</v>
      </c>
      <c r="H40" s="153"/>
      <c r="M40" s="148">
        <f>IFERROR(C40-W4Q3FY26!C40,"OOS")</f>
        <v>0</v>
      </c>
      <c r="N40" s="146" t="str">
        <f t="shared" si="5"/>
        <v/>
      </c>
      <c r="O40" s="149">
        <f>IFERROR(D40-W4Q3FY26!D40,"OOS")</f>
        <v>0</v>
      </c>
      <c r="P40" s="146" t="str">
        <f t="shared" si="1"/>
        <v/>
      </c>
      <c r="Q40" s="149">
        <f>IFERROR(E40-W4Q3FY26!E40,"OOS")</f>
        <v>0</v>
      </c>
      <c r="R40" s="146" t="str">
        <f t="shared" si="2"/>
        <v/>
      </c>
      <c r="S40" s="149">
        <f>IFERROR(F40-W4Q3FY26!F40,"OOS")</f>
        <v>0</v>
      </c>
      <c r="T40" s="146" t="str">
        <f t="shared" si="6"/>
        <v/>
      </c>
      <c r="U40" s="149">
        <f>IFERROR(G40-W4Q3FY26!G40,"OOS")</f>
        <v>400000</v>
      </c>
      <c r="V40" s="146" t="str">
        <f t="shared" si="7"/>
        <v>MacBook Air 15" M4 16/256GB tăng 400K = 29390.0K</v>
      </c>
    </row>
    <row r="41" spans="1:22" ht="16" customHeight="1" x14ac:dyDescent="0.2">
      <c r="A41" t="s">
        <v>62</v>
      </c>
      <c r="B41" s="25"/>
      <c r="C41" s="135">
        <v>41490000</v>
      </c>
      <c r="D41" s="135">
        <v>41490000</v>
      </c>
      <c r="E41" s="142"/>
      <c r="F41" s="132">
        <v>41490000</v>
      </c>
      <c r="G41" s="110">
        <v>41490000</v>
      </c>
      <c r="H41" s="153"/>
      <c r="M41" s="148">
        <f>IFERROR(C41-W4Q3FY26!C41,"OOS")</f>
        <v>0</v>
      </c>
      <c r="N41" s="146" t="str">
        <f t="shared" si="5"/>
        <v/>
      </c>
      <c r="O41" s="149">
        <f>IFERROR(D41-W4Q3FY26!D41,"OOS")</f>
        <v>0</v>
      </c>
      <c r="P41" s="146" t="str">
        <f t="shared" si="1"/>
        <v/>
      </c>
      <c r="Q41" s="149">
        <f>IFERROR(E41-W4Q3FY26!E41,"OOS")</f>
        <v>0</v>
      </c>
      <c r="R41" s="146" t="str">
        <f t="shared" si="2"/>
        <v/>
      </c>
      <c r="S41" s="149">
        <f>IFERROR(F41-W4Q3FY26!F41,"OOS")</f>
        <v>0</v>
      </c>
      <c r="T41" s="146" t="str">
        <f t="shared" si="6"/>
        <v/>
      </c>
      <c r="U41" s="149">
        <f>IFERROR(G41-W4Q3FY26!G41,"OOS")</f>
        <v>0</v>
      </c>
      <c r="V41" s="146" t="str">
        <f t="shared" si="7"/>
        <v/>
      </c>
    </row>
    <row r="42" spans="1:22" ht="16" customHeight="1" x14ac:dyDescent="0.2">
      <c r="A42" t="s">
        <v>188</v>
      </c>
      <c r="B42" s="25"/>
      <c r="C42" s="135" t="s">
        <v>22</v>
      </c>
      <c r="D42" s="135">
        <v>63990000</v>
      </c>
      <c r="E42" s="142"/>
      <c r="F42" s="132">
        <v>62990000</v>
      </c>
      <c r="G42" s="110">
        <v>63990000</v>
      </c>
      <c r="H42" s="153"/>
      <c r="M42" s="148" t="str">
        <f>IFERROR(C42-W4Q3FY26!C42,"OOS")</f>
        <v>OOS</v>
      </c>
      <c r="N42" s="146" t="e">
        <f t="shared" si="5"/>
        <v>#VALUE!</v>
      </c>
      <c r="O42" s="149">
        <f>IFERROR(D42-W4Q3FY26!D42,"OOS")</f>
        <v>0</v>
      </c>
      <c r="P42" s="146" t="str">
        <f t="shared" si="1"/>
        <v/>
      </c>
      <c r="Q42" s="149">
        <f>IFERROR(E42-W4Q3FY26!E42,"OOS")</f>
        <v>0</v>
      </c>
      <c r="R42" s="146" t="str">
        <f t="shared" si="2"/>
        <v/>
      </c>
      <c r="S42" s="149">
        <f>IFERROR(F42-W4Q3FY26!F42,"OOS")</f>
        <v>0</v>
      </c>
      <c r="T42" s="146" t="str">
        <f t="shared" si="6"/>
        <v/>
      </c>
      <c r="U42" s="149">
        <f>IFERROR(G42-W4Q3FY26!G42,"OOS")</f>
        <v>0</v>
      </c>
      <c r="V42" s="146" t="str">
        <f t="shared" si="7"/>
        <v/>
      </c>
    </row>
    <row r="43" spans="1:22" ht="16" customHeight="1" x14ac:dyDescent="0.2">
      <c r="C43" s="124"/>
      <c r="D43" s="124"/>
      <c r="V43" s="146" t="str">
        <f t="shared" si="7"/>
        <v/>
      </c>
    </row>
    <row r="44" spans="1:22" ht="16" customHeight="1" x14ac:dyDescent="0.2">
      <c r="C44" s="124"/>
      <c r="D44" s="124"/>
    </row>
    <row r="45" spans="1:22" ht="16" customHeight="1" x14ac:dyDescent="0.2">
      <c r="C45" s="124"/>
      <c r="D45" s="124"/>
    </row>
    <row r="46" spans="1:22" ht="16" customHeight="1" x14ac:dyDescent="0.2">
      <c r="C46" s="124"/>
      <c r="D46" s="124"/>
    </row>
    <row r="47" spans="1:22" ht="16" customHeight="1" x14ac:dyDescent="0.2">
      <c r="C47" s="124"/>
      <c r="D47" s="124"/>
    </row>
    <row r="48" spans="1:22" ht="16" customHeight="1" x14ac:dyDescent="0.2">
      <c r="C48" s="124"/>
      <c r="D48" s="124"/>
    </row>
    <row r="49" spans="3:4" ht="16" customHeight="1" x14ac:dyDescent="0.2">
      <c r="C49" s="124"/>
      <c r="D49" s="124"/>
    </row>
    <row r="50" spans="3:4" ht="16" customHeight="1" x14ac:dyDescent="0.2">
      <c r="C50" s="124"/>
      <c r="D50" s="124"/>
    </row>
    <row r="51" spans="3:4" ht="16" customHeight="1" x14ac:dyDescent="0.2">
      <c r="C51" s="124"/>
      <c r="D51" s="124"/>
    </row>
    <row r="52" spans="3:4" ht="16" customHeight="1" x14ac:dyDescent="0.2">
      <c r="C52" s="124"/>
      <c r="D52" s="124"/>
    </row>
    <row r="53" spans="3:4" ht="16" customHeight="1" x14ac:dyDescent="0.2">
      <c r="C53" s="124"/>
      <c r="D53" s="124"/>
    </row>
    <row r="54" spans="3:4" ht="16" customHeight="1" x14ac:dyDescent="0.2">
      <c r="C54" s="124"/>
      <c r="D54" s="124"/>
    </row>
    <row r="55" spans="3:4" ht="16" customHeight="1" x14ac:dyDescent="0.2">
      <c r="C55" s="124"/>
      <c r="D55" s="124"/>
    </row>
    <row r="56" spans="3:4" ht="16" customHeight="1" x14ac:dyDescent="0.2">
      <c r="C56" s="124"/>
      <c r="D56" s="124"/>
    </row>
    <row r="57" spans="3:4" ht="16" customHeight="1" x14ac:dyDescent="0.2">
      <c r="C57" s="124"/>
      <c r="D57" s="124"/>
    </row>
    <row r="58" spans="3:4" ht="16" customHeight="1" x14ac:dyDescent="0.2">
      <c r="C58" s="124"/>
      <c r="D58" s="124"/>
    </row>
    <row r="59" spans="3:4" ht="16" customHeight="1" x14ac:dyDescent="0.2">
      <c r="C59" s="124"/>
      <c r="D59" s="124"/>
    </row>
    <row r="60" spans="3:4" ht="16" customHeight="1" x14ac:dyDescent="0.2">
      <c r="C60" s="124"/>
      <c r="D60" s="124"/>
    </row>
    <row r="61" spans="3:4" ht="16" customHeight="1" x14ac:dyDescent="0.2">
      <c r="C61" s="124"/>
      <c r="D61" s="124"/>
    </row>
    <row r="62" spans="3:4" ht="16" customHeight="1" x14ac:dyDescent="0.2">
      <c r="C62" s="124"/>
      <c r="D62" s="124"/>
    </row>
    <row r="63" spans="3:4" ht="16" customHeight="1" x14ac:dyDescent="0.2">
      <c r="C63" s="124"/>
      <c r="D63" s="124"/>
    </row>
    <row r="64" spans="3:4" ht="16" customHeight="1" x14ac:dyDescent="0.2">
      <c r="C64" s="124"/>
      <c r="D64" s="124"/>
    </row>
    <row r="65" spans="3:4" ht="16" customHeight="1" x14ac:dyDescent="0.2">
      <c r="C65" s="124"/>
      <c r="D65" s="124"/>
    </row>
    <row r="66" spans="3:4" ht="16" customHeight="1" x14ac:dyDescent="0.2">
      <c r="C66" s="124"/>
      <c r="D66" s="124"/>
    </row>
    <row r="67" spans="3:4" ht="16" customHeight="1" x14ac:dyDescent="0.2">
      <c r="C67" s="124"/>
      <c r="D67" s="124"/>
    </row>
    <row r="68" spans="3:4" ht="16" customHeight="1" x14ac:dyDescent="0.2">
      <c r="C68" s="124"/>
      <c r="D68" s="124"/>
    </row>
    <row r="69" spans="3:4" ht="16" customHeight="1" x14ac:dyDescent="0.2">
      <c r="C69" s="124"/>
      <c r="D69" s="124"/>
    </row>
    <row r="70" spans="3:4" ht="16" customHeight="1" x14ac:dyDescent="0.2">
      <c r="C70" s="124"/>
      <c r="D70" s="124"/>
    </row>
    <row r="71" spans="3:4" ht="16" customHeight="1" x14ac:dyDescent="0.2">
      <c r="C71" s="124"/>
      <c r="D71" s="124"/>
    </row>
    <row r="72" spans="3:4" ht="16" customHeight="1" x14ac:dyDescent="0.2">
      <c r="C72" s="124"/>
      <c r="D72" s="124"/>
    </row>
    <row r="73" spans="3:4" ht="16" customHeight="1" x14ac:dyDescent="0.2">
      <c r="C73" s="124"/>
      <c r="D73" s="124"/>
    </row>
    <row r="74" spans="3:4" ht="16" customHeight="1" x14ac:dyDescent="0.2">
      <c r="C74" s="124"/>
      <c r="D74" s="124"/>
    </row>
    <row r="75" spans="3:4" ht="16" customHeight="1" x14ac:dyDescent="0.2">
      <c r="C75" s="124"/>
      <c r="D75" s="124"/>
    </row>
    <row r="76" spans="3:4" ht="16" customHeight="1" x14ac:dyDescent="0.2">
      <c r="C76" s="124"/>
      <c r="D76" s="124"/>
    </row>
    <row r="77" spans="3:4" ht="16" customHeight="1" x14ac:dyDescent="0.2">
      <c r="C77" s="124"/>
      <c r="D77" s="124"/>
    </row>
    <row r="78" spans="3:4" ht="16" customHeight="1" x14ac:dyDescent="0.2">
      <c r="C78" s="124"/>
      <c r="D78" s="124"/>
    </row>
    <row r="79" spans="3:4" ht="16" customHeight="1" x14ac:dyDescent="0.2">
      <c r="C79" s="124"/>
      <c r="D79" s="124"/>
    </row>
    <row r="80" spans="3:4" ht="16" customHeight="1" x14ac:dyDescent="0.2">
      <c r="C80" s="124"/>
      <c r="D80" s="124"/>
    </row>
    <row r="81" spans="3:4" ht="16" customHeight="1" x14ac:dyDescent="0.2">
      <c r="C81" s="124"/>
      <c r="D81" s="124"/>
    </row>
    <row r="82" spans="3:4" ht="16" customHeight="1" x14ac:dyDescent="0.2">
      <c r="C82" s="124"/>
      <c r="D82" s="124"/>
    </row>
    <row r="83" spans="3:4" ht="16" customHeight="1" x14ac:dyDescent="0.2">
      <c r="C83" s="124"/>
      <c r="D83" s="124"/>
    </row>
    <row r="84" spans="3:4" ht="16" customHeight="1" x14ac:dyDescent="0.2">
      <c r="C84" s="124"/>
      <c r="D84" s="124"/>
    </row>
    <row r="85" spans="3:4" ht="16" customHeight="1" x14ac:dyDescent="0.2">
      <c r="C85" s="124"/>
      <c r="D85" s="124"/>
    </row>
    <row r="86" spans="3:4" ht="16" customHeight="1" x14ac:dyDescent="0.2">
      <c r="C86" s="124"/>
      <c r="D86" s="124"/>
    </row>
    <row r="87" spans="3:4" ht="16" customHeight="1" x14ac:dyDescent="0.2">
      <c r="C87" s="124"/>
      <c r="D87" s="124"/>
    </row>
    <row r="88" spans="3:4" ht="16" customHeight="1" x14ac:dyDescent="0.2">
      <c r="C88" s="124"/>
      <c r="D88" s="124"/>
    </row>
    <row r="89" spans="3:4" ht="16" customHeight="1" x14ac:dyDescent="0.2">
      <c r="C89" s="124"/>
      <c r="D89" s="124"/>
    </row>
    <row r="90" spans="3:4" ht="16" customHeight="1" x14ac:dyDescent="0.2">
      <c r="C90" s="124"/>
      <c r="D90" s="124"/>
    </row>
    <row r="91" spans="3:4" ht="16" customHeight="1" x14ac:dyDescent="0.2">
      <c r="C91" s="124"/>
      <c r="D91" s="124"/>
    </row>
    <row r="92" spans="3:4" ht="16" customHeight="1" x14ac:dyDescent="0.2">
      <c r="C92" s="124"/>
      <c r="D92" s="124"/>
    </row>
    <row r="93" spans="3:4" ht="16" customHeight="1" x14ac:dyDescent="0.2">
      <c r="C93" s="124"/>
      <c r="D93" s="124"/>
    </row>
    <row r="94" spans="3:4" ht="16" customHeight="1" x14ac:dyDescent="0.2">
      <c r="C94" s="124"/>
      <c r="D94" s="124"/>
    </row>
    <row r="95" spans="3:4" ht="16" customHeight="1" x14ac:dyDescent="0.2">
      <c r="C95" s="124"/>
      <c r="D95" s="124"/>
    </row>
    <row r="96" spans="3:4" ht="16" customHeight="1" x14ac:dyDescent="0.2">
      <c r="C96" s="124"/>
      <c r="D96" s="124"/>
    </row>
    <row r="97" spans="3:4" ht="16" customHeight="1" x14ac:dyDescent="0.2">
      <c r="C97" s="124"/>
      <c r="D97" s="124"/>
    </row>
    <row r="98" spans="3:4" ht="16" customHeight="1" x14ac:dyDescent="0.2">
      <c r="C98" s="124"/>
      <c r="D98" s="124"/>
    </row>
    <row r="99" spans="3:4" ht="16" customHeight="1" x14ac:dyDescent="0.2">
      <c r="C99" s="124"/>
      <c r="D99" s="124"/>
    </row>
    <row r="100" spans="3:4" ht="16" customHeight="1" x14ac:dyDescent="0.2">
      <c r="C100" s="124"/>
      <c r="D100" s="124"/>
    </row>
    <row r="101" spans="3:4" ht="16" customHeight="1" x14ac:dyDescent="0.2">
      <c r="C101" s="124"/>
      <c r="D101" s="124"/>
    </row>
    <row r="102" spans="3:4" ht="16" customHeight="1" x14ac:dyDescent="0.2">
      <c r="C102" s="124"/>
      <c r="D102" s="124"/>
    </row>
    <row r="103" spans="3:4" ht="16" customHeight="1" x14ac:dyDescent="0.2">
      <c r="C103" s="124"/>
      <c r="D103" s="124"/>
    </row>
    <row r="104" spans="3:4" ht="16" customHeight="1" x14ac:dyDescent="0.2">
      <c r="C104" s="124"/>
      <c r="D104" s="124"/>
    </row>
    <row r="105" spans="3:4" ht="16" customHeight="1" x14ac:dyDescent="0.2">
      <c r="C105" s="124"/>
      <c r="D105" s="124"/>
    </row>
    <row r="106" spans="3:4" ht="16" customHeight="1" x14ac:dyDescent="0.2">
      <c r="C106" s="124"/>
      <c r="D106" s="124"/>
    </row>
    <row r="107" spans="3:4" ht="16" customHeight="1" x14ac:dyDescent="0.2">
      <c r="C107" s="124"/>
      <c r="D107" s="124"/>
    </row>
    <row r="108" spans="3:4" ht="16" customHeight="1" x14ac:dyDescent="0.2">
      <c r="C108" s="124"/>
      <c r="D108" s="124"/>
    </row>
    <row r="109" spans="3:4" ht="16" customHeight="1" x14ac:dyDescent="0.2">
      <c r="C109" s="124"/>
      <c r="D109" s="124"/>
    </row>
    <row r="110" spans="3:4" ht="16" customHeight="1" x14ac:dyDescent="0.2">
      <c r="C110" s="124"/>
      <c r="D110" s="124"/>
    </row>
    <row r="111" spans="3:4" ht="16" customHeight="1" x14ac:dyDescent="0.2">
      <c r="C111" s="124"/>
      <c r="D111" s="124"/>
    </row>
    <row r="112" spans="3:4" ht="16" customHeight="1" x14ac:dyDescent="0.2">
      <c r="C112" s="124"/>
      <c r="D112" s="124"/>
    </row>
    <row r="113" spans="3:4" ht="16" customHeight="1" x14ac:dyDescent="0.2">
      <c r="C113" s="124"/>
      <c r="D113" s="124"/>
    </row>
    <row r="114" spans="3:4" ht="16" customHeight="1" x14ac:dyDescent="0.2">
      <c r="C114" s="124"/>
      <c r="D114" s="124"/>
    </row>
    <row r="115" spans="3:4" ht="16" customHeight="1" x14ac:dyDescent="0.2">
      <c r="C115" s="124"/>
      <c r="D115" s="124"/>
    </row>
    <row r="116" spans="3:4" ht="16" customHeight="1" x14ac:dyDescent="0.2">
      <c r="C116" s="124"/>
      <c r="D116" s="124"/>
    </row>
    <row r="117" spans="3:4" ht="16" customHeight="1" x14ac:dyDescent="0.2">
      <c r="C117" s="124"/>
      <c r="D117" s="124"/>
    </row>
    <row r="118" spans="3:4" ht="16" customHeight="1" x14ac:dyDescent="0.2">
      <c r="C118" s="124"/>
      <c r="D118" s="124"/>
    </row>
    <row r="119" spans="3:4" ht="16" customHeight="1" x14ac:dyDescent="0.2">
      <c r="C119" s="124"/>
      <c r="D119" s="124"/>
    </row>
    <row r="120" spans="3:4" ht="16" customHeight="1" x14ac:dyDescent="0.2">
      <c r="C120" s="124"/>
      <c r="D120" s="124"/>
    </row>
    <row r="121" spans="3:4" ht="16" customHeight="1" x14ac:dyDescent="0.2">
      <c r="C121" s="124"/>
      <c r="D121" s="124"/>
    </row>
    <row r="122" spans="3:4" ht="16" customHeight="1" x14ac:dyDescent="0.2">
      <c r="C122" s="124"/>
      <c r="D122" s="124"/>
    </row>
    <row r="123" spans="3:4" ht="16" customHeight="1" x14ac:dyDescent="0.2">
      <c r="C123" s="124"/>
      <c r="D123" s="124"/>
    </row>
    <row r="124" spans="3:4" ht="16" customHeight="1" x14ac:dyDescent="0.2">
      <c r="C124" s="124"/>
      <c r="D124" s="124"/>
    </row>
    <row r="125" spans="3:4" ht="16" customHeight="1" x14ac:dyDescent="0.2">
      <c r="C125" s="124"/>
      <c r="D125" s="124"/>
    </row>
    <row r="126" spans="3:4" ht="16" customHeight="1" x14ac:dyDescent="0.2">
      <c r="C126" s="124"/>
      <c r="D126" s="124"/>
    </row>
    <row r="127" spans="3:4" ht="16" customHeight="1" x14ac:dyDescent="0.2">
      <c r="C127" s="124"/>
      <c r="D127" s="124"/>
    </row>
    <row r="128" spans="3:4" ht="16" customHeight="1" x14ac:dyDescent="0.2">
      <c r="C128" s="124"/>
      <c r="D128" s="124"/>
    </row>
    <row r="129" spans="3:4" ht="16" customHeight="1" x14ac:dyDescent="0.2">
      <c r="C129" s="124"/>
      <c r="D129" s="124"/>
    </row>
    <row r="130" spans="3:4" ht="16" customHeight="1" x14ac:dyDescent="0.2">
      <c r="C130" s="124"/>
      <c r="D130" s="124"/>
    </row>
    <row r="131" spans="3:4" ht="16" customHeight="1" x14ac:dyDescent="0.2">
      <c r="C131" s="124"/>
      <c r="D131" s="124"/>
    </row>
    <row r="132" spans="3:4" ht="16" customHeight="1" x14ac:dyDescent="0.2">
      <c r="C132" s="124"/>
      <c r="D132" s="124"/>
    </row>
    <row r="133" spans="3:4" ht="16" customHeight="1" x14ac:dyDescent="0.2">
      <c r="C133" s="124"/>
      <c r="D133" s="124"/>
    </row>
    <row r="134" spans="3:4" ht="16" customHeight="1" x14ac:dyDescent="0.2">
      <c r="C134" s="124"/>
      <c r="D134" s="124"/>
    </row>
    <row r="135" spans="3:4" ht="16" customHeight="1" x14ac:dyDescent="0.2">
      <c r="C135" s="124"/>
      <c r="D135" s="124"/>
    </row>
    <row r="136" spans="3:4" ht="16" customHeight="1" x14ac:dyDescent="0.2">
      <c r="C136" s="124"/>
      <c r="D136" s="124"/>
    </row>
    <row r="137" spans="3:4" ht="16" customHeight="1" x14ac:dyDescent="0.2">
      <c r="C137" s="124"/>
      <c r="D137" s="124"/>
    </row>
    <row r="138" spans="3:4" ht="16" customHeight="1" x14ac:dyDescent="0.2">
      <c r="C138" s="124"/>
      <c r="D138" s="124"/>
    </row>
    <row r="139" spans="3:4" ht="16" customHeight="1" x14ac:dyDescent="0.2">
      <c r="C139" s="124"/>
      <c r="D139" s="124"/>
    </row>
    <row r="140" spans="3:4" ht="16" customHeight="1" x14ac:dyDescent="0.2">
      <c r="C140" s="124"/>
      <c r="D140" s="124"/>
    </row>
    <row r="141" spans="3:4" ht="16" customHeight="1" x14ac:dyDescent="0.2">
      <c r="C141" s="124"/>
      <c r="D141" s="124"/>
    </row>
    <row r="142" spans="3:4" ht="16" customHeight="1" x14ac:dyDescent="0.2">
      <c r="C142" s="124"/>
      <c r="D142" s="124"/>
    </row>
    <row r="143" spans="3:4" ht="16" customHeight="1" x14ac:dyDescent="0.2">
      <c r="C143" s="124"/>
      <c r="D143" s="124"/>
    </row>
    <row r="144" spans="3:4" ht="16" customHeight="1" x14ac:dyDescent="0.2">
      <c r="C144" s="124"/>
      <c r="D144" s="124"/>
    </row>
    <row r="145" spans="3:4" ht="16" customHeight="1" x14ac:dyDescent="0.2">
      <c r="C145" s="124"/>
      <c r="D145" s="124"/>
    </row>
    <row r="146" spans="3:4" ht="16" customHeight="1" x14ac:dyDescent="0.2">
      <c r="C146" s="124"/>
      <c r="D146" s="124"/>
    </row>
    <row r="147" spans="3:4" ht="16" customHeight="1" x14ac:dyDescent="0.2">
      <c r="C147" s="124"/>
      <c r="D147" s="124"/>
    </row>
    <row r="148" spans="3:4" ht="16" customHeight="1" x14ac:dyDescent="0.2">
      <c r="C148" s="124"/>
      <c r="D148" s="124"/>
    </row>
    <row r="149" spans="3:4" ht="16" customHeight="1" x14ac:dyDescent="0.2">
      <c r="C149" s="124"/>
      <c r="D149" s="124"/>
    </row>
    <row r="150" spans="3:4" ht="16" customHeight="1" x14ac:dyDescent="0.2">
      <c r="C150" s="124"/>
      <c r="D150" s="124"/>
    </row>
    <row r="151" spans="3:4" ht="16" customHeight="1" x14ac:dyDescent="0.2">
      <c r="C151" s="124"/>
      <c r="D151" s="124"/>
    </row>
    <row r="152" spans="3:4" ht="16" customHeight="1" x14ac:dyDescent="0.2">
      <c r="C152" s="124"/>
      <c r="D152" s="124"/>
    </row>
    <row r="153" spans="3:4" ht="16" customHeight="1" x14ac:dyDescent="0.2">
      <c r="C153" s="124"/>
      <c r="D153" s="124"/>
    </row>
  </sheetData>
  <conditionalFormatting sqref="E2:E42">
    <cfRule type="expression" dxfId="13" priority="5" stopIfTrue="1">
      <formula>$Q2=0</formula>
    </cfRule>
    <cfRule type="expression" dxfId="12" priority="6" stopIfTrue="1">
      <formula>AND($Q2&lt;&gt;0,$Q2&lt;&gt;"")</formula>
    </cfRule>
  </conditionalFormatting>
  <conditionalFormatting sqref="G9:G11">
    <cfRule type="expression" dxfId="11" priority="1" stopIfTrue="1">
      <formula>$Q9=0</formula>
    </cfRule>
    <cfRule type="expression" dxfId="10" priority="2" stopIfTrue="1">
      <formula>AND($Q9&lt;&gt;0,$Q9&lt;&gt;"")</formula>
    </cfRule>
  </conditionalFormatting>
  <conditionalFormatting sqref="N2:N42 P2:P42 R2:R42 T2:T42 V2:V43">
    <cfRule type="containsText" dxfId="9" priority="3" operator="containsText" text="Tăng">
      <formula>NOT(ISERROR(SEARCH("Tăng",N2)))</formula>
    </cfRule>
    <cfRule type="containsText" dxfId="8" priority="4" operator="containsText" text="giảm">
      <formula>NOT(ISERROR(SEARCH("giảm",N2)))</formula>
    </cfRule>
  </conditionalFormatting>
  <pageMargins left="0.7" right="0.7" top="0.75" bottom="0.75" header="0.3" footer="0.3"/>
  <pageSetup paperSize="9" orientation="portrait" horizontalDpi="0" verticalDpi="0"/>
  <legacyDrawing r:id="rId1"/>
</worksheet>
</file>

<file path=xl/worksheets/sheet10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900-000000000000}">
  <dimension ref="A1:Y151"/>
  <sheetViews>
    <sheetView showGridLines="0" zoomScale="75" zoomScaleNormal="80" workbookViewId="0">
      <pane xSplit="2" ySplit="1" topLeftCell="G2" activePane="bottomRight" state="frozen"/>
      <selection pane="topRight" activeCell="C1" sqref="C1"/>
      <selection pane="bottomLeft" activeCell="A2" sqref="A2"/>
      <selection pane="bottomRight" activeCell="P9" sqref="P9"/>
    </sheetView>
  </sheetViews>
  <sheetFormatPr baseColWidth="10" defaultColWidth="11" defaultRowHeight="15.75" customHeight="1" x14ac:dyDescent="0.2"/>
  <cols>
    <col min="1" max="1" width="30.5" customWidth="1"/>
    <col min="2" max="2" width="3.1640625" customWidth="1"/>
    <col min="3" max="3" width="14.83203125" customWidth="1"/>
    <col min="4" max="4" width="16" customWidth="1"/>
    <col min="5" max="5" width="15.5" style="6" customWidth="1"/>
    <col min="6" max="6" width="14.33203125" customWidth="1"/>
    <col min="7" max="12" width="11" customWidth="1"/>
    <col min="13" max="13" width="14.33203125" customWidth="1"/>
    <col min="14" max="14" width="42" customWidth="1"/>
    <col min="15" max="15" width="14.83203125" customWidth="1"/>
    <col min="16" max="16" width="51.5" customWidth="1"/>
    <col min="17" max="17" width="13.5" customWidth="1"/>
    <col min="18" max="18" width="46" customWidth="1"/>
    <col min="19" max="19" width="15.5" customWidth="1"/>
    <col min="20" max="20" width="42.33203125" customWidth="1"/>
    <col min="21" max="21" width="14.1640625" customWidth="1"/>
    <col min="22" max="22" width="48.33203125" customWidth="1"/>
  </cols>
  <sheetData>
    <row r="1" spans="1:25" ht="29" customHeight="1" x14ac:dyDescent="0.2">
      <c r="B1" s="46" t="s">
        <v>0</v>
      </c>
      <c r="C1" s="80" t="s">
        <v>1</v>
      </c>
      <c r="D1" s="80" t="s">
        <v>2</v>
      </c>
      <c r="E1" s="115" t="s">
        <v>3</v>
      </c>
      <c r="F1" s="81" t="s">
        <v>4</v>
      </c>
      <c r="G1" s="81" t="s">
        <v>5</v>
      </c>
      <c r="M1" s="143" t="s">
        <v>6</v>
      </c>
      <c r="N1" s="143" t="s">
        <v>7</v>
      </c>
      <c r="O1" s="144" t="s">
        <v>8</v>
      </c>
      <c r="P1" s="144" t="s">
        <v>9</v>
      </c>
      <c r="Q1" s="144" t="s">
        <v>10</v>
      </c>
      <c r="R1" s="144" t="s">
        <v>11</v>
      </c>
      <c r="S1" s="144" t="s">
        <v>12</v>
      </c>
      <c r="T1" s="144" t="s">
        <v>13</v>
      </c>
      <c r="U1" s="144" t="s">
        <v>14</v>
      </c>
      <c r="V1" s="145" t="s">
        <v>15</v>
      </c>
    </row>
    <row r="2" spans="1:25" ht="16" customHeight="1" x14ac:dyDescent="0.2">
      <c r="A2" t="s">
        <v>16</v>
      </c>
      <c r="B2" s="82"/>
      <c r="C2" s="129">
        <v>17590000</v>
      </c>
      <c r="D2" s="127">
        <v>17490000</v>
      </c>
      <c r="E2" s="134">
        <v>17290000</v>
      </c>
      <c r="F2" s="156">
        <v>17490000</v>
      </c>
      <c r="G2" s="110">
        <v>17290000</v>
      </c>
      <c r="H2" s="153"/>
      <c r="M2" s="148">
        <f>IFERROR(C2-W5Q3FY26!C2,"OOS")</f>
        <v>100000</v>
      </c>
      <c r="N2" s="146" t="str">
        <f t="shared" ref="N2:N16" si="0">IF(M2=0,"",$A2 &amp; IF(M2&gt;0," tăng "," giảm ") &amp; TEXT(ABS(M2)/1000,"0") &amp; "K = " &amp; TEXT(C2/1000,"#.##0") &amp; "K")</f>
        <v>iPhone 17e 256GB tăng 100K = 17590.0K</v>
      </c>
      <c r="O2" s="149">
        <f>IFERROR(D2-W5Q3FY26!D2,"OOS")</f>
        <v>0</v>
      </c>
      <c r="P2" s="146" t="str">
        <f t="shared" ref="P2:P40" si="1">IF(O2=0,"",$A2 &amp; IF(O2&gt;0," tăng "," giảm ") &amp; TEXT(ABS(O2)/1000,"0") &amp; "K = " &amp; TEXT(D2/1000,"#.##0") &amp; "K")</f>
        <v/>
      </c>
      <c r="Q2" s="149">
        <f>IFERROR(E2-W5Q3FY26!E2,"OOS")</f>
        <v>0</v>
      </c>
      <c r="R2" s="146" t="str">
        <f t="shared" ref="R2:R40" si="2">IF(Q2=0,"",$A2 &amp; IF(Q2&gt;0," tăng "," giảm ") &amp; TEXT(ABS(Q2)/1000,"0") &amp; "K = " &amp; TEXT(E2/1000,"#.##0") &amp; "K")</f>
        <v/>
      </c>
      <c r="S2" s="149">
        <f>IFERROR(F2-W5Q3FY26!F2,"OOS")</f>
        <v>0</v>
      </c>
      <c r="T2" s="146" t="str">
        <f t="shared" ref="T2:T16" si="3">IF(S2=0,"",$A2 &amp; IF(S2&gt;0," tăng "," giảm ") &amp; TEXT(ABS(S2)/1000,"0") &amp; "K = " &amp; TEXT(F2/1000,"#.##0") &amp; "K")</f>
        <v/>
      </c>
      <c r="U2" s="149">
        <f>IFERROR(G2-W5Q3FY26!G2,"OOS")</f>
        <v>0</v>
      </c>
      <c r="V2" s="146" t="str">
        <f t="shared" ref="V2:V18" si="4">IF(U2=0,"",$A2 &amp; IF(U2&gt;0," tăng "," giảm ") &amp; TEXT(ABS(U2)/1000,"0") &amp; "K = " &amp; TEXT(G2/1000,"#.##0") &amp; "K")</f>
        <v/>
      </c>
    </row>
    <row r="3" spans="1:25" ht="16" customHeight="1" x14ac:dyDescent="0.2">
      <c r="A3" t="s">
        <v>17</v>
      </c>
      <c r="B3" s="82"/>
      <c r="C3" s="129">
        <v>24590000</v>
      </c>
      <c r="D3" s="127">
        <v>24490000</v>
      </c>
      <c r="E3" s="130">
        <v>23290000</v>
      </c>
      <c r="F3" s="160">
        <v>24390000</v>
      </c>
      <c r="G3" s="111">
        <v>23790000</v>
      </c>
      <c r="H3" s="153"/>
      <c r="M3" s="148">
        <f>IFERROR(C3-W5Q3FY26!C3,"OOS")</f>
        <v>100000</v>
      </c>
      <c r="N3" s="146" t="str">
        <f t="shared" si="0"/>
        <v>iPhone 17  256GB tăng 100K = 24590.0K</v>
      </c>
      <c r="O3" s="149">
        <f>IFERROR(D3-W5Q3FY26!D3,"OOS")</f>
        <v>0</v>
      </c>
      <c r="P3" s="146" t="str">
        <f t="shared" si="1"/>
        <v/>
      </c>
      <c r="Q3" s="149">
        <f>IFERROR(E3-W5Q3FY26!E3,"OOS")</f>
        <v>-200000</v>
      </c>
      <c r="R3" s="146" t="str">
        <f t="shared" si="2"/>
        <v>iPhone 17  256GB giảm 200K = 23290.0K</v>
      </c>
      <c r="S3" s="149">
        <f>IFERROR(F3-W5Q3FY26!F3,"OOS")</f>
        <v>0</v>
      </c>
      <c r="T3" s="146" t="str">
        <f t="shared" si="3"/>
        <v/>
      </c>
      <c r="U3" s="149">
        <f>IFERROR(G3-W5Q3FY26!G3,"OOS")</f>
        <v>-400000</v>
      </c>
      <c r="V3" s="146" t="str">
        <f t="shared" si="4"/>
        <v>iPhone 17  256GB giảm 400K = 23790.0K</v>
      </c>
    </row>
    <row r="4" spans="1:25" ht="16" customHeight="1" x14ac:dyDescent="0.2">
      <c r="A4" t="s">
        <v>18</v>
      </c>
      <c r="B4" s="82"/>
      <c r="C4" s="127">
        <v>22990000</v>
      </c>
      <c r="D4" s="127">
        <v>22990000</v>
      </c>
      <c r="E4" s="130">
        <v>22990000</v>
      </c>
      <c r="F4" s="133">
        <v>22890000</v>
      </c>
      <c r="G4" s="110">
        <v>23490000</v>
      </c>
      <c r="H4" s="153"/>
      <c r="M4" s="148">
        <f>IFERROR(C4-W5Q3FY26!C4,"OOS")</f>
        <v>0</v>
      </c>
      <c r="N4" s="146" t="str">
        <f t="shared" si="0"/>
        <v/>
      </c>
      <c r="O4" s="149">
        <f>IFERROR(D4-W5Q3FY26!D4,"OOS")</f>
        <v>0</v>
      </c>
      <c r="P4" s="146" t="str">
        <f t="shared" si="1"/>
        <v/>
      </c>
      <c r="Q4" s="149">
        <f>IFERROR(E4-W5Q3FY26!E4,"OOS")</f>
        <v>0</v>
      </c>
      <c r="R4" s="146" t="str">
        <f t="shared" si="2"/>
        <v/>
      </c>
      <c r="S4" s="149">
        <f>IFERROR(F4-W5Q3FY26!F4,"OOS")</f>
        <v>-100000</v>
      </c>
      <c r="T4" s="146" t="str">
        <f t="shared" si="3"/>
        <v>iPhone Air 256G giảm 100K = 22890.0K</v>
      </c>
      <c r="U4" s="149">
        <f>IFERROR(G4-W5Q3FY26!G4,"OOS")</f>
        <v>0</v>
      </c>
      <c r="V4" s="146" t="str">
        <f t="shared" si="4"/>
        <v/>
      </c>
    </row>
    <row r="5" spans="1:25" ht="16" customHeight="1" x14ac:dyDescent="0.2">
      <c r="A5" t="s">
        <v>19</v>
      </c>
      <c r="B5" s="82"/>
      <c r="C5" s="127">
        <v>34790000</v>
      </c>
      <c r="D5" s="127">
        <v>34690000</v>
      </c>
      <c r="E5" s="130">
        <v>33190000</v>
      </c>
      <c r="F5" s="133">
        <v>34590000</v>
      </c>
      <c r="G5" s="110">
        <v>33990000</v>
      </c>
      <c r="H5" s="153"/>
      <c r="M5" s="148">
        <f>IFERROR(C5-W5Q3FY26!C5,"OOS")</f>
        <v>0</v>
      </c>
      <c r="N5" s="146" t="str">
        <f t="shared" si="0"/>
        <v/>
      </c>
      <c r="O5" s="149">
        <f>IFERROR(D5-W5Q3FY26!D5,"OOS")</f>
        <v>0</v>
      </c>
      <c r="P5" s="146" t="str">
        <f t="shared" si="1"/>
        <v/>
      </c>
      <c r="Q5" s="149">
        <f>IFERROR(E5-W5Q3FY26!E5,"OOS")</f>
        <v>0</v>
      </c>
      <c r="R5" s="146" t="str">
        <f t="shared" si="2"/>
        <v/>
      </c>
      <c r="S5" s="149">
        <f>IFERROR(F5-W5Q3FY26!F5,"OOS")</f>
        <v>100000</v>
      </c>
      <c r="T5" s="146" t="str">
        <f t="shared" si="3"/>
        <v>iPhone 17 Pro 256GB tăng 100K = 34590.0K</v>
      </c>
      <c r="U5" s="149">
        <f>IFERROR(G5-W5Q3FY26!G5,"OOS")</f>
        <v>0</v>
      </c>
      <c r="V5" s="146" t="str">
        <f t="shared" si="4"/>
        <v/>
      </c>
    </row>
    <row r="6" spans="1:25" ht="16" customHeight="1" x14ac:dyDescent="0.2">
      <c r="A6" t="s">
        <v>20</v>
      </c>
      <c r="B6" s="82"/>
      <c r="C6" s="127">
        <v>36990000</v>
      </c>
      <c r="D6" s="127">
        <v>36990000</v>
      </c>
      <c r="E6" s="134" t="s">
        <v>22</v>
      </c>
      <c r="F6" s="133">
        <v>36890000</v>
      </c>
      <c r="G6" s="111">
        <v>36790000</v>
      </c>
      <c r="H6" s="153"/>
      <c r="M6" s="148">
        <f>IFERROR(C6-W5Q3FY26!C6,"OOS")</f>
        <v>0</v>
      </c>
      <c r="N6" s="146" t="str">
        <f t="shared" si="0"/>
        <v/>
      </c>
      <c r="O6" s="149">
        <f>IFERROR(D6-W5Q3FY26!D6,"OOS")</f>
        <v>0</v>
      </c>
      <c r="P6" s="146" t="str">
        <f t="shared" si="1"/>
        <v/>
      </c>
      <c r="Q6" s="149" t="str">
        <f>IFERROR(E6-W5Q3FY26!E6,"OOS")</f>
        <v>OOS</v>
      </c>
      <c r="R6" s="146" t="e">
        <f t="shared" si="2"/>
        <v>#VALUE!</v>
      </c>
      <c r="S6" s="149">
        <f>IFERROR(F6-W5Q3FY26!F6,"OOS")</f>
        <v>-100000</v>
      </c>
      <c r="T6" s="146" t="str">
        <f t="shared" si="3"/>
        <v>iPhone 17 Pro Max 256GB giảm 100K = 36890.0K</v>
      </c>
      <c r="U6" s="149">
        <f>IFERROR(G6-W5Q3FY26!G6,"OOS")</f>
        <v>-100000</v>
      </c>
      <c r="V6" s="146" t="str">
        <f t="shared" si="4"/>
        <v>iPhone 17 Pro Max 256GB giảm 100K = 36790.0K</v>
      </c>
    </row>
    <row r="7" spans="1:25" ht="16" customHeight="1" x14ac:dyDescent="0.2">
      <c r="A7" t="s">
        <v>21</v>
      </c>
      <c r="B7" s="82"/>
      <c r="C7" s="127" t="s">
        <v>22</v>
      </c>
      <c r="D7" s="135">
        <v>14990000</v>
      </c>
      <c r="E7" s="134">
        <v>11990000</v>
      </c>
      <c r="F7" s="158">
        <v>12990000</v>
      </c>
      <c r="G7" s="110">
        <v>15190000</v>
      </c>
      <c r="H7" s="153"/>
      <c r="M7" s="148" t="str">
        <f>IFERROR(C7-W5Q3FY26!C7,"OOS")</f>
        <v>OOS</v>
      </c>
      <c r="N7" s="146" t="e">
        <f t="shared" si="0"/>
        <v>#VALUE!</v>
      </c>
      <c r="O7" s="149">
        <f>IFERROR(D7-W5Q3FY26!D7,"OOS")</f>
        <v>0</v>
      </c>
      <c r="P7" s="146" t="str">
        <f t="shared" si="1"/>
        <v/>
      </c>
      <c r="Q7" s="149">
        <f>IFERROR(E7-W5Q3FY26!E7,"OOS")</f>
        <v>0</v>
      </c>
      <c r="R7" s="146" t="str">
        <f t="shared" si="2"/>
        <v/>
      </c>
      <c r="S7" s="149">
        <f>IFERROR(F7-W5Q3FY26!F7,"OOS")</f>
        <v>1000000</v>
      </c>
      <c r="T7" s="146" t="str">
        <f t="shared" si="3"/>
        <v>iPhone 16e  128GB tăng 1000K = 12990.0K</v>
      </c>
      <c r="U7" s="149">
        <f>IFERROR(G7-W5Q3FY26!G7,"OOS")</f>
        <v>0</v>
      </c>
      <c r="V7" s="146" t="str">
        <f t="shared" si="4"/>
        <v/>
      </c>
    </row>
    <row r="8" spans="1:25" ht="16" customHeight="1" x14ac:dyDescent="0.2">
      <c r="A8" t="s">
        <v>23</v>
      </c>
      <c r="B8" s="70"/>
      <c r="C8" s="137">
        <v>20790000</v>
      </c>
      <c r="D8" s="137">
        <v>20790000</v>
      </c>
      <c r="E8" s="139">
        <v>20490000</v>
      </c>
      <c r="F8" s="133">
        <v>20590000</v>
      </c>
      <c r="G8" s="110">
        <v>20490000</v>
      </c>
      <c r="H8" s="153"/>
      <c r="M8" s="148">
        <f>IFERROR(C8-W5Q3FY26!C8,"OOS")</f>
        <v>800000</v>
      </c>
      <c r="N8" s="146" t="str">
        <f t="shared" si="0"/>
        <v>iPhone 16 128GB tăng 800K = 20790.0K</v>
      </c>
      <c r="O8" s="149">
        <f>IFERROR(D8-W5Q3FY26!D8,"OOS")</f>
        <v>800000</v>
      </c>
      <c r="P8" s="146" t="str">
        <f t="shared" si="1"/>
        <v>iPhone 16 128GB tăng 800K = 20790.0K</v>
      </c>
      <c r="Q8" s="149">
        <f>IFERROR(E8-W5Q3FY26!E8,"OOS")</f>
        <v>0</v>
      </c>
      <c r="R8" s="146" t="str">
        <f t="shared" si="2"/>
        <v/>
      </c>
      <c r="S8" s="149">
        <f>IFERROR(F8-W5Q3FY26!F8,"OOS")</f>
        <v>600000</v>
      </c>
      <c r="T8" s="146" t="str">
        <f t="shared" si="3"/>
        <v>iPhone 16 128GB tăng 600K = 20590.0K</v>
      </c>
      <c r="U8" s="149">
        <f>IFERROR(G8-W5Q3FY26!G8,"OOS")</f>
        <v>0</v>
      </c>
      <c r="V8" s="146" t="str">
        <f t="shared" si="4"/>
        <v/>
      </c>
    </row>
    <row r="9" spans="1:25" ht="16" customHeight="1" x14ac:dyDescent="0.2">
      <c r="A9" t="s">
        <v>24</v>
      </c>
      <c r="B9" s="3"/>
      <c r="C9" s="140">
        <v>24490000</v>
      </c>
      <c r="D9" s="140">
        <v>24490000</v>
      </c>
      <c r="E9" s="139">
        <v>24790000</v>
      </c>
      <c r="F9" s="133">
        <v>24290000</v>
      </c>
      <c r="G9" s="110">
        <v>24590000</v>
      </c>
      <c r="H9" s="153"/>
      <c r="M9" s="148">
        <f>IFERROR(C9-W5Q3FY26!C9,"OOS")</f>
        <v>500000</v>
      </c>
      <c r="N9" s="146" t="str">
        <f t="shared" si="0"/>
        <v>iPhone 16  Plus 128GB tăng 500K = 24490.0K</v>
      </c>
      <c r="O9" s="149">
        <f>IFERROR(D9-W5Q3FY26!D9,"OOS")</f>
        <v>1000000</v>
      </c>
      <c r="P9" s="146" t="str">
        <f t="shared" si="1"/>
        <v>iPhone 16  Plus 128GB tăng 1000K = 24490.0K</v>
      </c>
      <c r="Q9" s="149">
        <f>IFERROR(E9-W5Q3FY26!E9,"OOS")</f>
        <v>500000</v>
      </c>
      <c r="R9" s="146" t="str">
        <f t="shared" si="2"/>
        <v>iPhone 16  Plus 128GB tăng 500K = 24790.0K</v>
      </c>
      <c r="S9" s="149">
        <f>IFERROR(F9-W5Q3FY26!F9,"OOS")</f>
        <v>300000</v>
      </c>
      <c r="T9" s="146" t="str">
        <f t="shared" si="3"/>
        <v>iPhone 16  Plus 128GB tăng 300K = 24290.0K</v>
      </c>
      <c r="U9" s="149">
        <f>IFERROR(G9-W5Q3FY26!G9,"OOS")</f>
        <v>200000</v>
      </c>
      <c r="V9" s="146" t="str">
        <f t="shared" si="4"/>
        <v>iPhone 16  Plus 128GB tăng 200K = 24590.0K</v>
      </c>
    </row>
    <row r="10" spans="1:25" ht="16" customHeight="1" x14ac:dyDescent="0.2">
      <c r="A10" t="s">
        <v>25</v>
      </c>
      <c r="B10" s="25"/>
      <c r="C10" s="140">
        <v>17990000</v>
      </c>
      <c r="D10" s="140">
        <v>17890000</v>
      </c>
      <c r="E10" s="154">
        <v>17190000</v>
      </c>
      <c r="F10" s="133">
        <v>17890000</v>
      </c>
      <c r="G10" s="110">
        <v>17390000</v>
      </c>
      <c r="H10" s="153"/>
      <c r="M10" s="148">
        <f>IFERROR(C10-W5Q3FY26!C12,"OOS")</f>
        <v>400000</v>
      </c>
      <c r="N10" s="146" t="str">
        <f t="shared" si="0"/>
        <v>iPhone 15  128GB tăng 400K = 17990.0K</v>
      </c>
      <c r="O10" s="149">
        <f>IFERROR(D10-W5Q3FY26!D12,"OOS")</f>
        <v>400000</v>
      </c>
      <c r="P10" s="146" t="str">
        <f t="shared" si="1"/>
        <v>iPhone 15  128GB tăng 400K = 17890.0K</v>
      </c>
      <c r="Q10" s="149">
        <f>IFERROR(E10-W5Q3FY26!E12,"OOS")</f>
        <v>0</v>
      </c>
      <c r="R10" s="146" t="str">
        <f t="shared" si="2"/>
        <v/>
      </c>
      <c r="S10" s="149">
        <f>IFERROR(F10-W5Q3FY26!F12,"OOS")</f>
        <v>300000</v>
      </c>
      <c r="T10" s="146" t="str">
        <f t="shared" si="3"/>
        <v>iPhone 15  128GB tăng 300K = 17890.0K</v>
      </c>
      <c r="U10" s="149">
        <f>IFERROR(G10-W5Q3FY26!G12,"OOS")</f>
        <v>0</v>
      </c>
      <c r="V10" s="146" t="str">
        <f t="shared" si="4"/>
        <v/>
      </c>
    </row>
    <row r="11" spans="1:25" ht="16" customHeight="1" x14ac:dyDescent="0.2">
      <c r="A11" t="s">
        <v>26</v>
      </c>
      <c r="B11" s="25"/>
      <c r="C11" s="135">
        <v>17990000</v>
      </c>
      <c r="D11" s="135" t="s">
        <v>22</v>
      </c>
      <c r="E11" s="130" t="s">
        <v>22</v>
      </c>
      <c r="F11" s="132">
        <v>17690000</v>
      </c>
      <c r="G11" s="110" t="s">
        <v>22</v>
      </c>
      <c r="H11" s="153"/>
      <c r="M11" s="148">
        <f>IFERROR(C11-W5Q3FY26!C13,"OOS")</f>
        <v>0</v>
      </c>
      <c r="N11" s="146" t="str">
        <f t="shared" si="0"/>
        <v/>
      </c>
      <c r="O11" s="149" t="str">
        <f>IFERROR(D11-W5Q3FY26!D13,"OOS")</f>
        <v>OOS</v>
      </c>
      <c r="P11" s="146" t="e">
        <f t="shared" si="1"/>
        <v>#VALUE!</v>
      </c>
      <c r="Q11" s="149" t="str">
        <f>IFERROR(E11-W5Q3FY26!E13,"OOS")</f>
        <v>OOS</v>
      </c>
      <c r="R11" s="146" t="e">
        <f t="shared" si="2"/>
        <v>#VALUE!</v>
      </c>
      <c r="S11" s="149">
        <f>IFERROR(F11-W5Q3FY26!F13,"OOS")</f>
        <v>0</v>
      </c>
      <c r="T11" s="146" t="str">
        <f t="shared" si="3"/>
        <v/>
      </c>
      <c r="U11" s="149" t="str">
        <f>IFERROR(G11-W5Q3FY26!G13,"OOS")</f>
        <v>OOS</v>
      </c>
      <c r="V11" s="146" t="e">
        <f t="shared" si="4"/>
        <v>#VALUE!</v>
      </c>
    </row>
    <row r="12" spans="1:25" ht="16" customHeight="1" x14ac:dyDescent="0.2">
      <c r="A12" t="s">
        <v>27</v>
      </c>
      <c r="B12" s="25"/>
      <c r="C12" s="135">
        <v>13990000</v>
      </c>
      <c r="D12" s="140">
        <v>13990000</v>
      </c>
      <c r="E12" s="130">
        <v>13790000</v>
      </c>
      <c r="F12" s="132">
        <v>13990000</v>
      </c>
      <c r="G12" s="110">
        <v>12990000</v>
      </c>
      <c r="H12" s="153"/>
      <c r="M12" s="148">
        <f>IFERROR(C12-W5Q3FY26!C14,"OOS")</f>
        <v>0</v>
      </c>
      <c r="N12" s="146" t="str">
        <f t="shared" si="0"/>
        <v/>
      </c>
      <c r="O12" s="149">
        <f>IFERROR(D12-W5Q3FY26!D14,"OOS")</f>
        <v>500000</v>
      </c>
      <c r="P12" s="146" t="str">
        <f t="shared" si="1"/>
        <v>iPhone 14 128GB tăng 500K = 13990.0K</v>
      </c>
      <c r="Q12" s="149">
        <f>IFERROR(E12-W5Q3FY26!E14,"OOS")</f>
        <v>500000</v>
      </c>
      <c r="R12" s="146" t="str">
        <f t="shared" si="2"/>
        <v>iPhone 14 128GB tăng 500K = 13790.0K</v>
      </c>
      <c r="S12" s="149">
        <f>IFERROR(F12-W5Q3FY26!F14,"OOS")</f>
        <v>0</v>
      </c>
      <c r="T12" s="146" t="str">
        <f t="shared" si="3"/>
        <v/>
      </c>
      <c r="U12" s="149">
        <f>IFERROR(G12-W5Q3FY26!G14,"OOS")</f>
        <v>0</v>
      </c>
      <c r="V12" s="146" t="str">
        <f t="shared" si="4"/>
        <v/>
      </c>
    </row>
    <row r="13" spans="1:25" ht="16" customHeight="1" x14ac:dyDescent="0.2">
      <c r="A13" t="s">
        <v>28</v>
      </c>
      <c r="B13" s="3"/>
      <c r="C13" s="135">
        <v>11990000</v>
      </c>
      <c r="D13" s="135">
        <v>11990000</v>
      </c>
      <c r="E13" s="139">
        <v>12090000</v>
      </c>
      <c r="F13" s="132">
        <v>11990000</v>
      </c>
      <c r="G13" s="110">
        <v>11890000</v>
      </c>
      <c r="H13" s="153"/>
      <c r="M13" s="148">
        <f>IFERROR(C13-W5Q3FY26!C15,"OOS")</f>
        <v>0</v>
      </c>
      <c r="N13" s="146" t="str">
        <f t="shared" si="0"/>
        <v/>
      </c>
      <c r="O13" s="149">
        <f>IFERROR(D13-W5Q3FY26!D15,"OOS")</f>
        <v>0</v>
      </c>
      <c r="P13" s="146" t="str">
        <f t="shared" si="1"/>
        <v/>
      </c>
      <c r="Q13" s="149">
        <f>IFERROR(E13-W5Q3FY26!E15,"OOS")</f>
        <v>500000</v>
      </c>
      <c r="R13" s="146" t="str">
        <f t="shared" si="2"/>
        <v>iPhone 13  128GB tăng 500K = 12090.0K</v>
      </c>
      <c r="S13" s="149">
        <f>IFERROR(F13-W5Q3FY26!F15,"OOS")</f>
        <v>0</v>
      </c>
      <c r="T13" s="146" t="str">
        <f t="shared" si="3"/>
        <v/>
      </c>
      <c r="U13" s="149">
        <f>IFERROR(G13-W5Q3FY26!G15,"OOS")</f>
        <v>0</v>
      </c>
      <c r="V13" s="146" t="str">
        <f t="shared" si="4"/>
        <v/>
      </c>
    </row>
    <row r="14" spans="1:25" ht="16" customHeight="1" x14ac:dyDescent="0.2">
      <c r="A14" t="s">
        <v>29</v>
      </c>
      <c r="B14" s="25"/>
      <c r="C14" s="135">
        <v>12890000</v>
      </c>
      <c r="D14" s="140">
        <v>16190000</v>
      </c>
      <c r="E14" s="139">
        <v>13290000</v>
      </c>
      <c r="F14" s="132">
        <v>12890000</v>
      </c>
      <c r="G14" s="110">
        <v>13090000</v>
      </c>
      <c r="H14" s="153"/>
      <c r="M14" s="148">
        <f>IFERROR(C14-W5Q3FY26!C16,"OOS")</f>
        <v>0</v>
      </c>
      <c r="N14" s="146" t="str">
        <f t="shared" si="0"/>
        <v/>
      </c>
      <c r="O14" s="149">
        <f>IFERROR(D14-W5Q3FY26!D16,"OOS")</f>
        <v>2700000</v>
      </c>
      <c r="P14" s="146" t="str">
        <f t="shared" si="1"/>
        <v>iPad Mini 7 128GB Wifi tăng 2700K = 16190.0K</v>
      </c>
      <c r="Q14" s="149">
        <f>IFERROR(E14-W5Q3FY26!E16,"OOS")</f>
        <v>0</v>
      </c>
      <c r="R14" s="146" t="str">
        <f t="shared" si="2"/>
        <v/>
      </c>
      <c r="S14" s="149">
        <f>IFERROR(F14-W5Q3FY26!F16,"OOS")</f>
        <v>0</v>
      </c>
      <c r="T14" s="146" t="str">
        <f t="shared" si="3"/>
        <v/>
      </c>
      <c r="U14" s="149">
        <f>IFERROR(G14-W5Q3FY26!G16,"OOS")</f>
        <v>0</v>
      </c>
      <c r="V14" s="146" t="str">
        <f t="shared" si="4"/>
        <v/>
      </c>
    </row>
    <row r="15" spans="1:25" ht="16" customHeight="1" x14ac:dyDescent="0.2">
      <c r="A15" t="s">
        <v>30</v>
      </c>
      <c r="B15" s="3"/>
      <c r="C15" s="135">
        <v>9290000</v>
      </c>
      <c r="D15" s="135">
        <v>9290000</v>
      </c>
      <c r="E15" s="154">
        <v>9190000</v>
      </c>
      <c r="F15" s="132">
        <v>9290000</v>
      </c>
      <c r="G15" s="111">
        <v>9190000</v>
      </c>
      <c r="H15" s="153"/>
      <c r="M15" s="148">
        <f>IFERROR(C15-W5Q3FY26!C17,"OOS")</f>
        <v>0</v>
      </c>
      <c r="N15" s="146" t="str">
        <f t="shared" si="0"/>
        <v/>
      </c>
      <c r="O15" s="149">
        <f>IFERROR(D15-W5Q3FY26!D17,"OOS")</f>
        <v>0</v>
      </c>
      <c r="P15" s="146" t="str">
        <f t="shared" si="1"/>
        <v/>
      </c>
      <c r="Q15" s="149">
        <f>IFERROR(E15-W5Q3FY26!E17,"OOS")</f>
        <v>0</v>
      </c>
      <c r="R15" s="146" t="str">
        <f t="shared" si="2"/>
        <v/>
      </c>
      <c r="S15" s="149">
        <f>IFERROR(F15-W5Q3FY26!F17,"OOS")</f>
        <v>0</v>
      </c>
      <c r="T15" s="146" t="str">
        <f t="shared" si="3"/>
        <v/>
      </c>
      <c r="U15" s="149">
        <f>IFERROR(G15-W5Q3FY26!G17,"OOS")</f>
        <v>-100000</v>
      </c>
      <c r="V15" s="146" t="str">
        <f t="shared" si="4"/>
        <v>iPad Gen 11th  128GB Wifi giảm 100K = 9190.0K</v>
      </c>
      <c r="W15" t="s">
        <v>31</v>
      </c>
      <c r="X15" t="s">
        <v>32</v>
      </c>
      <c r="Y15" t="b">
        <v>0</v>
      </c>
    </row>
    <row r="16" spans="1:25" ht="16" customHeight="1" x14ac:dyDescent="0.2">
      <c r="A16" t="s">
        <v>33</v>
      </c>
      <c r="B16" s="3"/>
      <c r="C16" s="140">
        <v>15290000</v>
      </c>
      <c r="D16" s="135">
        <v>14990000</v>
      </c>
      <c r="E16" s="154">
        <v>14290000</v>
      </c>
      <c r="F16" s="132">
        <v>15190000</v>
      </c>
      <c r="G16" s="110" t="s">
        <v>22</v>
      </c>
      <c r="H16" s="153"/>
      <c r="M16" s="148">
        <f>IFERROR(C16-W5Q3FY26!C18,"OOS")</f>
        <v>300000</v>
      </c>
      <c r="N16" s="146" t="str">
        <f t="shared" si="0"/>
        <v>iPad Air M3  11" 128 GB Wifi tăng 300K = 15290.0K</v>
      </c>
      <c r="O16" s="149">
        <f>IFERROR(D16-W5Q3FY26!D18,"OOS")</f>
        <v>0</v>
      </c>
      <c r="P16" s="146" t="str">
        <f t="shared" si="1"/>
        <v/>
      </c>
      <c r="Q16" s="149">
        <f>IFERROR(E16-W5Q3FY26!E18,"OOS")</f>
        <v>0</v>
      </c>
      <c r="R16" s="146" t="str">
        <f t="shared" si="2"/>
        <v/>
      </c>
      <c r="S16" s="149">
        <f>IFERROR(F16-W5Q3FY26!F18,"OOS")</f>
        <v>0</v>
      </c>
      <c r="T16" s="146" t="str">
        <f t="shared" si="3"/>
        <v/>
      </c>
      <c r="U16" s="149" t="str">
        <f>IFERROR(G16-W5Q3FY26!G18,"OOS")</f>
        <v>OOS</v>
      </c>
      <c r="V16" s="146" t="e">
        <f t="shared" si="4"/>
        <v>#VALUE!</v>
      </c>
      <c r="W16" t="s">
        <v>2</v>
      </c>
      <c r="X16" t="s">
        <v>34</v>
      </c>
      <c r="Y16" t="b">
        <v>0</v>
      </c>
    </row>
    <row r="17" spans="1:25" ht="16" customHeight="1" x14ac:dyDescent="0.2">
      <c r="A17" t="s">
        <v>35</v>
      </c>
      <c r="B17" s="3"/>
      <c r="C17" s="135">
        <v>16490000</v>
      </c>
      <c r="D17" s="135">
        <v>16490000</v>
      </c>
      <c r="E17" s="154">
        <v>15790000</v>
      </c>
      <c r="F17" s="110">
        <v>16390000</v>
      </c>
      <c r="G17" s="111">
        <v>16090000</v>
      </c>
      <c r="H17" s="153"/>
      <c r="M17" s="148">
        <f>IFERROR(C17-W5Q3FY26!C19,"OOS")</f>
        <v>0</v>
      </c>
      <c r="N17" s="146"/>
      <c r="O17" s="149">
        <f>IFERROR(D17-W5Q3FY26!D19,"OOS")</f>
        <v>0</v>
      </c>
      <c r="P17" s="146" t="str">
        <f t="shared" si="1"/>
        <v/>
      </c>
      <c r="Q17" s="149">
        <f>IFERROR(E17-W5Q3FY26!E19,"OOS")</f>
        <v>0</v>
      </c>
      <c r="R17" s="146" t="str">
        <f t="shared" si="2"/>
        <v/>
      </c>
      <c r="S17" s="149">
        <f>IFERROR(F17-W5Q3FY26!F19,"OOS")</f>
        <v>0</v>
      </c>
      <c r="T17" s="146"/>
      <c r="U17" s="149">
        <f>IFERROR(G17-W5Q3FY26!G19,"OOS")</f>
        <v>-300000</v>
      </c>
      <c r="V17" s="146" t="str">
        <f t="shared" si="4"/>
        <v>iPad Air M4  11" 128 GB Wifi giảm 300K = 16090.0K</v>
      </c>
      <c r="W17" t="s">
        <v>3</v>
      </c>
      <c r="X17" t="s">
        <v>36</v>
      </c>
      <c r="Y17" t="b">
        <v>1</v>
      </c>
    </row>
    <row r="18" spans="1:25" ht="16" customHeight="1" x14ac:dyDescent="0.2">
      <c r="A18" t="s">
        <v>37</v>
      </c>
      <c r="B18" s="25"/>
      <c r="C18" s="140">
        <v>18890000</v>
      </c>
      <c r="D18" s="135">
        <v>19990000</v>
      </c>
      <c r="E18" s="154">
        <v>19190000</v>
      </c>
      <c r="F18" s="132">
        <v>18790000</v>
      </c>
      <c r="G18" s="110" t="s">
        <v>22</v>
      </c>
      <c r="H18" s="153"/>
      <c r="M18" s="148">
        <f>IFERROR(C18-W5Q3FY26!C20,"OOS")</f>
        <v>-1000000</v>
      </c>
      <c r="N18" s="146" t="str">
        <f>IF(M18=0,"",$A18 &amp; IF(M18&gt;0," tăng "," giảm ") &amp; TEXT(ABS(M18)/1000,"0") &amp; "K = " &amp; TEXT(C18/1000,"#.##0") &amp; "K")</f>
        <v>iPad Air M3  13" 128 GB Wifi giảm 1000K = 18890.0K</v>
      </c>
      <c r="O18" s="149">
        <f>IFERROR(D18-W5Q3FY26!D20,"OOS")</f>
        <v>0</v>
      </c>
      <c r="P18" s="146" t="str">
        <f t="shared" si="1"/>
        <v/>
      </c>
      <c r="Q18" s="149">
        <f>IFERROR(E18-W5Q3FY26!E20,"OOS")</f>
        <v>0</v>
      </c>
      <c r="R18" s="146" t="str">
        <f t="shared" si="2"/>
        <v/>
      </c>
      <c r="S18" s="149">
        <f>IFERROR(F18-W5Q3FY26!F20,"OOS")</f>
        <v>0</v>
      </c>
      <c r="T18" s="146" t="str">
        <f>IF(S18=0,"",$A18 &amp; IF(S18&gt;0," tăng "," giảm ") &amp; TEXT(ABS(S18)/1000,"0") &amp; "K = " &amp; TEXT(F18/1000,"#.##0") &amp; "K")</f>
        <v/>
      </c>
      <c r="U18" s="149" t="str">
        <f>IFERROR(G18-W5Q3FY26!G20,"OOS")</f>
        <v>OOS</v>
      </c>
      <c r="V18" s="146" t="e">
        <f t="shared" si="4"/>
        <v>#VALUE!</v>
      </c>
      <c r="W18" t="s">
        <v>4</v>
      </c>
      <c r="X18" t="s">
        <v>38</v>
      </c>
      <c r="Y18" t="b">
        <v>0</v>
      </c>
    </row>
    <row r="19" spans="1:25" ht="16" customHeight="1" x14ac:dyDescent="0.2">
      <c r="A19" t="s">
        <v>39</v>
      </c>
      <c r="B19" s="25"/>
      <c r="C19" s="135">
        <v>22090000</v>
      </c>
      <c r="D19" s="140">
        <v>21590000</v>
      </c>
      <c r="E19" s="161">
        <v>21290000</v>
      </c>
      <c r="F19" s="140">
        <v>21990000</v>
      </c>
      <c r="G19" s="110">
        <v>21590000</v>
      </c>
      <c r="H19" s="153"/>
      <c r="M19" s="148">
        <f>IFERROR(C19-W5Q3FY26!C21,"OOS")</f>
        <v>0</v>
      </c>
      <c r="N19" s="146"/>
      <c r="O19" s="149">
        <f>IFERROR(D19-W5Q3FY26!D21,"OOS")</f>
        <v>-400000</v>
      </c>
      <c r="P19" s="146" t="str">
        <f t="shared" si="1"/>
        <v>iPad Air M4  13" 128 GB Wifi giảm 400K = 21590.0K</v>
      </c>
      <c r="Q19" s="149">
        <f>IFERROR(E19-W5Q3FY26!E21,"OOS")</f>
        <v>0</v>
      </c>
      <c r="R19" s="146" t="str">
        <f t="shared" si="2"/>
        <v/>
      </c>
      <c r="S19" s="149">
        <f>IFERROR(F19-W5Q3FY26!F21,"OOS")</f>
        <v>-100000</v>
      </c>
      <c r="T19" s="146"/>
      <c r="U19" s="149">
        <f>IFERROR(G19-W5Q3FY26!G21,"OOS")</f>
        <v>21590000</v>
      </c>
      <c r="V19" s="146"/>
    </row>
    <row r="20" spans="1:25" ht="16" customHeight="1" x14ac:dyDescent="0.2">
      <c r="A20" t="s">
        <v>40</v>
      </c>
      <c r="B20" s="3"/>
      <c r="C20" s="135">
        <v>28190000</v>
      </c>
      <c r="D20" s="135">
        <v>28190000</v>
      </c>
      <c r="E20" s="123">
        <v>28490000</v>
      </c>
      <c r="F20" s="133">
        <v>28090000</v>
      </c>
      <c r="G20" s="111">
        <v>28090000</v>
      </c>
      <c r="H20" s="153"/>
      <c r="M20" s="148">
        <f>IFERROR(C20-W5Q3FY26!C22,"OOS")</f>
        <v>0</v>
      </c>
      <c r="N20" s="146" t="str">
        <f t="shared" ref="N20:N40" si="5">IF(M20=0,"",$A20 &amp; IF(M20&gt;0," tăng "," giảm ") &amp; TEXT(ABS(M20)/1000,"0") &amp; "K = " &amp; TEXT(C20/1000,"#.##0") &amp; "K")</f>
        <v/>
      </c>
      <c r="O20" s="149">
        <f>IFERROR(D20-W5Q3FY26!D22,"OOS")</f>
        <v>0</v>
      </c>
      <c r="P20" s="146" t="str">
        <f t="shared" si="1"/>
        <v/>
      </c>
      <c r="Q20" s="149">
        <f>IFERROR(E20-W5Q3FY26!E22,"OOS")</f>
        <v>0</v>
      </c>
      <c r="R20" s="146" t="str">
        <f t="shared" si="2"/>
        <v/>
      </c>
      <c r="S20" s="149">
        <f>IFERROR(F20-W5Q3FY26!F22,"OOS")</f>
        <v>-100000</v>
      </c>
      <c r="T20" s="146" t="str">
        <f t="shared" ref="T20:T40" si="6">IF(S20=0,"",$A20 &amp; IF(S20&gt;0," tăng "," giảm ") &amp; TEXT(ABS(S20)/1000,"0") &amp; "K = " &amp; TEXT(F20/1000,"#.##0") &amp; "K")</f>
        <v>iPad Pro M5 11” 256GB Wifi giảm 100K = 28090.0K</v>
      </c>
      <c r="U20" s="149">
        <f>IFERROR(G20-W5Q3FY26!G22,"OOS")</f>
        <v>-100000</v>
      </c>
      <c r="V20" s="146" t="str">
        <f t="shared" ref="V20:V41" si="7">IF(U20=0,"",$A20 &amp; IF(U20&gt;0," tăng "," giảm ") &amp; TEXT(ABS(U20)/1000,"0") &amp; "K = " &amp; TEXT(G20/1000,"#.##0") &amp; "K")</f>
        <v>iPad Pro M5 11” 256GB Wifi giảm 100K = 28090.0K</v>
      </c>
      <c r="W20" t="s">
        <v>41</v>
      </c>
      <c r="X20" t="s">
        <v>42</v>
      </c>
      <c r="Y20" t="b">
        <v>1</v>
      </c>
    </row>
    <row r="21" spans="1:25" ht="16" customHeight="1" x14ac:dyDescent="0.2">
      <c r="A21" t="s">
        <v>43</v>
      </c>
      <c r="B21" s="3"/>
      <c r="C21" s="135">
        <v>38890000</v>
      </c>
      <c r="D21" s="141">
        <v>38990000</v>
      </c>
      <c r="E21" s="112">
        <v>37990000</v>
      </c>
      <c r="F21" s="133">
        <v>38690000</v>
      </c>
      <c r="G21" s="110">
        <v>38990000</v>
      </c>
      <c r="H21" s="153"/>
      <c r="M21" s="148">
        <f>IFERROR(C21-W5Q3FY26!C23,"OOS")</f>
        <v>0</v>
      </c>
      <c r="N21" s="146" t="str">
        <f t="shared" si="5"/>
        <v/>
      </c>
      <c r="O21" s="149">
        <f>IFERROR(D21-W5Q3FY26!D23,"OOS")</f>
        <v>0</v>
      </c>
      <c r="P21" s="146" t="str">
        <f t="shared" si="1"/>
        <v/>
      </c>
      <c r="Q21" s="149">
        <f>IFERROR(E21-W5Q3FY26!E23,"OOS")</f>
        <v>0</v>
      </c>
      <c r="R21" s="146" t="str">
        <f t="shared" si="2"/>
        <v/>
      </c>
      <c r="S21" s="149">
        <f>IFERROR(F21-W5Q3FY26!F23,"OOS")</f>
        <v>-200000</v>
      </c>
      <c r="T21" s="146" t="str">
        <f t="shared" si="6"/>
        <v>iPad Pro M5 13” 256GB Wifi giảm 200K = 38690.0K</v>
      </c>
      <c r="U21" s="149">
        <f>IFERROR(G21-W5Q3FY26!G23,"OOS")</f>
        <v>0</v>
      </c>
      <c r="V21" s="146" t="str">
        <f t="shared" si="7"/>
        <v/>
      </c>
    </row>
    <row r="22" spans="1:25" ht="16" customHeight="1" x14ac:dyDescent="0.2">
      <c r="A22" t="s">
        <v>44</v>
      </c>
      <c r="B22" s="25"/>
      <c r="C22" s="135">
        <v>6390000</v>
      </c>
      <c r="D22" s="135">
        <v>6390000</v>
      </c>
      <c r="E22" s="139">
        <v>6190000</v>
      </c>
      <c r="F22" s="132">
        <v>6390000</v>
      </c>
      <c r="G22" s="110">
        <v>6290000</v>
      </c>
      <c r="H22" s="153"/>
      <c r="M22" s="148">
        <f>IFERROR(C22-W5Q3FY26!C24,"OOS")</f>
        <v>0</v>
      </c>
      <c r="N22" s="146" t="str">
        <f t="shared" si="5"/>
        <v/>
      </c>
      <c r="O22" s="149">
        <f>IFERROR(D22-W5Q3FY26!D24,"OOS")</f>
        <v>0</v>
      </c>
      <c r="P22" s="146" t="str">
        <f t="shared" si="1"/>
        <v/>
      </c>
      <c r="Q22" s="149">
        <f>IFERROR(E22-W5Q3FY26!E24,"OOS")</f>
        <v>0</v>
      </c>
      <c r="R22" s="146" t="str">
        <f t="shared" si="2"/>
        <v/>
      </c>
      <c r="S22" s="149">
        <f>IFERROR(F22-W5Q3FY26!F24,"OOS")</f>
        <v>0</v>
      </c>
      <c r="T22" s="146" t="str">
        <f t="shared" si="6"/>
        <v/>
      </c>
      <c r="U22" s="149">
        <f>IFERROR(G22-W5Q3FY26!G24,"OOS")</f>
        <v>0</v>
      </c>
      <c r="V22" s="146" t="str">
        <f t="shared" si="7"/>
        <v/>
      </c>
    </row>
    <row r="23" spans="1:25" ht="16" customHeight="1" x14ac:dyDescent="0.2">
      <c r="A23" t="s">
        <v>45</v>
      </c>
      <c r="B23" s="25"/>
      <c r="C23" s="135">
        <v>7990000</v>
      </c>
      <c r="D23" s="135">
        <v>7690000</v>
      </c>
      <c r="E23" s="154">
        <v>7790000</v>
      </c>
      <c r="F23" s="132">
        <v>7990000</v>
      </c>
      <c r="G23" s="111">
        <v>7990000</v>
      </c>
      <c r="H23" s="153"/>
      <c r="M23" s="148">
        <f>IFERROR(C23-W5Q3FY26!C25,"OOS")</f>
        <v>0</v>
      </c>
      <c r="N23" s="146" t="str">
        <f t="shared" si="5"/>
        <v/>
      </c>
      <c r="O23" s="149">
        <f>IFERROR(D23-W5Q3FY26!D25,"OOS")</f>
        <v>0</v>
      </c>
      <c r="P23" s="146" t="str">
        <f t="shared" si="1"/>
        <v/>
      </c>
      <c r="Q23" s="149">
        <f>IFERROR(E23-W5Q3FY26!E25,"OOS")</f>
        <v>0</v>
      </c>
      <c r="R23" s="146" t="str">
        <f t="shared" si="2"/>
        <v/>
      </c>
      <c r="S23" s="149">
        <f>IFERROR(F23-W5Q3FY26!F25,"OOS")</f>
        <v>0</v>
      </c>
      <c r="T23" s="146" t="str">
        <f t="shared" si="6"/>
        <v/>
      </c>
      <c r="U23" s="149">
        <f>IFERROR(G23-W5Q3FY26!G25,"OOS")</f>
        <v>200000</v>
      </c>
      <c r="V23" s="146" t="str">
        <f t="shared" si="7"/>
        <v>AW SE 3 (40mm LTE) tăng 200K = 7990.0K</v>
      </c>
    </row>
    <row r="24" spans="1:25" ht="16" customHeight="1" x14ac:dyDescent="0.2">
      <c r="A24" t="s">
        <v>46</v>
      </c>
      <c r="B24" s="25"/>
      <c r="C24" s="135">
        <v>7290000</v>
      </c>
      <c r="D24" s="135">
        <v>6990000</v>
      </c>
      <c r="E24" s="139">
        <v>6990000</v>
      </c>
      <c r="F24" s="132">
        <v>7290000</v>
      </c>
      <c r="G24" s="110">
        <v>6990000</v>
      </c>
      <c r="H24" s="153"/>
      <c r="M24" s="148">
        <f>IFERROR(C24-W5Q3FY26!C26,"OOS")</f>
        <v>0</v>
      </c>
      <c r="N24" s="146" t="str">
        <f t="shared" si="5"/>
        <v/>
      </c>
      <c r="O24" s="149">
        <f>IFERROR(D24-W5Q3FY26!D26,"OOS")</f>
        <v>0</v>
      </c>
      <c r="P24" s="146" t="str">
        <f t="shared" si="1"/>
        <v/>
      </c>
      <c r="Q24" s="149">
        <f>IFERROR(E24-W5Q3FY26!E26,"OOS")</f>
        <v>0</v>
      </c>
      <c r="R24" s="146" t="str">
        <f t="shared" si="2"/>
        <v/>
      </c>
      <c r="S24" s="149">
        <f>IFERROR(F24-W5Q3FY26!F26,"OOS")</f>
        <v>0</v>
      </c>
      <c r="T24" s="146" t="str">
        <f t="shared" si="6"/>
        <v/>
      </c>
      <c r="U24" s="149">
        <f>IFERROR(G24-W5Q3FY26!G26,"OOS")</f>
        <v>0</v>
      </c>
      <c r="V24" s="146" t="str">
        <f t="shared" si="7"/>
        <v/>
      </c>
    </row>
    <row r="25" spans="1:25" ht="16" customHeight="1" x14ac:dyDescent="0.2">
      <c r="A25" t="s">
        <v>47</v>
      </c>
      <c r="B25" s="25"/>
      <c r="C25" s="135">
        <v>8790000</v>
      </c>
      <c r="D25" s="135">
        <v>8490000</v>
      </c>
      <c r="E25" s="139">
        <v>8590000</v>
      </c>
      <c r="F25" s="132">
        <v>8790000</v>
      </c>
      <c r="G25" s="111">
        <v>8790000</v>
      </c>
      <c r="H25" s="153"/>
      <c r="M25" s="148">
        <f>IFERROR(C25-W5Q3FY26!C27,"OOS")</f>
        <v>0</v>
      </c>
      <c r="N25" s="146" t="str">
        <f t="shared" si="5"/>
        <v/>
      </c>
      <c r="O25" s="149">
        <f>IFERROR(D25-W5Q3FY26!D27,"OOS")</f>
        <v>0</v>
      </c>
      <c r="P25" s="146" t="str">
        <f t="shared" si="1"/>
        <v/>
      </c>
      <c r="Q25" s="149">
        <f>IFERROR(E25-W5Q3FY26!E27,"OOS")</f>
        <v>0</v>
      </c>
      <c r="R25" s="146" t="str">
        <f t="shared" si="2"/>
        <v/>
      </c>
      <c r="S25" s="149">
        <f>IFERROR(F25-W5Q3FY26!F27,"OOS")</f>
        <v>0</v>
      </c>
      <c r="T25" s="146" t="str">
        <f t="shared" si="6"/>
        <v/>
      </c>
      <c r="U25" s="149">
        <f>IFERROR(G25-W5Q3FY26!G27,"OOS")</f>
        <v>200000</v>
      </c>
      <c r="V25" s="146" t="str">
        <f t="shared" si="7"/>
        <v>AW SE 3 (44mm LTE) tăng 200K = 8790.0K</v>
      </c>
    </row>
    <row r="26" spans="1:25" ht="16" customHeight="1" x14ac:dyDescent="0.2">
      <c r="A26" t="s">
        <v>48</v>
      </c>
      <c r="B26" s="3"/>
      <c r="C26" s="135">
        <v>9190000</v>
      </c>
      <c r="D26" s="135">
        <v>9190000</v>
      </c>
      <c r="E26" s="139">
        <v>8990000</v>
      </c>
      <c r="F26" s="132">
        <v>9190000</v>
      </c>
      <c r="G26" s="111">
        <v>9090000</v>
      </c>
      <c r="H26" s="153"/>
      <c r="M26" s="148">
        <f>IFERROR(C26-W5Q3FY26!C28,"OOS")</f>
        <v>0</v>
      </c>
      <c r="N26" s="146" t="str">
        <f t="shared" si="5"/>
        <v/>
      </c>
      <c r="O26" s="149">
        <f>IFERROR(D26-W5Q3FY26!D28,"OOS")</f>
        <v>0</v>
      </c>
      <c r="P26" s="146" t="str">
        <f t="shared" si="1"/>
        <v/>
      </c>
      <c r="Q26" s="149">
        <f>IFERROR(E26-W5Q3FY26!E28,"OOS")</f>
        <v>0</v>
      </c>
      <c r="R26" s="146" t="str">
        <f t="shared" si="2"/>
        <v/>
      </c>
      <c r="S26" s="149">
        <f>IFERROR(F26-W5Q3FY26!F28,"OOS")</f>
        <v>0</v>
      </c>
      <c r="T26" s="146" t="str">
        <f t="shared" si="6"/>
        <v/>
      </c>
      <c r="U26" s="149">
        <f>IFERROR(G26-W5Q3FY26!G28,"OOS")</f>
        <v>100000</v>
      </c>
      <c r="V26" s="146" t="str">
        <f t="shared" si="7"/>
        <v>AW S11 (42mm GPS) tăng 100K = 9090.0K</v>
      </c>
    </row>
    <row r="27" spans="1:25" ht="16" customHeight="1" x14ac:dyDescent="0.2">
      <c r="A27" t="s">
        <v>49</v>
      </c>
      <c r="B27" s="3"/>
      <c r="C27" s="135">
        <v>12090000</v>
      </c>
      <c r="D27" s="135">
        <v>11990000</v>
      </c>
      <c r="E27" s="139">
        <v>11990000</v>
      </c>
      <c r="F27" s="132">
        <v>12090000</v>
      </c>
      <c r="G27" s="110">
        <v>11990000</v>
      </c>
      <c r="H27" s="153"/>
      <c r="M27" s="148">
        <f>IFERROR(C27-W5Q3FY26!C29,"OOS")</f>
        <v>0</v>
      </c>
      <c r="N27" s="146" t="str">
        <f t="shared" si="5"/>
        <v/>
      </c>
      <c r="O27" s="149">
        <f>IFERROR(D27-W5Q3FY26!D29,"OOS")</f>
        <v>0</v>
      </c>
      <c r="P27" s="146" t="str">
        <f t="shared" si="1"/>
        <v/>
      </c>
      <c r="Q27" s="149">
        <f>IFERROR(E27-W5Q3FY26!E29,"OOS")</f>
        <v>0</v>
      </c>
      <c r="R27" s="146" t="str">
        <f t="shared" si="2"/>
        <v/>
      </c>
      <c r="S27" s="149">
        <f>IFERROR(F27-W5Q3FY26!F29,"OOS")</f>
        <v>0</v>
      </c>
      <c r="T27" s="146" t="str">
        <f t="shared" si="6"/>
        <v/>
      </c>
      <c r="U27" s="149">
        <f>IFERROR(G27-W5Q3FY26!G29,"OOS")</f>
        <v>0</v>
      </c>
      <c r="V27" s="146" t="str">
        <f t="shared" si="7"/>
        <v/>
      </c>
    </row>
    <row r="28" spans="1:25" ht="16" customHeight="1" x14ac:dyDescent="0.2">
      <c r="A28" t="s">
        <v>50</v>
      </c>
      <c r="B28" s="3"/>
      <c r="C28" s="135">
        <v>9990000</v>
      </c>
      <c r="D28" s="135">
        <v>9990000</v>
      </c>
      <c r="E28" s="139">
        <v>9690000</v>
      </c>
      <c r="F28" s="132">
        <v>9990000</v>
      </c>
      <c r="G28" s="110">
        <v>9990000</v>
      </c>
      <c r="H28" s="153"/>
      <c r="M28" s="148">
        <f>IFERROR(C28-W5Q3FY26!C30,"OOS")</f>
        <v>0</v>
      </c>
      <c r="N28" s="146" t="str">
        <f t="shared" si="5"/>
        <v/>
      </c>
      <c r="O28" s="149">
        <f>IFERROR(D28-W5Q3FY26!D30,"OOS")</f>
        <v>0</v>
      </c>
      <c r="P28" s="146" t="str">
        <f t="shared" si="1"/>
        <v/>
      </c>
      <c r="Q28" s="149">
        <f>IFERROR(E28-W5Q3FY26!E30,"OOS")</f>
        <v>0</v>
      </c>
      <c r="R28" s="146" t="str">
        <f t="shared" si="2"/>
        <v/>
      </c>
      <c r="S28" s="149">
        <f>IFERROR(F28-W5Q3FY26!F30,"OOS")</f>
        <v>0</v>
      </c>
      <c r="T28" s="146" t="str">
        <f t="shared" si="6"/>
        <v/>
      </c>
      <c r="U28" s="149">
        <f>IFERROR(G28-W5Q3FY26!G30,"OOS")</f>
        <v>0</v>
      </c>
      <c r="V28" s="146" t="str">
        <f t="shared" si="7"/>
        <v/>
      </c>
    </row>
    <row r="29" spans="1:25" ht="16" customHeight="1" x14ac:dyDescent="0.2">
      <c r="A29" t="s">
        <v>51</v>
      </c>
      <c r="B29" s="3"/>
      <c r="C29" s="135">
        <v>12990000</v>
      </c>
      <c r="D29" s="135">
        <v>12490000</v>
      </c>
      <c r="E29" s="139">
        <v>12490000</v>
      </c>
      <c r="F29" s="132">
        <v>12990000</v>
      </c>
      <c r="G29" s="110">
        <v>12990000</v>
      </c>
      <c r="H29" s="153"/>
      <c r="M29" s="148">
        <f>IFERROR(C29-W5Q3FY26!C31,"OOS")</f>
        <v>0</v>
      </c>
      <c r="N29" s="146" t="str">
        <f t="shared" si="5"/>
        <v/>
      </c>
      <c r="O29" s="149">
        <f>IFERROR(D29-W5Q3FY26!D31,"OOS")</f>
        <v>0</v>
      </c>
      <c r="P29" s="146" t="str">
        <f t="shared" si="1"/>
        <v/>
      </c>
      <c r="Q29" s="149">
        <f>IFERROR(E29-W5Q3FY26!E31,"OOS")</f>
        <v>0</v>
      </c>
      <c r="R29" s="146" t="str">
        <f t="shared" si="2"/>
        <v/>
      </c>
      <c r="S29" s="149">
        <f>IFERROR(F29-W5Q3FY26!F31,"OOS")</f>
        <v>0</v>
      </c>
      <c r="T29" s="146" t="str">
        <f t="shared" si="6"/>
        <v/>
      </c>
      <c r="U29" s="149">
        <f>IFERROR(G29-W5Q3FY26!G31,"OOS")</f>
        <v>0</v>
      </c>
      <c r="V29" s="146" t="str">
        <f t="shared" si="7"/>
        <v/>
      </c>
    </row>
    <row r="30" spans="1:25" ht="16" customHeight="1" x14ac:dyDescent="0.2">
      <c r="A30" t="s">
        <v>52</v>
      </c>
      <c r="B30" s="25"/>
      <c r="C30" s="135">
        <v>23490000</v>
      </c>
      <c r="D30" s="135">
        <v>22990000</v>
      </c>
      <c r="E30" s="112">
        <v>22490000</v>
      </c>
      <c r="F30" s="132">
        <v>22990000</v>
      </c>
      <c r="G30" s="110">
        <v>22990000</v>
      </c>
      <c r="H30" s="153"/>
      <c r="M30" s="148">
        <f>IFERROR(C30-W5Q3FY26!C32,"OOS")</f>
        <v>0</v>
      </c>
      <c r="N30" s="146" t="str">
        <f t="shared" si="5"/>
        <v/>
      </c>
      <c r="O30" s="149">
        <f>IFERROR(D30-W5Q3FY26!D32,"OOS")</f>
        <v>0</v>
      </c>
      <c r="P30" s="146" t="str">
        <f t="shared" si="1"/>
        <v/>
      </c>
      <c r="Q30" s="149">
        <f>IFERROR(E30-W5Q3FY26!E32,"OOS")</f>
        <v>0</v>
      </c>
      <c r="R30" s="146" t="str">
        <f t="shared" si="2"/>
        <v/>
      </c>
      <c r="S30" s="149">
        <f>IFERROR(F30-W5Q3FY26!F32,"OOS")</f>
        <v>0</v>
      </c>
      <c r="T30" s="146" t="str">
        <f t="shared" si="6"/>
        <v/>
      </c>
      <c r="U30" s="149">
        <f>IFERROR(G30-W5Q3FY26!G32,"OOS")</f>
        <v>0</v>
      </c>
      <c r="V30" s="146" t="str">
        <f t="shared" si="7"/>
        <v/>
      </c>
    </row>
    <row r="31" spans="1:25" ht="16" customHeight="1" x14ac:dyDescent="0.2">
      <c r="A31" t="s">
        <v>53</v>
      </c>
      <c r="B31" s="3"/>
      <c r="C31" s="135">
        <v>5190000</v>
      </c>
      <c r="D31" s="135" t="s">
        <v>22</v>
      </c>
      <c r="E31" s="130" t="s">
        <v>22</v>
      </c>
      <c r="F31" s="132">
        <v>4990000</v>
      </c>
      <c r="G31" s="110">
        <v>5590000</v>
      </c>
      <c r="H31" s="153"/>
      <c r="M31" s="148">
        <f>IFERROR(C31-W5Q3FY26!C33,"OOS")</f>
        <v>0</v>
      </c>
      <c r="N31" s="146" t="str">
        <f t="shared" si="5"/>
        <v/>
      </c>
      <c r="O31" s="149" t="str">
        <f>IFERROR(D31-W5Q3FY26!D33,"OOS")</f>
        <v>OOS</v>
      </c>
      <c r="P31" s="146" t="e">
        <f t="shared" si="1"/>
        <v>#VALUE!</v>
      </c>
      <c r="Q31" s="149" t="str">
        <f>IFERROR(E31-W5Q3FY26!E33,"OOS")</f>
        <v>OOS</v>
      </c>
      <c r="R31" s="146" t="e">
        <f t="shared" si="2"/>
        <v>#VALUE!</v>
      </c>
      <c r="S31" s="149">
        <f>IFERROR(F31-W5Q3FY26!F33,"OOS")</f>
        <v>0</v>
      </c>
      <c r="T31" s="146" t="str">
        <f t="shared" si="6"/>
        <v/>
      </c>
      <c r="U31" s="149">
        <f>IFERROR(G31-W5Q3FY26!G33,"OOS")</f>
        <v>0</v>
      </c>
      <c r="V31" s="146" t="str">
        <f t="shared" si="7"/>
        <v/>
      </c>
    </row>
    <row r="32" spans="1:25" ht="16" customHeight="1" x14ac:dyDescent="0.2">
      <c r="A32" t="s">
        <v>54</v>
      </c>
      <c r="B32" s="3"/>
      <c r="C32" s="140">
        <v>4290000</v>
      </c>
      <c r="D32" s="140">
        <v>4200000</v>
      </c>
      <c r="E32" s="154">
        <v>4290000</v>
      </c>
      <c r="F32" s="133">
        <v>4290000</v>
      </c>
      <c r="G32" s="110">
        <v>4390000</v>
      </c>
      <c r="H32" s="153"/>
      <c r="M32" s="148">
        <f>IFERROR(C32-W5Q3FY26!C34,"OOS")</f>
        <v>-100000</v>
      </c>
      <c r="N32" s="146" t="str">
        <f t="shared" si="5"/>
        <v>AirPods 4 ANC giảm 100K = 4290.0K</v>
      </c>
      <c r="O32" s="149">
        <f>IFERROR(D32-W5Q3FY26!D34,"OOS")</f>
        <v>-190000</v>
      </c>
      <c r="P32" s="146" t="str">
        <f t="shared" si="1"/>
        <v>AirPods 4 ANC giảm 190K = 4200.0K</v>
      </c>
      <c r="Q32" s="149">
        <f>IFERROR(E32-W5Q3FY26!E34,"OOS")</f>
        <v>0</v>
      </c>
      <c r="R32" s="146" t="str">
        <f t="shared" si="2"/>
        <v/>
      </c>
      <c r="S32" s="149">
        <f>IFERROR(F32-W5Q3FY26!F34,"OOS")</f>
        <v>-100000</v>
      </c>
      <c r="T32" s="146" t="str">
        <f t="shared" si="6"/>
        <v>AirPods 4 ANC giảm 100K = 4290.0K</v>
      </c>
      <c r="U32" s="149">
        <f>IFERROR(G32-W5Q3FY26!G34,"OOS")</f>
        <v>0</v>
      </c>
      <c r="V32" s="146" t="str">
        <f t="shared" si="7"/>
        <v/>
      </c>
    </row>
    <row r="33" spans="1:22" ht="16" customHeight="1" x14ac:dyDescent="0.2">
      <c r="A33" t="s">
        <v>55</v>
      </c>
      <c r="B33" s="3"/>
      <c r="C33" s="140">
        <v>3090000</v>
      </c>
      <c r="D33" s="140">
        <v>2900000</v>
      </c>
      <c r="E33" s="154">
        <v>2990000</v>
      </c>
      <c r="F33" s="133">
        <v>3090000</v>
      </c>
      <c r="G33" s="110">
        <v>2990000</v>
      </c>
      <c r="H33" s="153"/>
      <c r="M33" s="148">
        <f>IFERROR(C33-W5Q3FY26!C35,"OOS")</f>
        <v>100000</v>
      </c>
      <c r="N33" s="146" t="str">
        <f t="shared" si="5"/>
        <v>AirPods 4 with charging case tăng 100K = 3090.0K</v>
      </c>
      <c r="O33" s="149">
        <f>IFERROR(D33-W5Q3FY26!D35,"OOS")</f>
        <v>-90000</v>
      </c>
      <c r="P33" s="146" t="str">
        <f t="shared" si="1"/>
        <v>AirPods 4 with charging case giảm 90K = 2900.0K</v>
      </c>
      <c r="Q33" s="149">
        <f>IFERROR(E33-W5Q3FY26!E35,"OOS")</f>
        <v>0</v>
      </c>
      <c r="R33" s="146" t="str">
        <f t="shared" si="2"/>
        <v/>
      </c>
      <c r="S33" s="149">
        <f>IFERROR(F33-W5Q3FY26!F35,"OOS")</f>
        <v>100000</v>
      </c>
      <c r="T33" s="146" t="str">
        <f t="shared" si="6"/>
        <v>AirPods 4 with charging case tăng 100K = 3090.0K</v>
      </c>
      <c r="U33" s="149">
        <f>IFERROR(G33-W5Q3FY26!G35,"OOS")</f>
        <v>0</v>
      </c>
      <c r="V33" s="146" t="str">
        <f t="shared" si="7"/>
        <v/>
      </c>
    </row>
    <row r="34" spans="1:22" ht="16" customHeight="1" x14ac:dyDescent="0.2">
      <c r="A34" t="s">
        <v>56</v>
      </c>
      <c r="B34" s="3"/>
      <c r="C34" s="162">
        <v>6190000</v>
      </c>
      <c r="D34" s="140">
        <v>6100000</v>
      </c>
      <c r="E34" s="134">
        <v>5990000</v>
      </c>
      <c r="F34" s="132">
        <v>6190000</v>
      </c>
      <c r="G34" s="110">
        <v>6090000</v>
      </c>
      <c r="H34" s="153"/>
      <c r="M34" s="148">
        <f>IFERROR(C34-W5Q3FY26!C36,"OOS")</f>
        <v>0</v>
      </c>
      <c r="N34" s="146" t="str">
        <f t="shared" si="5"/>
        <v/>
      </c>
      <c r="O34" s="149" t="str">
        <f>IFERROR(D34-W5Q3FY26!D36,"OOS")</f>
        <v>OOS</v>
      </c>
      <c r="P34" s="146" t="e">
        <f t="shared" si="1"/>
        <v>#VALUE!</v>
      </c>
      <c r="Q34" s="149">
        <f>IFERROR(E34-W5Q3FY26!E36,"OOS")</f>
        <v>0</v>
      </c>
      <c r="R34" s="146" t="str">
        <f t="shared" si="2"/>
        <v/>
      </c>
      <c r="S34" s="149">
        <f>IFERROR(F34-W5Q3FY26!F36,"OOS")</f>
        <v>0</v>
      </c>
      <c r="T34" s="146" t="str">
        <f t="shared" si="6"/>
        <v/>
      </c>
      <c r="U34" s="149">
        <f>IFERROR(G34-W5Q3FY26!G36,"OOS")</f>
        <v>0</v>
      </c>
      <c r="V34" s="146" t="str">
        <f t="shared" si="7"/>
        <v/>
      </c>
    </row>
    <row r="35" spans="1:22" ht="16" customHeight="1" x14ac:dyDescent="0.2">
      <c r="A35" t="s">
        <v>57</v>
      </c>
      <c r="B35" s="25"/>
      <c r="C35" s="140">
        <v>29390000</v>
      </c>
      <c r="D35" s="140">
        <v>29390000</v>
      </c>
      <c r="E35" s="142"/>
      <c r="F35" s="111">
        <v>29290000</v>
      </c>
      <c r="G35" s="110">
        <v>29990000</v>
      </c>
      <c r="H35" s="153"/>
      <c r="M35" s="148">
        <f>IFERROR(C35-W5Q3FY26!C37,"OOS")</f>
        <v>-100000</v>
      </c>
      <c r="N35" s="146" t="str">
        <f t="shared" si="5"/>
        <v>MacBook Air 13" M5 16/512GB giảm 100K = 29390.0K</v>
      </c>
      <c r="O35" s="149">
        <f>IFERROR(D35-W5Q3FY26!D37,"OOS")</f>
        <v>-100000</v>
      </c>
      <c r="P35" s="146" t="str">
        <f t="shared" si="1"/>
        <v>MacBook Air 13" M5 16/512GB giảm 100K = 29390.0K</v>
      </c>
      <c r="Q35" s="149">
        <f>IFERROR(E35-W5Q3FY26!E37,"OOS")</f>
        <v>0</v>
      </c>
      <c r="R35" s="146" t="str">
        <f t="shared" si="2"/>
        <v/>
      </c>
      <c r="S35" s="149">
        <f>IFERROR(F35-W5Q3FY26!F37,"OOS")</f>
        <v>-100000</v>
      </c>
      <c r="T35" s="146" t="str">
        <f t="shared" si="6"/>
        <v>MacBook Air 13" M5 16/512GB giảm 100K = 29290.0K</v>
      </c>
      <c r="U35" s="149">
        <f>IFERROR(G35-W5Q3FY26!G37,"OOS")</f>
        <v>0</v>
      </c>
      <c r="V35" s="146" t="str">
        <f t="shared" si="7"/>
        <v/>
      </c>
    </row>
    <row r="36" spans="1:22" ht="16" customHeight="1" x14ac:dyDescent="0.2">
      <c r="A36" t="s">
        <v>58</v>
      </c>
      <c r="B36" s="25"/>
      <c r="C36" s="140">
        <v>15990000</v>
      </c>
      <c r="D36" s="135">
        <v>15990000</v>
      </c>
      <c r="E36" s="142"/>
      <c r="F36" s="111">
        <v>15990000</v>
      </c>
      <c r="G36" s="111">
        <v>15890000</v>
      </c>
      <c r="H36" s="153"/>
      <c r="M36" s="148">
        <f>IFERROR(C36-W5Q3FY26!C38,"OOS")</f>
        <v>300000</v>
      </c>
      <c r="N36" s="146" t="str">
        <f t="shared" si="5"/>
        <v>MacBook NEO A18 Pro ( 8/256GB) tăng 300K = 15990.0K</v>
      </c>
      <c r="O36" s="149">
        <f>IFERROR(D36-W5Q3FY26!D38,"OOS")</f>
        <v>0</v>
      </c>
      <c r="P36" s="146" t="str">
        <f t="shared" si="1"/>
        <v/>
      </c>
      <c r="Q36" s="149">
        <f>IFERROR(E36-W5Q3FY26!E38,"OOS")</f>
        <v>0</v>
      </c>
      <c r="R36" s="146" t="str">
        <f t="shared" si="2"/>
        <v/>
      </c>
      <c r="S36" s="149">
        <f>IFERROR(F36-W5Q3FY26!F38,"OOS")</f>
        <v>300000</v>
      </c>
      <c r="T36" s="146" t="str">
        <f t="shared" si="6"/>
        <v>MacBook NEO A18 Pro ( 8/256GB) tăng 300K = 15990.0K</v>
      </c>
      <c r="U36" s="149">
        <f>IFERROR(G36-W5Q3FY26!G38,"OOS")</f>
        <v>-9000</v>
      </c>
      <c r="V36" s="146" t="str">
        <f t="shared" si="7"/>
        <v>MacBook NEO A18 Pro ( 8/256GB) giảm 9K = 15890.0K</v>
      </c>
    </row>
    <row r="37" spans="1:22" ht="16" customHeight="1" x14ac:dyDescent="0.2">
      <c r="A37" t="s">
        <v>59</v>
      </c>
      <c r="B37" s="3"/>
      <c r="C37" s="140">
        <v>24990000</v>
      </c>
      <c r="D37" s="135" t="s">
        <v>22</v>
      </c>
      <c r="E37" s="142"/>
      <c r="F37" s="133">
        <v>25890000</v>
      </c>
      <c r="G37" s="110">
        <v>24590000</v>
      </c>
      <c r="H37" s="153"/>
      <c r="J37" t="s">
        <v>60</v>
      </c>
      <c r="M37" s="148">
        <f>IFERROR(C37-W5Q3FY26!C39,"OOS")</f>
        <v>-600000</v>
      </c>
      <c r="N37" s="146" t="str">
        <f t="shared" si="5"/>
        <v>MacBook Air 13" M4 16/256GB giảm 600K = 24990.0K</v>
      </c>
      <c r="O37" s="149" t="str">
        <f>IFERROR(D37-W5Q3FY26!D39,"OOS")</f>
        <v>OOS</v>
      </c>
      <c r="P37" s="146" t="e">
        <f t="shared" si="1"/>
        <v>#VALUE!</v>
      </c>
      <c r="Q37" s="149">
        <f>IFERROR(E37-W5Q3FY26!E39,"OOS")</f>
        <v>0</v>
      </c>
      <c r="R37" s="146" t="str">
        <f t="shared" si="2"/>
        <v/>
      </c>
      <c r="S37" s="149">
        <f>IFERROR(F37-W5Q3FY26!F39,"OOS")</f>
        <v>900000</v>
      </c>
      <c r="T37" s="146" t="str">
        <f t="shared" si="6"/>
        <v>MacBook Air 13" M4 16/256GB tăng 900K = 25890.0K</v>
      </c>
      <c r="U37" s="149">
        <f>IFERROR(G37-W5Q3FY26!G39,"OOS")</f>
        <v>0</v>
      </c>
      <c r="V37" s="146" t="str">
        <f t="shared" si="7"/>
        <v/>
      </c>
    </row>
    <row r="38" spans="1:22" ht="16" customHeight="1" x14ac:dyDescent="0.2">
      <c r="A38" t="s">
        <v>61</v>
      </c>
      <c r="B38" s="25"/>
      <c r="C38" s="140" t="s">
        <v>22</v>
      </c>
      <c r="D38" s="135" t="s">
        <v>22</v>
      </c>
      <c r="E38" s="142"/>
      <c r="F38" s="132">
        <v>29990000</v>
      </c>
      <c r="G38" s="111" t="s">
        <v>22</v>
      </c>
      <c r="H38" s="153"/>
      <c r="M38" s="148" t="str">
        <f>IFERROR(C38-W5Q3FY26!C40,"OOS")</f>
        <v>OOS</v>
      </c>
      <c r="N38" s="146" t="e">
        <f t="shared" si="5"/>
        <v>#VALUE!</v>
      </c>
      <c r="O38" s="149" t="str">
        <f>IFERROR(D38-W5Q3FY26!D40,"OOS")</f>
        <v>OOS</v>
      </c>
      <c r="P38" s="146" t="e">
        <f t="shared" si="1"/>
        <v>#VALUE!</v>
      </c>
      <c r="Q38" s="149">
        <f>IFERROR(E38-W5Q3FY26!E40,"OOS")</f>
        <v>0</v>
      </c>
      <c r="R38" s="146" t="str">
        <f t="shared" si="2"/>
        <v/>
      </c>
      <c r="S38" s="149">
        <f>IFERROR(F38-W5Q3FY26!F40,"OOS")</f>
        <v>0</v>
      </c>
      <c r="T38" s="146" t="str">
        <f t="shared" si="6"/>
        <v/>
      </c>
      <c r="U38" s="149" t="str">
        <f>IFERROR(G38-W5Q3FY26!G40,"OOS")</f>
        <v>OOS</v>
      </c>
      <c r="V38" s="146" t="e">
        <f t="shared" si="7"/>
        <v>#VALUE!</v>
      </c>
    </row>
    <row r="39" spans="1:22" ht="16" customHeight="1" x14ac:dyDescent="0.2">
      <c r="A39" t="s">
        <v>62</v>
      </c>
      <c r="B39" s="25"/>
      <c r="C39" s="135">
        <v>41490000</v>
      </c>
      <c r="D39" s="135">
        <v>41490000</v>
      </c>
      <c r="E39" s="142"/>
      <c r="F39" s="132">
        <v>41490000</v>
      </c>
      <c r="G39" s="110">
        <v>41490000</v>
      </c>
      <c r="H39" s="153"/>
      <c r="M39" s="148">
        <f>IFERROR(C39-W5Q3FY26!C41,"OOS")</f>
        <v>0</v>
      </c>
      <c r="N39" s="146" t="str">
        <f t="shared" si="5"/>
        <v/>
      </c>
      <c r="O39" s="149">
        <f>IFERROR(D39-W5Q3FY26!D41,"OOS")</f>
        <v>0</v>
      </c>
      <c r="P39" s="146" t="str">
        <f t="shared" si="1"/>
        <v/>
      </c>
      <c r="Q39" s="149">
        <f>IFERROR(E39-W5Q3FY26!E41,"OOS")</f>
        <v>0</v>
      </c>
      <c r="R39" s="146" t="str">
        <f t="shared" si="2"/>
        <v/>
      </c>
      <c r="S39" s="149">
        <f>IFERROR(F39-W5Q3FY26!F41,"OOS")</f>
        <v>0</v>
      </c>
      <c r="T39" s="146" t="str">
        <f t="shared" si="6"/>
        <v/>
      </c>
      <c r="U39" s="149">
        <f>IFERROR(G39-W5Q3FY26!G41,"OOS")</f>
        <v>0</v>
      </c>
      <c r="V39" s="146" t="str">
        <f t="shared" si="7"/>
        <v/>
      </c>
    </row>
    <row r="40" spans="1:22" ht="16" customHeight="1" x14ac:dyDescent="0.2">
      <c r="A40" t="s">
        <v>188</v>
      </c>
      <c r="B40" s="25"/>
      <c r="C40" s="135" t="s">
        <v>22</v>
      </c>
      <c r="D40" s="135">
        <v>63990000</v>
      </c>
      <c r="E40" s="142"/>
      <c r="F40" s="132">
        <v>62990000</v>
      </c>
      <c r="G40" s="110">
        <v>63990000</v>
      </c>
      <c r="H40" s="153"/>
      <c r="M40" s="148" t="str">
        <f>IFERROR(C40-W5Q3FY26!C42,"OOS")</f>
        <v>OOS</v>
      </c>
      <c r="N40" s="146" t="e">
        <f t="shared" si="5"/>
        <v>#VALUE!</v>
      </c>
      <c r="O40" s="149">
        <f>IFERROR(D40-W5Q3FY26!D42,"OOS")</f>
        <v>0</v>
      </c>
      <c r="P40" s="146" t="str">
        <f t="shared" si="1"/>
        <v/>
      </c>
      <c r="Q40" s="149">
        <f>IFERROR(E40-W5Q3FY26!E42,"OOS")</f>
        <v>0</v>
      </c>
      <c r="R40" s="146" t="str">
        <f t="shared" si="2"/>
        <v/>
      </c>
      <c r="S40" s="149">
        <f>IFERROR(F40-W5Q3FY26!F42,"OOS")</f>
        <v>0</v>
      </c>
      <c r="T40" s="146" t="str">
        <f t="shared" si="6"/>
        <v/>
      </c>
      <c r="U40" s="149">
        <f>IFERROR(G40-W5Q3FY26!G42,"OOS")</f>
        <v>0</v>
      </c>
      <c r="V40" s="146" t="str">
        <f t="shared" si="7"/>
        <v/>
      </c>
    </row>
    <row r="41" spans="1:22" ht="16" customHeight="1" x14ac:dyDescent="0.2">
      <c r="C41" s="124"/>
      <c r="D41" s="124"/>
      <c r="V41" s="146" t="str">
        <f t="shared" si="7"/>
        <v/>
      </c>
    </row>
    <row r="42" spans="1:22" ht="16" customHeight="1" x14ac:dyDescent="0.2">
      <c r="C42" s="124"/>
      <c r="D42" s="124"/>
    </row>
    <row r="43" spans="1:22" ht="16" customHeight="1" x14ac:dyDescent="0.2">
      <c r="C43" s="124"/>
      <c r="D43" s="124"/>
    </row>
    <row r="44" spans="1:22" ht="16" customHeight="1" x14ac:dyDescent="0.2">
      <c r="C44" s="124"/>
      <c r="D44" s="124"/>
    </row>
    <row r="45" spans="1:22" ht="16" customHeight="1" x14ac:dyDescent="0.2">
      <c r="C45" s="124"/>
      <c r="D45" s="124"/>
    </row>
    <row r="46" spans="1:22" ht="16" customHeight="1" x14ac:dyDescent="0.2">
      <c r="C46" s="124"/>
      <c r="D46" s="124"/>
    </row>
    <row r="47" spans="1:22" ht="16" customHeight="1" x14ac:dyDescent="0.2">
      <c r="C47" s="124"/>
      <c r="D47" s="124"/>
    </row>
    <row r="48" spans="1:22" ht="16" customHeight="1" x14ac:dyDescent="0.2">
      <c r="C48" s="124"/>
      <c r="D48" s="124"/>
    </row>
    <row r="49" spans="3:4" ht="16" customHeight="1" x14ac:dyDescent="0.2">
      <c r="C49" s="124"/>
      <c r="D49" s="124"/>
    </row>
    <row r="50" spans="3:4" ht="16" customHeight="1" x14ac:dyDescent="0.2">
      <c r="C50" s="124"/>
      <c r="D50" s="124"/>
    </row>
    <row r="51" spans="3:4" ht="16" customHeight="1" x14ac:dyDescent="0.2">
      <c r="C51" s="124"/>
      <c r="D51" s="124"/>
    </row>
    <row r="52" spans="3:4" ht="16" customHeight="1" x14ac:dyDescent="0.2">
      <c r="C52" s="124"/>
      <c r="D52" s="124"/>
    </row>
    <row r="53" spans="3:4" ht="16" customHeight="1" x14ac:dyDescent="0.2">
      <c r="C53" s="124"/>
      <c r="D53" s="124"/>
    </row>
    <row r="54" spans="3:4" ht="16" customHeight="1" x14ac:dyDescent="0.2">
      <c r="C54" s="124"/>
      <c r="D54" s="124"/>
    </row>
    <row r="55" spans="3:4" ht="16" customHeight="1" x14ac:dyDescent="0.2">
      <c r="C55" s="124"/>
      <c r="D55" s="124"/>
    </row>
    <row r="56" spans="3:4" ht="16" customHeight="1" x14ac:dyDescent="0.2">
      <c r="C56" s="124"/>
      <c r="D56" s="124"/>
    </row>
    <row r="57" spans="3:4" ht="16" customHeight="1" x14ac:dyDescent="0.2">
      <c r="C57" s="124"/>
      <c r="D57" s="124"/>
    </row>
    <row r="58" spans="3:4" ht="16" customHeight="1" x14ac:dyDescent="0.2">
      <c r="C58" s="124"/>
      <c r="D58" s="124"/>
    </row>
    <row r="59" spans="3:4" ht="16" customHeight="1" x14ac:dyDescent="0.2">
      <c r="C59" s="124"/>
      <c r="D59" s="124"/>
    </row>
    <row r="60" spans="3:4" ht="16" customHeight="1" x14ac:dyDescent="0.2">
      <c r="C60" s="124"/>
      <c r="D60" s="124"/>
    </row>
    <row r="61" spans="3:4" ht="16" customHeight="1" x14ac:dyDescent="0.2">
      <c r="C61" s="124"/>
      <c r="D61" s="124"/>
    </row>
    <row r="62" spans="3:4" ht="16" customHeight="1" x14ac:dyDescent="0.2">
      <c r="C62" s="124"/>
      <c r="D62" s="124"/>
    </row>
    <row r="63" spans="3:4" ht="16" customHeight="1" x14ac:dyDescent="0.2">
      <c r="C63" s="124"/>
      <c r="D63" s="124"/>
    </row>
    <row r="64" spans="3:4" ht="16" customHeight="1" x14ac:dyDescent="0.2">
      <c r="C64" s="124"/>
      <c r="D64" s="124"/>
    </row>
    <row r="65" spans="3:4" ht="16" customHeight="1" x14ac:dyDescent="0.2">
      <c r="C65" s="124"/>
      <c r="D65" s="124"/>
    </row>
    <row r="66" spans="3:4" ht="16" customHeight="1" x14ac:dyDescent="0.2">
      <c r="C66" s="124"/>
      <c r="D66" s="124"/>
    </row>
    <row r="67" spans="3:4" ht="16" customHeight="1" x14ac:dyDescent="0.2">
      <c r="C67" s="124"/>
      <c r="D67" s="124"/>
    </row>
    <row r="68" spans="3:4" ht="16" customHeight="1" x14ac:dyDescent="0.2">
      <c r="C68" s="124"/>
      <c r="D68" s="124"/>
    </row>
    <row r="69" spans="3:4" ht="16" customHeight="1" x14ac:dyDescent="0.2">
      <c r="C69" s="124"/>
      <c r="D69" s="124"/>
    </row>
    <row r="70" spans="3:4" ht="16" customHeight="1" x14ac:dyDescent="0.2">
      <c r="C70" s="124"/>
      <c r="D70" s="124"/>
    </row>
    <row r="71" spans="3:4" ht="16" customHeight="1" x14ac:dyDescent="0.2">
      <c r="C71" s="124"/>
      <c r="D71" s="124"/>
    </row>
    <row r="72" spans="3:4" ht="16" customHeight="1" x14ac:dyDescent="0.2">
      <c r="C72" s="124"/>
      <c r="D72" s="124"/>
    </row>
    <row r="73" spans="3:4" ht="16" customHeight="1" x14ac:dyDescent="0.2">
      <c r="C73" s="124"/>
      <c r="D73" s="124"/>
    </row>
    <row r="74" spans="3:4" ht="16" customHeight="1" x14ac:dyDescent="0.2">
      <c r="C74" s="124"/>
      <c r="D74" s="124"/>
    </row>
    <row r="75" spans="3:4" ht="16" customHeight="1" x14ac:dyDescent="0.2">
      <c r="C75" s="124"/>
      <c r="D75" s="124"/>
    </row>
    <row r="76" spans="3:4" ht="16" customHeight="1" x14ac:dyDescent="0.2">
      <c r="C76" s="124"/>
      <c r="D76" s="124"/>
    </row>
    <row r="77" spans="3:4" ht="16" customHeight="1" x14ac:dyDescent="0.2">
      <c r="C77" s="124"/>
      <c r="D77" s="124"/>
    </row>
    <row r="78" spans="3:4" ht="16" customHeight="1" x14ac:dyDescent="0.2">
      <c r="C78" s="124"/>
      <c r="D78" s="124"/>
    </row>
    <row r="79" spans="3:4" ht="16" customHeight="1" x14ac:dyDescent="0.2">
      <c r="C79" s="124"/>
      <c r="D79" s="124"/>
    </row>
    <row r="80" spans="3:4" ht="16" customHeight="1" x14ac:dyDescent="0.2">
      <c r="C80" s="124"/>
      <c r="D80" s="124"/>
    </row>
    <row r="81" spans="3:4" ht="16" customHeight="1" x14ac:dyDescent="0.2">
      <c r="C81" s="124"/>
      <c r="D81" s="124"/>
    </row>
    <row r="82" spans="3:4" ht="16" customHeight="1" x14ac:dyDescent="0.2">
      <c r="C82" s="124"/>
      <c r="D82" s="124"/>
    </row>
    <row r="83" spans="3:4" ht="16" customHeight="1" x14ac:dyDescent="0.2">
      <c r="C83" s="124"/>
      <c r="D83" s="124"/>
    </row>
    <row r="84" spans="3:4" ht="16" customHeight="1" x14ac:dyDescent="0.2">
      <c r="C84" s="124"/>
      <c r="D84" s="124"/>
    </row>
    <row r="85" spans="3:4" ht="16" customHeight="1" x14ac:dyDescent="0.2">
      <c r="C85" s="124"/>
      <c r="D85" s="124"/>
    </row>
    <row r="86" spans="3:4" ht="16" customHeight="1" x14ac:dyDescent="0.2">
      <c r="C86" s="124"/>
      <c r="D86" s="124"/>
    </row>
    <row r="87" spans="3:4" ht="16" customHeight="1" x14ac:dyDescent="0.2">
      <c r="C87" s="124"/>
      <c r="D87" s="124"/>
    </row>
    <row r="88" spans="3:4" ht="16" customHeight="1" x14ac:dyDescent="0.2">
      <c r="C88" s="124"/>
      <c r="D88" s="124"/>
    </row>
    <row r="89" spans="3:4" ht="16" customHeight="1" x14ac:dyDescent="0.2">
      <c r="C89" s="124"/>
      <c r="D89" s="124"/>
    </row>
    <row r="90" spans="3:4" ht="16" customHeight="1" x14ac:dyDescent="0.2">
      <c r="C90" s="124"/>
      <c r="D90" s="124"/>
    </row>
    <row r="91" spans="3:4" ht="16" customHeight="1" x14ac:dyDescent="0.2">
      <c r="C91" s="124"/>
      <c r="D91" s="124"/>
    </row>
    <row r="92" spans="3:4" ht="16" customHeight="1" x14ac:dyDescent="0.2">
      <c r="C92" s="124"/>
      <c r="D92" s="124"/>
    </row>
    <row r="93" spans="3:4" ht="16" customHeight="1" x14ac:dyDescent="0.2">
      <c r="C93" s="124"/>
      <c r="D93" s="124"/>
    </row>
    <row r="94" spans="3:4" ht="16" customHeight="1" x14ac:dyDescent="0.2">
      <c r="C94" s="124"/>
      <c r="D94" s="124"/>
    </row>
    <row r="95" spans="3:4" ht="16" customHeight="1" x14ac:dyDescent="0.2">
      <c r="C95" s="124"/>
      <c r="D95" s="124"/>
    </row>
    <row r="96" spans="3:4" ht="16" customHeight="1" x14ac:dyDescent="0.2">
      <c r="C96" s="124"/>
      <c r="D96" s="124"/>
    </row>
    <row r="97" spans="3:4" ht="16" customHeight="1" x14ac:dyDescent="0.2">
      <c r="C97" s="124"/>
      <c r="D97" s="124"/>
    </row>
    <row r="98" spans="3:4" ht="16" customHeight="1" x14ac:dyDescent="0.2">
      <c r="C98" s="124"/>
      <c r="D98" s="124"/>
    </row>
    <row r="99" spans="3:4" ht="16" customHeight="1" x14ac:dyDescent="0.2">
      <c r="C99" s="124"/>
      <c r="D99" s="124"/>
    </row>
    <row r="100" spans="3:4" ht="16" customHeight="1" x14ac:dyDescent="0.2">
      <c r="C100" s="124"/>
      <c r="D100" s="124"/>
    </row>
    <row r="101" spans="3:4" ht="16" customHeight="1" x14ac:dyDescent="0.2">
      <c r="C101" s="124"/>
      <c r="D101" s="124"/>
    </row>
    <row r="102" spans="3:4" ht="16" customHeight="1" x14ac:dyDescent="0.2">
      <c r="C102" s="124"/>
      <c r="D102" s="124"/>
    </row>
    <row r="103" spans="3:4" ht="16" customHeight="1" x14ac:dyDescent="0.2">
      <c r="C103" s="124"/>
      <c r="D103" s="124"/>
    </row>
    <row r="104" spans="3:4" ht="16" customHeight="1" x14ac:dyDescent="0.2">
      <c r="C104" s="124"/>
      <c r="D104" s="124"/>
    </row>
    <row r="105" spans="3:4" ht="16" customHeight="1" x14ac:dyDescent="0.2">
      <c r="C105" s="124"/>
      <c r="D105" s="124"/>
    </row>
    <row r="106" spans="3:4" ht="16" customHeight="1" x14ac:dyDescent="0.2">
      <c r="C106" s="124"/>
      <c r="D106" s="124"/>
    </row>
    <row r="107" spans="3:4" ht="16" customHeight="1" x14ac:dyDescent="0.2">
      <c r="C107" s="124"/>
      <c r="D107" s="124"/>
    </row>
    <row r="108" spans="3:4" ht="16" customHeight="1" x14ac:dyDescent="0.2">
      <c r="C108" s="124"/>
      <c r="D108" s="124"/>
    </row>
    <row r="109" spans="3:4" ht="16" customHeight="1" x14ac:dyDescent="0.2">
      <c r="C109" s="124"/>
      <c r="D109" s="124"/>
    </row>
    <row r="110" spans="3:4" ht="16" customHeight="1" x14ac:dyDescent="0.2">
      <c r="C110" s="124"/>
      <c r="D110" s="124"/>
    </row>
    <row r="111" spans="3:4" ht="16" customHeight="1" x14ac:dyDescent="0.2">
      <c r="C111" s="124"/>
      <c r="D111" s="124"/>
    </row>
    <row r="112" spans="3:4" ht="16" customHeight="1" x14ac:dyDescent="0.2">
      <c r="C112" s="124"/>
      <c r="D112" s="124"/>
    </row>
    <row r="113" spans="3:4" ht="16" customHeight="1" x14ac:dyDescent="0.2">
      <c r="C113" s="124"/>
      <c r="D113" s="124"/>
    </row>
    <row r="114" spans="3:4" ht="16" customHeight="1" x14ac:dyDescent="0.2">
      <c r="C114" s="124"/>
      <c r="D114" s="124"/>
    </row>
    <row r="115" spans="3:4" ht="16" customHeight="1" x14ac:dyDescent="0.2">
      <c r="C115" s="124"/>
      <c r="D115" s="124"/>
    </row>
    <row r="116" spans="3:4" ht="16" customHeight="1" x14ac:dyDescent="0.2">
      <c r="C116" s="124"/>
      <c r="D116" s="124"/>
    </row>
    <row r="117" spans="3:4" ht="16" customHeight="1" x14ac:dyDescent="0.2">
      <c r="C117" s="124"/>
      <c r="D117" s="124"/>
    </row>
    <row r="118" spans="3:4" ht="16" customHeight="1" x14ac:dyDescent="0.2">
      <c r="C118" s="124"/>
      <c r="D118" s="124"/>
    </row>
    <row r="119" spans="3:4" ht="16" customHeight="1" x14ac:dyDescent="0.2">
      <c r="C119" s="124"/>
      <c r="D119" s="124"/>
    </row>
    <row r="120" spans="3:4" ht="16" customHeight="1" x14ac:dyDescent="0.2">
      <c r="C120" s="124"/>
      <c r="D120" s="124"/>
    </row>
    <row r="121" spans="3:4" ht="16" customHeight="1" x14ac:dyDescent="0.2">
      <c r="C121" s="124"/>
      <c r="D121" s="124"/>
    </row>
    <row r="122" spans="3:4" ht="16" customHeight="1" x14ac:dyDescent="0.2">
      <c r="C122" s="124"/>
      <c r="D122" s="124"/>
    </row>
    <row r="123" spans="3:4" ht="16" customHeight="1" x14ac:dyDescent="0.2">
      <c r="C123" s="124"/>
      <c r="D123" s="124"/>
    </row>
    <row r="124" spans="3:4" ht="16" customHeight="1" x14ac:dyDescent="0.2">
      <c r="C124" s="124"/>
      <c r="D124" s="124"/>
    </row>
    <row r="125" spans="3:4" ht="16" customHeight="1" x14ac:dyDescent="0.2">
      <c r="C125" s="124"/>
      <c r="D125" s="124"/>
    </row>
    <row r="126" spans="3:4" ht="16" customHeight="1" x14ac:dyDescent="0.2">
      <c r="C126" s="124"/>
      <c r="D126" s="124"/>
    </row>
    <row r="127" spans="3:4" ht="16" customHeight="1" x14ac:dyDescent="0.2">
      <c r="C127" s="124"/>
      <c r="D127" s="124"/>
    </row>
    <row r="128" spans="3:4" ht="16" customHeight="1" x14ac:dyDescent="0.2">
      <c r="C128" s="124"/>
      <c r="D128" s="124"/>
    </row>
    <row r="129" spans="3:4" ht="16" customHeight="1" x14ac:dyDescent="0.2">
      <c r="C129" s="124"/>
      <c r="D129" s="124"/>
    </row>
    <row r="130" spans="3:4" ht="16" customHeight="1" x14ac:dyDescent="0.2">
      <c r="C130" s="124"/>
      <c r="D130" s="124"/>
    </row>
    <row r="131" spans="3:4" ht="16" customHeight="1" x14ac:dyDescent="0.2">
      <c r="C131" s="124"/>
      <c r="D131" s="124"/>
    </row>
    <row r="132" spans="3:4" ht="16" customHeight="1" x14ac:dyDescent="0.2">
      <c r="C132" s="124"/>
      <c r="D132" s="124"/>
    </row>
    <row r="133" spans="3:4" ht="16" customHeight="1" x14ac:dyDescent="0.2">
      <c r="C133" s="124"/>
      <c r="D133" s="124"/>
    </row>
    <row r="134" spans="3:4" ht="16" customHeight="1" x14ac:dyDescent="0.2">
      <c r="C134" s="124"/>
      <c r="D134" s="124"/>
    </row>
    <row r="135" spans="3:4" ht="16" customHeight="1" x14ac:dyDescent="0.2">
      <c r="C135" s="124"/>
      <c r="D135" s="124"/>
    </row>
    <row r="136" spans="3:4" ht="16" customHeight="1" x14ac:dyDescent="0.2">
      <c r="C136" s="124"/>
      <c r="D136" s="124"/>
    </row>
    <row r="137" spans="3:4" ht="16" customHeight="1" x14ac:dyDescent="0.2">
      <c r="C137" s="124"/>
      <c r="D137" s="124"/>
    </row>
    <row r="138" spans="3:4" ht="16" customHeight="1" x14ac:dyDescent="0.2">
      <c r="C138" s="124"/>
      <c r="D138" s="124"/>
    </row>
    <row r="139" spans="3:4" ht="16" customHeight="1" x14ac:dyDescent="0.2">
      <c r="C139" s="124"/>
      <c r="D139" s="124"/>
    </row>
    <row r="140" spans="3:4" ht="16" customHeight="1" x14ac:dyDescent="0.2">
      <c r="C140" s="124"/>
      <c r="D140" s="124"/>
    </row>
    <row r="141" spans="3:4" ht="16" customHeight="1" x14ac:dyDescent="0.2">
      <c r="C141" s="124"/>
      <c r="D141" s="124"/>
    </row>
    <row r="142" spans="3:4" ht="16" customHeight="1" x14ac:dyDescent="0.2">
      <c r="C142" s="124"/>
      <c r="D142" s="124"/>
    </row>
    <row r="143" spans="3:4" ht="16" customHeight="1" x14ac:dyDescent="0.2">
      <c r="C143" s="124"/>
      <c r="D143" s="124"/>
    </row>
    <row r="144" spans="3:4" ht="16" customHeight="1" x14ac:dyDescent="0.2">
      <c r="C144" s="124"/>
      <c r="D144" s="124"/>
    </row>
    <row r="145" spans="3:4" ht="16" customHeight="1" x14ac:dyDescent="0.2">
      <c r="C145" s="124"/>
      <c r="D145" s="124"/>
    </row>
    <row r="146" spans="3:4" ht="16" customHeight="1" x14ac:dyDescent="0.2">
      <c r="C146" s="124"/>
      <c r="D146" s="124"/>
    </row>
    <row r="147" spans="3:4" ht="16" customHeight="1" x14ac:dyDescent="0.2">
      <c r="C147" s="124"/>
      <c r="D147" s="124"/>
    </row>
    <row r="148" spans="3:4" ht="16" customHeight="1" x14ac:dyDescent="0.2">
      <c r="C148" s="124"/>
      <c r="D148" s="124"/>
    </row>
    <row r="149" spans="3:4" ht="16" customHeight="1" x14ac:dyDescent="0.2">
      <c r="C149" s="124"/>
      <c r="D149" s="124"/>
    </row>
    <row r="150" spans="3:4" ht="16" customHeight="1" x14ac:dyDescent="0.2">
      <c r="C150" s="124"/>
      <c r="D150" s="124"/>
    </row>
    <row r="151" spans="3:4" ht="16" customHeight="1" x14ac:dyDescent="0.2">
      <c r="C151" s="124"/>
      <c r="D151" s="124"/>
    </row>
  </sheetData>
  <conditionalFormatting sqref="E2:E40 G9">
    <cfRule type="expression" dxfId="7" priority="5" stopIfTrue="1">
      <formula>$Q2=0</formula>
    </cfRule>
    <cfRule type="expression" dxfId="6" priority="6" stopIfTrue="1">
      <formula>AND($Q2&lt;&gt;0,$Q2&lt;&gt;"")</formula>
    </cfRule>
  </conditionalFormatting>
  <conditionalFormatting sqref="N2:N40 P2:P40 R2:R40 T2:T40 V2:V41">
    <cfRule type="containsText" dxfId="5" priority="3" operator="containsText" text="Tăng">
      <formula>NOT(ISERROR(SEARCH("Tăng",N2)))</formula>
    </cfRule>
    <cfRule type="containsText" dxfId="4" priority="4" operator="containsText" text="giảm">
      <formula>NOT(ISERROR(SEARCH("giảm",N2)))</formula>
    </cfRule>
  </conditionalFormatting>
  <pageMargins left="0.7" right="0.7" top="0.75" bottom="0.75" header="0.3" footer="0.3"/>
  <pageSetup paperSize="9" orientation="portrait" horizontalDpi="0" verticalDpi="0"/>
  <legacyDrawing r:id="rId1"/>
</worksheet>
</file>

<file path=xl/worksheets/sheet10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A00-000000000000}">
  <dimension ref="A1:Y151"/>
  <sheetViews>
    <sheetView showGridLines="0" zoomScale="80" zoomScaleNormal="80" workbookViewId="0">
      <pane xSplit="2" ySplit="1" topLeftCell="C2" activePane="bottomRight" state="frozen"/>
      <selection pane="topRight" activeCell="C1" sqref="C1"/>
      <selection pane="bottomLeft" activeCell="A2" sqref="A2"/>
      <selection pane="bottomRight" activeCell="E17" sqref="E17"/>
    </sheetView>
  </sheetViews>
  <sheetFormatPr baseColWidth="10" defaultColWidth="11" defaultRowHeight="15.75" customHeight="1" x14ac:dyDescent="0.2"/>
  <cols>
    <col min="1" max="1" width="30.5" customWidth="1"/>
    <col min="2" max="2" width="3.1640625" customWidth="1"/>
    <col min="3" max="3" width="14.83203125" customWidth="1"/>
    <col min="4" max="4" width="16" customWidth="1"/>
    <col min="5" max="5" width="15.5" style="6" customWidth="1"/>
    <col min="6" max="6" width="14.33203125" customWidth="1"/>
    <col min="7" max="12" width="11" customWidth="1"/>
    <col min="13" max="13" width="14.33203125" customWidth="1"/>
    <col min="14" max="14" width="42" customWidth="1"/>
    <col min="15" max="15" width="14.83203125" customWidth="1"/>
    <col min="16" max="16" width="51.5" customWidth="1"/>
    <col min="17" max="17" width="13.5" customWidth="1"/>
    <col min="18" max="18" width="46" customWidth="1"/>
    <col min="19" max="19" width="15.5" customWidth="1"/>
    <col min="20" max="20" width="42.33203125" customWidth="1"/>
    <col min="21" max="21" width="14.1640625" customWidth="1"/>
    <col min="22" max="22" width="48.33203125" customWidth="1"/>
  </cols>
  <sheetData>
    <row r="1" spans="1:25" ht="29" customHeight="1" x14ac:dyDescent="0.2">
      <c r="B1" s="46" t="s">
        <v>0</v>
      </c>
      <c r="C1" s="80" t="s">
        <v>1</v>
      </c>
      <c r="D1" s="80" t="s">
        <v>2</v>
      </c>
      <c r="E1" s="115" t="s">
        <v>3</v>
      </c>
      <c r="F1" s="81" t="s">
        <v>4</v>
      </c>
      <c r="G1" s="81" t="s">
        <v>5</v>
      </c>
      <c r="M1" s="143" t="s">
        <v>6</v>
      </c>
      <c r="N1" s="143" t="s">
        <v>7</v>
      </c>
      <c r="O1" s="144" t="s">
        <v>8</v>
      </c>
      <c r="P1" s="144" t="s">
        <v>9</v>
      </c>
      <c r="Q1" s="144" t="s">
        <v>10</v>
      </c>
      <c r="R1" s="144" t="s">
        <v>11</v>
      </c>
      <c r="S1" s="144" t="s">
        <v>12</v>
      </c>
      <c r="T1" s="144" t="s">
        <v>13</v>
      </c>
      <c r="U1" s="144" t="s">
        <v>14</v>
      </c>
      <c r="V1" s="145" t="s">
        <v>15</v>
      </c>
    </row>
    <row r="2" spans="1:25" ht="16" x14ac:dyDescent="0.2">
      <c r="A2" t="s">
        <v>16</v>
      </c>
      <c r="B2" s="82"/>
      <c r="C2" s="127">
        <v>17590000</v>
      </c>
      <c r="D2" s="127">
        <v>17490000</v>
      </c>
      <c r="E2" s="134">
        <v>17290000</v>
      </c>
      <c r="F2" s="167">
        <v>17490000</v>
      </c>
      <c r="G2" s="110">
        <v>17290000</v>
      </c>
      <c r="H2" s="153"/>
      <c r="M2" s="148">
        <f>IFERROR(C2-W6Q3FY26!C2,"OOS")</f>
        <v>0</v>
      </c>
      <c r="N2" s="146" t="str">
        <f t="shared" ref="N2:N16" si="0">IF(M2=0,"",$A2 &amp; IF(M2&gt;0," tăng "," giảm ") &amp; TEXT(ABS(M2)/1000,"0") &amp; "K = " &amp; TEXT(C2/1000,"#.##0") &amp; "K")</f>
        <v/>
      </c>
      <c r="O2" s="149">
        <f>IFERROR(D2-W6Q3FY26!D2,"OOS")</f>
        <v>0</v>
      </c>
      <c r="P2" s="146" t="str">
        <f t="shared" ref="P2:P40" si="1">IF(O2=0,"",$A2 &amp; IF(O2&gt;0," tăng "," giảm ") &amp; TEXT(ABS(O2)/1000,"0") &amp; "K = " &amp; TEXT(D2/1000,"#.##0") &amp; "K")</f>
        <v/>
      </c>
      <c r="Q2" s="149">
        <f>IFERROR(E2-W6Q3FY26!E2,"OOS")</f>
        <v>0</v>
      </c>
      <c r="R2" s="146" t="str">
        <f t="shared" ref="R2:R40" si="2">IF(Q2=0,"",$A2 &amp; IF(Q2&gt;0," tăng "," giảm ") &amp; TEXT(ABS(Q2)/1000,"0") &amp; "K = " &amp; TEXT(E2/1000,"#.##0") &amp; "K")</f>
        <v/>
      </c>
      <c r="S2" s="149">
        <f>IFERROR(F2-W6Q3FY26!F2,"OOS")</f>
        <v>0</v>
      </c>
      <c r="T2" s="146" t="str">
        <f t="shared" ref="T2:T16" si="3">IF(S2=0,"",$A2 &amp; IF(S2&gt;0," tăng "," giảm ") &amp; TEXT(ABS(S2)/1000,"0") &amp; "K = " &amp; TEXT(F2/1000,"#.##0") &amp; "K")</f>
        <v/>
      </c>
      <c r="U2" s="149">
        <f>IFERROR(G2-W6Q3FY26!G2,"OOS")</f>
        <v>0</v>
      </c>
      <c r="V2" s="146" t="str">
        <f t="shared" ref="V2:V18" si="4">IF(U2=0,"",$A2 &amp; IF(U2&gt;0," tăng "," giảm ") &amp; TEXT(ABS(U2)/1000,"0") &amp; "K = " &amp; TEXT(G2/1000,"#.##0") &amp; "K")</f>
        <v/>
      </c>
    </row>
    <row r="3" spans="1:25" ht="16" customHeight="1" x14ac:dyDescent="0.2">
      <c r="A3" t="s">
        <v>17</v>
      </c>
      <c r="B3" s="82"/>
      <c r="C3" s="129">
        <v>24390000</v>
      </c>
      <c r="D3" s="129">
        <v>24390000</v>
      </c>
      <c r="E3" s="130">
        <v>23290000</v>
      </c>
      <c r="F3" s="160">
        <v>24390000</v>
      </c>
      <c r="G3" s="110">
        <v>23790000</v>
      </c>
      <c r="H3" s="153"/>
      <c r="M3" s="148">
        <f>IFERROR(C3-W6Q3FY26!C3,"OOS")</f>
        <v>-200000</v>
      </c>
      <c r="N3" s="146" t="str">
        <f t="shared" si="0"/>
        <v>iPhone 17  256GB giảm 200K = 24390.0K</v>
      </c>
      <c r="O3" s="149">
        <f>IFERROR(D3-W6Q3FY26!D3,"OOS")</f>
        <v>-100000</v>
      </c>
      <c r="P3" s="146" t="str">
        <f t="shared" si="1"/>
        <v>iPhone 17  256GB giảm 100K = 24390.0K</v>
      </c>
      <c r="Q3" s="149">
        <f>IFERROR(E3-W6Q3FY26!E3,"OOS")</f>
        <v>0</v>
      </c>
      <c r="R3" s="146" t="str">
        <f t="shared" si="2"/>
        <v/>
      </c>
      <c r="S3" s="149">
        <f>IFERROR(F3-W6Q3FY26!F3,"OOS")</f>
        <v>0</v>
      </c>
      <c r="T3" s="146" t="str">
        <f t="shared" si="3"/>
        <v/>
      </c>
      <c r="U3" s="149">
        <f>IFERROR(G3-W6Q3FY26!G3,"OOS")</f>
        <v>0</v>
      </c>
      <c r="V3" s="146" t="str">
        <f t="shared" si="4"/>
        <v/>
      </c>
    </row>
    <row r="4" spans="1:25" ht="16" customHeight="1" x14ac:dyDescent="0.2">
      <c r="A4" t="s">
        <v>18</v>
      </c>
      <c r="B4" s="82"/>
      <c r="C4" s="127">
        <v>22990000</v>
      </c>
      <c r="D4" s="129">
        <v>22890000</v>
      </c>
      <c r="E4" s="130">
        <v>22990000</v>
      </c>
      <c r="F4" s="132">
        <v>22890000</v>
      </c>
      <c r="G4" s="111">
        <v>22890000</v>
      </c>
      <c r="H4" s="153"/>
      <c r="M4" s="148">
        <f>IFERROR(C4-W6Q3FY26!C4,"OOS")</f>
        <v>0</v>
      </c>
      <c r="N4" s="146" t="str">
        <f t="shared" si="0"/>
        <v/>
      </c>
      <c r="O4" s="149">
        <f>IFERROR(D4-W6Q3FY26!D4,"OOS")</f>
        <v>-100000</v>
      </c>
      <c r="P4" s="146" t="str">
        <f t="shared" si="1"/>
        <v>iPhone Air 256G giảm 100K = 22890.0K</v>
      </c>
      <c r="Q4" s="149">
        <f>IFERROR(E4-W6Q3FY26!E4,"OOS")</f>
        <v>0</v>
      </c>
      <c r="R4" s="146" t="str">
        <f t="shared" si="2"/>
        <v/>
      </c>
      <c r="S4" s="149">
        <f>IFERROR(F4-W6Q3FY26!F4,"OOS")</f>
        <v>0</v>
      </c>
      <c r="T4" s="146" t="str">
        <f t="shared" si="3"/>
        <v/>
      </c>
      <c r="U4" s="149">
        <f>IFERROR(G4-W6Q3FY26!G4,"OOS")</f>
        <v>-600000</v>
      </c>
      <c r="V4" s="146" t="str">
        <f t="shared" si="4"/>
        <v>iPhone Air 256G giảm 600K = 22890.0K</v>
      </c>
    </row>
    <row r="5" spans="1:25" ht="16" customHeight="1" x14ac:dyDescent="0.2">
      <c r="A5" t="s">
        <v>19</v>
      </c>
      <c r="B5" s="82"/>
      <c r="C5" s="129">
        <v>34690000</v>
      </c>
      <c r="D5" s="129">
        <v>34590000</v>
      </c>
      <c r="E5" s="130">
        <v>33190000</v>
      </c>
      <c r="F5" s="132">
        <v>34590000</v>
      </c>
      <c r="G5" s="110">
        <v>33990000</v>
      </c>
      <c r="H5" s="153"/>
      <c r="M5" s="148">
        <f>IFERROR(C5-W6Q3FY26!C5,"OOS")</f>
        <v>-100000</v>
      </c>
      <c r="N5" s="146" t="str">
        <f t="shared" si="0"/>
        <v>iPhone 17 Pro 256GB giảm 100K = 34690.0K</v>
      </c>
      <c r="O5" s="149">
        <f>IFERROR(D5-W6Q3FY26!D5,"OOS")</f>
        <v>-100000</v>
      </c>
      <c r="P5" s="146" t="str">
        <f t="shared" si="1"/>
        <v>iPhone 17 Pro 256GB giảm 100K = 34590.0K</v>
      </c>
      <c r="Q5" s="149">
        <f>IFERROR(E5-W6Q3FY26!E5,"OOS")</f>
        <v>0</v>
      </c>
      <c r="R5" s="146" t="str">
        <f t="shared" si="2"/>
        <v/>
      </c>
      <c r="S5" s="149">
        <f>IFERROR(F5-W6Q3FY26!F5,"OOS")</f>
        <v>0</v>
      </c>
      <c r="T5" s="146" t="str">
        <f t="shared" si="3"/>
        <v/>
      </c>
      <c r="U5" s="149">
        <f>IFERROR(G5-W6Q3FY26!G5,"OOS")</f>
        <v>0</v>
      </c>
      <c r="V5" s="146" t="str">
        <f t="shared" si="4"/>
        <v/>
      </c>
    </row>
    <row r="6" spans="1:25" ht="16" customHeight="1" x14ac:dyDescent="0.2">
      <c r="A6" t="s">
        <v>20</v>
      </c>
      <c r="B6" s="82"/>
      <c r="C6" s="127">
        <v>36990000</v>
      </c>
      <c r="D6" s="129">
        <v>36690000</v>
      </c>
      <c r="E6" s="134">
        <v>36290000</v>
      </c>
      <c r="F6" s="132">
        <v>36890000</v>
      </c>
      <c r="G6" s="110">
        <v>36790000</v>
      </c>
      <c r="H6" s="153"/>
      <c r="M6" s="148">
        <f>IFERROR(C6-W6Q3FY26!C6,"OOS")</f>
        <v>0</v>
      </c>
      <c r="N6" s="146" t="str">
        <f t="shared" si="0"/>
        <v/>
      </c>
      <c r="O6" s="149">
        <f>IFERROR(D6-W6Q3FY26!D6,"OOS")</f>
        <v>-300000</v>
      </c>
      <c r="P6" s="146" t="str">
        <f t="shared" si="1"/>
        <v>iPhone 17 Pro Max 256GB giảm 300K = 36690.0K</v>
      </c>
      <c r="Q6" s="149" t="str">
        <f>IFERROR(E6-W6Q3FY26!E6,"OOS")</f>
        <v>OOS</v>
      </c>
      <c r="R6" s="146" t="e">
        <f t="shared" si="2"/>
        <v>#VALUE!</v>
      </c>
      <c r="S6" s="149">
        <f>IFERROR(F6-W6Q3FY26!F6,"OOS")</f>
        <v>0</v>
      </c>
      <c r="T6" s="146" t="str">
        <f t="shared" si="3"/>
        <v/>
      </c>
      <c r="U6" s="149">
        <f>IFERROR(G6-W6Q3FY26!G6,"OOS")</f>
        <v>0</v>
      </c>
      <c r="V6" s="146" t="str">
        <f t="shared" si="4"/>
        <v/>
      </c>
    </row>
    <row r="7" spans="1:25" ht="16" customHeight="1" x14ac:dyDescent="0.2">
      <c r="A7" t="s">
        <v>21</v>
      </c>
      <c r="B7" s="82"/>
      <c r="C7" s="127" t="s">
        <v>22</v>
      </c>
      <c r="D7" s="135">
        <v>14990000</v>
      </c>
      <c r="E7" s="134">
        <v>11990000</v>
      </c>
      <c r="F7" s="136">
        <v>12990000</v>
      </c>
      <c r="G7" s="110">
        <v>15190000</v>
      </c>
      <c r="H7" s="153"/>
      <c r="M7" s="148" t="str">
        <f>IFERROR(C7-W6Q3FY26!C7,"OOS")</f>
        <v>OOS</v>
      </c>
      <c r="N7" s="146" t="e">
        <f t="shared" si="0"/>
        <v>#VALUE!</v>
      </c>
      <c r="O7" s="149">
        <f>IFERROR(D7-W6Q3FY26!D7,"OOS")</f>
        <v>0</v>
      </c>
      <c r="P7" s="146" t="str">
        <f t="shared" si="1"/>
        <v/>
      </c>
      <c r="Q7" s="149">
        <f>IFERROR(E7-W6Q3FY26!E7,"OOS")</f>
        <v>0</v>
      </c>
      <c r="R7" s="146" t="str">
        <f t="shared" si="2"/>
        <v/>
      </c>
      <c r="S7" s="149">
        <f>IFERROR(F7-W6Q3FY26!F7,"OOS")</f>
        <v>0</v>
      </c>
      <c r="T7" s="146" t="str">
        <f t="shared" si="3"/>
        <v/>
      </c>
      <c r="U7" s="149">
        <f>IFERROR(G7-W6Q3FY26!G7,"OOS")</f>
        <v>0</v>
      </c>
      <c r="V7" s="146" t="str">
        <f t="shared" si="4"/>
        <v/>
      </c>
    </row>
    <row r="8" spans="1:25" ht="16" customHeight="1" x14ac:dyDescent="0.2">
      <c r="A8" t="s">
        <v>23</v>
      </c>
      <c r="B8" s="70"/>
      <c r="C8" s="137">
        <v>20690000</v>
      </c>
      <c r="D8" s="137">
        <v>20590000</v>
      </c>
      <c r="E8" s="139">
        <v>20490000</v>
      </c>
      <c r="F8" s="132">
        <v>20590000</v>
      </c>
      <c r="G8" s="110">
        <v>20490000</v>
      </c>
      <c r="H8" s="153"/>
      <c r="M8" s="148">
        <f>IFERROR(C8-W6Q3FY26!C8,"OOS")</f>
        <v>-100000</v>
      </c>
      <c r="N8" s="146" t="str">
        <f t="shared" si="0"/>
        <v>iPhone 16 128GB giảm 100K = 20690.0K</v>
      </c>
      <c r="O8" s="149">
        <f>IFERROR(D8-W6Q3FY26!D8,"OOS")</f>
        <v>-200000</v>
      </c>
      <c r="P8" s="146" t="str">
        <f t="shared" si="1"/>
        <v>iPhone 16 128GB giảm 200K = 20590.0K</v>
      </c>
      <c r="Q8" s="149">
        <f>IFERROR(E8-W6Q3FY26!E8,"OOS")</f>
        <v>0</v>
      </c>
      <c r="R8" s="146" t="str">
        <f t="shared" si="2"/>
        <v/>
      </c>
      <c r="S8" s="149">
        <f>IFERROR(F8-W6Q3FY26!F8,"OOS")</f>
        <v>0</v>
      </c>
      <c r="T8" s="146" t="str">
        <f t="shared" si="3"/>
        <v/>
      </c>
      <c r="U8" s="149">
        <f>IFERROR(G8-W6Q3FY26!G8,"OOS")</f>
        <v>0</v>
      </c>
      <c r="V8" s="146" t="str">
        <f t="shared" si="4"/>
        <v/>
      </c>
    </row>
    <row r="9" spans="1:25" ht="16" customHeight="1" x14ac:dyDescent="0.2">
      <c r="A9" t="s">
        <v>24</v>
      </c>
      <c r="B9" s="3"/>
      <c r="C9" s="140">
        <v>24490000</v>
      </c>
      <c r="D9" s="140">
        <v>23990000</v>
      </c>
      <c r="E9" s="139">
        <v>24790000</v>
      </c>
      <c r="F9" s="132">
        <v>24290000</v>
      </c>
      <c r="G9" s="111">
        <v>24290000</v>
      </c>
      <c r="H9" s="153"/>
      <c r="M9" s="148">
        <f>IFERROR(C9-W6Q3FY26!C9,"OOS")</f>
        <v>0</v>
      </c>
      <c r="N9" s="146" t="str">
        <f t="shared" si="0"/>
        <v/>
      </c>
      <c r="O9" s="149">
        <f>IFERROR(D9-W6Q3FY26!D9,"OOS")</f>
        <v>-500000</v>
      </c>
      <c r="P9" s="146" t="str">
        <f t="shared" si="1"/>
        <v>iPhone 16  Plus 128GB giảm 500K = 23990.0K</v>
      </c>
      <c r="Q9" s="149">
        <f>IFERROR(E9-W6Q3FY26!E9,"OOS")</f>
        <v>0</v>
      </c>
      <c r="R9" s="146" t="str">
        <f t="shared" si="2"/>
        <v/>
      </c>
      <c r="S9" s="149">
        <f>IFERROR(F9-W6Q3FY26!F9,"OOS")</f>
        <v>0</v>
      </c>
      <c r="T9" s="146" t="str">
        <f t="shared" si="3"/>
        <v/>
      </c>
      <c r="U9" s="149">
        <f>IFERROR(G9-W6Q3FY26!G9,"OOS")</f>
        <v>-300000</v>
      </c>
      <c r="V9" s="146" t="str">
        <f t="shared" si="4"/>
        <v>iPhone 16  Plus 128GB giảm 300K = 24290.0K</v>
      </c>
    </row>
    <row r="10" spans="1:25" ht="16" customHeight="1" x14ac:dyDescent="0.2">
      <c r="A10" t="s">
        <v>25</v>
      </c>
      <c r="B10" s="25"/>
      <c r="C10" s="140">
        <v>17990000</v>
      </c>
      <c r="D10" s="140">
        <v>17690000</v>
      </c>
      <c r="E10" s="154">
        <v>17190000</v>
      </c>
      <c r="F10" s="132">
        <v>17890000</v>
      </c>
      <c r="G10" s="110">
        <v>17390000</v>
      </c>
      <c r="H10" s="153"/>
      <c r="M10" s="148">
        <f>IFERROR(C10-W6Q3FY26!C10,"OOS")</f>
        <v>0</v>
      </c>
      <c r="N10" s="146" t="str">
        <f t="shared" si="0"/>
        <v/>
      </c>
      <c r="O10" s="149">
        <f>IFERROR(D10-W6Q3FY26!D10,"OOS")</f>
        <v>-200000</v>
      </c>
      <c r="P10" s="146" t="str">
        <f t="shared" si="1"/>
        <v>iPhone 15  128GB giảm 200K = 17690.0K</v>
      </c>
      <c r="Q10" s="149">
        <f>IFERROR(E10-W6Q3FY26!E10,"OOS")</f>
        <v>0</v>
      </c>
      <c r="R10" s="146" t="str">
        <f t="shared" si="2"/>
        <v/>
      </c>
      <c r="S10" s="149">
        <f>IFERROR(F10-W6Q3FY26!F10,"OOS")</f>
        <v>0</v>
      </c>
      <c r="T10" s="146" t="str">
        <f t="shared" si="3"/>
        <v/>
      </c>
      <c r="U10" s="149">
        <f>IFERROR(G10-W6Q3FY26!G10,"OOS")</f>
        <v>0</v>
      </c>
      <c r="V10" s="146" t="str">
        <f t="shared" si="4"/>
        <v/>
      </c>
    </row>
    <row r="11" spans="1:25" ht="15" customHeight="1" x14ac:dyDescent="0.2">
      <c r="A11" t="s">
        <v>26</v>
      </c>
      <c r="B11" s="25"/>
      <c r="C11" s="135">
        <v>17990000</v>
      </c>
      <c r="D11" s="135" t="s">
        <v>22</v>
      </c>
      <c r="E11" s="130" t="s">
        <v>22</v>
      </c>
      <c r="F11" s="110" t="s">
        <v>22</v>
      </c>
      <c r="G11" s="110" t="s">
        <v>22</v>
      </c>
      <c r="H11" s="153"/>
      <c r="M11" s="148">
        <f>IFERROR(C11-W6Q3FY26!C11,"OOS")</f>
        <v>0</v>
      </c>
      <c r="N11" s="146" t="str">
        <f t="shared" si="0"/>
        <v/>
      </c>
      <c r="O11" s="149" t="str">
        <f>IFERROR(D11-W6Q3FY26!D11,"OOS")</f>
        <v>OOS</v>
      </c>
      <c r="P11" s="146" t="e">
        <f t="shared" si="1"/>
        <v>#VALUE!</v>
      </c>
      <c r="Q11" s="149" t="str">
        <f>IFERROR(E11-W6Q3FY26!E11,"OOS")</f>
        <v>OOS</v>
      </c>
      <c r="R11" s="146" t="e">
        <f t="shared" si="2"/>
        <v>#VALUE!</v>
      </c>
      <c r="S11" s="149" t="str">
        <f>IFERROR(F11-W6Q3FY26!F11,"OOS")</f>
        <v>OOS</v>
      </c>
      <c r="T11" s="146" t="e">
        <f t="shared" si="3"/>
        <v>#VALUE!</v>
      </c>
      <c r="U11" s="149" t="str">
        <f>IFERROR(G11-W6Q3FY26!G11,"OOS")</f>
        <v>OOS</v>
      </c>
      <c r="V11" s="146" t="e">
        <f t="shared" si="4"/>
        <v>#VALUE!</v>
      </c>
    </row>
    <row r="12" spans="1:25" ht="16" customHeight="1" x14ac:dyDescent="0.2">
      <c r="A12" t="s">
        <v>27</v>
      </c>
      <c r="B12" s="25"/>
      <c r="C12" s="135">
        <v>13990000</v>
      </c>
      <c r="D12" s="135">
        <v>13990000</v>
      </c>
      <c r="E12" s="130">
        <v>13790000</v>
      </c>
      <c r="F12" s="132">
        <v>13990000</v>
      </c>
      <c r="G12" s="110">
        <v>12990000</v>
      </c>
      <c r="H12" s="153"/>
      <c r="M12" s="148">
        <f>IFERROR(C12-W6Q3FY26!C12,"OOS")</f>
        <v>0</v>
      </c>
      <c r="N12" s="146" t="str">
        <f t="shared" si="0"/>
        <v/>
      </c>
      <c r="O12" s="149">
        <f>IFERROR(D12-W6Q3FY26!D12,"OOS")</f>
        <v>0</v>
      </c>
      <c r="P12" s="146" t="str">
        <f t="shared" si="1"/>
        <v/>
      </c>
      <c r="Q12" s="149">
        <f>IFERROR(E12-W6Q3FY26!E12,"OOS")</f>
        <v>0</v>
      </c>
      <c r="R12" s="146" t="str">
        <f t="shared" si="2"/>
        <v/>
      </c>
      <c r="S12" s="149">
        <f>IFERROR(F12-W6Q3FY26!F12,"OOS")</f>
        <v>0</v>
      </c>
      <c r="T12" s="146" t="str">
        <f t="shared" si="3"/>
        <v/>
      </c>
      <c r="U12" s="149">
        <f>IFERROR(G12-W6Q3FY26!G12,"OOS")</f>
        <v>0</v>
      </c>
      <c r="V12" s="146" t="str">
        <f t="shared" si="4"/>
        <v/>
      </c>
    </row>
    <row r="13" spans="1:25" ht="16" customHeight="1" x14ac:dyDescent="0.2">
      <c r="A13" t="s">
        <v>28</v>
      </c>
      <c r="B13" s="3"/>
      <c r="C13" s="135">
        <v>11990000</v>
      </c>
      <c r="D13" s="135">
        <v>11990000</v>
      </c>
      <c r="E13" s="139">
        <v>12090000</v>
      </c>
      <c r="F13" s="132">
        <v>11990000</v>
      </c>
      <c r="G13" s="110">
        <v>11890000</v>
      </c>
      <c r="H13" s="153"/>
      <c r="M13" s="148">
        <f>IFERROR(C13-W6Q3FY26!C13,"OOS")</f>
        <v>0</v>
      </c>
      <c r="N13" s="146" t="str">
        <f t="shared" si="0"/>
        <v/>
      </c>
      <c r="O13" s="149">
        <f>IFERROR(D13-W6Q3FY26!D13,"OOS")</f>
        <v>0</v>
      </c>
      <c r="P13" s="146" t="str">
        <f t="shared" si="1"/>
        <v/>
      </c>
      <c r="Q13" s="149">
        <f>IFERROR(E13-W6Q3FY26!E13,"OOS")</f>
        <v>0</v>
      </c>
      <c r="R13" s="146" t="str">
        <f t="shared" si="2"/>
        <v/>
      </c>
      <c r="S13" s="149">
        <f>IFERROR(F13-W6Q3FY26!F13,"OOS")</f>
        <v>0</v>
      </c>
      <c r="T13" s="146" t="str">
        <f t="shared" si="3"/>
        <v/>
      </c>
      <c r="U13" s="149">
        <f>IFERROR(G13-W6Q3FY26!G13,"OOS")</f>
        <v>0</v>
      </c>
      <c r="V13" s="146" t="str">
        <f t="shared" si="4"/>
        <v/>
      </c>
    </row>
    <row r="14" spans="1:25" ht="16" customHeight="1" x14ac:dyDescent="0.2">
      <c r="A14" t="s">
        <v>29</v>
      </c>
      <c r="B14" s="25"/>
      <c r="C14" s="140">
        <v>13290000</v>
      </c>
      <c r="D14" s="140">
        <v>13290000</v>
      </c>
      <c r="E14" s="139">
        <v>13290000</v>
      </c>
      <c r="F14" s="132">
        <v>12890000</v>
      </c>
      <c r="G14" s="111">
        <v>12890000</v>
      </c>
      <c r="H14" s="153"/>
      <c r="M14" s="148">
        <f>IFERROR(C14-W6Q3FY26!C14,"OOS")</f>
        <v>400000</v>
      </c>
      <c r="N14" s="146" t="str">
        <f t="shared" si="0"/>
        <v>iPad Mini 7 128GB Wifi tăng 400K = 13290.0K</v>
      </c>
      <c r="O14" s="149">
        <f>IFERROR(D14-W6Q3FY26!D14,"OOS")</f>
        <v>-2900000</v>
      </c>
      <c r="P14" s="146" t="str">
        <f t="shared" si="1"/>
        <v>iPad Mini 7 128GB Wifi giảm 2900K = 13290.0K</v>
      </c>
      <c r="Q14" s="149">
        <f>IFERROR(E14-W6Q3FY26!E14,"OOS")</f>
        <v>0</v>
      </c>
      <c r="R14" s="146" t="str">
        <f t="shared" si="2"/>
        <v/>
      </c>
      <c r="S14" s="149">
        <f>IFERROR(F14-W6Q3FY26!F14,"OOS")</f>
        <v>0</v>
      </c>
      <c r="T14" s="146" t="str">
        <f t="shared" si="3"/>
        <v/>
      </c>
      <c r="U14" s="149">
        <f>IFERROR(G14-W6Q3FY26!G14,"OOS")</f>
        <v>-200000</v>
      </c>
      <c r="V14" s="146" t="str">
        <f t="shared" si="4"/>
        <v>iPad Mini 7 128GB Wifi giảm 200K = 12890.0K</v>
      </c>
    </row>
    <row r="15" spans="1:25" ht="16" customHeight="1" x14ac:dyDescent="0.2">
      <c r="A15" t="s">
        <v>30</v>
      </c>
      <c r="B15" s="3"/>
      <c r="C15" s="135">
        <v>9290000</v>
      </c>
      <c r="D15" s="135">
        <v>9290000</v>
      </c>
      <c r="E15" s="154">
        <v>9190000</v>
      </c>
      <c r="F15" s="132">
        <v>9290000</v>
      </c>
      <c r="G15" s="110">
        <v>9190000</v>
      </c>
      <c r="H15" s="153"/>
      <c r="M15" s="148">
        <f>IFERROR(C15-W6Q3FY26!C15,"OOS")</f>
        <v>0</v>
      </c>
      <c r="N15" s="146" t="str">
        <f t="shared" si="0"/>
        <v/>
      </c>
      <c r="O15" s="149">
        <f>IFERROR(D15-W6Q3FY26!D15,"OOS")</f>
        <v>0</v>
      </c>
      <c r="P15" s="146" t="str">
        <f t="shared" si="1"/>
        <v/>
      </c>
      <c r="Q15" s="149">
        <f>IFERROR(E15-W6Q3FY26!E15,"OOS")</f>
        <v>0</v>
      </c>
      <c r="R15" s="146" t="str">
        <f t="shared" si="2"/>
        <v/>
      </c>
      <c r="S15" s="149">
        <f>IFERROR(F15-W6Q3FY26!F15,"OOS")</f>
        <v>0</v>
      </c>
      <c r="T15" s="146" t="str">
        <f t="shared" si="3"/>
        <v/>
      </c>
      <c r="U15" s="149">
        <f>IFERROR(G15-W6Q3FY26!G15,"OOS")</f>
        <v>0</v>
      </c>
      <c r="V15" s="146" t="str">
        <f t="shared" si="4"/>
        <v/>
      </c>
      <c r="W15" t="s">
        <v>31</v>
      </c>
      <c r="X15" t="s">
        <v>32</v>
      </c>
      <c r="Y15" t="b">
        <v>0</v>
      </c>
    </row>
    <row r="16" spans="1:25" ht="16" customHeight="1" x14ac:dyDescent="0.2">
      <c r="A16" t="s">
        <v>33</v>
      </c>
      <c r="B16" s="3"/>
      <c r="C16" s="135">
        <v>15290000</v>
      </c>
      <c r="D16" s="135">
        <v>14990000</v>
      </c>
      <c r="E16" s="154">
        <v>14290000</v>
      </c>
      <c r="F16" s="132">
        <v>15190000</v>
      </c>
      <c r="G16" s="110" t="s">
        <v>22</v>
      </c>
      <c r="H16" s="153"/>
      <c r="M16" s="148">
        <f>IFERROR(C16-W6Q3FY26!C16,"OOS")</f>
        <v>0</v>
      </c>
      <c r="N16" s="146" t="str">
        <f t="shared" si="0"/>
        <v/>
      </c>
      <c r="O16" s="149">
        <f>IFERROR(D16-W6Q3FY26!D16,"OOS")</f>
        <v>0</v>
      </c>
      <c r="P16" s="146" t="str">
        <f t="shared" si="1"/>
        <v/>
      </c>
      <c r="Q16" s="149">
        <f>IFERROR(E16-W6Q3FY26!E16,"OOS")</f>
        <v>0</v>
      </c>
      <c r="R16" s="146" t="str">
        <f t="shared" si="2"/>
        <v/>
      </c>
      <c r="S16" s="149">
        <f>IFERROR(F16-W6Q3FY26!F16,"OOS")</f>
        <v>0</v>
      </c>
      <c r="T16" s="146" t="str">
        <f t="shared" si="3"/>
        <v/>
      </c>
      <c r="U16" s="149" t="str">
        <f>IFERROR(G16-W6Q3FY26!G16,"OOS")</f>
        <v>OOS</v>
      </c>
      <c r="V16" s="146" t="e">
        <f t="shared" si="4"/>
        <v>#VALUE!</v>
      </c>
      <c r="W16" t="s">
        <v>2</v>
      </c>
      <c r="X16" t="s">
        <v>34</v>
      </c>
      <c r="Y16" t="b">
        <v>0</v>
      </c>
    </row>
    <row r="17" spans="1:25" ht="16" customHeight="1" x14ac:dyDescent="0.2">
      <c r="A17" t="s">
        <v>35</v>
      </c>
      <c r="B17" s="3"/>
      <c r="C17" s="140">
        <v>16390000</v>
      </c>
      <c r="D17" s="140">
        <v>16390000</v>
      </c>
      <c r="E17" s="154">
        <v>15790000</v>
      </c>
      <c r="F17" s="110">
        <v>16390000</v>
      </c>
      <c r="G17" s="110">
        <v>16090000</v>
      </c>
      <c r="H17" s="153"/>
      <c r="M17" s="148">
        <f>IFERROR(C17-W6Q3FY26!C17,"OOS")</f>
        <v>-100000</v>
      </c>
      <c r="N17" s="146"/>
      <c r="O17" s="149">
        <f>IFERROR(D17-W6Q3FY26!D17,"OOS")</f>
        <v>-100000</v>
      </c>
      <c r="P17" s="146" t="str">
        <f t="shared" si="1"/>
        <v>iPad Air M4  11" 128 GB Wifi giảm 100K = 16390.0K</v>
      </c>
      <c r="Q17" s="149">
        <f>IFERROR(E17-W6Q3FY26!E17,"OOS")</f>
        <v>0</v>
      </c>
      <c r="R17" s="146" t="str">
        <f t="shared" si="2"/>
        <v/>
      </c>
      <c r="S17" s="149">
        <f>IFERROR(F17-W6Q3FY26!F17,"OOS")</f>
        <v>0</v>
      </c>
      <c r="T17" s="146"/>
      <c r="U17" s="149">
        <f>IFERROR(G17-W6Q3FY26!G17,"OOS")</f>
        <v>0</v>
      </c>
      <c r="V17" s="146" t="str">
        <f t="shared" si="4"/>
        <v/>
      </c>
      <c r="W17" t="s">
        <v>3</v>
      </c>
      <c r="X17" t="s">
        <v>36</v>
      </c>
      <c r="Y17" t="b">
        <v>1</v>
      </c>
    </row>
    <row r="18" spans="1:25" ht="15" customHeight="1" x14ac:dyDescent="0.2">
      <c r="A18" t="s">
        <v>37</v>
      </c>
      <c r="B18" s="25"/>
      <c r="C18" s="135">
        <v>18890000</v>
      </c>
      <c r="D18" s="135">
        <v>19990000</v>
      </c>
      <c r="E18" s="154">
        <v>19190000</v>
      </c>
      <c r="F18" s="132">
        <v>18790000</v>
      </c>
      <c r="G18" s="110" t="s">
        <v>22</v>
      </c>
      <c r="H18" s="153"/>
      <c r="M18" s="148">
        <f>IFERROR(C18-W6Q3FY26!C18,"OOS")</f>
        <v>0</v>
      </c>
      <c r="N18" s="146" t="str">
        <f>IF(M18=0,"",$A18 &amp; IF(M18&gt;0," tăng "," giảm ") &amp; TEXT(ABS(M18)/1000,"0") &amp; "K = " &amp; TEXT(C18/1000,"#.##0") &amp; "K")</f>
        <v/>
      </c>
      <c r="O18" s="149">
        <f>IFERROR(D18-W6Q3FY26!D18,"OOS")</f>
        <v>0</v>
      </c>
      <c r="P18" s="146" t="str">
        <f t="shared" si="1"/>
        <v/>
      </c>
      <c r="Q18" s="149">
        <f>IFERROR(E18-W6Q3FY26!E18,"OOS")</f>
        <v>0</v>
      </c>
      <c r="R18" s="146" t="str">
        <f t="shared" si="2"/>
        <v/>
      </c>
      <c r="S18" s="149">
        <f>IFERROR(F18-W6Q3FY26!F18,"OOS")</f>
        <v>0</v>
      </c>
      <c r="T18" s="146" t="str">
        <f>IF(S18=0,"",$A18 &amp; IF(S18&gt;0," tăng "," giảm ") &amp; TEXT(ABS(S18)/1000,"0") &amp; "K = " &amp; TEXT(F18/1000,"#.##0") &amp; "K")</f>
        <v/>
      </c>
      <c r="U18" s="149" t="str">
        <f>IFERROR(G18-W6Q3FY26!G18,"OOS")</f>
        <v>OOS</v>
      </c>
      <c r="V18" s="146" t="e">
        <f t="shared" si="4"/>
        <v>#VALUE!</v>
      </c>
      <c r="W18" t="s">
        <v>4</v>
      </c>
      <c r="X18" t="s">
        <v>38</v>
      </c>
      <c r="Y18" t="b">
        <v>0</v>
      </c>
    </row>
    <row r="19" spans="1:25" ht="16" customHeight="1" x14ac:dyDescent="0.2">
      <c r="A19" t="s">
        <v>39</v>
      </c>
      <c r="B19" s="25"/>
      <c r="C19" s="135">
        <v>22090000</v>
      </c>
      <c r="D19" s="135">
        <v>21590000</v>
      </c>
      <c r="E19" s="161">
        <v>21290000</v>
      </c>
      <c r="F19" s="135">
        <v>21990000</v>
      </c>
      <c r="G19" s="110">
        <v>21590000</v>
      </c>
      <c r="H19" s="153"/>
      <c r="M19" s="148">
        <f>IFERROR(C19-W6Q3FY26!C19,"OOS")</f>
        <v>0</v>
      </c>
      <c r="N19" s="146"/>
      <c r="O19" s="149">
        <f>IFERROR(D19-W6Q3FY26!D19,"OOS")</f>
        <v>0</v>
      </c>
      <c r="P19" s="146" t="str">
        <f t="shared" si="1"/>
        <v/>
      </c>
      <c r="Q19" s="149">
        <f>IFERROR(E19-W6Q3FY26!E19,"OOS")</f>
        <v>0</v>
      </c>
      <c r="R19" s="146" t="str">
        <f t="shared" si="2"/>
        <v/>
      </c>
      <c r="S19" s="149">
        <f>IFERROR(F19-W6Q3FY26!F19,"OOS")</f>
        <v>0</v>
      </c>
      <c r="T19" s="146"/>
      <c r="U19" s="149">
        <f>IFERROR(G19-W6Q3FY26!G19,"OOS")</f>
        <v>0</v>
      </c>
      <c r="V19" s="146"/>
    </row>
    <row r="20" spans="1:25" ht="16" customHeight="1" x14ac:dyDescent="0.2">
      <c r="A20" t="s">
        <v>40</v>
      </c>
      <c r="B20" s="3"/>
      <c r="C20" s="140">
        <v>28090000</v>
      </c>
      <c r="D20" s="140">
        <v>28090000</v>
      </c>
      <c r="E20" s="123">
        <v>28490000</v>
      </c>
      <c r="F20" s="132">
        <v>28090000</v>
      </c>
      <c r="G20" s="110">
        <v>28090000</v>
      </c>
      <c r="H20" s="153"/>
      <c r="M20" s="148">
        <f>IFERROR(C20-W6Q3FY26!C20,"OOS")</f>
        <v>-100000</v>
      </c>
      <c r="N20" s="146" t="str">
        <f t="shared" ref="N20:N40" si="5">IF(M20=0,"",$A20 &amp; IF(M20&gt;0," tăng "," giảm ") &amp; TEXT(ABS(M20)/1000,"0") &amp; "K = " &amp; TEXT(C20/1000,"#.##0") &amp; "K")</f>
        <v>iPad Pro M5 11” 256GB Wifi giảm 100K = 28090.0K</v>
      </c>
      <c r="O20" s="149">
        <f>IFERROR(D20-W6Q3FY26!D20,"OOS")</f>
        <v>-100000</v>
      </c>
      <c r="P20" s="146" t="str">
        <f t="shared" si="1"/>
        <v>iPad Pro M5 11” 256GB Wifi giảm 100K = 28090.0K</v>
      </c>
      <c r="Q20" s="149">
        <f>IFERROR(E20-W6Q3FY26!E20,"OOS")</f>
        <v>0</v>
      </c>
      <c r="R20" s="146" t="str">
        <f t="shared" si="2"/>
        <v/>
      </c>
      <c r="S20" s="149">
        <f>IFERROR(F20-W6Q3FY26!F20,"OOS")</f>
        <v>0</v>
      </c>
      <c r="T20" s="146" t="str">
        <f t="shared" ref="T20:T40" si="6">IF(S20=0,"",$A20 &amp; IF(S20&gt;0," tăng "," giảm ") &amp; TEXT(ABS(S20)/1000,"0") &amp; "K = " &amp; TEXT(F20/1000,"#.##0") &amp; "K")</f>
        <v/>
      </c>
      <c r="U20" s="149">
        <f>IFERROR(G20-W6Q3FY26!G20,"OOS")</f>
        <v>0</v>
      </c>
      <c r="V20" s="146" t="str">
        <f t="shared" ref="V20:V41" si="7">IF(U20=0,"",$A20 &amp; IF(U20&gt;0," tăng "," giảm ") &amp; TEXT(ABS(U20)/1000,"0") &amp; "K = " &amp; TEXT(G20/1000,"#.##0") &amp; "K")</f>
        <v/>
      </c>
      <c r="W20" t="s">
        <v>41</v>
      </c>
      <c r="X20" t="s">
        <v>42</v>
      </c>
      <c r="Y20" t="b">
        <v>1</v>
      </c>
    </row>
    <row r="21" spans="1:25" ht="16" customHeight="1" x14ac:dyDescent="0.2">
      <c r="A21" t="s">
        <v>43</v>
      </c>
      <c r="B21" s="3"/>
      <c r="C21" s="135">
        <v>38890000</v>
      </c>
      <c r="D21" s="139">
        <v>38690000</v>
      </c>
      <c r="E21" s="112">
        <v>37990000</v>
      </c>
      <c r="F21" s="132">
        <v>38690000</v>
      </c>
      <c r="G21" s="110">
        <v>38990000</v>
      </c>
      <c r="H21" s="153"/>
      <c r="M21" s="148">
        <f>IFERROR(C21-W6Q3FY26!C21,"OOS")</f>
        <v>0</v>
      </c>
      <c r="N21" s="146" t="str">
        <f t="shared" si="5"/>
        <v/>
      </c>
      <c r="O21" s="149">
        <f>IFERROR(D21-W6Q3FY26!D21,"OOS")</f>
        <v>-300000</v>
      </c>
      <c r="P21" s="146" t="str">
        <f t="shared" si="1"/>
        <v>iPad Pro M5 13” 256GB Wifi giảm 300K = 38690.0K</v>
      </c>
      <c r="Q21" s="149">
        <f>IFERROR(E21-W6Q3FY26!E21,"OOS")</f>
        <v>0</v>
      </c>
      <c r="R21" s="146" t="str">
        <f t="shared" si="2"/>
        <v/>
      </c>
      <c r="S21" s="149">
        <f>IFERROR(F21-W6Q3FY26!F21,"OOS")</f>
        <v>0</v>
      </c>
      <c r="T21" s="146" t="str">
        <f t="shared" si="6"/>
        <v/>
      </c>
      <c r="U21" s="149">
        <f>IFERROR(G21-W6Q3FY26!G21,"OOS")</f>
        <v>0</v>
      </c>
      <c r="V21" s="146" t="str">
        <f t="shared" si="7"/>
        <v/>
      </c>
    </row>
    <row r="22" spans="1:25" ht="15" customHeight="1" x14ac:dyDescent="0.2">
      <c r="A22" t="s">
        <v>44</v>
      </c>
      <c r="B22" s="25"/>
      <c r="C22" s="135">
        <v>6790000</v>
      </c>
      <c r="D22" s="140">
        <v>6790000</v>
      </c>
      <c r="E22" s="139">
        <v>6490000</v>
      </c>
      <c r="F22" s="133">
        <v>6790000</v>
      </c>
      <c r="G22" s="111">
        <v>6590000</v>
      </c>
      <c r="H22" s="153"/>
      <c r="M22" s="148">
        <f>IFERROR(C22-W6Q3FY26!C22,"OOS")</f>
        <v>400000</v>
      </c>
      <c r="N22" s="146" t="str">
        <f t="shared" si="5"/>
        <v>AW SE 3 (40mm GPS) tăng 400K = 6790.0K</v>
      </c>
      <c r="O22" s="149">
        <f>IFERROR(D22-W6Q3FY26!D22,"OOS")</f>
        <v>400000</v>
      </c>
      <c r="P22" s="146" t="str">
        <f t="shared" si="1"/>
        <v>AW SE 3 (40mm GPS) tăng 400K = 6790.0K</v>
      </c>
      <c r="Q22" s="149">
        <f>IFERROR(E22-W6Q3FY26!E22,"OOS")</f>
        <v>300000</v>
      </c>
      <c r="R22" s="146" t="str">
        <f t="shared" si="2"/>
        <v>AW SE 3 (40mm GPS) tăng 300K = 6490.0K</v>
      </c>
      <c r="S22" s="149">
        <f>IFERROR(F22-W6Q3FY26!F22,"OOS")</f>
        <v>400000</v>
      </c>
      <c r="T22" s="146" t="str">
        <f t="shared" si="6"/>
        <v>AW SE 3 (40mm GPS) tăng 400K = 6790.0K</v>
      </c>
      <c r="U22" s="149">
        <f>IFERROR(G22-W6Q3FY26!G22,"OOS")</f>
        <v>300000</v>
      </c>
      <c r="V22" s="146" t="str">
        <f t="shared" si="7"/>
        <v>AW SE 3 (40mm GPS) tăng 300K = 6590.0K</v>
      </c>
    </row>
    <row r="23" spans="1:25" ht="15" customHeight="1" x14ac:dyDescent="0.2">
      <c r="A23" t="s">
        <v>45</v>
      </c>
      <c r="B23" s="25"/>
      <c r="C23" s="140">
        <v>8390000</v>
      </c>
      <c r="D23" s="140">
        <v>8290000</v>
      </c>
      <c r="E23" s="154">
        <v>7990000</v>
      </c>
      <c r="F23" s="133">
        <v>8390000</v>
      </c>
      <c r="G23" s="110">
        <v>7990000</v>
      </c>
      <c r="H23" s="153"/>
      <c r="M23" s="148">
        <f>IFERROR(C23-W6Q3FY26!C23,"OOS")</f>
        <v>400000</v>
      </c>
      <c r="N23" s="146" t="str">
        <f t="shared" si="5"/>
        <v>AW SE 3 (40mm LTE) tăng 400K = 8390.0K</v>
      </c>
      <c r="O23" s="149">
        <f>IFERROR(D23-W6Q3FY26!D23,"OOS")</f>
        <v>600000</v>
      </c>
      <c r="P23" s="146" t="str">
        <f t="shared" si="1"/>
        <v>AW SE 3 (40mm LTE) tăng 600K = 8290.0K</v>
      </c>
      <c r="Q23" s="149">
        <f>IFERROR(E23-W6Q3FY26!E23,"OOS")</f>
        <v>200000</v>
      </c>
      <c r="R23" s="146" t="str">
        <f t="shared" si="2"/>
        <v>AW SE 3 (40mm LTE) tăng 200K = 7990.0K</v>
      </c>
      <c r="S23" s="149">
        <f>IFERROR(F23-W6Q3FY26!F23,"OOS")</f>
        <v>400000</v>
      </c>
      <c r="T23" s="146" t="str">
        <f t="shared" si="6"/>
        <v>AW SE 3 (40mm LTE) tăng 400K = 8390.0K</v>
      </c>
      <c r="U23" s="149">
        <f>IFERROR(G23-W6Q3FY26!G23,"OOS")</f>
        <v>0</v>
      </c>
      <c r="V23" s="146" t="str">
        <f t="shared" si="7"/>
        <v/>
      </c>
    </row>
    <row r="24" spans="1:25" ht="15" customHeight="1" x14ac:dyDescent="0.2">
      <c r="A24" t="s">
        <v>46</v>
      </c>
      <c r="B24" s="25"/>
      <c r="C24" s="135">
        <v>7690000</v>
      </c>
      <c r="D24" s="140">
        <v>7690000</v>
      </c>
      <c r="E24" s="139">
        <v>7390000</v>
      </c>
      <c r="F24" s="133">
        <v>7690000</v>
      </c>
      <c r="G24" s="166">
        <v>7390000</v>
      </c>
      <c r="H24" s="153"/>
      <c r="M24" s="148">
        <f>IFERROR(C24-W6Q3FY26!C24,"OOS")</f>
        <v>400000</v>
      </c>
      <c r="N24" s="146" t="str">
        <f t="shared" si="5"/>
        <v>AW SE 3 (44mm GPS) tăng 400K = 7690.0K</v>
      </c>
      <c r="O24" s="149">
        <f>IFERROR(D24-W6Q3FY26!D24,"OOS")</f>
        <v>700000</v>
      </c>
      <c r="P24" s="146" t="str">
        <f t="shared" si="1"/>
        <v>AW SE 3 (44mm GPS) tăng 700K = 7690.0K</v>
      </c>
      <c r="Q24" s="149">
        <f>IFERROR(E24-W6Q3FY26!E24,"OOS")</f>
        <v>400000</v>
      </c>
      <c r="R24" s="146" t="str">
        <f t="shared" si="2"/>
        <v>AW SE 3 (44mm GPS) tăng 400K = 7390.0K</v>
      </c>
      <c r="S24" s="149">
        <f>IFERROR(F24-W6Q3FY26!F24,"OOS")</f>
        <v>400000</v>
      </c>
      <c r="T24" s="146" t="str">
        <f t="shared" si="6"/>
        <v>AW SE 3 (44mm GPS) tăng 400K = 7690.0K</v>
      </c>
      <c r="U24" s="149">
        <f>IFERROR(G24-W6Q3FY26!G24,"OOS")</f>
        <v>400000</v>
      </c>
      <c r="V24" s="146" t="str">
        <f t="shared" si="7"/>
        <v>AW SE 3 (44mm GPS) tăng 400K = 7390.0K</v>
      </c>
    </row>
    <row r="25" spans="1:25" ht="15" customHeight="1" x14ac:dyDescent="0.2">
      <c r="A25" t="s">
        <v>47</v>
      </c>
      <c r="B25" s="25"/>
      <c r="C25" s="135">
        <v>9190000</v>
      </c>
      <c r="D25" s="140">
        <v>9190000</v>
      </c>
      <c r="E25" s="139">
        <v>8990000</v>
      </c>
      <c r="F25" s="133">
        <v>9190000</v>
      </c>
      <c r="G25" s="110">
        <v>8790000</v>
      </c>
      <c r="H25" s="153"/>
      <c r="M25" s="148">
        <f>IFERROR(C25-W6Q3FY26!C25,"OOS")</f>
        <v>400000</v>
      </c>
      <c r="N25" s="146" t="str">
        <f t="shared" si="5"/>
        <v>AW SE 3 (44mm LTE) tăng 400K = 9190.0K</v>
      </c>
      <c r="O25" s="149">
        <f>IFERROR(D25-W6Q3FY26!D25,"OOS")</f>
        <v>700000</v>
      </c>
      <c r="P25" s="146" t="str">
        <f t="shared" si="1"/>
        <v>AW SE 3 (44mm LTE) tăng 700K = 9190.0K</v>
      </c>
      <c r="Q25" s="149">
        <f>IFERROR(E25-W6Q3FY26!E25,"OOS")</f>
        <v>400000</v>
      </c>
      <c r="R25" s="146" t="str">
        <f t="shared" si="2"/>
        <v>AW SE 3 (44mm LTE) tăng 400K = 8990.0K</v>
      </c>
      <c r="S25" s="149">
        <f>IFERROR(F25-W6Q3FY26!F25,"OOS")</f>
        <v>400000</v>
      </c>
      <c r="T25" s="146" t="str">
        <f t="shared" si="6"/>
        <v>AW SE 3 (44mm LTE) tăng 400K = 9190.0K</v>
      </c>
      <c r="U25" s="149">
        <f>IFERROR(G25-W6Q3FY26!G25,"OOS")</f>
        <v>0</v>
      </c>
      <c r="V25" s="146" t="str">
        <f t="shared" si="7"/>
        <v/>
      </c>
    </row>
    <row r="26" spans="1:25" ht="15" customHeight="1" x14ac:dyDescent="0.2">
      <c r="A26" t="s">
        <v>48</v>
      </c>
      <c r="B26" s="3"/>
      <c r="C26" s="140">
        <v>11190000</v>
      </c>
      <c r="D26" s="140">
        <v>11990000</v>
      </c>
      <c r="E26" s="139">
        <v>10690000</v>
      </c>
      <c r="F26" s="133">
        <v>11190000</v>
      </c>
      <c r="G26" s="111">
        <v>10890000</v>
      </c>
      <c r="H26" s="153"/>
      <c r="M26" s="148">
        <f>IFERROR(C26-W6Q3FY26!C26,"OOS")</f>
        <v>2000000</v>
      </c>
      <c r="N26" s="146" t="str">
        <f t="shared" si="5"/>
        <v>AW S11 (42mm GPS) tăng 2000K = 11190.0K</v>
      </c>
      <c r="O26" s="149">
        <f>IFERROR(D26-W6Q3FY26!D26,"OOS")</f>
        <v>2800000</v>
      </c>
      <c r="P26" s="146" t="str">
        <f t="shared" si="1"/>
        <v>AW S11 (42mm GPS) tăng 2800K = 11990.0K</v>
      </c>
      <c r="Q26" s="149">
        <f>IFERROR(E26-W6Q3FY26!E26,"OOS")</f>
        <v>1700000</v>
      </c>
      <c r="R26" s="146" t="str">
        <f t="shared" si="2"/>
        <v>AW S11 (42mm GPS) tăng 1700K = 10690.0K</v>
      </c>
      <c r="S26" s="149">
        <f>IFERROR(F26-W6Q3FY26!F26,"OOS")</f>
        <v>2000000</v>
      </c>
      <c r="T26" s="146" t="str">
        <f t="shared" si="6"/>
        <v>AW S11 (42mm GPS) tăng 2000K = 11190.0K</v>
      </c>
      <c r="U26" s="149">
        <f>IFERROR(G26-W6Q3FY26!G26,"OOS")</f>
        <v>1800000</v>
      </c>
      <c r="V26" s="146" t="str">
        <f t="shared" si="7"/>
        <v>AW S11 (42mm GPS) tăng 1800K = 10890.0K</v>
      </c>
    </row>
    <row r="27" spans="1:25" ht="15" customHeight="1" x14ac:dyDescent="0.2">
      <c r="A27" t="s">
        <v>49</v>
      </c>
      <c r="B27" s="3"/>
      <c r="C27" s="140" t="s">
        <v>22</v>
      </c>
      <c r="D27" s="140">
        <v>14090000</v>
      </c>
      <c r="E27" s="139">
        <v>13990000</v>
      </c>
      <c r="F27" s="133">
        <v>13990000</v>
      </c>
      <c r="G27" s="111">
        <v>13990000</v>
      </c>
      <c r="H27" s="153"/>
      <c r="M27" s="148" t="str">
        <f>IFERROR(C27-W6Q3FY26!C27,"OOS")</f>
        <v>OOS</v>
      </c>
      <c r="N27" s="146" t="e">
        <f t="shared" si="5"/>
        <v>#VALUE!</v>
      </c>
      <c r="O27" s="149">
        <f>IFERROR(D27-W6Q3FY26!D27,"OOS")</f>
        <v>2100000</v>
      </c>
      <c r="P27" s="146" t="str">
        <f t="shared" si="1"/>
        <v>AW S11 (42mm CEL) tăng 2100K = 14090.0K</v>
      </c>
      <c r="Q27" s="149">
        <f>IFERROR(E27-W6Q3FY26!E27,"OOS")</f>
        <v>2000000</v>
      </c>
      <c r="R27" s="146" t="str">
        <f t="shared" si="2"/>
        <v>AW S11 (42mm CEL) tăng 2000K = 13990.0K</v>
      </c>
      <c r="S27" s="149">
        <f>IFERROR(F27-W6Q3FY26!F27,"OOS")</f>
        <v>1900000</v>
      </c>
      <c r="T27" s="146" t="str">
        <f t="shared" si="6"/>
        <v>AW S11 (42mm CEL) tăng 1900K = 13990.0K</v>
      </c>
      <c r="U27" s="149">
        <f>IFERROR(G27-W6Q3FY26!G27,"OOS")</f>
        <v>2000000</v>
      </c>
      <c r="V27" s="146" t="str">
        <f t="shared" si="7"/>
        <v>AW S11 (42mm CEL) tăng 2000K = 13990.0K</v>
      </c>
    </row>
    <row r="28" spans="1:25" ht="15" customHeight="1" x14ac:dyDescent="0.2">
      <c r="A28" t="s">
        <v>50</v>
      </c>
      <c r="B28" s="3"/>
      <c r="C28" s="140">
        <v>11990000</v>
      </c>
      <c r="D28" s="140">
        <v>11990000</v>
      </c>
      <c r="E28" s="139">
        <v>11490000</v>
      </c>
      <c r="F28" s="133">
        <v>11990000</v>
      </c>
      <c r="G28" s="111">
        <v>11990000</v>
      </c>
      <c r="H28" s="153"/>
      <c r="M28" s="148">
        <f>IFERROR(C28-W6Q3FY26!C28,"OOS")</f>
        <v>2000000</v>
      </c>
      <c r="N28" s="146" t="str">
        <f t="shared" si="5"/>
        <v>AW S11 (46mm GPS) tăng 2000K = 11990.0K</v>
      </c>
      <c r="O28" s="149">
        <f>IFERROR(D28-W6Q3FY26!D28,"OOS")</f>
        <v>2000000</v>
      </c>
      <c r="P28" s="146" t="str">
        <f t="shared" si="1"/>
        <v>AW S11 (46mm GPS) tăng 2000K = 11990.0K</v>
      </c>
      <c r="Q28" s="149">
        <f>IFERROR(E28-W6Q3FY26!E28,"OOS")</f>
        <v>1800000</v>
      </c>
      <c r="R28" s="146" t="str">
        <f t="shared" si="2"/>
        <v>AW S11 (46mm GPS) tăng 1800K = 11490.0K</v>
      </c>
      <c r="S28" s="149">
        <f>IFERROR(F28-W6Q3FY26!F28,"OOS")</f>
        <v>2000000</v>
      </c>
      <c r="T28" s="146" t="str">
        <f t="shared" si="6"/>
        <v>AW S11 (46mm GPS) tăng 2000K = 11990.0K</v>
      </c>
      <c r="U28" s="149">
        <f>IFERROR(G28-W6Q3FY26!G28,"OOS")</f>
        <v>2000000</v>
      </c>
      <c r="V28" s="146" t="str">
        <f t="shared" si="7"/>
        <v>AW S11 (46mm GPS) tăng 2000K = 11990.0K</v>
      </c>
    </row>
    <row r="29" spans="1:25" ht="15" customHeight="1" x14ac:dyDescent="0.2">
      <c r="A29" t="s">
        <v>51</v>
      </c>
      <c r="B29" s="3"/>
      <c r="C29" s="140">
        <v>14990000</v>
      </c>
      <c r="D29" s="140">
        <v>14990000</v>
      </c>
      <c r="E29" s="139">
        <v>14490000</v>
      </c>
      <c r="F29" s="133">
        <v>14990000</v>
      </c>
      <c r="G29" s="111">
        <v>14990000</v>
      </c>
      <c r="H29" s="153"/>
      <c r="M29" s="148">
        <f>IFERROR(C29-W6Q3FY26!C29,"OOS")</f>
        <v>2000000</v>
      </c>
      <c r="N29" s="146" t="str">
        <f t="shared" si="5"/>
        <v>AW S11 (46mm CEL) tăng 2000K = 14990.0K</v>
      </c>
      <c r="O29" s="149">
        <f>IFERROR(D29-W6Q3FY26!D29,"OOS")</f>
        <v>2500000</v>
      </c>
      <c r="P29" s="146" t="str">
        <f t="shared" si="1"/>
        <v>AW S11 (46mm CEL) tăng 2500K = 14990.0K</v>
      </c>
      <c r="Q29" s="149">
        <f>IFERROR(E29-W6Q3FY26!E29,"OOS")</f>
        <v>2000000</v>
      </c>
      <c r="R29" s="146" t="str">
        <f t="shared" si="2"/>
        <v>AW S11 (46mm CEL) tăng 2000K = 14490.0K</v>
      </c>
      <c r="S29" s="149">
        <f>IFERROR(F29-W6Q3FY26!F29,"OOS")</f>
        <v>2000000</v>
      </c>
      <c r="T29" s="146" t="str">
        <f t="shared" si="6"/>
        <v>AW S11 (46mm CEL) tăng 2000K = 14990.0K</v>
      </c>
      <c r="U29" s="149">
        <f>IFERROR(G29-W6Q3FY26!G29,"OOS")</f>
        <v>2000000</v>
      </c>
      <c r="V29" s="146" t="str">
        <f t="shared" si="7"/>
        <v>AW S11 (46mm CEL) tăng 2000K = 14990.0K</v>
      </c>
    </row>
    <row r="30" spans="1:25" ht="16" customHeight="1" x14ac:dyDescent="0.2">
      <c r="A30" t="s">
        <v>52</v>
      </c>
      <c r="B30" s="25"/>
      <c r="C30" s="135">
        <v>23490000</v>
      </c>
      <c r="D30" s="135">
        <v>22990000</v>
      </c>
      <c r="E30" s="112">
        <v>22490000</v>
      </c>
      <c r="F30" s="132">
        <v>22990000</v>
      </c>
      <c r="G30" s="110">
        <v>22990000</v>
      </c>
      <c r="H30" s="153"/>
      <c r="M30" s="148">
        <f>IFERROR(C30-W6Q3FY26!C30,"OOS")</f>
        <v>0</v>
      </c>
      <c r="N30" s="146" t="str">
        <f t="shared" si="5"/>
        <v/>
      </c>
      <c r="O30" s="149">
        <f>IFERROR(D30-W6Q3FY26!D30,"OOS")</f>
        <v>0</v>
      </c>
      <c r="P30" s="146" t="str">
        <f t="shared" si="1"/>
        <v/>
      </c>
      <c r="Q30" s="149">
        <f>IFERROR(E30-W6Q3FY26!E30,"OOS")</f>
        <v>0</v>
      </c>
      <c r="R30" s="146" t="str">
        <f t="shared" si="2"/>
        <v/>
      </c>
      <c r="S30" s="149">
        <f>IFERROR(F30-W6Q3FY26!F30,"OOS")</f>
        <v>0</v>
      </c>
      <c r="T30" s="146" t="str">
        <f t="shared" si="6"/>
        <v/>
      </c>
      <c r="U30" s="149">
        <f>IFERROR(G30-W6Q3FY26!G30,"OOS")</f>
        <v>0</v>
      </c>
      <c r="V30" s="146" t="str">
        <f t="shared" si="7"/>
        <v/>
      </c>
    </row>
    <row r="31" spans="1:25" ht="16" customHeight="1" x14ac:dyDescent="0.2">
      <c r="A31" t="s">
        <v>53</v>
      </c>
      <c r="B31" s="3"/>
      <c r="C31" s="135" t="s">
        <v>22</v>
      </c>
      <c r="D31" s="135" t="s">
        <v>22</v>
      </c>
      <c r="E31" s="130" t="s">
        <v>22</v>
      </c>
      <c r="F31" s="132">
        <v>4990000</v>
      </c>
      <c r="G31" s="110">
        <v>5590000</v>
      </c>
      <c r="H31" s="153"/>
      <c r="M31" s="148" t="str">
        <f>IFERROR(C31-W6Q3FY26!C31,"OOS")</f>
        <v>OOS</v>
      </c>
      <c r="N31" s="146" t="e">
        <f t="shared" si="5"/>
        <v>#VALUE!</v>
      </c>
      <c r="O31" s="149" t="str">
        <f>IFERROR(D31-W6Q3FY26!D31,"OOS")</f>
        <v>OOS</v>
      </c>
      <c r="P31" s="146" t="e">
        <f t="shared" si="1"/>
        <v>#VALUE!</v>
      </c>
      <c r="Q31" s="149" t="str">
        <f>IFERROR(E31-W6Q3FY26!E31,"OOS")</f>
        <v>OOS</v>
      </c>
      <c r="R31" s="146" t="e">
        <f t="shared" si="2"/>
        <v>#VALUE!</v>
      </c>
      <c r="S31" s="149">
        <f>IFERROR(F31-W6Q3FY26!F31,"OOS")</f>
        <v>0</v>
      </c>
      <c r="T31" s="146" t="str">
        <f t="shared" si="6"/>
        <v/>
      </c>
      <c r="U31" s="149">
        <f>IFERROR(G31-W6Q3FY26!G31,"OOS")</f>
        <v>0</v>
      </c>
      <c r="V31" s="146" t="str">
        <f t="shared" si="7"/>
        <v/>
      </c>
    </row>
    <row r="32" spans="1:25" ht="15" customHeight="1" x14ac:dyDescent="0.2">
      <c r="A32" t="s">
        <v>54</v>
      </c>
      <c r="B32" s="3"/>
      <c r="C32" s="140">
        <v>4590000</v>
      </c>
      <c r="D32" s="140">
        <v>4590000</v>
      </c>
      <c r="E32" s="154">
        <v>4490000</v>
      </c>
      <c r="F32" s="133">
        <v>4590000</v>
      </c>
      <c r="G32" s="111">
        <v>4450000</v>
      </c>
      <c r="H32" s="153"/>
      <c r="M32" s="148">
        <f>IFERROR(C32-W6Q3FY26!C32,"OOS")</f>
        <v>300000</v>
      </c>
      <c r="N32" s="146" t="str">
        <f t="shared" si="5"/>
        <v>AirPods 4 ANC tăng 300K = 4590.0K</v>
      </c>
      <c r="O32" s="149">
        <f>IFERROR(D32-W6Q3FY26!D32,"OOS")</f>
        <v>390000</v>
      </c>
      <c r="P32" s="146" t="str">
        <f t="shared" si="1"/>
        <v>AirPods 4 ANC tăng 390K = 4590.0K</v>
      </c>
      <c r="Q32" s="149">
        <f>IFERROR(E32-W6Q3FY26!E32,"OOS")</f>
        <v>200000</v>
      </c>
      <c r="R32" s="146" t="str">
        <f t="shared" si="2"/>
        <v>AirPods 4 ANC tăng 200K = 4490.0K</v>
      </c>
      <c r="S32" s="149">
        <f>IFERROR(F32-W6Q3FY26!F32,"OOS")</f>
        <v>300000</v>
      </c>
      <c r="T32" s="146" t="str">
        <f t="shared" si="6"/>
        <v>AirPods 4 ANC tăng 300K = 4590.0K</v>
      </c>
      <c r="U32" s="149">
        <f>IFERROR(G32-W6Q3FY26!G32,"OOS")</f>
        <v>60000</v>
      </c>
      <c r="V32" s="146" t="str">
        <f t="shared" si="7"/>
        <v>AirPods 4 ANC tăng 60K = 4450.0K</v>
      </c>
    </row>
    <row r="33" spans="1:22" ht="15" customHeight="1" x14ac:dyDescent="0.2">
      <c r="A33" t="s">
        <v>55</v>
      </c>
      <c r="B33" s="3"/>
      <c r="C33" s="140">
        <v>3490000</v>
      </c>
      <c r="D33" s="140">
        <v>3490000</v>
      </c>
      <c r="E33" s="154">
        <v>3390000</v>
      </c>
      <c r="F33" s="133">
        <v>3590000</v>
      </c>
      <c r="G33" s="111">
        <v>3190000</v>
      </c>
      <c r="H33" s="153"/>
      <c r="M33" s="148">
        <f>IFERROR(C33-W6Q3FY26!C33,"OOS")</f>
        <v>400000</v>
      </c>
      <c r="N33" s="146" t="str">
        <f t="shared" si="5"/>
        <v>AirPods 4 with charging case tăng 400K = 3490.0K</v>
      </c>
      <c r="O33" s="149">
        <f>IFERROR(D33-W6Q3FY26!D33,"OOS")</f>
        <v>590000</v>
      </c>
      <c r="P33" s="146" t="str">
        <f t="shared" si="1"/>
        <v>AirPods 4 with charging case tăng 590K = 3490.0K</v>
      </c>
      <c r="Q33" s="149">
        <f>IFERROR(E33-W6Q3FY26!E33,"OOS")</f>
        <v>400000</v>
      </c>
      <c r="R33" s="146" t="str">
        <f t="shared" si="2"/>
        <v>AirPods 4 with charging case tăng 400K = 3390.0K</v>
      </c>
      <c r="S33" s="149">
        <f>IFERROR(F33-W6Q3FY26!F33,"OOS")</f>
        <v>500000</v>
      </c>
      <c r="T33" s="146" t="str">
        <f t="shared" si="6"/>
        <v>AirPods 4 with charging case tăng 500K = 3590.0K</v>
      </c>
      <c r="U33" s="149">
        <f>IFERROR(G33-W6Q3FY26!G33,"OOS")</f>
        <v>200000</v>
      </c>
      <c r="V33" s="146" t="str">
        <f t="shared" si="7"/>
        <v>AirPods 4 with charging case tăng 200K = 3190.0K</v>
      </c>
    </row>
    <row r="34" spans="1:22" ht="15" customHeight="1" x14ac:dyDescent="0.2">
      <c r="A34" t="s">
        <v>56</v>
      </c>
      <c r="B34" s="3"/>
      <c r="C34" s="140">
        <v>6590000</v>
      </c>
      <c r="D34" s="140">
        <v>6590000</v>
      </c>
      <c r="E34" s="134">
        <v>6190000</v>
      </c>
      <c r="F34" s="133">
        <v>6490000</v>
      </c>
      <c r="G34" s="111">
        <v>6290000</v>
      </c>
      <c r="H34" s="153"/>
      <c r="M34" s="148">
        <f>IFERROR(C34-W6Q3FY26!C34,"OOS")</f>
        <v>400000</v>
      </c>
      <c r="N34" s="146" t="str">
        <f t="shared" si="5"/>
        <v>AirPods Pro 3 tăng 400K = 6590.0K</v>
      </c>
      <c r="O34" s="149">
        <f>IFERROR(D34-W6Q3FY26!D34,"OOS")</f>
        <v>490000</v>
      </c>
      <c r="P34" s="146" t="str">
        <f t="shared" si="1"/>
        <v>AirPods Pro 3 tăng 490K = 6590.0K</v>
      </c>
      <c r="Q34" s="149">
        <f>IFERROR(E34-W6Q3FY26!E34,"OOS")</f>
        <v>200000</v>
      </c>
      <c r="R34" s="146" t="str">
        <f t="shared" si="2"/>
        <v>AirPods Pro 3 tăng 200K = 6190.0K</v>
      </c>
      <c r="S34" s="149">
        <f>IFERROR(F34-W6Q3FY26!F34,"OOS")</f>
        <v>300000</v>
      </c>
      <c r="T34" s="146" t="str">
        <f t="shared" si="6"/>
        <v>AirPods Pro 3 tăng 300K = 6490.0K</v>
      </c>
      <c r="U34" s="149">
        <f>IFERROR(G34-W6Q3FY26!G34,"OOS")</f>
        <v>200000</v>
      </c>
      <c r="V34" s="146" t="str">
        <f t="shared" si="7"/>
        <v>AirPods Pro 3 tăng 200K = 6290.0K</v>
      </c>
    </row>
    <row r="35" spans="1:22" ht="15" customHeight="1" x14ac:dyDescent="0.2">
      <c r="A35" t="s">
        <v>57</v>
      </c>
      <c r="B35" s="25"/>
      <c r="C35" s="140">
        <v>29490000</v>
      </c>
      <c r="D35" s="140">
        <v>29490000</v>
      </c>
      <c r="E35" s="142"/>
      <c r="F35" s="111">
        <v>29490000</v>
      </c>
      <c r="G35" s="111">
        <v>29290000</v>
      </c>
      <c r="H35" s="153"/>
      <c r="M35" s="148">
        <f>IFERROR(C35-W6Q3FY26!C35,"OOS")</f>
        <v>100000</v>
      </c>
      <c r="N35" s="146" t="str">
        <f t="shared" si="5"/>
        <v>MacBook Air 13" M5 16/512GB tăng 100K = 29490.0K</v>
      </c>
      <c r="O35" s="149">
        <f>IFERROR(D35-W6Q3FY26!D35,"OOS")</f>
        <v>100000</v>
      </c>
      <c r="P35" s="146" t="str">
        <f t="shared" si="1"/>
        <v>MacBook Air 13" M5 16/512GB tăng 100K = 29490.0K</v>
      </c>
      <c r="Q35" s="149">
        <f>IFERROR(E35-W6Q3FY26!E35,"OOS")</f>
        <v>0</v>
      </c>
      <c r="R35" s="146" t="str">
        <f t="shared" si="2"/>
        <v/>
      </c>
      <c r="S35" s="149">
        <f>IFERROR(F35-W6Q3FY26!F35,"OOS")</f>
        <v>200000</v>
      </c>
      <c r="T35" s="146" t="str">
        <f t="shared" si="6"/>
        <v>MacBook Air 13" M5 16/512GB tăng 200K = 29490.0K</v>
      </c>
      <c r="U35" s="149">
        <f>IFERROR(G35-W6Q3FY26!G35,"OOS")</f>
        <v>-700000</v>
      </c>
      <c r="V35" s="146" t="str">
        <f t="shared" si="7"/>
        <v>MacBook Air 13" M5 16/512GB giảm 700K = 29290.0K</v>
      </c>
    </row>
    <row r="36" spans="1:22" ht="16" customHeight="1" x14ac:dyDescent="0.2">
      <c r="A36" t="s">
        <v>58</v>
      </c>
      <c r="B36" s="25"/>
      <c r="C36" s="135">
        <v>15990000</v>
      </c>
      <c r="D36" s="135">
        <v>15990000</v>
      </c>
      <c r="E36" s="142"/>
      <c r="F36" s="110">
        <v>15990000</v>
      </c>
      <c r="G36" s="110">
        <v>15890000</v>
      </c>
      <c r="H36" s="153"/>
      <c r="M36" s="148">
        <f>IFERROR(C36-W6Q3FY26!C36,"OOS")</f>
        <v>0</v>
      </c>
      <c r="N36" s="146" t="str">
        <f t="shared" si="5"/>
        <v/>
      </c>
      <c r="O36" s="149">
        <f>IFERROR(D36-W6Q3FY26!D36,"OOS")</f>
        <v>0</v>
      </c>
      <c r="P36" s="146" t="str">
        <f t="shared" si="1"/>
        <v/>
      </c>
      <c r="Q36" s="149">
        <f>IFERROR(E36-W6Q3FY26!E36,"OOS")</f>
        <v>0</v>
      </c>
      <c r="R36" s="146" t="str">
        <f t="shared" si="2"/>
        <v/>
      </c>
      <c r="S36" s="149">
        <f>IFERROR(F36-W6Q3FY26!F36,"OOS")</f>
        <v>0</v>
      </c>
      <c r="T36" s="146" t="str">
        <f t="shared" si="6"/>
        <v/>
      </c>
      <c r="U36" s="149">
        <f>IFERROR(G36-W6Q3FY26!G36,"OOS")</f>
        <v>0</v>
      </c>
      <c r="V36" s="146" t="str">
        <f t="shared" si="7"/>
        <v/>
      </c>
    </row>
    <row r="37" spans="1:22" ht="16" customHeight="1" x14ac:dyDescent="0.2">
      <c r="A37" t="s">
        <v>59</v>
      </c>
      <c r="B37" s="3"/>
      <c r="C37" s="140">
        <v>25890000</v>
      </c>
      <c r="D37" s="135" t="s">
        <v>22</v>
      </c>
      <c r="E37" s="142"/>
      <c r="F37" s="132">
        <v>25890000</v>
      </c>
      <c r="G37" s="110">
        <v>24590000</v>
      </c>
      <c r="H37" s="153"/>
      <c r="J37" t="s">
        <v>60</v>
      </c>
      <c r="M37" s="148">
        <f>IFERROR(C37-W6Q3FY26!C37,"OOS")</f>
        <v>900000</v>
      </c>
      <c r="N37" s="146" t="str">
        <f t="shared" si="5"/>
        <v>MacBook Air 13" M4 16/256GB tăng 900K = 25890.0K</v>
      </c>
      <c r="O37" s="149" t="str">
        <f>IFERROR(D37-W6Q3FY26!D37,"OOS")</f>
        <v>OOS</v>
      </c>
      <c r="P37" s="146" t="e">
        <f t="shared" si="1"/>
        <v>#VALUE!</v>
      </c>
      <c r="Q37" s="149">
        <f>IFERROR(E37-W6Q3FY26!E37,"OOS")</f>
        <v>0</v>
      </c>
      <c r="R37" s="146" t="str">
        <f t="shared" si="2"/>
        <v/>
      </c>
      <c r="S37" s="149">
        <f>IFERROR(F37-W6Q3FY26!F37,"OOS")</f>
        <v>0</v>
      </c>
      <c r="T37" s="146" t="str">
        <f t="shared" si="6"/>
        <v/>
      </c>
      <c r="U37" s="149">
        <f>IFERROR(G37-W6Q3FY26!G37,"OOS")</f>
        <v>0</v>
      </c>
      <c r="V37" s="146" t="str">
        <f t="shared" si="7"/>
        <v/>
      </c>
    </row>
    <row r="38" spans="1:22" ht="16" customHeight="1" x14ac:dyDescent="0.2">
      <c r="A38" t="s">
        <v>61</v>
      </c>
      <c r="B38" s="25"/>
      <c r="C38" s="140" t="s">
        <v>22</v>
      </c>
      <c r="D38" s="135" t="s">
        <v>22</v>
      </c>
      <c r="E38" s="142"/>
      <c r="F38" s="132">
        <v>29990000</v>
      </c>
      <c r="G38" s="110" t="s">
        <v>22</v>
      </c>
      <c r="H38" s="153"/>
      <c r="M38" s="148" t="str">
        <f>IFERROR(C38-W6Q3FY26!C38,"OOS")</f>
        <v>OOS</v>
      </c>
      <c r="N38" s="146" t="e">
        <f t="shared" si="5"/>
        <v>#VALUE!</v>
      </c>
      <c r="O38" s="149" t="str">
        <f>IFERROR(D38-W6Q3FY26!D38,"OOS")</f>
        <v>OOS</v>
      </c>
      <c r="P38" s="146" t="e">
        <f t="shared" si="1"/>
        <v>#VALUE!</v>
      </c>
      <c r="Q38" s="149">
        <f>IFERROR(E38-W6Q3FY26!E38,"OOS")</f>
        <v>0</v>
      </c>
      <c r="R38" s="146" t="str">
        <f t="shared" si="2"/>
        <v/>
      </c>
      <c r="S38" s="149">
        <f>IFERROR(F38-W6Q3FY26!F38,"OOS")</f>
        <v>0</v>
      </c>
      <c r="T38" s="146" t="str">
        <f t="shared" si="6"/>
        <v/>
      </c>
      <c r="U38" s="149" t="str">
        <f>IFERROR(G38-W6Q3FY26!G38,"OOS")</f>
        <v>OOS</v>
      </c>
      <c r="V38" s="146" t="e">
        <f t="shared" si="7"/>
        <v>#VALUE!</v>
      </c>
    </row>
    <row r="39" spans="1:22" ht="16" customHeight="1" x14ac:dyDescent="0.2">
      <c r="A39" t="s">
        <v>62</v>
      </c>
      <c r="B39" s="25"/>
      <c r="C39" s="135">
        <v>41490000</v>
      </c>
      <c r="D39" s="135">
        <v>41490000</v>
      </c>
      <c r="E39" s="142"/>
      <c r="F39" s="132">
        <v>41490000</v>
      </c>
      <c r="G39" s="110">
        <v>41490000</v>
      </c>
      <c r="H39" s="153"/>
      <c r="M39" s="148">
        <f>IFERROR(C39-W6Q3FY26!C39,"OOS")</f>
        <v>0</v>
      </c>
      <c r="N39" s="146" t="str">
        <f t="shared" si="5"/>
        <v/>
      </c>
      <c r="O39" s="149">
        <f>IFERROR(D39-W6Q3FY26!D39,"OOS")</f>
        <v>0</v>
      </c>
      <c r="P39" s="146" t="str">
        <f t="shared" si="1"/>
        <v/>
      </c>
      <c r="Q39" s="149">
        <f>IFERROR(E39-W6Q3FY26!E39,"OOS")</f>
        <v>0</v>
      </c>
      <c r="R39" s="146" t="str">
        <f t="shared" si="2"/>
        <v/>
      </c>
      <c r="S39" s="149">
        <f>IFERROR(F39-W6Q3FY26!F39,"OOS")</f>
        <v>0</v>
      </c>
      <c r="T39" s="146" t="str">
        <f t="shared" si="6"/>
        <v/>
      </c>
      <c r="U39" s="149">
        <f>IFERROR(G39-W6Q3FY26!G39,"OOS")</f>
        <v>0</v>
      </c>
      <c r="V39" s="146" t="str">
        <f t="shared" si="7"/>
        <v/>
      </c>
    </row>
    <row r="40" spans="1:22" ht="16" customHeight="1" x14ac:dyDescent="0.2">
      <c r="A40" t="s">
        <v>63</v>
      </c>
      <c r="B40" s="25"/>
      <c r="C40" s="135" t="s">
        <v>22</v>
      </c>
      <c r="D40" s="135">
        <v>63990000</v>
      </c>
      <c r="E40" s="142"/>
      <c r="F40" s="132">
        <v>62990000</v>
      </c>
      <c r="G40" s="111">
        <v>72990000</v>
      </c>
      <c r="H40" s="153"/>
      <c r="M40" s="148" t="str">
        <f>IFERROR(C40-W6Q3FY26!C40,"OOS")</f>
        <v>OOS</v>
      </c>
      <c r="N40" s="146" t="e">
        <f t="shared" si="5"/>
        <v>#VALUE!</v>
      </c>
      <c r="O40" s="149">
        <f>IFERROR(D40-W6Q3FY26!D40,"OOS")</f>
        <v>0</v>
      </c>
      <c r="P40" s="146" t="str">
        <f t="shared" si="1"/>
        <v/>
      </c>
      <c r="Q40" s="149">
        <f>IFERROR(E40-W6Q3FY26!E40,"OOS")</f>
        <v>0</v>
      </c>
      <c r="R40" s="146" t="str">
        <f t="shared" si="2"/>
        <v/>
      </c>
      <c r="S40" s="149">
        <f>IFERROR(F40-W6Q3FY26!F40,"OOS")</f>
        <v>0</v>
      </c>
      <c r="T40" s="146" t="str">
        <f t="shared" si="6"/>
        <v/>
      </c>
      <c r="U40" s="149">
        <f>IFERROR(G40-W6Q3FY26!G40,"OOS")</f>
        <v>9000000</v>
      </c>
      <c r="V40" s="146" t="str">
        <f t="shared" si="7"/>
        <v>MacBook Pro 16" M5 Pro 24/1TB tăng 9000K = 72990.0K</v>
      </c>
    </row>
    <row r="41" spans="1:22" ht="16" customHeight="1" x14ac:dyDescent="0.2">
      <c r="C41" s="124"/>
      <c r="D41" s="124"/>
      <c r="V41" s="146" t="str">
        <f t="shared" si="7"/>
        <v/>
      </c>
    </row>
    <row r="42" spans="1:22" ht="16" customHeight="1" x14ac:dyDescent="0.2">
      <c r="C42" s="124"/>
      <c r="D42" s="124"/>
    </row>
    <row r="43" spans="1:22" ht="16" customHeight="1" x14ac:dyDescent="0.2">
      <c r="C43" s="124"/>
      <c r="D43" s="124"/>
    </row>
    <row r="44" spans="1:22" ht="16" customHeight="1" x14ac:dyDescent="0.2">
      <c r="C44" s="124"/>
      <c r="D44" s="124"/>
    </row>
    <row r="45" spans="1:22" ht="16" customHeight="1" x14ac:dyDescent="0.2">
      <c r="C45" s="124"/>
      <c r="D45" s="124"/>
    </row>
    <row r="46" spans="1:22" ht="16" customHeight="1" x14ac:dyDescent="0.2">
      <c r="C46" s="124"/>
      <c r="D46" s="124"/>
    </row>
    <row r="47" spans="1:22" ht="16" customHeight="1" x14ac:dyDescent="0.2">
      <c r="C47" s="124"/>
      <c r="D47" s="124"/>
    </row>
    <row r="48" spans="1:22" ht="16" customHeight="1" x14ac:dyDescent="0.2">
      <c r="C48" s="124"/>
      <c r="D48" s="124"/>
    </row>
    <row r="49" spans="3:4" ht="16" customHeight="1" x14ac:dyDescent="0.2">
      <c r="C49" s="124"/>
      <c r="D49" s="124"/>
    </row>
    <row r="50" spans="3:4" ht="16" customHeight="1" x14ac:dyDescent="0.2">
      <c r="C50" s="124"/>
      <c r="D50" s="124"/>
    </row>
    <row r="51" spans="3:4" ht="16" customHeight="1" x14ac:dyDescent="0.2">
      <c r="C51" s="124"/>
      <c r="D51" s="124"/>
    </row>
    <row r="52" spans="3:4" ht="16" customHeight="1" x14ac:dyDescent="0.2">
      <c r="C52" s="124"/>
      <c r="D52" s="124"/>
    </row>
    <row r="53" spans="3:4" ht="16" customHeight="1" x14ac:dyDescent="0.2">
      <c r="C53" s="124"/>
      <c r="D53" s="124"/>
    </row>
    <row r="54" spans="3:4" ht="16" customHeight="1" x14ac:dyDescent="0.2">
      <c r="C54" s="124"/>
      <c r="D54" s="124"/>
    </row>
    <row r="55" spans="3:4" ht="16" customHeight="1" x14ac:dyDescent="0.2">
      <c r="C55" s="124"/>
      <c r="D55" s="124"/>
    </row>
    <row r="56" spans="3:4" ht="16" customHeight="1" x14ac:dyDescent="0.2">
      <c r="C56" s="124"/>
      <c r="D56" s="124"/>
    </row>
    <row r="57" spans="3:4" ht="16" customHeight="1" x14ac:dyDescent="0.2">
      <c r="C57" s="124"/>
      <c r="D57" s="124"/>
    </row>
    <row r="58" spans="3:4" ht="16" customHeight="1" x14ac:dyDescent="0.2">
      <c r="C58" s="124"/>
      <c r="D58" s="124"/>
    </row>
    <row r="59" spans="3:4" ht="16" customHeight="1" x14ac:dyDescent="0.2">
      <c r="C59" s="124"/>
      <c r="D59" s="124"/>
    </row>
    <row r="60" spans="3:4" ht="16" customHeight="1" x14ac:dyDescent="0.2">
      <c r="C60" s="124"/>
      <c r="D60" s="124"/>
    </row>
    <row r="61" spans="3:4" ht="16" customHeight="1" x14ac:dyDescent="0.2">
      <c r="C61" s="124"/>
      <c r="D61" s="124"/>
    </row>
    <row r="62" spans="3:4" ht="16" customHeight="1" x14ac:dyDescent="0.2">
      <c r="C62" s="124"/>
      <c r="D62" s="124"/>
    </row>
    <row r="63" spans="3:4" ht="16" customHeight="1" x14ac:dyDescent="0.2">
      <c r="C63" s="124"/>
      <c r="D63" s="124"/>
    </row>
    <row r="64" spans="3:4" ht="16" customHeight="1" x14ac:dyDescent="0.2">
      <c r="C64" s="124"/>
      <c r="D64" s="124"/>
    </row>
    <row r="65" spans="3:4" ht="16" customHeight="1" x14ac:dyDescent="0.2">
      <c r="C65" s="124"/>
      <c r="D65" s="124"/>
    </row>
    <row r="66" spans="3:4" ht="16" customHeight="1" x14ac:dyDescent="0.2">
      <c r="C66" s="124"/>
      <c r="D66" s="124"/>
    </row>
    <row r="67" spans="3:4" ht="16" customHeight="1" x14ac:dyDescent="0.2">
      <c r="C67" s="124"/>
      <c r="D67" s="124"/>
    </row>
    <row r="68" spans="3:4" ht="16" customHeight="1" x14ac:dyDescent="0.2">
      <c r="C68" s="124"/>
      <c r="D68" s="124"/>
    </row>
    <row r="69" spans="3:4" ht="16" customHeight="1" x14ac:dyDescent="0.2">
      <c r="C69" s="124"/>
      <c r="D69" s="124"/>
    </row>
    <row r="70" spans="3:4" ht="16" customHeight="1" x14ac:dyDescent="0.2">
      <c r="C70" s="124"/>
      <c r="D70" s="124"/>
    </row>
    <row r="71" spans="3:4" ht="16" customHeight="1" x14ac:dyDescent="0.2">
      <c r="C71" s="124"/>
      <c r="D71" s="124"/>
    </row>
    <row r="72" spans="3:4" ht="16" customHeight="1" x14ac:dyDescent="0.2">
      <c r="C72" s="124"/>
      <c r="D72" s="124"/>
    </row>
    <row r="73" spans="3:4" ht="16" customHeight="1" x14ac:dyDescent="0.2">
      <c r="C73" s="124"/>
      <c r="D73" s="124"/>
    </row>
    <row r="74" spans="3:4" ht="16" customHeight="1" x14ac:dyDescent="0.2">
      <c r="C74" s="124"/>
      <c r="D74" s="124"/>
    </row>
    <row r="75" spans="3:4" ht="16" customHeight="1" x14ac:dyDescent="0.2">
      <c r="C75" s="124"/>
      <c r="D75" s="124"/>
    </row>
    <row r="76" spans="3:4" ht="16" customHeight="1" x14ac:dyDescent="0.2">
      <c r="C76" s="124"/>
      <c r="D76" s="124"/>
    </row>
    <row r="77" spans="3:4" ht="16" customHeight="1" x14ac:dyDescent="0.2">
      <c r="C77" s="124"/>
      <c r="D77" s="124"/>
    </row>
    <row r="78" spans="3:4" ht="16" customHeight="1" x14ac:dyDescent="0.2">
      <c r="C78" s="124"/>
      <c r="D78" s="124"/>
    </row>
    <row r="79" spans="3:4" ht="16" customHeight="1" x14ac:dyDescent="0.2">
      <c r="C79" s="124"/>
      <c r="D79" s="124"/>
    </row>
    <row r="80" spans="3:4" ht="16" customHeight="1" x14ac:dyDescent="0.2">
      <c r="C80" s="124"/>
      <c r="D80" s="124"/>
    </row>
    <row r="81" spans="3:4" ht="16" customHeight="1" x14ac:dyDescent="0.2">
      <c r="C81" s="124"/>
      <c r="D81" s="124"/>
    </row>
    <row r="82" spans="3:4" ht="16" customHeight="1" x14ac:dyDescent="0.2">
      <c r="C82" s="124"/>
      <c r="D82" s="124"/>
    </row>
    <row r="83" spans="3:4" ht="16" customHeight="1" x14ac:dyDescent="0.2">
      <c r="C83" s="124"/>
      <c r="D83" s="124"/>
    </row>
    <row r="84" spans="3:4" ht="16" customHeight="1" x14ac:dyDescent="0.2">
      <c r="C84" s="124"/>
      <c r="D84" s="124"/>
    </row>
    <row r="85" spans="3:4" ht="16" customHeight="1" x14ac:dyDescent="0.2">
      <c r="C85" s="124"/>
      <c r="D85" s="124"/>
    </row>
    <row r="86" spans="3:4" ht="16" customHeight="1" x14ac:dyDescent="0.2">
      <c r="C86" s="124"/>
      <c r="D86" s="124"/>
    </row>
    <row r="87" spans="3:4" ht="16" customHeight="1" x14ac:dyDescent="0.2">
      <c r="C87" s="124"/>
      <c r="D87" s="124"/>
    </row>
    <row r="88" spans="3:4" ht="16" customHeight="1" x14ac:dyDescent="0.2">
      <c r="C88" s="124"/>
      <c r="D88" s="124"/>
    </row>
    <row r="89" spans="3:4" ht="16" customHeight="1" x14ac:dyDescent="0.2">
      <c r="C89" s="124"/>
      <c r="D89" s="124"/>
    </row>
    <row r="90" spans="3:4" ht="16" customHeight="1" x14ac:dyDescent="0.2">
      <c r="C90" s="124"/>
      <c r="D90" s="124"/>
    </row>
    <row r="91" spans="3:4" ht="16" customHeight="1" x14ac:dyDescent="0.2">
      <c r="C91" s="124"/>
      <c r="D91" s="124"/>
    </row>
    <row r="92" spans="3:4" ht="16" customHeight="1" x14ac:dyDescent="0.2">
      <c r="C92" s="124"/>
      <c r="D92" s="124"/>
    </row>
    <row r="93" spans="3:4" ht="16" customHeight="1" x14ac:dyDescent="0.2">
      <c r="C93" s="124"/>
      <c r="D93" s="124"/>
    </row>
    <row r="94" spans="3:4" ht="16" customHeight="1" x14ac:dyDescent="0.2">
      <c r="C94" s="124"/>
      <c r="D94" s="124"/>
    </row>
    <row r="95" spans="3:4" ht="16" customHeight="1" x14ac:dyDescent="0.2">
      <c r="C95" s="124"/>
      <c r="D95" s="124"/>
    </row>
    <row r="96" spans="3:4" ht="16" customHeight="1" x14ac:dyDescent="0.2">
      <c r="C96" s="124"/>
      <c r="D96" s="124"/>
    </row>
    <row r="97" spans="3:4" ht="16" customHeight="1" x14ac:dyDescent="0.2">
      <c r="C97" s="124"/>
      <c r="D97" s="124"/>
    </row>
    <row r="98" spans="3:4" ht="16" customHeight="1" x14ac:dyDescent="0.2">
      <c r="C98" s="124"/>
      <c r="D98" s="124"/>
    </row>
    <row r="99" spans="3:4" ht="16" customHeight="1" x14ac:dyDescent="0.2">
      <c r="C99" s="124"/>
      <c r="D99" s="124"/>
    </row>
    <row r="100" spans="3:4" ht="16" customHeight="1" x14ac:dyDescent="0.2">
      <c r="C100" s="124"/>
      <c r="D100" s="124"/>
    </row>
    <row r="101" spans="3:4" ht="16" customHeight="1" x14ac:dyDescent="0.2">
      <c r="C101" s="124"/>
      <c r="D101" s="124"/>
    </row>
    <row r="102" spans="3:4" ht="16" customHeight="1" x14ac:dyDescent="0.2">
      <c r="C102" s="124"/>
      <c r="D102" s="124"/>
    </row>
    <row r="103" spans="3:4" ht="16" customHeight="1" x14ac:dyDescent="0.2">
      <c r="C103" s="124"/>
      <c r="D103" s="124"/>
    </row>
    <row r="104" spans="3:4" ht="16" customHeight="1" x14ac:dyDescent="0.2">
      <c r="C104" s="124"/>
      <c r="D104" s="124"/>
    </row>
    <row r="105" spans="3:4" ht="16" customHeight="1" x14ac:dyDescent="0.2">
      <c r="C105" s="124"/>
      <c r="D105" s="124"/>
    </row>
    <row r="106" spans="3:4" ht="16" customHeight="1" x14ac:dyDescent="0.2">
      <c r="C106" s="124"/>
      <c r="D106" s="124"/>
    </row>
    <row r="107" spans="3:4" ht="16" customHeight="1" x14ac:dyDescent="0.2">
      <c r="C107" s="124"/>
      <c r="D107" s="124"/>
    </row>
    <row r="108" spans="3:4" ht="16" customHeight="1" x14ac:dyDescent="0.2">
      <c r="C108" s="124"/>
      <c r="D108" s="124"/>
    </row>
    <row r="109" spans="3:4" ht="16" customHeight="1" x14ac:dyDescent="0.2">
      <c r="C109" s="124"/>
      <c r="D109" s="124"/>
    </row>
    <row r="110" spans="3:4" ht="16" customHeight="1" x14ac:dyDescent="0.2">
      <c r="C110" s="124"/>
      <c r="D110" s="124"/>
    </row>
    <row r="111" spans="3:4" ht="16" customHeight="1" x14ac:dyDescent="0.2">
      <c r="C111" s="124"/>
      <c r="D111" s="124"/>
    </row>
    <row r="112" spans="3:4" ht="16" customHeight="1" x14ac:dyDescent="0.2">
      <c r="C112" s="124"/>
      <c r="D112" s="124"/>
    </row>
    <row r="113" spans="3:4" ht="16" customHeight="1" x14ac:dyDescent="0.2">
      <c r="C113" s="124"/>
      <c r="D113" s="124"/>
    </row>
    <row r="114" spans="3:4" ht="16" customHeight="1" x14ac:dyDescent="0.2">
      <c r="C114" s="124"/>
      <c r="D114" s="124"/>
    </row>
    <row r="115" spans="3:4" ht="16" customHeight="1" x14ac:dyDescent="0.2">
      <c r="C115" s="124"/>
      <c r="D115" s="124"/>
    </row>
    <row r="116" spans="3:4" ht="16" customHeight="1" x14ac:dyDescent="0.2">
      <c r="C116" s="124"/>
      <c r="D116" s="124"/>
    </row>
    <row r="117" spans="3:4" ht="16" customHeight="1" x14ac:dyDescent="0.2">
      <c r="C117" s="124"/>
      <c r="D117" s="124"/>
    </row>
    <row r="118" spans="3:4" ht="16" customHeight="1" x14ac:dyDescent="0.2">
      <c r="C118" s="124"/>
      <c r="D118" s="124"/>
    </row>
    <row r="119" spans="3:4" ht="16" customHeight="1" x14ac:dyDescent="0.2">
      <c r="C119" s="124"/>
      <c r="D119" s="124"/>
    </row>
    <row r="120" spans="3:4" ht="16" customHeight="1" x14ac:dyDescent="0.2">
      <c r="C120" s="124"/>
      <c r="D120" s="124"/>
    </row>
    <row r="121" spans="3:4" ht="16" customHeight="1" x14ac:dyDescent="0.2">
      <c r="C121" s="124"/>
      <c r="D121" s="124"/>
    </row>
    <row r="122" spans="3:4" ht="16" customHeight="1" x14ac:dyDescent="0.2">
      <c r="C122" s="124"/>
      <c r="D122" s="124"/>
    </row>
    <row r="123" spans="3:4" ht="16" customHeight="1" x14ac:dyDescent="0.2">
      <c r="C123" s="124"/>
      <c r="D123" s="124"/>
    </row>
    <row r="124" spans="3:4" ht="16" customHeight="1" x14ac:dyDescent="0.2">
      <c r="C124" s="124"/>
      <c r="D124" s="124"/>
    </row>
    <row r="125" spans="3:4" ht="16" customHeight="1" x14ac:dyDescent="0.2">
      <c r="C125" s="124"/>
      <c r="D125" s="124"/>
    </row>
    <row r="126" spans="3:4" ht="16" customHeight="1" x14ac:dyDescent="0.2">
      <c r="C126" s="124"/>
      <c r="D126" s="124"/>
    </row>
    <row r="127" spans="3:4" ht="16" customHeight="1" x14ac:dyDescent="0.2">
      <c r="C127" s="124"/>
      <c r="D127" s="124"/>
    </row>
    <row r="128" spans="3:4" ht="16" customHeight="1" x14ac:dyDescent="0.2">
      <c r="C128" s="124"/>
      <c r="D128" s="124"/>
    </row>
    <row r="129" spans="3:4" ht="16" customHeight="1" x14ac:dyDescent="0.2">
      <c r="C129" s="124"/>
      <c r="D129" s="124"/>
    </row>
    <row r="130" spans="3:4" ht="16" customHeight="1" x14ac:dyDescent="0.2">
      <c r="C130" s="124"/>
      <c r="D130" s="124"/>
    </row>
    <row r="131" spans="3:4" ht="16" customHeight="1" x14ac:dyDescent="0.2">
      <c r="C131" s="124"/>
      <c r="D131" s="124"/>
    </row>
    <row r="132" spans="3:4" ht="16" customHeight="1" x14ac:dyDescent="0.2">
      <c r="C132" s="124"/>
      <c r="D132" s="124"/>
    </row>
    <row r="133" spans="3:4" ht="16" customHeight="1" x14ac:dyDescent="0.2">
      <c r="C133" s="124"/>
      <c r="D133" s="124"/>
    </row>
    <row r="134" spans="3:4" ht="16" customHeight="1" x14ac:dyDescent="0.2">
      <c r="C134" s="124"/>
      <c r="D134" s="124"/>
    </row>
    <row r="135" spans="3:4" ht="16" customHeight="1" x14ac:dyDescent="0.2">
      <c r="C135" s="124"/>
      <c r="D135" s="124"/>
    </row>
    <row r="136" spans="3:4" ht="16" customHeight="1" x14ac:dyDescent="0.2">
      <c r="C136" s="124"/>
      <c r="D136" s="124"/>
    </row>
    <row r="137" spans="3:4" ht="16" customHeight="1" x14ac:dyDescent="0.2">
      <c r="C137" s="124"/>
      <c r="D137" s="124"/>
    </row>
    <row r="138" spans="3:4" ht="16" customHeight="1" x14ac:dyDescent="0.2">
      <c r="C138" s="124"/>
      <c r="D138" s="124"/>
    </row>
    <row r="139" spans="3:4" ht="16" customHeight="1" x14ac:dyDescent="0.2">
      <c r="C139" s="124"/>
      <c r="D139" s="124"/>
    </row>
    <row r="140" spans="3:4" ht="16" customHeight="1" x14ac:dyDescent="0.2">
      <c r="C140" s="124"/>
      <c r="D140" s="124"/>
    </row>
    <row r="141" spans="3:4" ht="16" customHeight="1" x14ac:dyDescent="0.2">
      <c r="C141" s="124"/>
      <c r="D141" s="124"/>
    </row>
    <row r="142" spans="3:4" ht="16" customHeight="1" x14ac:dyDescent="0.2">
      <c r="C142" s="124"/>
      <c r="D142" s="124"/>
    </row>
    <row r="143" spans="3:4" ht="16" customHeight="1" x14ac:dyDescent="0.2">
      <c r="C143" s="124"/>
      <c r="D143" s="124"/>
    </row>
    <row r="144" spans="3:4" ht="16" customHeight="1" x14ac:dyDescent="0.2">
      <c r="C144" s="124"/>
      <c r="D144" s="124"/>
    </row>
    <row r="145" spans="3:4" ht="16" customHeight="1" x14ac:dyDescent="0.2">
      <c r="C145" s="124"/>
      <c r="D145" s="124"/>
    </row>
    <row r="146" spans="3:4" ht="16" customHeight="1" x14ac:dyDescent="0.2">
      <c r="C146" s="124"/>
      <c r="D146" s="124"/>
    </row>
    <row r="147" spans="3:4" ht="16" customHeight="1" x14ac:dyDescent="0.2">
      <c r="C147" s="124"/>
      <c r="D147" s="124"/>
    </row>
    <row r="148" spans="3:4" ht="16" customHeight="1" x14ac:dyDescent="0.2">
      <c r="C148" s="124"/>
      <c r="D148" s="124"/>
    </row>
    <row r="149" spans="3:4" ht="16" customHeight="1" x14ac:dyDescent="0.2">
      <c r="C149" s="124"/>
      <c r="D149" s="124"/>
    </row>
    <row r="150" spans="3:4" ht="16" customHeight="1" x14ac:dyDescent="0.2">
      <c r="C150" s="124"/>
      <c r="D150" s="124"/>
    </row>
    <row r="151" spans="3:4" ht="16" customHeight="1" x14ac:dyDescent="0.2">
      <c r="C151" s="124"/>
      <c r="D151" s="124"/>
    </row>
  </sheetData>
  <conditionalFormatting sqref="E2:E40">
    <cfRule type="expression" dxfId="3" priority="3" stopIfTrue="1">
      <formula>$Q2=0</formula>
    </cfRule>
    <cfRule type="expression" dxfId="2" priority="4" stopIfTrue="1">
      <formula>AND($Q2&lt;&gt;0,$Q2&lt;&gt;"")</formula>
    </cfRule>
  </conditionalFormatting>
  <conditionalFormatting sqref="N2:N40 P2:P40 R2:R40 T2:T40 V2:V41">
    <cfRule type="containsText" dxfId="1" priority="1" operator="containsText" text="Tăng">
      <formula>NOT(ISERROR(SEARCH("Tăng",N2)))</formula>
    </cfRule>
    <cfRule type="containsText" dxfId="0" priority="2" operator="containsText" text="giảm">
      <formula>NOT(ISERROR(SEARCH("giảm",N2)))</formula>
    </cfRule>
  </conditionalFormatting>
  <pageMargins left="0.7" right="0.7" top="0.75" bottom="0.75" header="0.3" footer="0.3"/>
  <pageSetup paperSize="9" orientation="portrait" horizontalDpi="0" verticalDpi="0"/>
  <legacyDrawing r:id="rId1"/>
</worksheet>
</file>

<file path=xl/worksheets/sheet10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B00-000000000000}">
  <dimension ref="A1:Y151"/>
  <sheetViews>
    <sheetView tabSelected="1" topLeftCell="A5" workbookViewId="0">
      <selection activeCell="I15" sqref="I15"/>
    </sheetView>
  </sheetViews>
  <sheetFormatPr baseColWidth="10" defaultColWidth="11" defaultRowHeight="15.75" customHeight="1" x14ac:dyDescent="0.2"/>
  <cols>
    <col min="1" max="1" width="30.5" customWidth="1"/>
    <col min="2" max="2" width="3.1640625" customWidth="1"/>
    <col min="3" max="3" width="14.83203125" customWidth="1"/>
    <col min="4" max="4" width="16" customWidth="1"/>
    <col min="5" max="5" width="15.5" style="6" customWidth="1"/>
    <col min="6" max="6" width="14.33203125" customWidth="1"/>
    <col min="7" max="12" width="11" customWidth="1"/>
    <col min="13" max="13" width="14.33203125" customWidth="1"/>
    <col min="14" max="14" width="42" customWidth="1"/>
    <col min="15" max="15" width="14.83203125" customWidth="1"/>
    <col min="16" max="16" width="51.5" customWidth="1"/>
    <col min="17" max="17" width="13.5" customWidth="1"/>
    <col min="18" max="18" width="46" customWidth="1"/>
    <col min="19" max="19" width="15.5" customWidth="1"/>
    <col min="20" max="20" width="42.33203125" customWidth="1"/>
    <col min="21" max="21" width="14.1640625" customWidth="1"/>
    <col min="22" max="22" width="48.33203125" customWidth="1"/>
  </cols>
  <sheetData>
    <row r="1" spans="1:25" ht="29" customHeight="1" x14ac:dyDescent="0.2">
      <c r="B1" s="46" t="s">
        <v>0</v>
      </c>
      <c r="C1" s="80" t="s">
        <v>1</v>
      </c>
      <c r="D1" s="80" t="s">
        <v>2</v>
      </c>
      <c r="E1" s="115" t="s">
        <v>3</v>
      </c>
      <c r="F1" s="81" t="s">
        <v>4</v>
      </c>
      <c r="G1" s="81" t="s">
        <v>5</v>
      </c>
      <c r="M1" s="143" t="s">
        <v>6</v>
      </c>
      <c r="N1" s="143" t="s">
        <v>7</v>
      </c>
      <c r="O1" s="144" t="s">
        <v>8</v>
      </c>
      <c r="P1" s="144" t="s">
        <v>9</v>
      </c>
      <c r="Q1" s="144" t="s">
        <v>10</v>
      </c>
      <c r="R1" s="144" t="s">
        <v>11</v>
      </c>
      <c r="S1" s="144" t="s">
        <v>12</v>
      </c>
      <c r="T1" s="144" t="s">
        <v>13</v>
      </c>
      <c r="U1" s="144" t="s">
        <v>14</v>
      </c>
      <c r="V1" s="145" t="s">
        <v>15</v>
      </c>
    </row>
    <row r="2" spans="1:25" ht="16" x14ac:dyDescent="0.2">
      <c r="A2" t="s">
        <v>16</v>
      </c>
      <c r="B2" s="82"/>
      <c r="C2" s="127">
        <v>17590000</v>
      </c>
      <c r="D2" s="127">
        <v>17490000</v>
      </c>
      <c r="E2" s="134">
        <v>17290000</v>
      </c>
      <c r="F2" s="167">
        <v>17490000</v>
      </c>
      <c r="G2" s="110">
        <v>17290000</v>
      </c>
      <c r="H2" s="153"/>
      <c r="M2" s="148">
        <f>IFERROR(C2-W7Q3FY26!C2,"OOS")</f>
        <v>0</v>
      </c>
      <c r="N2" s="146" t="str">
        <f t="shared" ref="N2:N16" si="0">IF(M2=0,"",$A2 &amp; IF(M2&gt;0," tăng "," giảm ") &amp; TEXT(ABS(M2)/1000,"0") &amp; "K = " &amp; TEXT(C2/1000,"#.##0") &amp; "K")</f>
        <v/>
      </c>
      <c r="O2" s="149">
        <f>IFERROR(D2-W7Q3FY26!D2,"OOS")</f>
        <v>0</v>
      </c>
      <c r="P2" s="146" t="str">
        <f t="shared" ref="P2:P40" si="1">IF(O2=0,"",$A2 &amp; IF(O2&gt;0," tăng "," giảm ") &amp; TEXT(ABS(O2)/1000,"0") &amp; "K = " &amp; TEXT(D2/1000,"#.##0") &amp; "K")</f>
        <v/>
      </c>
      <c r="Q2" s="149">
        <f>IFERROR(E2-W7Q3FY26!E2,"OOS")</f>
        <v>0</v>
      </c>
      <c r="R2" s="146" t="str">
        <f t="shared" ref="R2:R40" si="2">IF(Q2=0,"",$A2 &amp; IF(Q2&gt;0," tăng "," giảm ") &amp; TEXT(ABS(Q2)/1000,"0") &amp; "K = " &amp; TEXT(E2/1000,"#.##0") &amp; "K")</f>
        <v/>
      </c>
      <c r="S2" s="149">
        <f>IFERROR(F2-W7Q3FY26!F2,"OOS")</f>
        <v>0</v>
      </c>
      <c r="T2" s="146" t="str">
        <f t="shared" ref="T2:T16" si="3">IF(S2=0,"",$A2 &amp; IF(S2&gt;0," tăng "," giảm ") &amp; TEXT(ABS(S2)/1000,"0") &amp; "K = " &amp; TEXT(F2/1000,"#.##0") &amp; "K")</f>
        <v/>
      </c>
      <c r="U2" s="149">
        <f>IFERROR(G2-W7Q3FY26!G2,"OOS")</f>
        <v>0</v>
      </c>
      <c r="V2" s="146" t="str">
        <f t="shared" ref="V2:V18" si="4">IF(U2=0,"",$A2 &amp; IF(U2&gt;0," tăng "," giảm ") &amp; TEXT(ABS(U2)/1000,"0") &amp; "K = " &amp; TEXT(G2/1000,"#.##0") &amp; "K")</f>
        <v/>
      </c>
    </row>
    <row r="3" spans="1:25" ht="16" customHeight="1" x14ac:dyDescent="0.2">
      <c r="A3" t="s">
        <v>17</v>
      </c>
      <c r="B3" s="82"/>
      <c r="C3" s="129">
        <v>24390000</v>
      </c>
      <c r="D3" s="129">
        <v>24390000</v>
      </c>
      <c r="E3" s="130">
        <v>23290000</v>
      </c>
      <c r="F3" s="160">
        <v>24390000</v>
      </c>
      <c r="G3" s="110">
        <v>23790000</v>
      </c>
      <c r="H3" s="153"/>
      <c r="M3" s="148">
        <f>IFERROR(C3-W7Q3FY26!C3,"OOS")</f>
        <v>0</v>
      </c>
      <c r="N3" s="146" t="str">
        <f t="shared" si="0"/>
        <v/>
      </c>
      <c r="O3" s="149">
        <f>IFERROR(D3-W7Q3FY26!D3,"OOS")</f>
        <v>0</v>
      </c>
      <c r="P3" s="146" t="str">
        <f t="shared" si="1"/>
        <v/>
      </c>
      <c r="Q3" s="149">
        <f>IFERROR(E3-W7Q3FY26!E3,"OOS")</f>
        <v>0</v>
      </c>
      <c r="R3" s="146" t="str">
        <f t="shared" si="2"/>
        <v/>
      </c>
      <c r="S3" s="149">
        <f>IFERROR(F3-W7Q3FY26!F3,"OOS")</f>
        <v>0</v>
      </c>
      <c r="T3" s="146" t="str">
        <f t="shared" si="3"/>
        <v/>
      </c>
      <c r="U3" s="149">
        <f>IFERROR(G3-W7Q3FY26!G3,"OOS")</f>
        <v>0</v>
      </c>
      <c r="V3" s="146" t="str">
        <f t="shared" si="4"/>
        <v/>
      </c>
    </row>
    <row r="4" spans="1:25" ht="16" customHeight="1" x14ac:dyDescent="0.2">
      <c r="A4" t="s">
        <v>18</v>
      </c>
      <c r="B4" s="82"/>
      <c r="C4" s="127">
        <v>22990000</v>
      </c>
      <c r="D4" s="129">
        <v>22890000</v>
      </c>
      <c r="E4" s="130">
        <v>22990000</v>
      </c>
      <c r="F4" s="132">
        <v>22890000</v>
      </c>
      <c r="G4" s="111">
        <v>22890000</v>
      </c>
      <c r="H4" s="153"/>
      <c r="M4" s="148">
        <f>IFERROR(C4-W7Q3FY26!C4,"OOS")</f>
        <v>0</v>
      </c>
      <c r="N4" s="146" t="str">
        <f t="shared" si="0"/>
        <v/>
      </c>
      <c r="O4" s="149">
        <f>IFERROR(D4-W7Q3FY26!D4,"OOS")</f>
        <v>0</v>
      </c>
      <c r="P4" s="146" t="str">
        <f t="shared" si="1"/>
        <v/>
      </c>
      <c r="Q4" s="149">
        <f>IFERROR(E4-W7Q3FY26!E4,"OOS")</f>
        <v>0</v>
      </c>
      <c r="R4" s="146" t="str">
        <f t="shared" si="2"/>
        <v/>
      </c>
      <c r="S4" s="149">
        <f>IFERROR(F4-W7Q3FY26!F4,"OOS")</f>
        <v>0</v>
      </c>
      <c r="T4" s="146" t="str">
        <f t="shared" si="3"/>
        <v/>
      </c>
      <c r="U4" s="149">
        <f>IFERROR(G4-W7Q3FY26!G4,"OOS")</f>
        <v>0</v>
      </c>
      <c r="V4" s="146" t="str">
        <f t="shared" si="4"/>
        <v/>
      </c>
    </row>
    <row r="5" spans="1:25" ht="16" customHeight="1" x14ac:dyDescent="0.2">
      <c r="A5" t="s">
        <v>19</v>
      </c>
      <c r="B5" s="82"/>
      <c r="C5" s="129">
        <v>34690000</v>
      </c>
      <c r="D5" s="129">
        <v>34590000</v>
      </c>
      <c r="E5" s="130">
        <v>33190000</v>
      </c>
      <c r="F5" s="132">
        <v>34590000</v>
      </c>
      <c r="G5" s="110">
        <v>33990000</v>
      </c>
      <c r="H5" s="153"/>
      <c r="M5" s="148">
        <f>IFERROR(C5-W7Q3FY26!C5,"OOS")</f>
        <v>0</v>
      </c>
      <c r="N5" s="146" t="str">
        <f t="shared" si="0"/>
        <v/>
      </c>
      <c r="O5" s="149">
        <f>IFERROR(D5-W7Q3FY26!D5,"OOS")</f>
        <v>0</v>
      </c>
      <c r="P5" s="146" t="str">
        <f t="shared" si="1"/>
        <v/>
      </c>
      <c r="Q5" s="149">
        <f>IFERROR(E5-W7Q3FY26!E5,"OOS")</f>
        <v>0</v>
      </c>
      <c r="R5" s="146" t="str">
        <f t="shared" si="2"/>
        <v/>
      </c>
      <c r="S5" s="149">
        <f>IFERROR(F5-W7Q3FY26!F5,"OOS")</f>
        <v>0</v>
      </c>
      <c r="T5" s="146" t="str">
        <f t="shared" si="3"/>
        <v/>
      </c>
      <c r="U5" s="149">
        <f>IFERROR(G5-W7Q3FY26!G5,"OOS")</f>
        <v>0</v>
      </c>
      <c r="V5" s="146" t="str">
        <f t="shared" si="4"/>
        <v/>
      </c>
    </row>
    <row r="6" spans="1:25" ht="16" customHeight="1" x14ac:dyDescent="0.2">
      <c r="A6" t="s">
        <v>20</v>
      </c>
      <c r="B6" s="82"/>
      <c r="C6" s="127">
        <v>36990000</v>
      </c>
      <c r="D6" s="129">
        <v>36690000</v>
      </c>
      <c r="E6" s="134">
        <v>36290000</v>
      </c>
      <c r="F6" s="132">
        <v>36890000</v>
      </c>
      <c r="G6" s="110">
        <v>36790000</v>
      </c>
      <c r="H6" s="153"/>
      <c r="M6" s="148">
        <f>IFERROR(C6-W7Q3FY26!C6,"OOS")</f>
        <v>0</v>
      </c>
      <c r="N6" s="146" t="str">
        <f t="shared" si="0"/>
        <v/>
      </c>
      <c r="O6" s="149">
        <f>IFERROR(D6-W7Q3FY26!D6,"OOS")</f>
        <v>0</v>
      </c>
      <c r="P6" s="146" t="str">
        <f t="shared" si="1"/>
        <v/>
      </c>
      <c r="Q6" s="149">
        <f>IFERROR(E6-W7Q3FY26!E6,"OOS")</f>
        <v>0</v>
      </c>
      <c r="R6" s="146" t="str">
        <f t="shared" si="2"/>
        <v/>
      </c>
      <c r="S6" s="149">
        <f>IFERROR(F6-W7Q3FY26!F6,"OOS")</f>
        <v>0</v>
      </c>
      <c r="T6" s="146" t="str">
        <f t="shared" si="3"/>
        <v/>
      </c>
      <c r="U6" s="149">
        <f>IFERROR(G6-W7Q3FY26!G6,"OOS")</f>
        <v>0</v>
      </c>
      <c r="V6" s="146" t="str">
        <f t="shared" si="4"/>
        <v/>
      </c>
    </row>
    <row r="7" spans="1:25" ht="16" customHeight="1" x14ac:dyDescent="0.2">
      <c r="A7" t="s">
        <v>21</v>
      </c>
      <c r="B7" s="82"/>
      <c r="C7" s="127" t="s">
        <v>22</v>
      </c>
      <c r="D7" s="135">
        <v>14990000</v>
      </c>
      <c r="E7" s="134">
        <v>11990000</v>
      </c>
      <c r="F7" s="136">
        <v>12990000</v>
      </c>
      <c r="G7" s="110">
        <v>15190000</v>
      </c>
      <c r="H7" s="153"/>
      <c r="M7" s="148" t="str">
        <f>IFERROR(C7-W7Q3FY26!C7,"OOS")</f>
        <v>OOS</v>
      </c>
      <c r="N7" s="146" t="e">
        <f t="shared" si="0"/>
        <v>#VALUE!</v>
      </c>
      <c r="O7" s="149">
        <f>IFERROR(D7-W7Q3FY26!D7,"OOS")</f>
        <v>0</v>
      </c>
      <c r="P7" s="146" t="str">
        <f t="shared" si="1"/>
        <v/>
      </c>
      <c r="Q7" s="149">
        <f>IFERROR(E7-W7Q3FY26!E7,"OOS")</f>
        <v>0</v>
      </c>
      <c r="R7" s="146" t="str">
        <f t="shared" si="2"/>
        <v/>
      </c>
      <c r="S7" s="149">
        <f>IFERROR(F7-W7Q3FY26!F7,"OOS")</f>
        <v>0</v>
      </c>
      <c r="T7" s="146" t="str">
        <f t="shared" si="3"/>
        <v/>
      </c>
      <c r="U7" s="149">
        <f>IFERROR(G7-W7Q3FY26!G7,"OOS")</f>
        <v>0</v>
      </c>
      <c r="V7" s="146" t="str">
        <f t="shared" si="4"/>
        <v/>
      </c>
    </row>
    <row r="8" spans="1:25" ht="16" customHeight="1" x14ac:dyDescent="0.2">
      <c r="A8" t="s">
        <v>23</v>
      </c>
      <c r="B8" s="70"/>
      <c r="C8" s="137">
        <v>20690000</v>
      </c>
      <c r="D8" s="137">
        <v>20590000</v>
      </c>
      <c r="E8" s="139">
        <v>20490000</v>
      </c>
      <c r="F8" s="132">
        <v>20590000</v>
      </c>
      <c r="G8" s="110">
        <v>20490000</v>
      </c>
      <c r="H8" s="153"/>
      <c r="M8" s="148">
        <f>IFERROR(C8-W7Q3FY26!C8,"OOS")</f>
        <v>0</v>
      </c>
      <c r="N8" s="146" t="str">
        <f t="shared" si="0"/>
        <v/>
      </c>
      <c r="O8" s="149">
        <f>IFERROR(D8-W7Q3FY26!D8,"OOS")</f>
        <v>0</v>
      </c>
      <c r="P8" s="146" t="str">
        <f t="shared" si="1"/>
        <v/>
      </c>
      <c r="Q8" s="149">
        <f>IFERROR(E8-W7Q3FY26!E8,"OOS")</f>
        <v>0</v>
      </c>
      <c r="R8" s="146" t="str">
        <f t="shared" si="2"/>
        <v/>
      </c>
      <c r="S8" s="149">
        <f>IFERROR(F8-W7Q3FY26!F8,"OOS")</f>
        <v>0</v>
      </c>
      <c r="T8" s="146" t="str">
        <f t="shared" si="3"/>
        <v/>
      </c>
      <c r="U8" s="149">
        <f>IFERROR(G8-W7Q3FY26!G8,"OOS")</f>
        <v>0</v>
      </c>
      <c r="V8" s="146" t="str">
        <f t="shared" si="4"/>
        <v/>
      </c>
    </row>
    <row r="9" spans="1:25" ht="16" customHeight="1" x14ac:dyDescent="0.2">
      <c r="A9" t="s">
        <v>24</v>
      </c>
      <c r="B9" s="3"/>
      <c r="C9" s="140">
        <v>24490000</v>
      </c>
      <c r="D9" s="140">
        <v>23990000</v>
      </c>
      <c r="E9" s="139">
        <v>24790000</v>
      </c>
      <c r="F9" s="132">
        <v>24290000</v>
      </c>
      <c r="G9" s="111">
        <v>24290000</v>
      </c>
      <c r="H9" s="153"/>
      <c r="M9" s="148">
        <f>IFERROR(C9-W7Q3FY26!C9,"OOS")</f>
        <v>0</v>
      </c>
      <c r="N9" s="146" t="str">
        <f t="shared" si="0"/>
        <v/>
      </c>
      <c r="O9" s="149">
        <f>IFERROR(D9-W7Q3FY26!D9,"OOS")</f>
        <v>0</v>
      </c>
      <c r="P9" s="146" t="str">
        <f t="shared" si="1"/>
        <v/>
      </c>
      <c r="Q9" s="149">
        <f>IFERROR(E9-W7Q3FY26!E9,"OOS")</f>
        <v>0</v>
      </c>
      <c r="R9" s="146" t="str">
        <f t="shared" si="2"/>
        <v/>
      </c>
      <c r="S9" s="149">
        <f>IFERROR(F9-W7Q3FY26!F9,"OOS")</f>
        <v>0</v>
      </c>
      <c r="T9" s="146" t="str">
        <f t="shared" si="3"/>
        <v/>
      </c>
      <c r="U9" s="149">
        <f>IFERROR(G9-W7Q3FY26!G9,"OOS")</f>
        <v>0</v>
      </c>
      <c r="V9" s="146" t="str">
        <f t="shared" si="4"/>
        <v/>
      </c>
    </row>
    <row r="10" spans="1:25" ht="16" customHeight="1" x14ac:dyDescent="0.2">
      <c r="A10" t="s">
        <v>25</v>
      </c>
      <c r="B10" s="25"/>
      <c r="C10" s="140">
        <v>17990000</v>
      </c>
      <c r="D10" s="140">
        <v>17690000</v>
      </c>
      <c r="E10" s="154">
        <v>17190000</v>
      </c>
      <c r="F10" s="132">
        <v>17890000</v>
      </c>
      <c r="G10" s="110">
        <v>17390000</v>
      </c>
      <c r="H10" s="153"/>
      <c r="M10" s="148">
        <f>IFERROR(C10-W7Q3FY26!C10,"OOS")</f>
        <v>0</v>
      </c>
      <c r="N10" s="146" t="str">
        <f t="shared" si="0"/>
        <v/>
      </c>
      <c r="O10" s="149">
        <f>IFERROR(D10-W7Q3FY26!D10,"OOS")</f>
        <v>0</v>
      </c>
      <c r="P10" s="146" t="str">
        <f t="shared" si="1"/>
        <v/>
      </c>
      <c r="Q10" s="149">
        <f>IFERROR(E10-W7Q3FY26!E10,"OOS")</f>
        <v>0</v>
      </c>
      <c r="R10" s="146" t="str">
        <f t="shared" si="2"/>
        <v/>
      </c>
      <c r="S10" s="149">
        <f>IFERROR(F10-W7Q3FY26!F10,"OOS")</f>
        <v>0</v>
      </c>
      <c r="T10" s="146" t="str">
        <f t="shared" si="3"/>
        <v/>
      </c>
      <c r="U10" s="149">
        <f>IFERROR(G10-W7Q3FY26!G10,"OOS")</f>
        <v>0</v>
      </c>
      <c r="V10" s="146" t="str">
        <f t="shared" si="4"/>
        <v/>
      </c>
    </row>
    <row r="11" spans="1:25" ht="15" customHeight="1" x14ac:dyDescent="0.2">
      <c r="A11" t="s">
        <v>26</v>
      </c>
      <c r="B11" s="25"/>
      <c r="C11" s="135">
        <v>17990000</v>
      </c>
      <c r="D11" s="135" t="s">
        <v>22</v>
      </c>
      <c r="E11" s="130" t="s">
        <v>22</v>
      </c>
      <c r="F11" s="110" t="s">
        <v>22</v>
      </c>
      <c r="G11" s="110" t="s">
        <v>22</v>
      </c>
      <c r="H11" s="153"/>
      <c r="M11" s="148">
        <f>IFERROR(C11-W7Q3FY26!C11,"OOS")</f>
        <v>0</v>
      </c>
      <c r="N11" s="146" t="str">
        <f t="shared" si="0"/>
        <v/>
      </c>
      <c r="O11" s="149" t="str">
        <f>IFERROR(D11-W7Q3FY26!D11,"OOS")</f>
        <v>OOS</v>
      </c>
      <c r="P11" s="146" t="e">
        <f t="shared" si="1"/>
        <v>#VALUE!</v>
      </c>
      <c r="Q11" s="149" t="str">
        <f>IFERROR(E11-W7Q3FY26!E11,"OOS")</f>
        <v>OOS</v>
      </c>
      <c r="R11" s="146" t="e">
        <f t="shared" si="2"/>
        <v>#VALUE!</v>
      </c>
      <c r="S11" s="149" t="str">
        <f>IFERROR(F11-W7Q3FY26!F11,"OOS")</f>
        <v>OOS</v>
      </c>
      <c r="T11" s="146" t="e">
        <f t="shared" si="3"/>
        <v>#VALUE!</v>
      </c>
      <c r="U11" s="149" t="str">
        <f>IFERROR(G11-W7Q3FY26!G11,"OOS")</f>
        <v>OOS</v>
      </c>
      <c r="V11" s="146" t="e">
        <f t="shared" si="4"/>
        <v>#VALUE!</v>
      </c>
    </row>
    <row r="12" spans="1:25" ht="16" customHeight="1" x14ac:dyDescent="0.2">
      <c r="A12" t="s">
        <v>27</v>
      </c>
      <c r="B12" s="25"/>
      <c r="C12" s="135">
        <v>13990000</v>
      </c>
      <c r="D12" s="135">
        <v>13990000</v>
      </c>
      <c r="E12" s="130">
        <v>13790000</v>
      </c>
      <c r="F12" s="132">
        <v>13990000</v>
      </c>
      <c r="G12" s="110">
        <v>12990000</v>
      </c>
      <c r="H12" s="153"/>
      <c r="M12" s="148">
        <f>IFERROR(C12-W7Q3FY26!C12,"OOS")</f>
        <v>0</v>
      </c>
      <c r="N12" s="146" t="str">
        <f t="shared" si="0"/>
        <v/>
      </c>
      <c r="O12" s="149">
        <f>IFERROR(D12-W7Q3FY26!D12,"OOS")</f>
        <v>0</v>
      </c>
      <c r="P12" s="146" t="str">
        <f t="shared" si="1"/>
        <v/>
      </c>
      <c r="Q12" s="149">
        <f>IFERROR(E12-W7Q3FY26!E12,"OOS")</f>
        <v>0</v>
      </c>
      <c r="R12" s="146" t="str">
        <f t="shared" si="2"/>
        <v/>
      </c>
      <c r="S12" s="149">
        <f>IFERROR(F12-W7Q3FY26!F12,"OOS")</f>
        <v>0</v>
      </c>
      <c r="T12" s="146" t="str">
        <f t="shared" si="3"/>
        <v/>
      </c>
      <c r="U12" s="149">
        <f>IFERROR(G12-W7Q3FY26!G12,"OOS")</f>
        <v>0</v>
      </c>
      <c r="V12" s="146" t="str">
        <f t="shared" si="4"/>
        <v/>
      </c>
    </row>
    <row r="13" spans="1:25" ht="16" customHeight="1" x14ac:dyDescent="0.2">
      <c r="A13" t="s">
        <v>28</v>
      </c>
      <c r="B13" s="3"/>
      <c r="C13" s="135">
        <v>11990000</v>
      </c>
      <c r="D13" s="135">
        <v>11990000</v>
      </c>
      <c r="E13" s="139">
        <v>12090000</v>
      </c>
      <c r="F13" s="132">
        <v>11990000</v>
      </c>
      <c r="G13" s="110">
        <v>11890000</v>
      </c>
      <c r="H13" s="153"/>
      <c r="M13" s="148">
        <f>IFERROR(C13-W7Q3FY26!C13,"OOS")</f>
        <v>0</v>
      </c>
      <c r="N13" s="146" t="str">
        <f t="shared" si="0"/>
        <v/>
      </c>
      <c r="O13" s="149">
        <f>IFERROR(D13-W7Q3FY26!D13,"OOS")</f>
        <v>0</v>
      </c>
      <c r="P13" s="146" t="str">
        <f t="shared" si="1"/>
        <v/>
      </c>
      <c r="Q13" s="149">
        <f>IFERROR(E13-W7Q3FY26!E13,"OOS")</f>
        <v>0</v>
      </c>
      <c r="R13" s="146" t="str">
        <f t="shared" si="2"/>
        <v/>
      </c>
      <c r="S13" s="149">
        <f>IFERROR(F13-W7Q3FY26!F13,"OOS")</f>
        <v>0</v>
      </c>
      <c r="T13" s="146" t="str">
        <f t="shared" si="3"/>
        <v/>
      </c>
      <c r="U13" s="149">
        <f>IFERROR(G13-W7Q3FY26!G13,"OOS")</f>
        <v>0</v>
      </c>
      <c r="V13" s="146" t="str">
        <f t="shared" si="4"/>
        <v/>
      </c>
    </row>
    <row r="14" spans="1:25" ht="16" customHeight="1" x14ac:dyDescent="0.2">
      <c r="A14" t="s">
        <v>29</v>
      </c>
      <c r="B14" s="25"/>
      <c r="C14" s="140">
        <v>13290000</v>
      </c>
      <c r="D14" s="140">
        <v>13290000</v>
      </c>
      <c r="E14" s="139">
        <v>13290000</v>
      </c>
      <c r="F14" s="132">
        <v>12890000</v>
      </c>
      <c r="G14" s="111">
        <v>12890000</v>
      </c>
      <c r="H14" s="153"/>
      <c r="M14" s="148">
        <f>IFERROR(C14-W7Q3FY26!C14,"OOS")</f>
        <v>0</v>
      </c>
      <c r="N14" s="146" t="str">
        <f t="shared" si="0"/>
        <v/>
      </c>
      <c r="O14" s="149">
        <f>IFERROR(D14-W7Q3FY26!D14,"OOS")</f>
        <v>0</v>
      </c>
      <c r="P14" s="146" t="str">
        <f t="shared" si="1"/>
        <v/>
      </c>
      <c r="Q14" s="149">
        <f>IFERROR(E14-W7Q3FY26!E14,"OOS")</f>
        <v>0</v>
      </c>
      <c r="R14" s="146" t="str">
        <f t="shared" si="2"/>
        <v/>
      </c>
      <c r="S14" s="149">
        <f>IFERROR(F14-W7Q3FY26!F14,"OOS")</f>
        <v>0</v>
      </c>
      <c r="T14" s="146" t="str">
        <f t="shared" si="3"/>
        <v/>
      </c>
      <c r="U14" s="149">
        <f>IFERROR(G14-W7Q3FY26!G14,"OOS")</f>
        <v>0</v>
      </c>
      <c r="V14" s="146" t="str">
        <f t="shared" si="4"/>
        <v/>
      </c>
    </row>
    <row r="15" spans="1:25" ht="16" customHeight="1" x14ac:dyDescent="0.2">
      <c r="A15" t="s">
        <v>30</v>
      </c>
      <c r="B15" s="3"/>
      <c r="C15" s="135">
        <v>9290000</v>
      </c>
      <c r="D15" s="135">
        <v>9290000</v>
      </c>
      <c r="E15" s="154">
        <v>9190000</v>
      </c>
      <c r="F15" s="132">
        <v>9290000</v>
      </c>
      <c r="G15" s="110">
        <v>9190000</v>
      </c>
      <c r="H15" s="153"/>
      <c r="M15" s="148">
        <f>IFERROR(C15-W7Q3FY26!C15,"OOS")</f>
        <v>0</v>
      </c>
      <c r="N15" s="146" t="str">
        <f t="shared" si="0"/>
        <v/>
      </c>
      <c r="O15" s="149">
        <f>IFERROR(D15-W7Q3FY26!D15,"OOS")</f>
        <v>0</v>
      </c>
      <c r="P15" s="146" t="str">
        <f t="shared" si="1"/>
        <v/>
      </c>
      <c r="Q15" s="149">
        <f>IFERROR(E15-W7Q3FY26!E15,"OOS")</f>
        <v>0</v>
      </c>
      <c r="R15" s="146" t="str">
        <f t="shared" si="2"/>
        <v/>
      </c>
      <c r="S15" s="149">
        <f>IFERROR(F15-W7Q3FY26!F15,"OOS")</f>
        <v>0</v>
      </c>
      <c r="T15" s="146" t="str">
        <f t="shared" si="3"/>
        <v/>
      </c>
      <c r="U15" s="149">
        <f>IFERROR(G15-W7Q3FY26!G15,"OOS")</f>
        <v>0</v>
      </c>
      <c r="V15" s="146" t="str">
        <f t="shared" si="4"/>
        <v/>
      </c>
      <c r="W15" t="s">
        <v>31</v>
      </c>
      <c r="X15" t="s">
        <v>32</v>
      </c>
      <c r="Y15" t="b">
        <v>0</v>
      </c>
    </row>
    <row r="16" spans="1:25" ht="16" customHeight="1" x14ac:dyDescent="0.2">
      <c r="A16" t="s">
        <v>33</v>
      </c>
      <c r="B16" s="3"/>
      <c r="C16" s="135">
        <v>15290000</v>
      </c>
      <c r="D16" s="135">
        <v>14990000</v>
      </c>
      <c r="E16" s="154">
        <v>14290000</v>
      </c>
      <c r="F16" s="132">
        <v>15190000</v>
      </c>
      <c r="G16" s="110" t="s">
        <v>22</v>
      </c>
      <c r="H16" s="153"/>
      <c r="M16" s="148">
        <f>IFERROR(C16-W7Q3FY26!C16,"OOS")</f>
        <v>0</v>
      </c>
      <c r="N16" s="146" t="str">
        <f t="shared" si="0"/>
        <v/>
      </c>
      <c r="O16" s="149">
        <f>IFERROR(D16-W7Q3FY26!D16,"OOS")</f>
        <v>0</v>
      </c>
      <c r="P16" s="146" t="str">
        <f t="shared" si="1"/>
        <v/>
      </c>
      <c r="Q16" s="149">
        <f>IFERROR(E16-W7Q3FY26!E16,"OOS")</f>
        <v>0</v>
      </c>
      <c r="R16" s="146" t="str">
        <f t="shared" si="2"/>
        <v/>
      </c>
      <c r="S16" s="149">
        <f>IFERROR(F16-W7Q3FY26!F16,"OOS")</f>
        <v>0</v>
      </c>
      <c r="T16" s="146" t="str">
        <f t="shared" si="3"/>
        <v/>
      </c>
      <c r="U16" s="149" t="str">
        <f>IFERROR(G16-W7Q3FY26!G16,"OOS")</f>
        <v>OOS</v>
      </c>
      <c r="V16" s="146" t="e">
        <f t="shared" si="4"/>
        <v>#VALUE!</v>
      </c>
      <c r="W16" t="s">
        <v>2</v>
      </c>
      <c r="X16" t="s">
        <v>34</v>
      </c>
      <c r="Y16" t="b">
        <v>0</v>
      </c>
    </row>
    <row r="17" spans="1:25" ht="16" customHeight="1" x14ac:dyDescent="0.2">
      <c r="A17" t="s">
        <v>35</v>
      </c>
      <c r="B17" s="3"/>
      <c r="C17" s="140">
        <v>16390000</v>
      </c>
      <c r="D17" s="140">
        <v>16390000</v>
      </c>
      <c r="E17" s="154">
        <v>15790000</v>
      </c>
      <c r="F17" s="110">
        <v>16390000</v>
      </c>
      <c r="G17" s="110">
        <v>16090000</v>
      </c>
      <c r="H17" s="153"/>
      <c r="M17" s="148">
        <f>IFERROR(C17-W7Q3FY26!C17,"OOS")</f>
        <v>0</v>
      </c>
      <c r="N17" s="146"/>
      <c r="O17" s="149">
        <f>IFERROR(D17-W7Q3FY26!D17,"OOS")</f>
        <v>0</v>
      </c>
      <c r="P17" s="146" t="str">
        <f t="shared" si="1"/>
        <v/>
      </c>
      <c r="Q17" s="149">
        <f>IFERROR(E17-W7Q3FY26!E17,"OOS")</f>
        <v>0</v>
      </c>
      <c r="R17" s="146" t="str">
        <f t="shared" si="2"/>
        <v/>
      </c>
      <c r="S17" s="149">
        <f>IFERROR(F17-W7Q3FY26!F17,"OOS")</f>
        <v>0</v>
      </c>
      <c r="T17" s="146"/>
      <c r="U17" s="149">
        <f>IFERROR(G17-W7Q3FY26!G17,"OOS")</f>
        <v>0</v>
      </c>
      <c r="V17" s="146" t="str">
        <f t="shared" si="4"/>
        <v/>
      </c>
      <c r="W17" t="s">
        <v>3</v>
      </c>
      <c r="X17" t="s">
        <v>36</v>
      </c>
      <c r="Y17" t="b">
        <v>1</v>
      </c>
    </row>
    <row r="18" spans="1:25" ht="15" customHeight="1" x14ac:dyDescent="0.2">
      <c r="A18" t="s">
        <v>37</v>
      </c>
      <c r="B18" s="25"/>
      <c r="C18" s="135">
        <v>18890000</v>
      </c>
      <c r="D18" s="135">
        <v>19990000</v>
      </c>
      <c r="E18" s="154">
        <v>19190000</v>
      </c>
      <c r="F18" s="132">
        <v>18790000</v>
      </c>
      <c r="G18" s="110" t="s">
        <v>22</v>
      </c>
      <c r="H18" s="153"/>
      <c r="M18" s="148">
        <f>IFERROR(C18-W7Q3FY26!C18,"OOS")</f>
        <v>0</v>
      </c>
      <c r="N18" s="146" t="str">
        <f>IF(M18=0,"",$A18 &amp; IF(M18&gt;0," tăng "," giảm ") &amp; TEXT(ABS(M18)/1000,"0") &amp; "K = " &amp; TEXT(C18/1000,"#.##0") &amp; "K")</f>
        <v/>
      </c>
      <c r="O18" s="149">
        <f>IFERROR(D18-W7Q3FY26!D18,"OOS")</f>
        <v>0</v>
      </c>
      <c r="P18" s="146" t="str">
        <f t="shared" si="1"/>
        <v/>
      </c>
      <c r="Q18" s="149">
        <f>IFERROR(E18-W7Q3FY26!E18,"OOS")</f>
        <v>0</v>
      </c>
      <c r="R18" s="146" t="str">
        <f t="shared" si="2"/>
        <v/>
      </c>
      <c r="S18" s="149">
        <f>IFERROR(F18-W7Q3FY26!F18,"OOS")</f>
        <v>0</v>
      </c>
      <c r="T18" s="146" t="str">
        <f>IF(S18=0,"",$A18 &amp; IF(S18&gt;0," tăng "," giảm ") &amp; TEXT(ABS(S18)/1000,"0") &amp; "K = " &amp; TEXT(F18/1000,"#.##0") &amp; "K")</f>
        <v/>
      </c>
      <c r="U18" s="149" t="str">
        <f>IFERROR(G18-W7Q3FY26!G18,"OOS")</f>
        <v>OOS</v>
      </c>
      <c r="V18" s="146" t="e">
        <f t="shared" si="4"/>
        <v>#VALUE!</v>
      </c>
      <c r="W18" t="s">
        <v>4</v>
      </c>
      <c r="X18" t="s">
        <v>38</v>
      </c>
      <c r="Y18" t="b">
        <v>0</v>
      </c>
    </row>
    <row r="19" spans="1:25" ht="16" customHeight="1" x14ac:dyDescent="0.2">
      <c r="A19" t="s">
        <v>39</v>
      </c>
      <c r="B19" s="25"/>
      <c r="C19" s="135">
        <v>22090000</v>
      </c>
      <c r="D19" s="135">
        <v>21590000</v>
      </c>
      <c r="E19" s="161">
        <v>21290000</v>
      </c>
      <c r="F19" s="135">
        <v>21990000</v>
      </c>
      <c r="G19" s="110">
        <v>21590000</v>
      </c>
      <c r="H19" s="153"/>
      <c r="M19" s="148">
        <f>IFERROR(C19-W7Q3FY26!C19,"OOS")</f>
        <v>0</v>
      </c>
      <c r="N19" s="146"/>
      <c r="O19" s="149">
        <f>IFERROR(D19-W7Q3FY26!D19,"OOS")</f>
        <v>0</v>
      </c>
      <c r="P19" s="146" t="str">
        <f t="shared" si="1"/>
        <v/>
      </c>
      <c r="Q19" s="149">
        <f>IFERROR(E19-W7Q3FY26!E19,"OOS")</f>
        <v>0</v>
      </c>
      <c r="R19" s="146" t="str">
        <f t="shared" si="2"/>
        <v/>
      </c>
      <c r="S19" s="149">
        <f>IFERROR(F19-W7Q3FY26!F19,"OOS")</f>
        <v>0</v>
      </c>
      <c r="T19" s="146"/>
      <c r="U19" s="149">
        <f>IFERROR(G19-W7Q3FY26!G19,"OOS")</f>
        <v>0</v>
      </c>
      <c r="V19" s="146"/>
    </row>
    <row r="20" spans="1:25" ht="16" customHeight="1" x14ac:dyDescent="0.2">
      <c r="A20" t="s">
        <v>40</v>
      </c>
      <c r="B20" s="3"/>
      <c r="C20" s="140">
        <v>28090000</v>
      </c>
      <c r="D20" s="140">
        <v>28090000</v>
      </c>
      <c r="E20" s="123">
        <v>28490000</v>
      </c>
      <c r="F20" s="132">
        <v>28090000</v>
      </c>
      <c r="G20" s="110">
        <v>28090000</v>
      </c>
      <c r="H20" s="153"/>
      <c r="M20" s="148">
        <f>IFERROR(C20-W7Q3FY26!C20,"OOS")</f>
        <v>0</v>
      </c>
      <c r="N20" s="146" t="str">
        <f t="shared" ref="N20:N40" si="5">IF(M20=0,"",$A20 &amp; IF(M20&gt;0," tăng "," giảm ") &amp; TEXT(ABS(M20)/1000,"0") &amp; "K = " &amp; TEXT(C20/1000,"#.##0") &amp; "K")</f>
        <v/>
      </c>
      <c r="O20" s="149">
        <f>IFERROR(D20-W7Q3FY26!D20,"OOS")</f>
        <v>0</v>
      </c>
      <c r="P20" s="146" t="str">
        <f t="shared" si="1"/>
        <v/>
      </c>
      <c r="Q20" s="149">
        <f>IFERROR(E20-W7Q3FY26!E20,"OOS")</f>
        <v>0</v>
      </c>
      <c r="R20" s="146" t="str">
        <f t="shared" si="2"/>
        <v/>
      </c>
      <c r="S20" s="149">
        <f>IFERROR(F20-W7Q3FY26!F20,"OOS")</f>
        <v>0</v>
      </c>
      <c r="T20" s="146" t="str">
        <f t="shared" ref="T20:T40" si="6">IF(S20=0,"",$A20 &amp; IF(S20&gt;0," tăng "," giảm ") &amp; TEXT(ABS(S20)/1000,"0") &amp; "K = " &amp; TEXT(F20/1000,"#.##0") &amp; "K")</f>
        <v/>
      </c>
      <c r="U20" s="149">
        <f>IFERROR(G20-W7Q3FY26!G20,"OOS")</f>
        <v>0</v>
      </c>
      <c r="V20" s="146" t="str">
        <f t="shared" ref="V20:V41" si="7">IF(U20=0,"",$A20 &amp; IF(U20&gt;0," tăng "," giảm ") &amp; TEXT(ABS(U20)/1000,"0") &amp; "K = " &amp; TEXT(G20/1000,"#.##0") &amp; "K")</f>
        <v/>
      </c>
      <c r="W20" t="s">
        <v>41</v>
      </c>
      <c r="X20" t="s">
        <v>42</v>
      </c>
      <c r="Y20" t="b">
        <v>1</v>
      </c>
    </row>
    <row r="21" spans="1:25" ht="16" customHeight="1" x14ac:dyDescent="0.2">
      <c r="A21" t="s">
        <v>43</v>
      </c>
      <c r="B21" s="3"/>
      <c r="C21" s="135">
        <v>38890000</v>
      </c>
      <c r="D21" s="139">
        <v>38690000</v>
      </c>
      <c r="E21" s="112">
        <v>37990000</v>
      </c>
      <c r="F21" s="132">
        <v>38690000</v>
      </c>
      <c r="G21" s="110">
        <v>38990000</v>
      </c>
      <c r="H21" s="153"/>
      <c r="M21" s="148">
        <f>IFERROR(C21-W7Q3FY26!C21,"OOS")</f>
        <v>0</v>
      </c>
      <c r="N21" s="146" t="str">
        <f t="shared" si="5"/>
        <v/>
      </c>
      <c r="O21" s="149">
        <f>IFERROR(D21-W7Q3FY26!D21,"OOS")</f>
        <v>0</v>
      </c>
      <c r="P21" s="146" t="str">
        <f t="shared" si="1"/>
        <v/>
      </c>
      <c r="Q21" s="149">
        <f>IFERROR(E21-W7Q3FY26!E21,"OOS")</f>
        <v>0</v>
      </c>
      <c r="R21" s="146" t="str">
        <f t="shared" si="2"/>
        <v/>
      </c>
      <c r="S21" s="149">
        <f>IFERROR(F21-W7Q3FY26!F21,"OOS")</f>
        <v>0</v>
      </c>
      <c r="T21" s="146" t="str">
        <f t="shared" si="6"/>
        <v/>
      </c>
      <c r="U21" s="149">
        <f>IFERROR(G21-W7Q3FY26!G21,"OOS")</f>
        <v>0</v>
      </c>
      <c r="V21" s="146" t="str">
        <f t="shared" si="7"/>
        <v/>
      </c>
    </row>
    <row r="22" spans="1:25" ht="15" customHeight="1" x14ac:dyDescent="0.2">
      <c r="A22" t="s">
        <v>44</v>
      </c>
      <c r="B22" s="25"/>
      <c r="C22" s="135">
        <v>6790000</v>
      </c>
      <c r="D22" s="140">
        <v>6790000</v>
      </c>
      <c r="E22" s="139">
        <v>6490000</v>
      </c>
      <c r="F22" s="133">
        <v>6790000</v>
      </c>
      <c r="G22" s="111">
        <v>6590000</v>
      </c>
      <c r="H22" s="153"/>
      <c r="M22" s="148">
        <f>IFERROR(C22-W7Q3FY26!C22,"OOS")</f>
        <v>0</v>
      </c>
      <c r="N22" s="146" t="str">
        <f t="shared" si="5"/>
        <v/>
      </c>
      <c r="O22" s="149">
        <f>IFERROR(D22-W7Q3FY26!D22,"OOS")</f>
        <v>0</v>
      </c>
      <c r="P22" s="146" t="str">
        <f t="shared" si="1"/>
        <v/>
      </c>
      <c r="Q22" s="149">
        <f>IFERROR(E22-W7Q3FY26!E22,"OOS")</f>
        <v>0</v>
      </c>
      <c r="R22" s="146" t="str">
        <f t="shared" si="2"/>
        <v/>
      </c>
      <c r="S22" s="149">
        <f>IFERROR(F22-W7Q3FY26!F22,"OOS")</f>
        <v>0</v>
      </c>
      <c r="T22" s="146" t="str">
        <f t="shared" si="6"/>
        <v/>
      </c>
      <c r="U22" s="149">
        <f>IFERROR(G22-W7Q3FY26!G22,"OOS")</f>
        <v>0</v>
      </c>
      <c r="V22" s="146" t="str">
        <f t="shared" si="7"/>
        <v/>
      </c>
    </row>
    <row r="23" spans="1:25" ht="15" customHeight="1" x14ac:dyDescent="0.2">
      <c r="A23" t="s">
        <v>45</v>
      </c>
      <c r="B23" s="25"/>
      <c r="C23" s="140">
        <v>8390000</v>
      </c>
      <c r="D23" s="140">
        <v>8290000</v>
      </c>
      <c r="E23" s="154">
        <v>7990000</v>
      </c>
      <c r="F23" s="133">
        <v>8390000</v>
      </c>
      <c r="G23" s="110">
        <v>7990000</v>
      </c>
      <c r="H23" s="153"/>
      <c r="M23" s="148">
        <f>IFERROR(C23-W7Q3FY26!C23,"OOS")</f>
        <v>0</v>
      </c>
      <c r="N23" s="146" t="str">
        <f t="shared" si="5"/>
        <v/>
      </c>
      <c r="O23" s="149">
        <f>IFERROR(D23-W7Q3FY26!D23,"OOS")</f>
        <v>0</v>
      </c>
      <c r="P23" s="146" t="str">
        <f t="shared" si="1"/>
        <v/>
      </c>
      <c r="Q23" s="149">
        <f>IFERROR(E23-W7Q3FY26!E23,"OOS")</f>
        <v>0</v>
      </c>
      <c r="R23" s="146" t="str">
        <f t="shared" si="2"/>
        <v/>
      </c>
      <c r="S23" s="149">
        <f>IFERROR(F23-W7Q3FY26!F23,"OOS")</f>
        <v>0</v>
      </c>
      <c r="T23" s="146" t="str">
        <f t="shared" si="6"/>
        <v/>
      </c>
      <c r="U23" s="149">
        <f>IFERROR(G23-W7Q3FY26!G23,"OOS")</f>
        <v>0</v>
      </c>
      <c r="V23" s="146" t="str">
        <f t="shared" si="7"/>
        <v/>
      </c>
    </row>
    <row r="24" spans="1:25" ht="15" customHeight="1" x14ac:dyDescent="0.2">
      <c r="A24" t="s">
        <v>46</v>
      </c>
      <c r="B24" s="25"/>
      <c r="C24" s="135">
        <v>7690000</v>
      </c>
      <c r="D24" s="140">
        <v>7690000</v>
      </c>
      <c r="E24" s="139">
        <v>7390000</v>
      </c>
      <c r="F24" s="133">
        <v>7690000</v>
      </c>
      <c r="G24" s="166">
        <v>7390000</v>
      </c>
      <c r="H24" s="153"/>
      <c r="M24" s="148">
        <f>IFERROR(C24-W7Q3FY26!C24,"OOS")</f>
        <v>0</v>
      </c>
      <c r="N24" s="146" t="str">
        <f t="shared" si="5"/>
        <v/>
      </c>
      <c r="O24" s="149">
        <f>IFERROR(D24-W7Q3FY26!D24,"OOS")</f>
        <v>0</v>
      </c>
      <c r="P24" s="146" t="str">
        <f t="shared" si="1"/>
        <v/>
      </c>
      <c r="Q24" s="149">
        <f>IFERROR(E24-W7Q3FY26!E24,"OOS")</f>
        <v>0</v>
      </c>
      <c r="R24" s="146" t="str">
        <f t="shared" si="2"/>
        <v/>
      </c>
      <c r="S24" s="149">
        <f>IFERROR(F24-W7Q3FY26!F24,"OOS")</f>
        <v>0</v>
      </c>
      <c r="T24" s="146" t="str">
        <f t="shared" si="6"/>
        <v/>
      </c>
      <c r="U24" s="149">
        <f>IFERROR(G24-W7Q3FY26!G24,"OOS")</f>
        <v>0</v>
      </c>
      <c r="V24" s="146" t="str">
        <f t="shared" si="7"/>
        <v/>
      </c>
    </row>
    <row r="25" spans="1:25" ht="15" customHeight="1" x14ac:dyDescent="0.2">
      <c r="A25" t="s">
        <v>47</v>
      </c>
      <c r="B25" s="25"/>
      <c r="C25" s="135">
        <v>9190000</v>
      </c>
      <c r="D25" s="140">
        <v>9190000</v>
      </c>
      <c r="E25" s="139">
        <v>8990000</v>
      </c>
      <c r="F25" s="133">
        <v>9190000</v>
      </c>
      <c r="G25" s="110">
        <v>8790000</v>
      </c>
      <c r="H25" s="153"/>
      <c r="M25" s="148">
        <f>IFERROR(C25-W7Q3FY26!C25,"OOS")</f>
        <v>0</v>
      </c>
      <c r="N25" s="146" t="str">
        <f t="shared" si="5"/>
        <v/>
      </c>
      <c r="O25" s="149">
        <f>IFERROR(D25-W7Q3FY26!D25,"OOS")</f>
        <v>0</v>
      </c>
      <c r="P25" s="146" t="str">
        <f t="shared" si="1"/>
        <v/>
      </c>
      <c r="Q25" s="149">
        <f>IFERROR(E25-W7Q3FY26!E25,"OOS")</f>
        <v>0</v>
      </c>
      <c r="R25" s="146" t="str">
        <f t="shared" si="2"/>
        <v/>
      </c>
      <c r="S25" s="149">
        <f>IFERROR(F25-W7Q3FY26!F25,"OOS")</f>
        <v>0</v>
      </c>
      <c r="T25" s="146" t="str">
        <f t="shared" si="6"/>
        <v/>
      </c>
      <c r="U25" s="149">
        <f>IFERROR(G25-W7Q3FY26!G25,"OOS")</f>
        <v>0</v>
      </c>
      <c r="V25" s="146" t="str">
        <f t="shared" si="7"/>
        <v/>
      </c>
    </row>
    <row r="26" spans="1:25" ht="15" customHeight="1" x14ac:dyDescent="0.2">
      <c r="A26" t="s">
        <v>48</v>
      </c>
      <c r="B26" s="3"/>
      <c r="C26" s="140">
        <v>11190000</v>
      </c>
      <c r="D26" s="140">
        <v>11990000</v>
      </c>
      <c r="E26" s="139">
        <v>10690000</v>
      </c>
      <c r="F26" s="133">
        <v>11190000</v>
      </c>
      <c r="G26" s="111">
        <v>10890000</v>
      </c>
      <c r="H26" s="153"/>
      <c r="M26" s="148">
        <f>IFERROR(C26-W7Q3FY26!C26,"OOS")</f>
        <v>0</v>
      </c>
      <c r="N26" s="146" t="str">
        <f t="shared" si="5"/>
        <v/>
      </c>
      <c r="O26" s="149">
        <f>IFERROR(D26-W7Q3FY26!D26,"OOS")</f>
        <v>0</v>
      </c>
      <c r="P26" s="146" t="str">
        <f t="shared" si="1"/>
        <v/>
      </c>
      <c r="Q26" s="149">
        <f>IFERROR(E26-W7Q3FY26!E26,"OOS")</f>
        <v>0</v>
      </c>
      <c r="R26" s="146" t="str">
        <f t="shared" si="2"/>
        <v/>
      </c>
      <c r="S26" s="149">
        <f>IFERROR(F26-W7Q3FY26!F26,"OOS")</f>
        <v>0</v>
      </c>
      <c r="T26" s="146" t="str">
        <f t="shared" si="6"/>
        <v/>
      </c>
      <c r="U26" s="149">
        <f>IFERROR(G26-W7Q3FY26!G26,"OOS")</f>
        <v>0</v>
      </c>
      <c r="V26" s="146" t="str">
        <f t="shared" si="7"/>
        <v/>
      </c>
    </row>
    <row r="27" spans="1:25" ht="15" customHeight="1" x14ac:dyDescent="0.2">
      <c r="A27" t="s">
        <v>49</v>
      </c>
      <c r="B27" s="3"/>
      <c r="C27" s="140" t="s">
        <v>22</v>
      </c>
      <c r="D27" s="140">
        <v>14090000</v>
      </c>
      <c r="E27" s="139">
        <v>13990000</v>
      </c>
      <c r="F27" s="133">
        <v>13990000</v>
      </c>
      <c r="G27" s="111">
        <v>13990000</v>
      </c>
      <c r="H27" s="153"/>
      <c r="M27" s="148" t="str">
        <f>IFERROR(C27-W7Q3FY26!C27,"OOS")</f>
        <v>OOS</v>
      </c>
      <c r="N27" s="146" t="e">
        <f t="shared" si="5"/>
        <v>#VALUE!</v>
      </c>
      <c r="O27" s="149">
        <f>IFERROR(D27-W7Q3FY26!D27,"OOS")</f>
        <v>0</v>
      </c>
      <c r="P27" s="146" t="str">
        <f t="shared" si="1"/>
        <v/>
      </c>
      <c r="Q27" s="149">
        <f>IFERROR(E27-W7Q3FY26!E27,"OOS")</f>
        <v>0</v>
      </c>
      <c r="R27" s="146" t="str">
        <f t="shared" si="2"/>
        <v/>
      </c>
      <c r="S27" s="149">
        <f>IFERROR(F27-W7Q3FY26!F27,"OOS")</f>
        <v>0</v>
      </c>
      <c r="T27" s="146" t="str">
        <f t="shared" si="6"/>
        <v/>
      </c>
      <c r="U27" s="149">
        <f>IFERROR(G27-W7Q3FY26!G27,"OOS")</f>
        <v>0</v>
      </c>
      <c r="V27" s="146" t="str">
        <f t="shared" si="7"/>
        <v/>
      </c>
    </row>
    <row r="28" spans="1:25" ht="15" customHeight="1" x14ac:dyDescent="0.2">
      <c r="A28" t="s">
        <v>50</v>
      </c>
      <c r="B28" s="3"/>
      <c r="C28" s="140">
        <v>11990000</v>
      </c>
      <c r="D28" s="140">
        <v>11990000</v>
      </c>
      <c r="E28" s="139">
        <v>11490000</v>
      </c>
      <c r="F28" s="133">
        <v>11990000</v>
      </c>
      <c r="G28" s="111">
        <v>11990000</v>
      </c>
      <c r="H28" s="153"/>
      <c r="M28" s="148">
        <f>IFERROR(C28-W7Q3FY26!C28,"OOS")</f>
        <v>0</v>
      </c>
      <c r="N28" s="146" t="str">
        <f t="shared" si="5"/>
        <v/>
      </c>
      <c r="O28" s="149">
        <f>IFERROR(D28-W7Q3FY26!D28,"OOS")</f>
        <v>0</v>
      </c>
      <c r="P28" s="146" t="str">
        <f t="shared" si="1"/>
        <v/>
      </c>
      <c r="Q28" s="149">
        <f>IFERROR(E28-W7Q3FY26!E28,"OOS")</f>
        <v>0</v>
      </c>
      <c r="R28" s="146" t="str">
        <f t="shared" si="2"/>
        <v/>
      </c>
      <c r="S28" s="149">
        <f>IFERROR(F28-W7Q3FY26!F28,"OOS")</f>
        <v>0</v>
      </c>
      <c r="T28" s="146" t="str">
        <f t="shared" si="6"/>
        <v/>
      </c>
      <c r="U28" s="149">
        <f>IFERROR(G28-W7Q3FY26!G28,"OOS")</f>
        <v>0</v>
      </c>
      <c r="V28" s="146" t="str">
        <f t="shared" si="7"/>
        <v/>
      </c>
    </row>
    <row r="29" spans="1:25" ht="15" customHeight="1" x14ac:dyDescent="0.2">
      <c r="A29" t="s">
        <v>51</v>
      </c>
      <c r="B29" s="3"/>
      <c r="C29" s="140">
        <v>14990000</v>
      </c>
      <c r="D29" s="140">
        <v>14990000</v>
      </c>
      <c r="E29" s="139">
        <v>14490000</v>
      </c>
      <c r="F29" s="133">
        <v>14990000</v>
      </c>
      <c r="G29" s="111">
        <v>14990000</v>
      </c>
      <c r="H29" s="153"/>
      <c r="M29" s="148">
        <f>IFERROR(C29-W7Q3FY26!C29,"OOS")</f>
        <v>0</v>
      </c>
      <c r="N29" s="146" t="str">
        <f t="shared" si="5"/>
        <v/>
      </c>
      <c r="O29" s="149">
        <f>IFERROR(D29-W7Q3FY26!D29,"OOS")</f>
        <v>0</v>
      </c>
      <c r="P29" s="146" t="str">
        <f t="shared" si="1"/>
        <v/>
      </c>
      <c r="Q29" s="149">
        <f>IFERROR(E29-W7Q3FY26!E29,"OOS")</f>
        <v>0</v>
      </c>
      <c r="R29" s="146" t="str">
        <f t="shared" si="2"/>
        <v/>
      </c>
      <c r="S29" s="149">
        <f>IFERROR(F29-W7Q3FY26!F29,"OOS")</f>
        <v>0</v>
      </c>
      <c r="T29" s="146" t="str">
        <f t="shared" si="6"/>
        <v/>
      </c>
      <c r="U29" s="149">
        <f>IFERROR(G29-W7Q3FY26!G29,"OOS")</f>
        <v>0</v>
      </c>
      <c r="V29" s="146" t="str">
        <f t="shared" si="7"/>
        <v/>
      </c>
    </row>
    <row r="30" spans="1:25" ht="16" customHeight="1" x14ac:dyDescent="0.2">
      <c r="A30" t="s">
        <v>52</v>
      </c>
      <c r="B30" s="25"/>
      <c r="C30" s="135">
        <v>23490000</v>
      </c>
      <c r="D30" s="135">
        <v>22990000</v>
      </c>
      <c r="E30" s="112">
        <v>22490000</v>
      </c>
      <c r="F30" s="132">
        <v>22990000</v>
      </c>
      <c r="G30" s="110">
        <v>22990000</v>
      </c>
      <c r="H30" s="153"/>
      <c r="M30" s="148">
        <f>IFERROR(C30-W7Q3FY26!C30,"OOS")</f>
        <v>0</v>
      </c>
      <c r="N30" s="146" t="str">
        <f t="shared" si="5"/>
        <v/>
      </c>
      <c r="O30" s="149">
        <f>IFERROR(D30-W7Q3FY26!D30,"OOS")</f>
        <v>0</v>
      </c>
      <c r="P30" s="146" t="str">
        <f t="shared" si="1"/>
        <v/>
      </c>
      <c r="Q30" s="149">
        <f>IFERROR(E30-W7Q3FY26!E30,"OOS")</f>
        <v>0</v>
      </c>
      <c r="R30" s="146" t="str">
        <f t="shared" si="2"/>
        <v/>
      </c>
      <c r="S30" s="149">
        <f>IFERROR(F30-W7Q3FY26!F30,"OOS")</f>
        <v>0</v>
      </c>
      <c r="T30" s="146" t="str">
        <f t="shared" si="6"/>
        <v/>
      </c>
      <c r="U30" s="149">
        <f>IFERROR(G30-W7Q3FY26!G30,"OOS")</f>
        <v>0</v>
      </c>
      <c r="V30" s="146" t="str">
        <f t="shared" si="7"/>
        <v/>
      </c>
    </row>
    <row r="31" spans="1:25" ht="16" customHeight="1" x14ac:dyDescent="0.2">
      <c r="A31" t="s">
        <v>53</v>
      </c>
      <c r="B31" s="3"/>
      <c r="C31" s="135" t="s">
        <v>22</v>
      </c>
      <c r="D31" s="135" t="s">
        <v>22</v>
      </c>
      <c r="E31" s="130" t="s">
        <v>22</v>
      </c>
      <c r="F31" s="132">
        <v>4990000</v>
      </c>
      <c r="G31" s="110">
        <v>5590000</v>
      </c>
      <c r="H31" s="153"/>
      <c r="M31" s="148" t="str">
        <f>IFERROR(C31-W7Q3FY26!C31,"OOS")</f>
        <v>OOS</v>
      </c>
      <c r="N31" s="146" t="e">
        <f t="shared" si="5"/>
        <v>#VALUE!</v>
      </c>
      <c r="O31" s="149" t="str">
        <f>IFERROR(D31-W7Q3FY26!D31,"OOS")</f>
        <v>OOS</v>
      </c>
      <c r="P31" s="146" t="e">
        <f t="shared" si="1"/>
        <v>#VALUE!</v>
      </c>
      <c r="Q31" s="149" t="str">
        <f>IFERROR(E31-W7Q3FY26!E31,"OOS")</f>
        <v>OOS</v>
      </c>
      <c r="R31" s="146" t="e">
        <f t="shared" si="2"/>
        <v>#VALUE!</v>
      </c>
      <c r="S31" s="149">
        <f>IFERROR(F31-W7Q3FY26!F31,"OOS")</f>
        <v>0</v>
      </c>
      <c r="T31" s="146" t="str">
        <f t="shared" si="6"/>
        <v/>
      </c>
      <c r="U31" s="149">
        <f>IFERROR(G31-W7Q3FY26!G31,"OOS")</f>
        <v>0</v>
      </c>
      <c r="V31" s="146" t="str">
        <f t="shared" si="7"/>
        <v/>
      </c>
    </row>
    <row r="32" spans="1:25" ht="15" customHeight="1" x14ac:dyDescent="0.2">
      <c r="A32" t="s">
        <v>54</v>
      </c>
      <c r="B32" s="3"/>
      <c r="C32" s="140">
        <v>4590000</v>
      </c>
      <c r="D32" s="140">
        <v>4590000</v>
      </c>
      <c r="E32" s="154">
        <v>4490000</v>
      </c>
      <c r="F32" s="133">
        <v>4590000</v>
      </c>
      <c r="G32" s="111">
        <v>4450000</v>
      </c>
      <c r="H32" s="153"/>
      <c r="M32" s="148">
        <f>IFERROR(C32-W7Q3FY26!C32,"OOS")</f>
        <v>0</v>
      </c>
      <c r="N32" s="146" t="str">
        <f t="shared" si="5"/>
        <v/>
      </c>
      <c r="O32" s="149">
        <f>IFERROR(D32-W7Q3FY26!D32,"OOS")</f>
        <v>0</v>
      </c>
      <c r="P32" s="146" t="str">
        <f t="shared" si="1"/>
        <v/>
      </c>
      <c r="Q32" s="149">
        <f>IFERROR(E32-W7Q3FY26!E32,"OOS")</f>
        <v>0</v>
      </c>
      <c r="R32" s="146" t="str">
        <f t="shared" si="2"/>
        <v/>
      </c>
      <c r="S32" s="149">
        <f>IFERROR(F32-W7Q3FY26!F32,"OOS")</f>
        <v>0</v>
      </c>
      <c r="T32" s="146" t="str">
        <f t="shared" si="6"/>
        <v/>
      </c>
      <c r="U32" s="149">
        <f>IFERROR(G32-W7Q3FY26!G32,"OOS")</f>
        <v>0</v>
      </c>
      <c r="V32" s="146" t="str">
        <f t="shared" si="7"/>
        <v/>
      </c>
    </row>
    <row r="33" spans="1:22" ht="15" customHeight="1" x14ac:dyDescent="0.2">
      <c r="A33" t="s">
        <v>55</v>
      </c>
      <c r="B33" s="3"/>
      <c r="C33" s="140">
        <v>3490000</v>
      </c>
      <c r="D33" s="140">
        <v>3490000</v>
      </c>
      <c r="E33" s="154">
        <v>3390000</v>
      </c>
      <c r="F33" s="133">
        <v>3590000</v>
      </c>
      <c r="G33" s="111">
        <v>3190000</v>
      </c>
      <c r="H33" s="153"/>
      <c r="M33" s="148">
        <f>IFERROR(C33-W7Q3FY26!C33,"OOS")</f>
        <v>0</v>
      </c>
      <c r="N33" s="146" t="str">
        <f t="shared" si="5"/>
        <v/>
      </c>
      <c r="O33" s="149">
        <f>IFERROR(D33-W7Q3FY26!D33,"OOS")</f>
        <v>0</v>
      </c>
      <c r="P33" s="146" t="str">
        <f t="shared" si="1"/>
        <v/>
      </c>
      <c r="Q33" s="149">
        <f>IFERROR(E33-W7Q3FY26!E33,"OOS")</f>
        <v>0</v>
      </c>
      <c r="R33" s="146" t="str">
        <f t="shared" si="2"/>
        <v/>
      </c>
      <c r="S33" s="149">
        <f>IFERROR(F33-W7Q3FY26!F33,"OOS")</f>
        <v>0</v>
      </c>
      <c r="T33" s="146" t="str">
        <f t="shared" si="6"/>
        <v/>
      </c>
      <c r="U33" s="149">
        <f>IFERROR(G33-W7Q3FY26!G33,"OOS")</f>
        <v>0</v>
      </c>
      <c r="V33" s="146" t="str">
        <f t="shared" si="7"/>
        <v/>
      </c>
    </row>
    <row r="34" spans="1:22" ht="15" customHeight="1" x14ac:dyDescent="0.2">
      <c r="A34" t="s">
        <v>56</v>
      </c>
      <c r="B34" s="3"/>
      <c r="C34" s="140">
        <v>6590000</v>
      </c>
      <c r="D34" s="140">
        <v>6590000</v>
      </c>
      <c r="E34" s="134">
        <v>6190000</v>
      </c>
      <c r="F34" s="133">
        <v>6490000</v>
      </c>
      <c r="G34" s="111">
        <v>6290000</v>
      </c>
      <c r="H34" s="153"/>
      <c r="M34" s="148">
        <f>IFERROR(C34-W7Q3FY26!C34,"OOS")</f>
        <v>0</v>
      </c>
      <c r="N34" s="146" t="str">
        <f t="shared" si="5"/>
        <v/>
      </c>
      <c r="O34" s="149">
        <f>IFERROR(D34-W7Q3FY26!D34,"OOS")</f>
        <v>0</v>
      </c>
      <c r="P34" s="146" t="str">
        <f t="shared" si="1"/>
        <v/>
      </c>
      <c r="Q34" s="149">
        <f>IFERROR(E34-W7Q3FY26!E34,"OOS")</f>
        <v>0</v>
      </c>
      <c r="R34" s="146" t="str">
        <f t="shared" si="2"/>
        <v/>
      </c>
      <c r="S34" s="149">
        <f>IFERROR(F34-W7Q3FY26!F34,"OOS")</f>
        <v>0</v>
      </c>
      <c r="T34" s="146" t="str">
        <f t="shared" si="6"/>
        <v/>
      </c>
      <c r="U34" s="149">
        <f>IFERROR(G34-W7Q3FY26!G34,"OOS")</f>
        <v>0</v>
      </c>
      <c r="V34" s="146" t="str">
        <f t="shared" si="7"/>
        <v/>
      </c>
    </row>
    <row r="35" spans="1:22" ht="15" customHeight="1" x14ac:dyDescent="0.2">
      <c r="A35" t="s">
        <v>57</v>
      </c>
      <c r="B35" s="25"/>
      <c r="C35" s="140">
        <v>29490000</v>
      </c>
      <c r="D35" s="140">
        <v>29490000</v>
      </c>
      <c r="E35" s="142"/>
      <c r="F35" s="111">
        <v>29490000</v>
      </c>
      <c r="G35" s="111">
        <v>29290000</v>
      </c>
      <c r="H35" s="153"/>
      <c r="M35" s="148">
        <f>IFERROR(C35-W7Q3FY26!C35,"OOS")</f>
        <v>0</v>
      </c>
      <c r="N35" s="146" t="str">
        <f t="shared" si="5"/>
        <v/>
      </c>
      <c r="O35" s="149">
        <f>IFERROR(D35-W7Q3FY26!D35,"OOS")</f>
        <v>0</v>
      </c>
      <c r="P35" s="146" t="str">
        <f t="shared" si="1"/>
        <v/>
      </c>
      <c r="Q35" s="149">
        <f>IFERROR(E35-W7Q3FY26!E35,"OOS")</f>
        <v>0</v>
      </c>
      <c r="R35" s="146" t="str">
        <f t="shared" si="2"/>
        <v/>
      </c>
      <c r="S35" s="149">
        <f>IFERROR(F35-W7Q3FY26!F35,"OOS")</f>
        <v>0</v>
      </c>
      <c r="T35" s="146" t="str">
        <f t="shared" si="6"/>
        <v/>
      </c>
      <c r="U35" s="149">
        <f>IFERROR(G35-W7Q3FY26!G35,"OOS")</f>
        <v>0</v>
      </c>
      <c r="V35" s="146" t="str">
        <f t="shared" si="7"/>
        <v/>
      </c>
    </row>
    <row r="36" spans="1:22" ht="16" customHeight="1" x14ac:dyDescent="0.2">
      <c r="A36" t="s">
        <v>58</v>
      </c>
      <c r="B36" s="25"/>
      <c r="C36" s="135">
        <v>15990000</v>
      </c>
      <c r="D36" s="135">
        <v>15990000</v>
      </c>
      <c r="E36" s="142"/>
      <c r="F36" s="110">
        <v>15990000</v>
      </c>
      <c r="G36" s="110">
        <v>15890000</v>
      </c>
      <c r="H36" s="153"/>
      <c r="M36" s="148">
        <f>IFERROR(C36-W7Q3FY26!C36,"OOS")</f>
        <v>0</v>
      </c>
      <c r="N36" s="146" t="str">
        <f t="shared" si="5"/>
        <v/>
      </c>
      <c r="O36" s="149">
        <f>IFERROR(D36-W7Q3FY26!D36,"OOS")</f>
        <v>0</v>
      </c>
      <c r="P36" s="146" t="str">
        <f t="shared" si="1"/>
        <v/>
      </c>
      <c r="Q36" s="149">
        <f>IFERROR(E36-W7Q3FY26!E36,"OOS")</f>
        <v>0</v>
      </c>
      <c r="R36" s="146" t="str">
        <f t="shared" si="2"/>
        <v/>
      </c>
      <c r="S36" s="149">
        <f>IFERROR(F36-W7Q3FY26!F36,"OOS")</f>
        <v>0</v>
      </c>
      <c r="T36" s="146" t="str">
        <f t="shared" si="6"/>
        <v/>
      </c>
      <c r="U36" s="149">
        <f>IFERROR(G36-W7Q3FY26!G36,"OOS")</f>
        <v>0</v>
      </c>
      <c r="V36" s="146" t="str">
        <f t="shared" si="7"/>
        <v/>
      </c>
    </row>
    <row r="37" spans="1:22" ht="16" customHeight="1" x14ac:dyDescent="0.2">
      <c r="A37" t="s">
        <v>59</v>
      </c>
      <c r="B37" s="3"/>
      <c r="C37" s="140">
        <v>25890000</v>
      </c>
      <c r="D37" s="135" t="s">
        <v>22</v>
      </c>
      <c r="E37" s="142"/>
      <c r="F37" s="132">
        <v>25890000</v>
      </c>
      <c r="G37" s="110">
        <v>24590000</v>
      </c>
      <c r="H37" s="153"/>
      <c r="J37" t="s">
        <v>60</v>
      </c>
      <c r="M37" s="148">
        <f>IFERROR(C37-W7Q3FY26!C37,"OOS")</f>
        <v>0</v>
      </c>
      <c r="N37" s="146" t="str">
        <f t="shared" si="5"/>
        <v/>
      </c>
      <c r="O37" s="149" t="str">
        <f>IFERROR(D37-W7Q3FY26!D37,"OOS")</f>
        <v>OOS</v>
      </c>
      <c r="P37" s="146" t="e">
        <f t="shared" si="1"/>
        <v>#VALUE!</v>
      </c>
      <c r="Q37" s="149">
        <f>IFERROR(E37-W7Q3FY26!E37,"OOS")</f>
        <v>0</v>
      </c>
      <c r="R37" s="146" t="str">
        <f t="shared" si="2"/>
        <v/>
      </c>
      <c r="S37" s="149">
        <f>IFERROR(F37-W7Q3FY26!F37,"OOS")</f>
        <v>0</v>
      </c>
      <c r="T37" s="146" t="str">
        <f t="shared" si="6"/>
        <v/>
      </c>
      <c r="U37" s="149">
        <f>IFERROR(G37-W7Q3FY26!G37,"OOS")</f>
        <v>0</v>
      </c>
      <c r="V37" s="146" t="str">
        <f t="shared" si="7"/>
        <v/>
      </c>
    </row>
    <row r="38" spans="1:22" ht="16" customHeight="1" x14ac:dyDescent="0.2">
      <c r="A38" t="s">
        <v>61</v>
      </c>
      <c r="B38" s="25"/>
      <c r="C38" s="140" t="s">
        <v>22</v>
      </c>
      <c r="D38" s="135" t="s">
        <v>22</v>
      </c>
      <c r="E38" s="142"/>
      <c r="F38" s="132">
        <v>29990000</v>
      </c>
      <c r="G38" s="110" t="s">
        <v>22</v>
      </c>
      <c r="H38" s="153"/>
      <c r="M38" s="148" t="str">
        <f>IFERROR(C38-W7Q3FY26!C38,"OOS")</f>
        <v>OOS</v>
      </c>
      <c r="N38" s="146" t="e">
        <f t="shared" si="5"/>
        <v>#VALUE!</v>
      </c>
      <c r="O38" s="149" t="str">
        <f>IFERROR(D38-W7Q3FY26!D38,"OOS")</f>
        <v>OOS</v>
      </c>
      <c r="P38" s="146" t="e">
        <f t="shared" si="1"/>
        <v>#VALUE!</v>
      </c>
      <c r="Q38" s="149">
        <f>IFERROR(E38-W7Q3FY26!E38,"OOS")</f>
        <v>0</v>
      </c>
      <c r="R38" s="146" t="str">
        <f t="shared" si="2"/>
        <v/>
      </c>
      <c r="S38" s="149">
        <f>IFERROR(F38-W7Q3FY26!F38,"OOS")</f>
        <v>0</v>
      </c>
      <c r="T38" s="146" t="str">
        <f t="shared" si="6"/>
        <v/>
      </c>
      <c r="U38" s="149" t="str">
        <f>IFERROR(G38-W7Q3FY26!G38,"OOS")</f>
        <v>OOS</v>
      </c>
      <c r="V38" s="146" t="e">
        <f t="shared" si="7"/>
        <v>#VALUE!</v>
      </c>
    </row>
    <row r="39" spans="1:22" ht="16" customHeight="1" x14ac:dyDescent="0.2">
      <c r="A39" t="s">
        <v>62</v>
      </c>
      <c r="B39" s="25"/>
      <c r="C39" s="135">
        <v>41490000</v>
      </c>
      <c r="D39" s="135">
        <v>41490000</v>
      </c>
      <c r="E39" s="142"/>
      <c r="F39" s="132">
        <v>41490000</v>
      </c>
      <c r="G39" s="110">
        <v>41490000</v>
      </c>
      <c r="H39" s="153"/>
      <c r="M39" s="148">
        <f>IFERROR(C39-W7Q3FY26!C39,"OOS")</f>
        <v>0</v>
      </c>
      <c r="N39" s="146" t="str">
        <f t="shared" si="5"/>
        <v/>
      </c>
      <c r="O39" s="149">
        <f>IFERROR(D39-W7Q3FY26!D39,"OOS")</f>
        <v>0</v>
      </c>
      <c r="P39" s="146" t="str">
        <f t="shared" si="1"/>
        <v/>
      </c>
      <c r="Q39" s="149">
        <f>IFERROR(E39-W7Q3FY26!E39,"OOS")</f>
        <v>0</v>
      </c>
      <c r="R39" s="146" t="str">
        <f t="shared" si="2"/>
        <v/>
      </c>
      <c r="S39" s="149">
        <f>IFERROR(F39-W7Q3FY26!F39,"OOS")</f>
        <v>0</v>
      </c>
      <c r="T39" s="146" t="str">
        <f t="shared" si="6"/>
        <v/>
      </c>
      <c r="U39" s="149">
        <f>IFERROR(G39-W7Q3FY26!G39,"OOS")</f>
        <v>0</v>
      </c>
      <c r="V39" s="146" t="str">
        <f t="shared" si="7"/>
        <v/>
      </c>
    </row>
    <row r="40" spans="1:22" ht="16" customHeight="1" x14ac:dyDescent="0.2">
      <c r="A40" t="s">
        <v>63</v>
      </c>
      <c r="B40" s="25"/>
      <c r="C40" s="135" t="s">
        <v>22</v>
      </c>
      <c r="D40" s="135">
        <v>63990000</v>
      </c>
      <c r="E40" s="142"/>
      <c r="F40" s="132">
        <v>62990000</v>
      </c>
      <c r="G40" s="111">
        <v>72990000</v>
      </c>
      <c r="H40" s="153"/>
      <c r="M40" s="148" t="str">
        <f>IFERROR(C40-W7Q3FY26!C40,"OOS")</f>
        <v>OOS</v>
      </c>
      <c r="N40" s="146" t="e">
        <f t="shared" si="5"/>
        <v>#VALUE!</v>
      </c>
      <c r="O40" s="149">
        <f>IFERROR(D40-W7Q3FY26!D40,"OOS")</f>
        <v>0</v>
      </c>
      <c r="P40" s="146" t="str">
        <f t="shared" si="1"/>
        <v/>
      </c>
      <c r="Q40" s="149">
        <f>IFERROR(E40-W7Q3FY26!E40,"OOS")</f>
        <v>0</v>
      </c>
      <c r="R40" s="146" t="str">
        <f t="shared" si="2"/>
        <v/>
      </c>
      <c r="S40" s="149">
        <f>IFERROR(F40-W7Q3FY26!F40,"OOS")</f>
        <v>0</v>
      </c>
      <c r="T40" s="146" t="str">
        <f t="shared" si="6"/>
        <v/>
      </c>
      <c r="U40" s="149">
        <f>IFERROR(G40-W7Q3FY26!G40,"OOS")</f>
        <v>0</v>
      </c>
      <c r="V40" s="146" t="str">
        <f t="shared" si="7"/>
        <v/>
      </c>
    </row>
    <row r="41" spans="1:22" ht="16" customHeight="1" x14ac:dyDescent="0.2">
      <c r="C41" s="124"/>
      <c r="D41" s="124"/>
      <c r="V41" s="146" t="str">
        <f t="shared" si="7"/>
        <v/>
      </c>
    </row>
    <row r="42" spans="1:22" ht="16" customHeight="1" x14ac:dyDescent="0.2">
      <c r="C42" s="124"/>
      <c r="D42" s="124"/>
    </row>
    <row r="43" spans="1:22" ht="16" customHeight="1" x14ac:dyDescent="0.2">
      <c r="C43" s="124"/>
      <c r="D43" s="124"/>
    </row>
    <row r="44" spans="1:22" ht="16" customHeight="1" x14ac:dyDescent="0.2">
      <c r="C44" s="124"/>
      <c r="D44" s="124"/>
    </row>
    <row r="45" spans="1:22" ht="16" customHeight="1" x14ac:dyDescent="0.2">
      <c r="C45" s="124"/>
      <c r="D45" s="124"/>
    </row>
    <row r="46" spans="1:22" ht="16" customHeight="1" x14ac:dyDescent="0.2">
      <c r="C46" s="124"/>
      <c r="D46" s="124"/>
    </row>
    <row r="47" spans="1:22" ht="16" customHeight="1" x14ac:dyDescent="0.2">
      <c r="C47" s="124"/>
      <c r="D47" s="124"/>
    </row>
    <row r="48" spans="1:22" ht="16" customHeight="1" x14ac:dyDescent="0.2">
      <c r="C48" s="124"/>
      <c r="D48" s="124"/>
    </row>
    <row r="49" spans="3:4" ht="16" customHeight="1" x14ac:dyDescent="0.2">
      <c r="C49" s="124"/>
      <c r="D49" s="124"/>
    </row>
    <row r="50" spans="3:4" ht="16" customHeight="1" x14ac:dyDescent="0.2">
      <c r="C50" s="124"/>
      <c r="D50" s="124"/>
    </row>
    <row r="51" spans="3:4" ht="16" customHeight="1" x14ac:dyDescent="0.2">
      <c r="C51" s="124"/>
      <c r="D51" s="124"/>
    </row>
    <row r="52" spans="3:4" ht="16" customHeight="1" x14ac:dyDescent="0.2">
      <c r="C52" s="124"/>
      <c r="D52" s="124"/>
    </row>
    <row r="53" spans="3:4" ht="16" customHeight="1" x14ac:dyDescent="0.2">
      <c r="C53" s="124"/>
      <c r="D53" s="124"/>
    </row>
    <row r="54" spans="3:4" ht="16" customHeight="1" x14ac:dyDescent="0.2">
      <c r="C54" s="124"/>
      <c r="D54" s="124"/>
    </row>
    <row r="55" spans="3:4" ht="16" customHeight="1" x14ac:dyDescent="0.2">
      <c r="C55" s="124"/>
      <c r="D55" s="124"/>
    </row>
    <row r="56" spans="3:4" ht="16" customHeight="1" x14ac:dyDescent="0.2">
      <c r="C56" s="124"/>
      <c r="D56" s="124"/>
    </row>
    <row r="57" spans="3:4" ht="16" customHeight="1" x14ac:dyDescent="0.2">
      <c r="C57" s="124"/>
      <c r="D57" s="124"/>
    </row>
    <row r="58" spans="3:4" ht="16" customHeight="1" x14ac:dyDescent="0.2">
      <c r="C58" s="124"/>
      <c r="D58" s="124"/>
    </row>
    <row r="59" spans="3:4" ht="16" customHeight="1" x14ac:dyDescent="0.2">
      <c r="C59" s="124"/>
      <c r="D59" s="124"/>
    </row>
    <row r="60" spans="3:4" ht="16" customHeight="1" x14ac:dyDescent="0.2">
      <c r="C60" s="124"/>
      <c r="D60" s="124"/>
    </row>
    <row r="61" spans="3:4" ht="16" customHeight="1" x14ac:dyDescent="0.2">
      <c r="C61" s="124"/>
      <c r="D61" s="124"/>
    </row>
    <row r="62" spans="3:4" ht="16" customHeight="1" x14ac:dyDescent="0.2">
      <c r="C62" s="124"/>
      <c r="D62" s="124"/>
    </row>
    <row r="63" spans="3:4" ht="16" customHeight="1" x14ac:dyDescent="0.2">
      <c r="C63" s="124"/>
      <c r="D63" s="124"/>
    </row>
    <row r="64" spans="3:4" ht="16" customHeight="1" x14ac:dyDescent="0.2">
      <c r="C64" s="124"/>
      <c r="D64" s="124"/>
    </row>
    <row r="65" spans="3:4" ht="16" customHeight="1" x14ac:dyDescent="0.2">
      <c r="C65" s="124"/>
      <c r="D65" s="124"/>
    </row>
    <row r="66" spans="3:4" ht="16" customHeight="1" x14ac:dyDescent="0.2">
      <c r="C66" s="124"/>
      <c r="D66" s="124"/>
    </row>
    <row r="67" spans="3:4" ht="16" customHeight="1" x14ac:dyDescent="0.2">
      <c r="C67" s="124"/>
      <c r="D67" s="124"/>
    </row>
    <row r="68" spans="3:4" ht="16" customHeight="1" x14ac:dyDescent="0.2">
      <c r="C68" s="124"/>
      <c r="D68" s="124"/>
    </row>
    <row r="69" spans="3:4" ht="16" customHeight="1" x14ac:dyDescent="0.2">
      <c r="C69" s="124"/>
      <c r="D69" s="124"/>
    </row>
    <row r="70" spans="3:4" ht="16" customHeight="1" x14ac:dyDescent="0.2">
      <c r="C70" s="124"/>
      <c r="D70" s="124"/>
    </row>
    <row r="71" spans="3:4" ht="16" customHeight="1" x14ac:dyDescent="0.2">
      <c r="C71" s="124"/>
      <c r="D71" s="124"/>
    </row>
    <row r="72" spans="3:4" ht="16" customHeight="1" x14ac:dyDescent="0.2">
      <c r="C72" s="124"/>
      <c r="D72" s="124"/>
    </row>
    <row r="73" spans="3:4" ht="16" customHeight="1" x14ac:dyDescent="0.2">
      <c r="C73" s="124"/>
      <c r="D73" s="124"/>
    </row>
    <row r="74" spans="3:4" ht="16" customHeight="1" x14ac:dyDescent="0.2">
      <c r="C74" s="124"/>
      <c r="D74" s="124"/>
    </row>
    <row r="75" spans="3:4" ht="16" customHeight="1" x14ac:dyDescent="0.2">
      <c r="C75" s="124"/>
      <c r="D75" s="124"/>
    </row>
    <row r="76" spans="3:4" ht="16" customHeight="1" x14ac:dyDescent="0.2">
      <c r="C76" s="124"/>
      <c r="D76" s="124"/>
    </row>
    <row r="77" spans="3:4" ht="16" customHeight="1" x14ac:dyDescent="0.2">
      <c r="C77" s="124"/>
      <c r="D77" s="124"/>
    </row>
    <row r="78" spans="3:4" ht="16" customHeight="1" x14ac:dyDescent="0.2">
      <c r="C78" s="124"/>
      <c r="D78" s="124"/>
    </row>
    <row r="79" spans="3:4" ht="16" customHeight="1" x14ac:dyDescent="0.2">
      <c r="C79" s="124"/>
      <c r="D79" s="124"/>
    </row>
    <row r="80" spans="3:4" ht="16" customHeight="1" x14ac:dyDescent="0.2">
      <c r="C80" s="124"/>
      <c r="D80" s="124"/>
    </row>
    <row r="81" spans="3:4" ht="16" customHeight="1" x14ac:dyDescent="0.2">
      <c r="C81" s="124"/>
      <c r="D81" s="124"/>
    </row>
    <row r="82" spans="3:4" ht="16" customHeight="1" x14ac:dyDescent="0.2">
      <c r="C82" s="124"/>
      <c r="D82" s="124"/>
    </row>
    <row r="83" spans="3:4" ht="16" customHeight="1" x14ac:dyDescent="0.2">
      <c r="C83" s="124"/>
      <c r="D83" s="124"/>
    </row>
    <row r="84" spans="3:4" ht="16" customHeight="1" x14ac:dyDescent="0.2">
      <c r="C84" s="124"/>
      <c r="D84" s="124"/>
    </row>
    <row r="85" spans="3:4" ht="16" customHeight="1" x14ac:dyDescent="0.2">
      <c r="C85" s="124"/>
      <c r="D85" s="124"/>
    </row>
    <row r="86" spans="3:4" ht="16" customHeight="1" x14ac:dyDescent="0.2">
      <c r="C86" s="124"/>
      <c r="D86" s="124"/>
    </row>
    <row r="87" spans="3:4" ht="16" customHeight="1" x14ac:dyDescent="0.2">
      <c r="C87" s="124"/>
      <c r="D87" s="124"/>
    </row>
    <row r="88" spans="3:4" ht="16" customHeight="1" x14ac:dyDescent="0.2">
      <c r="C88" s="124"/>
      <c r="D88" s="124"/>
    </row>
    <row r="89" spans="3:4" ht="16" customHeight="1" x14ac:dyDescent="0.2">
      <c r="C89" s="124"/>
      <c r="D89" s="124"/>
    </row>
    <row r="90" spans="3:4" ht="16" customHeight="1" x14ac:dyDescent="0.2">
      <c r="C90" s="124"/>
      <c r="D90" s="124"/>
    </row>
    <row r="91" spans="3:4" ht="16" customHeight="1" x14ac:dyDescent="0.2">
      <c r="C91" s="124"/>
      <c r="D91" s="124"/>
    </row>
    <row r="92" spans="3:4" ht="16" customHeight="1" x14ac:dyDescent="0.2">
      <c r="C92" s="124"/>
      <c r="D92" s="124"/>
    </row>
    <row r="93" spans="3:4" ht="16" customHeight="1" x14ac:dyDescent="0.2">
      <c r="C93" s="124"/>
      <c r="D93" s="124"/>
    </row>
    <row r="94" spans="3:4" ht="16" customHeight="1" x14ac:dyDescent="0.2">
      <c r="C94" s="124"/>
      <c r="D94" s="124"/>
    </row>
    <row r="95" spans="3:4" ht="16" customHeight="1" x14ac:dyDescent="0.2">
      <c r="C95" s="124"/>
      <c r="D95" s="124"/>
    </row>
    <row r="96" spans="3:4" ht="16" customHeight="1" x14ac:dyDescent="0.2">
      <c r="C96" s="124"/>
      <c r="D96" s="124"/>
    </row>
    <row r="97" spans="3:4" ht="16" customHeight="1" x14ac:dyDescent="0.2">
      <c r="C97" s="124"/>
      <c r="D97" s="124"/>
    </row>
    <row r="98" spans="3:4" ht="16" customHeight="1" x14ac:dyDescent="0.2">
      <c r="C98" s="124"/>
      <c r="D98" s="124"/>
    </row>
    <row r="99" spans="3:4" ht="16" customHeight="1" x14ac:dyDescent="0.2">
      <c r="C99" s="124"/>
      <c r="D99" s="124"/>
    </row>
    <row r="100" spans="3:4" ht="16" customHeight="1" x14ac:dyDescent="0.2">
      <c r="C100" s="124"/>
      <c r="D100" s="124"/>
    </row>
    <row r="101" spans="3:4" ht="16" customHeight="1" x14ac:dyDescent="0.2">
      <c r="C101" s="124"/>
      <c r="D101" s="124"/>
    </row>
    <row r="102" spans="3:4" ht="16" customHeight="1" x14ac:dyDescent="0.2">
      <c r="C102" s="124"/>
      <c r="D102" s="124"/>
    </row>
    <row r="103" spans="3:4" ht="16" customHeight="1" x14ac:dyDescent="0.2">
      <c r="C103" s="124"/>
      <c r="D103" s="124"/>
    </row>
    <row r="104" spans="3:4" ht="16" customHeight="1" x14ac:dyDescent="0.2">
      <c r="C104" s="124"/>
      <c r="D104" s="124"/>
    </row>
    <row r="105" spans="3:4" ht="16" customHeight="1" x14ac:dyDescent="0.2">
      <c r="C105" s="124"/>
      <c r="D105" s="124"/>
    </row>
    <row r="106" spans="3:4" ht="16" customHeight="1" x14ac:dyDescent="0.2">
      <c r="C106" s="124"/>
      <c r="D106" s="124"/>
    </row>
    <row r="107" spans="3:4" ht="16" customHeight="1" x14ac:dyDescent="0.2">
      <c r="C107" s="124"/>
      <c r="D107" s="124"/>
    </row>
    <row r="108" spans="3:4" ht="16" customHeight="1" x14ac:dyDescent="0.2">
      <c r="C108" s="124"/>
      <c r="D108" s="124"/>
    </row>
    <row r="109" spans="3:4" ht="16" customHeight="1" x14ac:dyDescent="0.2">
      <c r="C109" s="124"/>
      <c r="D109" s="124"/>
    </row>
    <row r="110" spans="3:4" ht="16" customHeight="1" x14ac:dyDescent="0.2">
      <c r="C110" s="124"/>
      <c r="D110" s="124"/>
    </row>
    <row r="111" spans="3:4" ht="16" customHeight="1" x14ac:dyDescent="0.2">
      <c r="C111" s="124"/>
      <c r="D111" s="124"/>
    </row>
    <row r="112" spans="3:4" ht="16" customHeight="1" x14ac:dyDescent="0.2">
      <c r="C112" s="124"/>
      <c r="D112" s="124"/>
    </row>
    <row r="113" spans="3:4" ht="16" customHeight="1" x14ac:dyDescent="0.2">
      <c r="C113" s="124"/>
      <c r="D113" s="124"/>
    </row>
    <row r="114" spans="3:4" ht="16" customHeight="1" x14ac:dyDescent="0.2">
      <c r="C114" s="124"/>
      <c r="D114" s="124"/>
    </row>
    <row r="115" spans="3:4" ht="16" customHeight="1" x14ac:dyDescent="0.2">
      <c r="C115" s="124"/>
      <c r="D115" s="124"/>
    </row>
    <row r="116" spans="3:4" ht="16" customHeight="1" x14ac:dyDescent="0.2">
      <c r="C116" s="124"/>
      <c r="D116" s="124"/>
    </row>
    <row r="117" spans="3:4" ht="16" customHeight="1" x14ac:dyDescent="0.2">
      <c r="C117" s="124"/>
      <c r="D117" s="124"/>
    </row>
    <row r="118" spans="3:4" ht="16" customHeight="1" x14ac:dyDescent="0.2">
      <c r="C118" s="124"/>
      <c r="D118" s="124"/>
    </row>
    <row r="119" spans="3:4" ht="16" customHeight="1" x14ac:dyDescent="0.2">
      <c r="C119" s="124"/>
      <c r="D119" s="124"/>
    </row>
    <row r="120" spans="3:4" ht="16" customHeight="1" x14ac:dyDescent="0.2">
      <c r="C120" s="124"/>
      <c r="D120" s="124"/>
    </row>
    <row r="121" spans="3:4" ht="16" customHeight="1" x14ac:dyDescent="0.2">
      <c r="C121" s="124"/>
      <c r="D121" s="124"/>
    </row>
    <row r="122" spans="3:4" ht="16" customHeight="1" x14ac:dyDescent="0.2">
      <c r="C122" s="124"/>
      <c r="D122" s="124"/>
    </row>
    <row r="123" spans="3:4" ht="16" customHeight="1" x14ac:dyDescent="0.2">
      <c r="C123" s="124"/>
      <c r="D123" s="124"/>
    </row>
    <row r="124" spans="3:4" ht="16" customHeight="1" x14ac:dyDescent="0.2">
      <c r="C124" s="124"/>
      <c r="D124" s="124"/>
    </row>
    <row r="125" spans="3:4" ht="16" customHeight="1" x14ac:dyDescent="0.2">
      <c r="C125" s="124"/>
      <c r="D125" s="124"/>
    </row>
    <row r="126" spans="3:4" ht="16" customHeight="1" x14ac:dyDescent="0.2">
      <c r="C126" s="124"/>
      <c r="D126" s="124"/>
    </row>
    <row r="127" spans="3:4" ht="16" customHeight="1" x14ac:dyDescent="0.2">
      <c r="C127" s="124"/>
      <c r="D127" s="124"/>
    </row>
    <row r="128" spans="3:4" ht="16" customHeight="1" x14ac:dyDescent="0.2">
      <c r="C128" s="124"/>
      <c r="D128" s="124"/>
    </row>
    <row r="129" spans="3:4" ht="16" customHeight="1" x14ac:dyDescent="0.2">
      <c r="C129" s="124"/>
      <c r="D129" s="124"/>
    </row>
    <row r="130" spans="3:4" ht="16" customHeight="1" x14ac:dyDescent="0.2">
      <c r="C130" s="124"/>
      <c r="D130" s="124"/>
    </row>
    <row r="131" spans="3:4" ht="16" customHeight="1" x14ac:dyDescent="0.2">
      <c r="C131" s="124"/>
      <c r="D131" s="124"/>
    </row>
    <row r="132" spans="3:4" ht="16" customHeight="1" x14ac:dyDescent="0.2">
      <c r="C132" s="124"/>
      <c r="D132" s="124"/>
    </row>
    <row r="133" spans="3:4" ht="16" customHeight="1" x14ac:dyDescent="0.2">
      <c r="C133" s="124"/>
      <c r="D133" s="124"/>
    </row>
    <row r="134" spans="3:4" ht="16" customHeight="1" x14ac:dyDescent="0.2">
      <c r="C134" s="124"/>
      <c r="D134" s="124"/>
    </row>
    <row r="135" spans="3:4" ht="16" customHeight="1" x14ac:dyDescent="0.2">
      <c r="C135" s="124"/>
      <c r="D135" s="124"/>
    </row>
    <row r="136" spans="3:4" ht="16" customHeight="1" x14ac:dyDescent="0.2">
      <c r="C136" s="124"/>
      <c r="D136" s="124"/>
    </row>
    <row r="137" spans="3:4" ht="16" customHeight="1" x14ac:dyDescent="0.2">
      <c r="C137" s="124"/>
      <c r="D137" s="124"/>
    </row>
    <row r="138" spans="3:4" ht="16" customHeight="1" x14ac:dyDescent="0.2">
      <c r="C138" s="124"/>
      <c r="D138" s="124"/>
    </row>
    <row r="139" spans="3:4" ht="16" customHeight="1" x14ac:dyDescent="0.2">
      <c r="C139" s="124"/>
      <c r="D139" s="124"/>
    </row>
    <row r="140" spans="3:4" ht="16" customHeight="1" x14ac:dyDescent="0.2">
      <c r="C140" s="124"/>
      <c r="D140" s="124"/>
    </row>
    <row r="141" spans="3:4" ht="16" customHeight="1" x14ac:dyDescent="0.2">
      <c r="C141" s="124"/>
      <c r="D141" s="124"/>
    </row>
    <row r="142" spans="3:4" ht="16" customHeight="1" x14ac:dyDescent="0.2">
      <c r="C142" s="124"/>
      <c r="D142" s="124"/>
    </row>
    <row r="143" spans="3:4" ht="16" customHeight="1" x14ac:dyDescent="0.2">
      <c r="C143" s="124"/>
      <c r="D143" s="124"/>
    </row>
    <row r="144" spans="3:4" ht="16" customHeight="1" x14ac:dyDescent="0.2">
      <c r="C144" s="124"/>
      <c r="D144" s="124"/>
    </row>
    <row r="145" spans="3:4" ht="16" customHeight="1" x14ac:dyDescent="0.2">
      <c r="C145" s="124"/>
      <c r="D145" s="124"/>
    </row>
    <row r="146" spans="3:4" ht="16" customHeight="1" x14ac:dyDescent="0.2">
      <c r="C146" s="124"/>
      <c r="D146" s="124"/>
    </row>
    <row r="147" spans="3:4" ht="16" customHeight="1" x14ac:dyDescent="0.2">
      <c r="C147" s="124"/>
      <c r="D147" s="124"/>
    </row>
    <row r="148" spans="3:4" ht="16" customHeight="1" x14ac:dyDescent="0.2">
      <c r="C148" s="124"/>
      <c r="D148" s="124"/>
    </row>
    <row r="149" spans="3:4" ht="16" customHeight="1" x14ac:dyDescent="0.2">
      <c r="C149" s="124"/>
      <c r="D149" s="124"/>
    </row>
    <row r="150" spans="3:4" ht="16" customHeight="1" x14ac:dyDescent="0.2">
      <c r="C150" s="124"/>
      <c r="D150" s="124"/>
    </row>
    <row r="151" spans="3:4" ht="16" customHeight="1" x14ac:dyDescent="0.2">
      <c r="C151" s="124"/>
      <c r="D151" s="124"/>
    </row>
  </sheetData>
  <pageMargins left="0.7" right="0.7" top="0.75" bottom="0.75" header="0.3" footer="0.3"/>
  <pageSetup paperSize="9" orientation="portrait" horizontalDpi="0" verticalDpi="0"/>
  <legacy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108</vt:i4>
      </vt:variant>
    </vt:vector>
  </HeadingPairs>
  <TitlesOfParts>
    <vt:vector size="108" baseType="lpstr">
      <vt:lpstr>W4Q3FY24</vt:lpstr>
      <vt:lpstr>W5Q3FY24</vt:lpstr>
      <vt:lpstr>W6Q3FY24</vt:lpstr>
      <vt:lpstr>W7Q3FY24</vt:lpstr>
      <vt:lpstr>W8Q3FY24</vt:lpstr>
      <vt:lpstr>W9Q3FY24</vt:lpstr>
      <vt:lpstr>W10Q3FY24</vt:lpstr>
      <vt:lpstr>W11Q3FY24</vt:lpstr>
      <vt:lpstr>W9Q1FY26 (2)</vt:lpstr>
      <vt:lpstr>W12Q3FY24</vt:lpstr>
      <vt:lpstr>W13Q3FY24</vt:lpstr>
      <vt:lpstr>W1Q4FY24</vt:lpstr>
      <vt:lpstr>W2Q4FY24</vt:lpstr>
      <vt:lpstr>W3Q4FY24</vt:lpstr>
      <vt:lpstr>W4Q4FY24</vt:lpstr>
      <vt:lpstr>W5Q4FY24</vt:lpstr>
      <vt:lpstr>W6Q4FY24</vt:lpstr>
      <vt:lpstr>W7Q4FY24</vt:lpstr>
      <vt:lpstr>W8Q4FY24</vt:lpstr>
      <vt:lpstr>W9Q4FY24</vt:lpstr>
      <vt:lpstr>W10Q4FY24</vt:lpstr>
      <vt:lpstr>W11Q4FY24-</vt:lpstr>
      <vt:lpstr>W12Q4FY24</vt:lpstr>
      <vt:lpstr>W13Q4FY24</vt:lpstr>
      <vt:lpstr>W1Q1FY25</vt:lpstr>
      <vt:lpstr>W2Q1FY25 </vt:lpstr>
      <vt:lpstr>W3Q1FY25</vt:lpstr>
      <vt:lpstr>W4Q1FY25</vt:lpstr>
      <vt:lpstr>W5Q1FY25</vt:lpstr>
      <vt:lpstr>W6Q1FY25 </vt:lpstr>
      <vt:lpstr>W7Q1FY25</vt:lpstr>
      <vt:lpstr>W8Q1FY25</vt:lpstr>
      <vt:lpstr>W9Q1FY25 </vt:lpstr>
      <vt:lpstr>W10Q1FY25</vt:lpstr>
      <vt:lpstr>W11Q1FY25 </vt:lpstr>
      <vt:lpstr>W12Q1FY25 </vt:lpstr>
      <vt:lpstr>W13Q1FY25</vt:lpstr>
      <vt:lpstr>W1Q2FY25</vt:lpstr>
      <vt:lpstr>W2Q2FY25</vt:lpstr>
      <vt:lpstr>W3Q2FY25</vt:lpstr>
      <vt:lpstr>W4Q2FY25</vt:lpstr>
      <vt:lpstr>W6Q2FY25</vt:lpstr>
      <vt:lpstr>W7Q2FY25</vt:lpstr>
      <vt:lpstr>W8Q2FY25</vt:lpstr>
      <vt:lpstr>W9Q2FY25</vt:lpstr>
      <vt:lpstr>W10Q2FY25 </vt:lpstr>
      <vt:lpstr>W11Q2FY25</vt:lpstr>
      <vt:lpstr>W12Q2FY25</vt:lpstr>
      <vt:lpstr>W13Q2FY25</vt:lpstr>
      <vt:lpstr>W1Q3FY25</vt:lpstr>
      <vt:lpstr>W2Q3FY25 </vt:lpstr>
      <vt:lpstr>W3Q3FY25 </vt:lpstr>
      <vt:lpstr>W4Q3FY25 </vt:lpstr>
      <vt:lpstr>W5Q3FY25 </vt:lpstr>
      <vt:lpstr>W6Q3FY25</vt:lpstr>
      <vt:lpstr>W7Q3FY25 </vt:lpstr>
      <vt:lpstr>W8Q3FY25  </vt:lpstr>
      <vt:lpstr>W9Q3FY25 </vt:lpstr>
      <vt:lpstr>W10Q3FY25</vt:lpstr>
      <vt:lpstr>W11Q3FY25 </vt:lpstr>
      <vt:lpstr>W12Q3FY25 </vt:lpstr>
      <vt:lpstr>W13Q3FY25</vt:lpstr>
      <vt:lpstr>W1Q4FY25</vt:lpstr>
      <vt:lpstr>W2Q4FY25</vt:lpstr>
      <vt:lpstr>W3Q4FY25</vt:lpstr>
      <vt:lpstr>W4Q4FY25 </vt:lpstr>
      <vt:lpstr>W5Q4FY25 </vt:lpstr>
      <vt:lpstr>W6Q4FY25 </vt:lpstr>
      <vt:lpstr>W7Q4FY25 </vt:lpstr>
      <vt:lpstr>W8Q4FY25</vt:lpstr>
      <vt:lpstr>W9Q4FY25 </vt:lpstr>
      <vt:lpstr>W10Q4FY25 </vt:lpstr>
      <vt:lpstr>W11Q4FY25</vt:lpstr>
      <vt:lpstr>W12Q4FY25</vt:lpstr>
      <vt:lpstr>W13Q4FY25</vt:lpstr>
      <vt:lpstr>W1Q1FY26</vt:lpstr>
      <vt:lpstr>W2Q1FY26 </vt:lpstr>
      <vt:lpstr>W3Q1FY26 </vt:lpstr>
      <vt:lpstr>W4Q1FY26</vt:lpstr>
      <vt:lpstr>W5Q1FY26 </vt:lpstr>
      <vt:lpstr>W6Q1FY26</vt:lpstr>
      <vt:lpstr>W7Q1FY26 </vt:lpstr>
      <vt:lpstr>W8Q1FY26</vt:lpstr>
      <vt:lpstr>W9Q1FY26</vt:lpstr>
      <vt:lpstr>W10Q1FY26</vt:lpstr>
      <vt:lpstr>W11Q1FY26</vt:lpstr>
      <vt:lpstr>W12Q1FY26</vt:lpstr>
      <vt:lpstr>W13Q1FY26</vt:lpstr>
      <vt:lpstr>W1Q2FY26</vt:lpstr>
      <vt:lpstr>W2Q2FY26</vt:lpstr>
      <vt:lpstr>W3Q2FY26</vt:lpstr>
      <vt:lpstr>W4Q2FY26</vt:lpstr>
      <vt:lpstr>W5Q2FY26</vt:lpstr>
      <vt:lpstr>W6Q2FY26</vt:lpstr>
      <vt:lpstr>W7Q2FY26</vt:lpstr>
      <vt:lpstr>W9Q2FY26</vt:lpstr>
      <vt:lpstr>W10Q2FY26</vt:lpstr>
      <vt:lpstr>W11Q2FY26</vt:lpstr>
      <vt:lpstr>W12Q2FY26</vt:lpstr>
      <vt:lpstr>W13Q2FY26</vt:lpstr>
      <vt:lpstr>W1Q3FY26</vt:lpstr>
      <vt:lpstr>W2Q3FY26</vt:lpstr>
      <vt:lpstr>W3Q3FY26</vt:lpstr>
      <vt:lpstr>W4Q3FY26</vt:lpstr>
      <vt:lpstr>W5Q3FY26</vt:lpstr>
      <vt:lpstr>W6Q3FY26</vt:lpstr>
      <vt:lpstr>W7Q3FY26</vt:lpstr>
      <vt:lpstr>W8Q3FY26</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Vũ Trung Nghĩa</dc:creator>
  <cp:lastModifiedBy>Vũ Trung Nghĩa</cp:lastModifiedBy>
  <dcterms:created xsi:type="dcterms:W3CDTF">2024-04-26T14:01:01Z</dcterms:created>
  <dcterms:modified xsi:type="dcterms:W3CDTF">2026-05-18T13:42:05Z</dcterms:modified>
</cp:coreProperties>
</file>